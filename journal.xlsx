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221F93C3-B0B6-4598-BFE3-A999E5C2964B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СпрСобытий" sheetId="20" state="hidden" r:id="rId14"/>
    <sheet name="Загрузка" sheetId="37" r:id="rId15"/>
    <sheet name="Стороний грузовой транспорт" sheetId="38" r:id="rId16"/>
  </sheets>
  <definedNames>
    <definedName name="ExternalData_1" localSheetId="0" hidden="1">'1 Ангар Склад 2 въезд'!$A$1:$L$197</definedName>
    <definedName name="ExternalData_1" localSheetId="9" hidden="1">'10 Сушилка навес'!$A$1:$L$492</definedName>
    <definedName name="ExternalData_1" localSheetId="10" hidden="1">'11 С ангара на базу'!$A$1:$L$217</definedName>
    <definedName name="ExternalData_1" localSheetId="11" hidden="1">'12 Площадка 3 кран'!$A$1:$L$139</definedName>
    <definedName name="ExternalData_1" localSheetId="12" hidden="1">'13 Склад хол'!$A$1:$L$116</definedName>
    <definedName name="ExternalData_1" localSheetId="1" hidden="1">'2 Пилорама поката'!$A$1:$L$206</definedName>
    <definedName name="ExternalData_1" localSheetId="2" hidden="1">'3 Въезд на базу'!$A$1:$L$120</definedName>
    <definedName name="ExternalData_1" localSheetId="3" hidden="1">'4 Крыльцо офиса'!$A$1:$L$136</definedName>
    <definedName name="ExternalData_1" localSheetId="4" hidden="1">'5 Крыльцо общага'!$A$1:$L$206</definedName>
    <definedName name="ExternalData_1" localSheetId="5" hidden="1">'6 Площадка 1 общага'!$A$1:$L$102</definedName>
    <definedName name="ExternalData_1" localSheetId="6" hidden="1">'7 Площадка 2 бетонщики'!$A$1:$L$226</definedName>
    <definedName name="ExternalData_1" localSheetId="7" hidden="1">'8 Рейсмус'!$A$1:$L$166</definedName>
    <definedName name="ExternalData_1" localSheetId="8" hidden="1">'9 Ангар пилорама'!$A$1:$L$482</definedName>
    <definedName name="ExternalData_1" localSheetId="14" hidden="1">Загрузка!$A$1:$L$210</definedName>
    <definedName name="ExternalData_1" localSheetId="15" hidden="1">'Стороний грузовой транспорт'!$A$1:$L$371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172" i="38"/>
  <c r="M173" i="38"/>
  <c r="M174" i="38"/>
  <c r="M175" i="38"/>
  <c r="M176" i="38"/>
  <c r="M177" i="38"/>
  <c r="M178" i="38"/>
  <c r="M179" i="38"/>
  <c r="M180" i="38"/>
  <c r="M181" i="38"/>
  <c r="M182" i="38"/>
  <c r="M183" i="38"/>
  <c r="M184" i="38"/>
  <c r="M185" i="38"/>
  <c r="M186" i="38"/>
  <c r="M187" i="38"/>
  <c r="M188" i="38"/>
  <c r="M189" i="38"/>
  <c r="M190" i="38"/>
  <c r="M191" i="38"/>
  <c r="M192" i="38"/>
  <c r="M193" i="38"/>
  <c r="M194" i="38"/>
  <c r="M195" i="38"/>
  <c r="M196" i="38"/>
  <c r="M197" i="38"/>
  <c r="M198" i="38"/>
  <c r="M199" i="38"/>
  <c r="M200" i="38"/>
  <c r="M201" i="38"/>
  <c r="M202" i="38"/>
  <c r="M203" i="38"/>
  <c r="M204" i="38"/>
  <c r="M205" i="38"/>
  <c r="M206" i="38"/>
  <c r="M207" i="38"/>
  <c r="M208" i="38"/>
  <c r="M209" i="38"/>
  <c r="M210" i="38"/>
  <c r="M211" i="38"/>
  <c r="M212" i="38"/>
  <c r="M213" i="38"/>
  <c r="M214" i="38"/>
  <c r="M215" i="38"/>
  <c r="M216" i="38"/>
  <c r="M217" i="38"/>
  <c r="M218" i="38"/>
  <c r="M219" i="38"/>
  <c r="M220" i="38"/>
  <c r="M221" i="38"/>
  <c r="M222" i="38"/>
  <c r="M223" i="38"/>
  <c r="M224" i="38"/>
  <c r="M225" i="38"/>
  <c r="M226" i="38"/>
  <c r="M227" i="38"/>
  <c r="M228" i="38"/>
  <c r="M229" i="38"/>
  <c r="M230" i="38"/>
  <c r="M231" i="38"/>
  <c r="M232" i="38"/>
  <c r="M233" i="38"/>
  <c r="M234" i="38"/>
  <c r="M235" i="38"/>
  <c r="M236" i="38"/>
  <c r="M237" i="38"/>
  <c r="M238" i="38"/>
  <c r="M239" i="38"/>
  <c r="M240" i="38"/>
  <c r="M241" i="38"/>
  <c r="M242" i="38"/>
  <c r="M243" i="38"/>
  <c r="M244" i="38"/>
  <c r="M245" i="38"/>
  <c r="M246" i="38"/>
  <c r="M247" i="38"/>
  <c r="M248" i="38"/>
  <c r="M249" i="38"/>
  <c r="M250" i="38"/>
  <c r="M251" i="38"/>
  <c r="M252" i="38"/>
  <c r="M253" i="38"/>
  <c r="M254" i="38"/>
  <c r="M255" i="38"/>
  <c r="M256" i="38"/>
  <c r="M257" i="38"/>
  <c r="M258" i="38"/>
  <c r="M259" i="38"/>
  <c r="M260" i="38"/>
  <c r="M261" i="38"/>
  <c r="M262" i="38"/>
  <c r="M263" i="38"/>
  <c r="M264" i="38"/>
  <c r="M265" i="38"/>
  <c r="M266" i="38"/>
  <c r="M267" i="38"/>
  <c r="M268" i="38"/>
  <c r="M269" i="38"/>
  <c r="M270" i="38"/>
  <c r="M271" i="38"/>
  <c r="M272" i="38"/>
  <c r="M273" i="38"/>
  <c r="M274" i="38"/>
  <c r="M275" i="38"/>
  <c r="M276" i="38"/>
  <c r="M277" i="38"/>
  <c r="M278" i="38"/>
  <c r="M279" i="38"/>
  <c r="M280" i="38"/>
  <c r="M281" i="38"/>
  <c r="M282" i="38"/>
  <c r="M283" i="38"/>
  <c r="M284" i="38"/>
  <c r="M285" i="38"/>
  <c r="M286" i="38"/>
  <c r="M287" i="38"/>
  <c r="M288" i="38"/>
  <c r="M289" i="38"/>
  <c r="M290" i="38"/>
  <c r="M291" i="38"/>
  <c r="M292" i="38"/>
  <c r="M293" i="38"/>
  <c r="M294" i="38"/>
  <c r="M295" i="38"/>
  <c r="M296" i="38"/>
  <c r="M297" i="38"/>
  <c r="M298" i="38"/>
  <c r="M299" i="38"/>
  <c r="M300" i="38"/>
  <c r="M301" i="38"/>
  <c r="M302" i="38"/>
  <c r="M303" i="38"/>
  <c r="M304" i="38"/>
  <c r="M305" i="38"/>
  <c r="M306" i="38"/>
  <c r="M307" i="38"/>
  <c r="M308" i="38"/>
  <c r="M309" i="38"/>
  <c r="M310" i="38"/>
  <c r="M311" i="38"/>
  <c r="M312" i="38"/>
  <c r="M313" i="38"/>
  <c r="M314" i="38"/>
  <c r="M315" i="38"/>
  <c r="M316" i="38"/>
  <c r="M317" i="38"/>
  <c r="M318" i="38"/>
  <c r="M319" i="38"/>
  <c r="M320" i="38"/>
  <c r="M321" i="38"/>
  <c r="M322" i="38"/>
  <c r="M323" i="38"/>
  <c r="M324" i="38"/>
  <c r="M325" i="38"/>
  <c r="M326" i="38"/>
  <c r="M327" i="38"/>
  <c r="M328" i="38"/>
  <c r="M329" i="38"/>
  <c r="M330" i="38"/>
  <c r="M331" i="38"/>
  <c r="M332" i="38"/>
  <c r="M333" i="38"/>
  <c r="M334" i="38"/>
  <c r="M335" i="38"/>
  <c r="M336" i="38"/>
  <c r="M337" i="38"/>
  <c r="M338" i="38"/>
  <c r="M339" i="38"/>
  <c r="M340" i="38"/>
  <c r="M341" i="38"/>
  <c r="M342" i="38"/>
  <c r="M343" i="38"/>
  <c r="M344" i="38"/>
  <c r="M345" i="38"/>
  <c r="M346" i="38"/>
  <c r="M347" i="38"/>
  <c r="M348" i="38"/>
  <c r="M349" i="38"/>
  <c r="M350" i="38"/>
  <c r="M351" i="38"/>
  <c r="M352" i="38"/>
  <c r="M353" i="38"/>
  <c r="M354" i="38"/>
  <c r="M355" i="38"/>
  <c r="M356" i="38"/>
  <c r="M357" i="38"/>
  <c r="M358" i="38"/>
  <c r="M359" i="38"/>
  <c r="M360" i="38"/>
  <c r="M361" i="38"/>
  <c r="M362" i="38"/>
  <c r="M363" i="38"/>
  <c r="M364" i="38"/>
  <c r="M365" i="38"/>
  <c r="M366" i="38"/>
  <c r="M367" i="38"/>
  <c r="M368" i="38"/>
  <c r="M369" i="38"/>
  <c r="M370" i="38"/>
  <c r="M371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7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8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9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0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1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2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3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4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5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16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<sst xmlns="http://schemas.openxmlformats.org/spreadsheetml/2006/main" count="39913" uniqueCount="8828">
  <si>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</si>
  <si>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</si>
  <si>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</si>
  <si>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</si>
  <si>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</si>
  <si>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</si>
  <si>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</si>
  <si>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</si>
  <si>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</si>
  <si>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</si>
  <si>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</si>
  <si>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</si>
  <si>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</si>
  <si>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</si>
  <si>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</si>
  <si>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</si>
  <si>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</si>
  <si>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</si>
  <si>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</si>
  <si>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</si>
  <si>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</si>
  <si>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</si>
  <si>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</si>
  <si>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</si>
  <si>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</si>
  <si>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</si>
  <si>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</si>
  <si>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</si>
  <si>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</si>
  <si>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</si>
  <si>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</si>
  <si>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</si>
  <si>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</si>
  <si>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</si>
  <si>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</si>
  <si>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</si>
  <si>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</si>
  <si>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</si>
  <si>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</si>
  <si>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</si>
  <si>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</si>
  <si>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</si>
  <si>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</si>
  <si>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</si>
  <si>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</si>
  <si>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</si>
  <si>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</si>
  <si>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</si>
  <si>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</si>
  <si>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</si>
  <si>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</si>
  <si>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</si>
  <si>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</si>
  <si>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</si>
  <si>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</si>
  <si>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</si>
  <si>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</si>
  <si>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</si>
  <si>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</si>
  <si>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</si>
  <si>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</si>
  <si>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</si>
  <si>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</si>
  <si>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</si>
  <si>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</si>
  <si>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</si>
  <si>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</si>
  <si>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</si>
  <si>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</si>
  <si>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</si>
  <si>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</si>
  <si>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</si>
  <si>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</si>
  <si>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</si>
  <si>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</si>
  <si>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</si>
  <si>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</si>
  <si>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</si>
  <si>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</si>
  <si>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</si>
  <si>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</si>
  <si>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</si>
  <si>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</si>
  <si>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</si>
  <si>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</si>
  <si>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</si>
  <si>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</si>
  <si>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</si>
  <si>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</si>
  <si>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</si>
  <si>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</si>
  <si>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</si>
  <si>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</si>
  <si>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</si>
  <si>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</si>
  <si>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</si>
  <si>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</si>
  <si>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</si>
  <si>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</si>
  <si>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</si>
  <si>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</si>
  <si>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</si>
  <si>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</si>
  <si>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</si>
  <si>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</si>
  <si>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</si>
  <si>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</si>
  <si>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</si>
  <si>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</si>
  <si>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</si>
  <si>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</si>
  <si>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</si>
  <si>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</si>
  <si>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</si>
  <si>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</si>
  <si>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</si>
  <si>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</si>
  <si>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</si>
  <si>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</si>
  <si>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</si>
  <si>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</si>
  <si>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</si>
  <si>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</si>
  <si>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</si>
  <si>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</si>
  <si>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</si>
  <si>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</si>
  <si>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</si>
  <si>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</si>
  <si>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</si>
  <si>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</si>
  <si>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</si>
  <si>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</si>
  <si>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</si>
  <si>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</si>
  <si>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</si>
  <si>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</si>
  <si>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</si>
  <si>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</si>
  <si>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</si>
  <si>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</si>
  <si>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</si>
  <si>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</si>
  <si>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</si>
  <si>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</si>
  <si>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</si>
  <si>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</si>
  <si>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</si>
  <si>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</si>
  <si>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</si>
  <si>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</si>
  <si>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</si>
  <si>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</si>
  <si>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</si>
  <si>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</si>
  <si>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</si>
  <si>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</si>
  <si>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</si>
  <si>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</si>
  <si>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</si>
  <si>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</si>
  <si>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</si>
  <si>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</si>
  <si>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</si>
  <si>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</si>
  <si>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</si>
  <si>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</si>
  <si>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</si>
  <si>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</si>
  <si>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</si>
  <si>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</si>
  <si>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</si>
  <si>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</si>
  <si>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</si>
  <si>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</si>
  <si>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</si>
  <si>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</si>
  <si>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</si>
  <si>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</si>
  <si>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</si>
  <si>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</si>
  <si>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</si>
  <si>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</si>
  <si>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</si>
  <si>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</si>
  <si>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</si>
  <si>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</si>
  <si>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</si>
  <si>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</si>
  <si>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</si>
  <si>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</si>
  <si>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</si>
  <si>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</si>
  <si>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</si>
  <si>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</si>
  <si>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</si>
  <si>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</si>
  <si>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</si>
  <si>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</si>
  <si>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</si>
  <si>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</si>
  <si>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</si>
  <si>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</si>
  <si>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</si>
  <si>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</si>
  <si>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</si>
  <si>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</si>
  <si>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</si>
  <si>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</si>
  <si>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</si>
  <si>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</si>
  <si>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</si>
  <si>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</si>
  <si>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</si>
  <si>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</si>
  <si>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</si>
  <si>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</si>
  <si>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</si>
  <si>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</si>
  <si>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</si>
  <si>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</si>
  <si>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</si>
  <si>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</si>
  <si>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</si>
  <si>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</si>
  <si>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</si>
  <si>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</si>
  <si>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</si>
  <si>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</si>
  <si>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</si>
  <si>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</si>
  <si>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</si>
  <si>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</si>
  <si>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</si>
  <si>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</si>
  <si>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</si>
  <si>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</si>
  <si>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</si>
  <si>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</si>
  <si>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</si>
  <si>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</si>
  <si>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</si>
  <si>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</si>
  <si>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</si>
  <si>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</si>
  <si>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</si>
  <si>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</si>
  <si>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</si>
  <si>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</si>
  <si>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</si>
  <si>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</si>
  <si>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</si>
  <si>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</si>
  <si>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</si>
  <si>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</si>
  <si>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</si>
  <si>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</si>
  <si>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</si>
  <si>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</si>
  <si>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</si>
  <si>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</si>
  <si>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</si>
  <si>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</si>
  <si>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</si>
  <si>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</si>
  <si>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</si>
  <si>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</si>
  <si>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</si>
  <si>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</si>
  <si>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</si>
  <si>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</si>
  <si>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</si>
  <si>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</si>
  <si>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</si>
  <si>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</si>
  <si>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</si>
  <si>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</si>
  <si>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</si>
  <si>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</si>
  <si>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</si>
  <si>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</si>
  <si>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</si>
  <si>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</si>
  <si>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</si>
  <si>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</si>
  <si>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</si>
  <si>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</si>
  <si>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</si>
  <si>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</si>
  <si>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</si>
  <si>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</si>
  <si>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</si>
  <si>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</si>
  <si>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</si>
  <si>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</si>
  <si>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</si>
  <si>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</si>
  <si>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</si>
  <si>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</si>
  <si>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</si>
  <si>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</si>
  <si>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</si>
  <si>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</si>
  <si>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</si>
  <si>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</si>
  <si>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</si>
  <si>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</si>
  <si>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</si>
  <si>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</si>
  <si>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</si>
  <si>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</si>
  <si>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</si>
  <si>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</si>
  <si>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</si>
  <si>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</si>
  <si>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</si>
  <si>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</si>
  <si>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</si>
  <si>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</si>
  <si>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</si>
  <si>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</si>
  <si>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</si>
  <si>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</si>
  <si>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</si>
  <si>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</si>
  <si>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</si>
  <si>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</si>
  <si>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</si>
  <si>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</si>
  <si>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</si>
  <si>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</si>
  <si>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</si>
  <si>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</si>
  <si>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</si>
  <si>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</si>
  <si>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</si>
  <si>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</si>
  <si>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</si>
  <si>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</si>
  <si>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</si>
  <si>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</si>
  <si>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</si>
  <si>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</si>
  <si>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</si>
  <si>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</si>
  <si>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</si>
  <si>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</si>
  <si>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</si>
  <si>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</si>
  <si>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</si>
  <si>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</si>
  <si>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</si>
  <si>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</si>
  <si>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</si>
  <si>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</si>
  <si>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</si>
  <si>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</si>
  <si>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</si>
  <si>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</si>
  <si>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</si>
  <si>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</si>
  <si>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</si>
  <si>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</si>
  <si>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</si>
  <si>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</si>
  <si>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</si>
  <si>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</si>
  <si>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</si>
  <si>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</si>
  <si>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</si>
  <si>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</si>
  <si>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</si>
  <si>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</si>
  <si>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</si>
  <si>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</si>
  <si>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</si>
  <si>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</si>
  <si>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</si>
  <si>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</si>
  <si>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</si>
  <si>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</si>
  <si>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</si>
  <si>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</si>
  <si>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</si>
  <si>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</si>
  <si>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</si>
  <si>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</si>
  <si>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</si>
  <si>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</si>
  <si>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</si>
  <si>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</si>
  <si>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</si>
  <si>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</si>
  <si>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</si>
  <si>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</si>
  <si>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</si>
  <si>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</si>
  <si>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</si>
  <si>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</si>
  <si>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</si>
  <si>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</si>
  <si>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</si>
  <si>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</si>
  <si>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</si>
  <si>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</si>
  <si>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</si>
  <si>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</si>
  <si>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</si>
  <si>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</si>
  <si>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</si>
  <si>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</si>
  <si>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</si>
  <si>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</si>
  <si>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</si>
  <si>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</si>
  <si>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</si>
  <si>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</si>
  <si>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</si>
  <si>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</si>
  <si>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</si>
  <si>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</si>
  <si>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</si>
  <si>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</si>
  <si>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</si>
  <si>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</si>
  <si>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</si>
  <si>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</si>
  <si>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</si>
  <si>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</si>
  <si>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</si>
  <si>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</si>
  <si>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</si>
  <si>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</si>
  <si>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</si>
  <si>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</si>
  <si>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</si>
  <si>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</si>
  <si>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</si>
  <si>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</si>
  <si>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</si>
  <si>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</si>
  <si>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</si>
  <si>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</si>
  <si>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</si>
  <si>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</si>
  <si>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</si>
  <si>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</si>
  <si>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</si>
  <si>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</si>
  <si>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</si>
  <si>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</si>
  <si>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</si>
  <si>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</si>
  <si>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</si>
  <si>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</si>
  <si>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</si>
  <si>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</si>
  <si>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</si>
  <si>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</si>
  <si>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</si>
  <si>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</si>
  <si>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</si>
  <si>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</si>
  <si>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</si>
  <si>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</si>
  <si>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</si>
  <si>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</si>
  <si>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</si>
  <si>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</si>
  <si>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</si>
  <si>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</si>
  <si>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</si>
  <si>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</si>
  <si>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</si>
  <si>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</si>
  <si>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</si>
  <si>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</si>
  <si>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</si>
  <si>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</si>
  <si>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</si>
  <si>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</si>
  <si>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</si>
  <si>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</si>
  <si>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</si>
  <si>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</si>
  <si>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</si>
  <si>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</si>
  <si>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</si>
  <si>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</si>
  <si>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</si>
  <si>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</si>
  <si>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</si>
  <si>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</si>
  <si>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</si>
  <si>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</si>
  <si>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</si>
  <si>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</si>
  <si>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</si>
  <si>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</si>
  <si>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</si>
  <si>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</si>
  <si>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</si>
  <si>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</si>
  <si>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</si>
  <si>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</si>
  <si>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</si>
  <si>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</si>
  <si>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</si>
  <si>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</si>
  <si>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</si>
  <si>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</si>
  <si>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</si>
  <si>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</si>
  <si>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</si>
  <si>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</si>
  <si>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</si>
  <si>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</si>
  <si>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</si>
  <si>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</si>
  <si>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</si>
  <si>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</si>
  <si>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</si>
  <si>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</si>
  <si>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</si>
  <si>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</si>
  <si>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</si>
  <si>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</si>
  <si>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</si>
  <si>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</si>
  <si>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</si>
  <si>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</si>
  <si>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</si>
  <si>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</si>
  <si>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</si>
  <si>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</si>
  <si>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</si>
  <si>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</si>
  <si>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</si>
  <si>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</si>
  <si>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</si>
  <si>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</si>
  <si>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</si>
  <si>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</si>
  <si>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</si>
  <si>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</si>
  <si>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</si>
  <si>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</si>
  <si>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</si>
  <si>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</si>
  <si>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</si>
  <si>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</si>
  <si>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</si>
  <si>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</si>
  <si>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</si>
  <si>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</si>
  <si>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</si>
  <si>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</si>
  <si>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</si>
  <si>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</si>
  <si>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</si>
  <si>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</si>
  <si>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</si>
  <si>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</si>
  <si>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</si>
  <si>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</si>
  <si>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</si>
  <si>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</si>
  <si>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</si>
  <si>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</si>
  <si>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</si>
  <si>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</si>
  <si>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</si>
  <si>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</si>
  <si>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</si>
  <si>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</si>
  <si>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</si>
  <si>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</si>
  <si>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</si>
  <si>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</si>
  <si>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</si>
  <si>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</si>
  <si>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</si>
  <si>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</si>
  <si>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</si>
  <si>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</si>
  <si>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</si>
  <si>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</si>
  <si>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</si>
  <si>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</si>
  <si>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</si>
  <si>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</si>
  <si>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</si>
  <si>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</si>
  <si>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</si>
  <si>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</si>
  <si>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</si>
  <si>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</si>
  <si>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</si>
  <si>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</si>
  <si>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</si>
  <si>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</si>
  <si>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</si>
  <si>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</si>
  <si>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</si>
  <si>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</si>
  <si>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</si>
  <si>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</si>
  <si>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</si>
  <si>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</si>
  <si>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</si>
  <si>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</si>
  <si>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</si>
  <si>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</si>
  <si>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</si>
  <si>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</si>
  <si>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</si>
  <si>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</si>
  <si>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</si>
  <si>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</si>
  <si>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</si>
  <si>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</si>
  <si>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</si>
  <si>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</si>
  <si>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</si>
  <si>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</si>
  <si>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</si>
  <si>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</si>
  <si>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</si>
  <si>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</si>
  <si>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</si>
  <si>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</si>
  <si>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</si>
  <si>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</si>
  <si>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</si>
  <si>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</si>
  <si>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</si>
  <si>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</si>
  <si>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</si>
  <si>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</si>
  <si>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</si>
  <si>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</si>
  <si>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</si>
  <si>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</si>
  <si>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</si>
  <si>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</si>
  <si>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</si>
  <si>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</si>
  <si>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</si>
  <si>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</si>
  <si>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</si>
  <si>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</si>
  <si>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</si>
  <si>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</si>
  <si>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</si>
  <si>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</si>
  <si>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</si>
  <si>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</si>
  <si>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</si>
  <si>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</si>
  <si>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</si>
  <si>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</si>
  <si>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</si>
  <si>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</si>
  <si>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</si>
  <si>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</si>
  <si>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</si>
  <si>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</si>
  <si>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</si>
  <si>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</si>
  <si>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</si>
  <si>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</si>
  <si>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</si>
  <si>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</si>
  <si>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</si>
  <si>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</si>
  <si>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</si>
  <si>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</si>
  <si>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</si>
  <si>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</si>
  <si>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</si>
  <si>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</si>
  <si>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</si>
  <si>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</si>
  <si>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</si>
  <si>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</si>
  <si>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</si>
  <si>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</si>
  <si>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</si>
  <si>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</si>
  <si>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</si>
  <si>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</si>
  <si>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</si>
  <si>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</si>
  <si>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</si>
  <si>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</si>
  <si>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</si>
  <si>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</si>
  <si>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</si>
  <si>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</si>
  <si>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</si>
  <si>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</si>
  <si>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</si>
  <si>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</si>
  <si>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</si>
  <si>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</si>
  <si>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</si>
  <si>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</si>
  <si>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</si>
  <si>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</si>
  <si>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</si>
  <si>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</si>
  <si>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</si>
  <si>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</si>
  <si>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</si>
  <si>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</si>
  <si>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</si>
  <si>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</si>
  <si>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</si>
  <si>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</si>
  <si>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</si>
  <si>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</si>
  <si>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</si>
  <si>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</si>
  <si>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</si>
  <si>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</si>
  <si>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</si>
  <si>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</si>
  <si>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</si>
  <si>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</si>
  <si>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</si>
  <si>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</si>
  <si>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</si>
  <si>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</si>
  <si>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</si>
  <si>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</si>
  <si>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</si>
  <si>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</si>
  <si>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</si>
  <si>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</si>
  <si>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</si>
  <si>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</si>
  <si>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</si>
  <si>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</si>
  <si>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</si>
  <si>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</si>
  <si>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</si>
  <si>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</si>
  <si>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</si>
  <si>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</si>
  <si>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</si>
  <si>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</si>
  <si>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</si>
  <si>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</si>
  <si>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</si>
  <si>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</si>
  <si>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</si>
  <si>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</si>
  <si>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</si>
  <si>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</si>
  <si>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</si>
  <si>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</si>
  <si>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</si>
  <si>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</si>
  <si>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</si>
  <si>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</si>
  <si>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</si>
  <si>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</si>
  <si>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</si>
  <si>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</si>
  <si>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</si>
  <si>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</si>
  <si>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</si>
  <si>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</si>
  <si>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</si>
  <si>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</si>
  <si>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</si>
  <si>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</si>
  <si>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</si>
  <si>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</si>
  <si>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</si>
  <si>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</si>
  <si>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</si>
  <si>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</si>
  <si>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</si>
  <si>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</si>
  <si>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</si>
  <si>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</si>
  <si>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</si>
  <si>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</si>
  <si>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</si>
  <si>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</si>
  <si>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</si>
  <si>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</si>
  <si>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</si>
  <si>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</si>
  <si>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</si>
  <si>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</si>
  <si>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</si>
  <si>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</si>
  <si>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</si>
  <si>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</si>
  <si>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</si>
  <si>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</si>
  <si>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</si>
  <si>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</si>
  <si>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</si>
  <si>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</si>
  <si>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</si>
  <si>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</si>
  <si>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</si>
  <si>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</si>
  <si>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</si>
  <si>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</si>
  <si>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</si>
  <si>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</si>
  <si>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</si>
  <si>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</si>
  <si>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</si>
  <si>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</si>
  <si>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</si>
  <si>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</si>
  <si>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</si>
  <si>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</si>
  <si>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</si>
  <si>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</si>
  <si>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</si>
  <si>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</si>
  <si>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</si>
  <si>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</si>
  <si>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</si>
  <si>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</si>
  <si>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</si>
  <si>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</si>
  <si>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</si>
  <si>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</si>
  <si>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</si>
  <si>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</si>
  <si>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</si>
  <si>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</si>
  <si>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</si>
  <si>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</si>
  <si>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</si>
  <si>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</si>
  <si>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</si>
  <si>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</si>
  <si>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</si>
  <si>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</si>
  <si>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</si>
  <si>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</si>
  <si>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</si>
  <si>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</si>
  <si>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</si>
  <si>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</si>
  <si>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</si>
  <si>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</si>
  <si>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</si>
  <si>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</si>
  <si>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</si>
  <si>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</si>
  <si>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</si>
  <si>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</si>
  <si>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</si>
  <si>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</si>
  <si>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</si>
  <si>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</si>
  <si>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</si>
  <si>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</si>
  <si>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</si>
  <si>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</si>
  <si>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</si>
  <si>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</si>
  <si>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</si>
  <si>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</si>
  <si>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</si>
  <si>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</si>
  <si>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</si>
  <si>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</si>
  <si>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</si>
  <si>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</si>
  <si>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</si>
  <si>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</si>
  <si>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</si>
  <si>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</si>
  <si>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</si>
  <si>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</si>
  <si>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</si>
  <si>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</si>
  <si>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</si>
  <si>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</si>
  <si>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</si>
  <si>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</si>
  <si>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</si>
  <si>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</si>
  <si>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</si>
  <si>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</si>
  <si>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</si>
  <si>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</si>
  <si>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</si>
  <si>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</si>
  <si>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</si>
  <si>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</si>
  <si>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</si>
  <si>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</si>
  <si>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</si>
  <si>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</si>
  <si>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</si>
  <si>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</si>
  <si>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</si>
  <si>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</si>
  <si>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</si>
  <si>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</si>
  <si>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</si>
  <si>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</si>
  <si>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</si>
  <si>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</si>
  <si>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</si>
  <si>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</si>
  <si>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</si>
  <si>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</si>
  <si>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</si>
  <si>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</si>
  <si>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</si>
  <si>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</si>
  <si>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</si>
  <si>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</si>
  <si>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</si>
  <si>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</si>
  <si>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</si>
  <si>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</si>
  <si>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</si>
  <si>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</si>
  <si>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</si>
  <si>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</si>
  <si>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</si>
  <si>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</si>
  <si>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</si>
  <si>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</si>
  <si>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</si>
  <si>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</si>
  <si>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</si>
  <si>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</si>
  <si>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</si>
  <si>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</si>
  <si>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</si>
  <si>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</si>
  <si>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</si>
  <si>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</si>
  <si>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</si>
  <si>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</si>
  <si>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</si>
  <si>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</si>
  <si>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</si>
  <si>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</si>
  <si>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</si>
  <si>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</si>
  <si>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</si>
  <si>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</si>
  <si>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</si>
  <si>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</si>
  <si>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</si>
  <si>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</si>
  <si>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</si>
  <si>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</si>
  <si>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</si>
  <si>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</si>
  <si>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</si>
  <si>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</si>
  <si>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</si>
  <si>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</si>
  <si>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</si>
  <si>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</si>
  <si>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</si>
  <si>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</si>
  <si>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</si>
  <si>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</si>
  <si>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</si>
  <si>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</si>
  <si>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</si>
  <si>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</si>
  <si>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</si>
  <si>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</si>
  <si>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</si>
  <si>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</si>
  <si>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</si>
  <si>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</si>
  <si>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</si>
  <si>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</si>
  <si>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</si>
  <si>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</si>
  <si>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</si>
  <si>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</si>
  <si>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</si>
  <si>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</si>
  <si>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</si>
  <si>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</si>
  <si>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</si>
  <si>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</si>
  <si>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</si>
  <si>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</si>
  <si>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</si>
  <si>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</si>
  <si>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</si>
  <si>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</si>
  <si>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</si>
  <si>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</si>
  <si>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</si>
  <si>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</si>
  <si>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</si>
  <si>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</si>
  <si>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</si>
  <si>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</si>
  <si>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</si>
  <si>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</si>
  <si>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</si>
  <si>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</si>
  <si>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</si>
  <si>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</si>
  <si>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</si>
  <si>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</si>
  <si>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</si>
  <si>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</si>
  <si>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</si>
  <si>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</si>
  <si>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</si>
  <si>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</si>
  <si>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</si>
  <si>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</si>
  <si>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</si>
  <si>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</si>
  <si>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</si>
  <si>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</si>
  <si>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</si>
  <si>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</si>
  <si>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</si>
  <si>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</si>
  <si>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</si>
  <si>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</si>
  <si>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</si>
  <si>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</si>
  <si>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</si>
  <si>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</si>
  <si>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</si>
  <si>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</si>
  <si>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</si>
  <si>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</si>
  <si>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</si>
  <si>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</si>
  <si>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</si>
  <si>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</si>
  <si>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</si>
  <si>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</si>
  <si>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</si>
  <si>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</si>
  <si>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</si>
  <si>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</si>
  <si>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</si>
  <si>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</si>
  <si>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</si>
  <si>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</si>
  <si>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</si>
  <si>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</si>
  <si>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</si>
  <si>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</si>
  <si>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</si>
  <si>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</si>
  <si>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</si>
  <si>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</si>
  <si>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</si>
  <si>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</si>
  <si>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</si>
  <si>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</si>
  <si>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</si>
  <si>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</si>
  <si>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</si>
  <si>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</si>
  <si>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</si>
  <si>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</si>
  <si>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</si>
  <si>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</si>
  <si>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</si>
  <si>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</si>
  <si>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</si>
  <si>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</si>
  <si>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</si>
  <si>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</si>
  <si>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</si>
  <si>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</si>
  <si>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</si>
  <si>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</si>
  <si>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</si>
  <si>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</si>
  <si>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</si>
  <si>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</si>
  <si>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</si>
  <si>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</si>
  <si>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</si>
  <si>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</si>
  <si>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</si>
  <si>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</si>
  <si>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</si>
  <si>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</si>
  <si>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</si>
  <si>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</si>
  <si>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</si>
  <si>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</si>
  <si>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</si>
  <si>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</si>
  <si>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</si>
  <si>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</si>
  <si>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</si>
  <si>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</si>
  <si>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</si>
  <si>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</si>
  <si>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</si>
  <si>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</si>
  <si>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</si>
  <si>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</si>
  <si>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</si>
  <si>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</si>
  <si>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</si>
  <si>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</si>
  <si>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</si>
  <si>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</si>
  <si>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</si>
  <si>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</si>
  <si>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</si>
  <si>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</si>
  <si>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</si>
  <si>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</si>
  <si>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</si>
  <si>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</si>
  <si>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</si>
  <si>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</si>
  <si>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</si>
  <si>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</si>
  <si>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</si>
  <si>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</si>
  <si>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</si>
  <si>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</si>
  <si>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</si>
  <si>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</si>
  <si>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</si>
  <si>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</si>
  <si>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</si>
  <si>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</si>
  <si>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</si>
  <si>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</si>
  <si>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</si>
  <si>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</si>
  <si>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</si>
  <si>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</si>
  <si>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</si>
  <si>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</si>
  <si>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</si>
  <si>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</si>
  <si>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</si>
  <si>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</si>
  <si>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</si>
  <si>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</si>
  <si>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</si>
  <si>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</si>
  <si>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</si>
  <si>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</si>
  <si>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</si>
  <si>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</si>
  <si>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</si>
  <si>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</si>
  <si>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</si>
  <si>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</si>
  <si>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</si>
  <si>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</si>
  <si>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</si>
  <si>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</si>
  <si>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</si>
  <si>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</si>
  <si>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</si>
  <si>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</si>
  <si>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</si>
  <si>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</si>
  <si>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</si>
  <si>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</si>
  <si>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</si>
  <si>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</si>
  <si>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</si>
  <si>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</si>
  <si>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</si>
  <si>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</si>
  <si>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</si>
  <si>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</si>
  <si>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</si>
  <si>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</si>
  <si>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</si>
  <si>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</si>
  <si>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</si>
  <si>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</si>
  <si>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</si>
  <si>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</si>
  <si>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</si>
  <si>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</si>
  <si>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</si>
  <si>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</si>
  <si>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</si>
  <si>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</si>
  <si>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</si>
  <si>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</si>
  <si>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</si>
  <si>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</si>
  <si>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</si>
  <si>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</si>
  <si>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</si>
  <si>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</si>
  <si>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</si>
  <si>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</si>
  <si>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</si>
  <si>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</si>
  <si>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</si>
  <si>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</si>
  <si>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</si>
  <si>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</si>
  <si>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</si>
  <si>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</si>
  <si>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</si>
  <si>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</si>
  <si>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</si>
  <si>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</si>
  <si>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</si>
  <si>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</si>
  <si>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</si>
  <si>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</si>
  <si>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</si>
  <si>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</si>
  <si>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</si>
  <si>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</si>
  <si>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</si>
  <si>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</si>
  <si>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</si>
  <si>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</si>
  <si>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</si>
  <si>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</si>
  <si>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</si>
  <si>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</si>
  <si>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</si>
  <si>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</si>
  <si>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</si>
  <si>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</si>
  <si>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</si>
  <si>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</si>
  <si>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</si>
  <si>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</si>
  <si>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</si>
  <si>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</si>
  <si>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</si>
  <si>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</si>
  <si>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</si>
  <si>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</si>
  <si>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</si>
  <si>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</si>
  <si>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</si>
  <si>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</si>
  <si>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</si>
  <si>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</si>
  <si>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</si>
  <si>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</si>
  <si>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</si>
  <si>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</si>
  <si>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</si>
  <si>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</si>
  <si>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</si>
  <si>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</si>
  <si>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</si>
  <si>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</si>
  <si>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</si>
  <si>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</si>
  <si>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</si>
  <si>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</si>
  <si>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</si>
  <si>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</si>
  <si>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</si>
  <si>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</si>
  <si>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</si>
  <si>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</si>
  <si>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</si>
  <si>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</si>
  <si>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</si>
  <si>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</si>
  <si>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</si>
  <si>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</si>
  <si>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</si>
  <si>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</si>
  <si>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</si>
  <si>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</si>
  <si>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</si>
  <si>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</si>
  <si>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</si>
  <si>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</si>
  <si>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</si>
  <si>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</si>
  <si>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</si>
  <si>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</si>
  <si>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</si>
  <si>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</si>
  <si>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</si>
  <si>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</si>
  <si>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</si>
  <si>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</si>
  <si>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</si>
  <si>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</si>
  <si>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</si>
  <si>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</si>
  <si>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</si>
  <si>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</si>
  <si>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</si>
  <si>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</si>
  <si>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</si>
  <si>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</si>
  <si>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</si>
  <si>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</si>
  <si>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</si>
  <si>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</si>
  <si>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</si>
  <si>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</si>
  <si>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</si>
  <si>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</si>
  <si>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</si>
  <si>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</si>
  <si>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</si>
  <si>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</si>
  <si>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</si>
  <si>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</si>
  <si>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</si>
  <si>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</si>
  <si>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</si>
  <si>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</si>
  <si>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</si>
  <si>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</si>
  <si>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</si>
  <si>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</si>
  <si>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</si>
  <si>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</si>
  <si>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</si>
  <si>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</si>
  <si>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</si>
  <si>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</si>
  <si>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</si>
  <si>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</si>
  <si>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</si>
  <si>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</si>
  <si>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</si>
  <si>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</si>
  <si>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</si>
  <si>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</si>
  <si>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</si>
  <si>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</si>
  <si>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</si>
  <si>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</si>
  <si>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</si>
  <si>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</si>
  <si>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</si>
  <si>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</si>
  <si>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</si>
  <si>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</si>
  <si>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</si>
  <si>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</si>
  <si>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</si>
  <si>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</si>
  <si>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</si>
  <si>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</si>
  <si>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</si>
  <si>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</si>
  <si>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</si>
  <si>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</si>
  <si>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</si>
  <si>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</si>
  <si>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</si>
  <si>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</si>
  <si>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</si>
  <si>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</si>
  <si>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</si>
  <si>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</si>
  <si>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</si>
  <si>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</si>
  <si>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</si>
  <si>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</si>
  <si>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</si>
  <si>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</si>
  <si>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</si>
  <si>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</si>
  <si>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</si>
  <si>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</si>
  <si>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</si>
  <si>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</si>
  <si>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</si>
  <si>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</si>
  <si>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</si>
  <si>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</si>
  <si>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</si>
  <si>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</si>
  <si>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</si>
  <si>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</si>
  <si>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</si>
  <si>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</si>
  <si>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</si>
  <si>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</si>
  <si>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</si>
  <si>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</si>
  <si>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</si>
  <si>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</si>
  <si>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</si>
  <si>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</si>
  <si>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</si>
  <si>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</si>
  <si>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</si>
  <si>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</si>
  <si>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</si>
  <si>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</si>
  <si>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</si>
  <si>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</si>
  <si>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</si>
  <si>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</si>
  <si>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</si>
  <si>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</si>
  <si>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</si>
  <si>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</si>
  <si>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</si>
  <si>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</si>
  <si>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</si>
  <si>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</si>
  <si>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</si>
  <si>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</si>
  <si>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</si>
  <si>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</si>
  <si>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</si>
  <si>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</si>
  <si>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</si>
  <si>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</si>
  <si>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</si>
  <si>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</si>
  <si>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</si>
  <si>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</si>
  <si>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</si>
  <si>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</si>
  <si>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</si>
  <si>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</si>
  <si>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</si>
  <si>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</si>
  <si>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</si>
  <si>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</si>
  <si>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</si>
  <si>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</si>
  <si>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</si>
  <si>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</si>
  <si>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</si>
  <si>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</si>
  <si>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</si>
  <si>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</si>
  <si>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</si>
  <si>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</si>
  <si>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</si>
  <si>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</si>
  <si>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</si>
  <si>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</si>
  <si>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</si>
  <si>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</si>
  <si>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</si>
  <si>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</si>
  <si>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</si>
  <si>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</si>
  <si>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</si>
  <si>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</si>
  <si>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</si>
  <si>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</si>
  <si>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</si>
  <si>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</si>
  <si>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</si>
  <si>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</si>
  <si>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</si>
  <si>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</si>
  <si>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</si>
  <si>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</si>
  <si>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</si>
  <si>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</si>
  <si>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</si>
  <si>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</si>
  <si>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</si>
  <si>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</si>
  <si>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</si>
  <si>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</si>
  <si>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</si>
  <si>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</si>
  <si>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</si>
  <si>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</si>
  <si>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</si>
  <si>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</si>
  <si>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</si>
  <si>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</si>
  <si>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</si>
  <si>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</si>
  <si>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</si>
  <si>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</si>
  <si>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</si>
  <si>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</si>
  <si>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</si>
  <si>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</si>
  <si>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</si>
  <si>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</si>
  <si>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</si>
  <si>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</si>
  <si>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</si>
  <si>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</si>
  <si>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</si>
  <si>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</si>
  <si>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</si>
  <si>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</si>
  <si>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</si>
  <si>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</si>
  <si>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</si>
  <si>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</si>
  <si>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</si>
  <si>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</si>
  <si>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</si>
  <si>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</si>
  <si>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</si>
  <si>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</si>
  <si>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</si>
  <si>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</si>
  <si>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</si>
  <si>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</si>
  <si>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</si>
  <si>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</si>
  <si>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</si>
  <si>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</si>
  <si>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</si>
  <si>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</si>
  <si>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</si>
  <si>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</si>
  <si>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</si>
  <si>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</si>
  <si>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</si>
  <si>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</si>
  <si>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</si>
  <si>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</si>
  <si>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</si>
  <si>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</si>
  <si>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</si>
  <si>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</si>
  <si>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</si>
  <si>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</si>
  <si>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</si>
  <si>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</si>
  <si>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</si>
  <si>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</si>
  <si>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</si>
  <si>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</si>
  <si>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</si>
  <si>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</si>
  <si>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</si>
  <si>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</si>
  <si>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</si>
  <si>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</si>
  <si>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</si>
  <si>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</si>
  <si>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</si>
  <si>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</si>
  <si>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</si>
  <si>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</si>
  <si>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</si>
  <si>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</si>
  <si>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</si>
  <si>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</si>
  <si>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</si>
  <si>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</si>
  <si>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</si>
  <si>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</si>
  <si>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</si>
  <si>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</si>
  <si>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</si>
  <si>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</si>
  <si>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</si>
  <si>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</si>
  <si>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</si>
  <si>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</si>
  <si>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</si>
  <si>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</si>
  <si>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</si>
  <si>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</si>
  <si>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</si>
  <si>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</si>
  <si>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</si>
  <si>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</si>
  <si>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</si>
  <si>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</si>
  <si>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</si>
  <si>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</si>
  <si>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</si>
  <si>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</si>
  <si>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</si>
  <si>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</si>
  <si>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</si>
  <si>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</si>
  <si>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</si>
  <si>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</si>
  <si>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</si>
  <si>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</si>
  <si>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</si>
  <si>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</si>
  <si>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</si>
  <si>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</si>
  <si>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</si>
  <si>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</si>
  <si>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</si>
  <si>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</si>
  <si>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</si>
  <si>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</si>
  <si>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</si>
  <si>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</si>
  <si>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</si>
  <si>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</si>
  <si>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</si>
  <si>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</si>
  <si>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</si>
  <si>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</si>
  <si>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</si>
  <si>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</si>
  <si>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</si>
  <si>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</si>
  <si>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</si>
  <si>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</si>
  <si>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</si>
  <si>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</si>
  <si>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</si>
  <si>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</si>
  <si>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</si>
  <si>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</si>
  <si>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</si>
  <si>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</si>
  <si>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</si>
  <si>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</si>
  <si>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</si>
  <si>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</si>
  <si>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</si>
  <si>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</si>
  <si>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</si>
  <si>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</si>
  <si>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</si>
  <si>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</si>
  <si>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</si>
  <si>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</si>
  <si>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</si>
  <si>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</si>
  <si>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</si>
  <si>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</si>
  <si>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</si>
  <si>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</si>
  <si>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</si>
  <si>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</si>
  <si>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</si>
  <si>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</si>
  <si>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</si>
  <si>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</si>
  <si>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</si>
  <si>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</si>
  <si>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</si>
  <si>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</si>
  <si>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</si>
  <si>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</si>
  <si>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</si>
  <si>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</si>
  <si>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</si>
  <si>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</si>
  <si>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</si>
  <si>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</si>
  <si>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</si>
  <si>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</si>
  <si>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</si>
  <si>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</si>
  <si>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</si>
  <si>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</si>
  <si>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</si>
  <si>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</si>
  <si>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</si>
  <si>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</si>
  <si>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</si>
  <si>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</si>
  <si>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</si>
  <si>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</si>
  <si>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</si>
  <si>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</si>
  <si>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</si>
  <si>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</si>
  <si>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</si>
  <si>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</si>
  <si>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</si>
  <si>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</si>
  <si>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</si>
  <si>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</si>
  <si>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</si>
  <si>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</si>
  <si>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</si>
  <si>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</si>
  <si>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</si>
  <si>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</si>
  <si>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</si>
  <si>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</si>
  <si>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</si>
  <si>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</si>
  <si>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</si>
  <si>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</si>
  <si>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</si>
  <si>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</si>
  <si>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</si>
  <si>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</si>
  <si>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</si>
  <si>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</si>
  <si>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</si>
  <si>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</si>
  <si>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</si>
  <si>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</si>
  <si>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</si>
  <si>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</si>
  <si>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</si>
  <si>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</si>
  <si>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</si>
  <si>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</si>
  <si>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</si>
  <si>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</si>
  <si>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</si>
  <si>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</si>
  <si>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</si>
  <si>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</si>
  <si>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</si>
  <si>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</si>
  <si>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</si>
  <si>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</si>
  <si>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</si>
  <si>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</si>
  <si>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</si>
  <si>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</si>
  <si>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</si>
  <si>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</si>
  <si>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</si>
  <si>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</si>
  <si>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</si>
  <si>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</si>
  <si>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</si>
  <si>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</si>
  <si>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</si>
  <si>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</si>
  <si>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</si>
  <si>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</si>
  <si>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</si>
  <si>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</si>
  <si>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</si>
  <si>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</si>
  <si>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</si>
  <si>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</si>
  <si>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</si>
  <si>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</si>
  <si>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</si>
  <si>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</si>
  <si>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</si>
  <si>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</si>
  <si>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</si>
  <si>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</si>
  <si>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</si>
  <si>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</si>
  <si>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</si>
  <si>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</si>
  <si>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</si>
  <si>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</si>
  <si>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</si>
  <si>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</si>
  <si>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</si>
  <si>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</si>
  <si>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</si>
  <si>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</si>
  <si>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</si>
  <si>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</si>
  <si>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</si>
  <si>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</si>
  <si>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</si>
  <si>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</si>
  <si>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</si>
  <si>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</si>
  <si>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</si>
  <si>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</si>
  <si>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</si>
  <si>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</si>
  <si>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</si>
  <si>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</si>
  <si>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</si>
  <si>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</si>
  <si>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</si>
  <si>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</si>
  <si>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</si>
  <si>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</si>
  <si>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</si>
  <si>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</si>
  <si>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</si>
  <si>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</si>
  <si>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</si>
  <si>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</si>
  <si>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</si>
  <si>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</si>
  <si>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</si>
  <si>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</si>
  <si>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</si>
  <si>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</si>
  <si>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</si>
  <si>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</si>
  <si>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</si>
  <si>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</si>
  <si>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</si>
  <si>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</si>
  <si>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</si>
  <si>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</si>
  <si>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</si>
  <si>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</si>
  <si>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</si>
  <si>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</si>
  <si>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</si>
  <si>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</si>
  <si>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</si>
  <si>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</si>
  <si>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</si>
  <si>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</si>
  <si>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</si>
  <si>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</si>
  <si>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</si>
  <si>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</si>
  <si>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</si>
  <si>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</si>
  <si>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</si>
  <si>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</si>
  <si>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</si>
  <si>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</si>
  <si>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</si>
  <si>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</si>
  <si>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</si>
  <si>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</si>
  <si>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</si>
  <si>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</si>
  <si>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</si>
  <si>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</si>
  <si>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</si>
  <si>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</si>
  <si>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</si>
  <si>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</si>
  <si>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</si>
  <si>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</si>
  <si>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</si>
  <si>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</si>
  <si>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</si>
  <si>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</si>
  <si>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</si>
  <si>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</si>
  <si>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</si>
  <si>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</si>
  <si>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</si>
  <si>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</si>
  <si>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</si>
  <si>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</si>
  <si>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</si>
  <si>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</si>
  <si>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</si>
  <si>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</si>
  <si>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</si>
  <si>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</si>
  <si>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</si>
  <si>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</si>
  <si>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</si>
  <si>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</si>
  <si>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</si>
  <si>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</si>
  <si>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</si>
  <si>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</si>
  <si>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</si>
  <si>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</si>
  <si>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</si>
  <si>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</si>
  <si>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</si>
  <si>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</si>
  <si>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</si>
  <si>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</si>
  <si>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</si>
  <si>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</si>
  <si>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</si>
  <si>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</si>
  <si>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</si>
  <si>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</si>
  <si>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</si>
  <si>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</si>
  <si>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</si>
  <si>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</si>
  <si>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</si>
  <si>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</si>
  <si>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</si>
  <si>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</si>
  <si>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</si>
  <si>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</si>
  <si>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</si>
  <si>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</si>
  <si>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</si>
  <si>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</si>
  <si>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</si>
  <si>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</si>
  <si>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</si>
  <si>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</si>
  <si>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</si>
  <si>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</si>
  <si>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</si>
  <si>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</si>
  <si>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</si>
  <si>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</si>
  <si>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</si>
  <si>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</si>
  <si>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</si>
  <si>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</si>
  <si>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</si>
  <si>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</si>
  <si>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</si>
  <si>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</si>
  <si>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</si>
  <si>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</si>
  <si>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</si>
  <si>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</si>
  <si>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</si>
  <si>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</si>
  <si>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</si>
  <si>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</si>
  <si>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</si>
  <si>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</si>
  <si>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</si>
  <si>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</si>
  <si>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</si>
  <si>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</si>
  <si>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</si>
  <si>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</si>
  <si>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</si>
  <si>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</si>
  <si>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</si>
  <si>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</si>
  <si>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</si>
  <si>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</si>
  <si>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</si>
  <si>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</si>
  <si>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</si>
  <si>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</si>
  <si>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</si>
  <si>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</si>
  <si>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</si>
  <si>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</si>
  <si>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</si>
  <si>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</si>
  <si>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</si>
  <si>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</si>
  <si>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</si>
  <si>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</si>
  <si>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</si>
  <si>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</si>
  <si>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</si>
  <si>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</si>
  <si>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</si>
  <si>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</si>
  <si>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</si>
  <si>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</si>
  <si>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</si>
  <si>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</si>
  <si>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</si>
  <si>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</si>
  <si>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</si>
  <si>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</si>
  <si>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</si>
  <si>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</si>
  <si>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</si>
  <si>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</si>
  <si>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</si>
  <si>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</si>
  <si>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</si>
  <si>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</si>
  <si>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</si>
  <si>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</si>
  <si>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</si>
  <si>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</si>
  <si>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</si>
  <si>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</si>
  <si>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</si>
  <si>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</si>
  <si>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</si>
  <si>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</si>
  <si>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</si>
  <si>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</si>
  <si>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</si>
  <si>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</si>
  <si>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</si>
  <si>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</si>
  <si>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</si>
  <si>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</si>
  <si>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</si>
  <si>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</si>
  <si>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</si>
  <si>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</si>
  <si>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</si>
  <si>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</si>
  <si>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</si>
  <si>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</si>
  <si>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</si>
  <si>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</si>
  <si>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</si>
  <si>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</si>
  <si>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</si>
  <si>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</si>
  <si>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</si>
  <si>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</si>
  <si>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</si>
  <si>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</si>
  <si>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</si>
  <si>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</si>
  <si>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</si>
  <si>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</si>
  <si>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</si>
  <si>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</si>
  <si>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</si>
  <si>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</si>
  <si>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</si>
  <si>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</si>
  <si>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</si>
  <si>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</si>
  <si>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</si>
  <si>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</si>
  <si>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</si>
  <si>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</si>
  <si>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</si>
  <si>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</si>
  <si>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</si>
  <si>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</si>
  <si>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</si>
  <si>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</si>
  <si>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</si>
  <si>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</si>
  <si>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</si>
  <si>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</si>
  <si>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</si>
  <si>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</si>
  <si>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</si>
  <si>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</si>
  <si>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</si>
  <si>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</si>
  <si>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</si>
  <si>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</si>
  <si>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</si>
  <si>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</si>
  <si>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</si>
  <si>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</si>
  <si>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</si>
  <si>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</si>
  <si>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</si>
  <si>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</si>
  <si>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</si>
  <si>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</si>
  <si>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</si>
  <si>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</si>
  <si>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</si>
  <si>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</si>
  <si>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</si>
  <si>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</si>
  <si>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</si>
  <si>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</si>
  <si>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</si>
  <si>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</si>
  <si>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</si>
  <si>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</si>
  <si>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</si>
  <si>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</si>
  <si>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</si>
  <si>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</si>
  <si>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</si>
  <si>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</si>
  <si>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</si>
  <si>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</si>
  <si>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</si>
  <si>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</si>
  <si>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</si>
  <si>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</si>
  <si>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</si>
  <si>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</si>
  <si>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</si>
  <si>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</si>
  <si>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</si>
  <si>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</si>
  <si>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</si>
  <si>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</si>
  <si>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</si>
  <si>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</si>
  <si>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</si>
  <si>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</si>
  <si>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</si>
  <si>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</si>
  <si>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</si>
  <si>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</si>
  <si>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</si>
  <si>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</si>
  <si>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</si>
  <si>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</si>
  <si>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</si>
  <si>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</si>
  <si>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</si>
  <si>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</si>
  <si>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</si>
  <si>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</si>
  <si>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</si>
  <si>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</si>
  <si>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</si>
  <si>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</si>
  <si>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</si>
  <si>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</si>
  <si>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</si>
  <si>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</si>
  <si>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</si>
  <si>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</si>
  <si>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</si>
  <si>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</si>
  <si>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</si>
  <si>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</si>
  <si>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</si>
  <si>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</si>
  <si>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</si>
  <si>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</si>
  <si>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</si>
  <si>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</si>
  <si>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</si>
  <si>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</si>
  <si>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</si>
  <si>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</si>
  <si>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</si>
  <si>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</si>
  <si>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</si>
  <si>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</si>
  <si>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</si>
  <si>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</si>
  <si>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</si>
  <si>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</si>
  <si>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</si>
  <si>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</si>
  <si>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</si>
  <si>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</si>
  <si>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</si>
  <si>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</si>
  <si>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</si>
  <si>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</si>
  <si>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</si>
  <si>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</si>
  <si>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</si>
  <si>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</si>
  <si>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</si>
  <si>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</si>
  <si>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</si>
  <si>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</si>
  <si>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</si>
  <si>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</si>
  <si>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</si>
  <si>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</si>
  <si>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</si>
  <si>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</si>
  <si>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</si>
  <si>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</si>
  <si>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</si>
  <si>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</si>
  <si>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</si>
  <si>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</si>
  <si>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</si>
  <si>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</si>
  <si>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</si>
  <si>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</si>
  <si>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</si>
  <si>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</si>
  <si>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</si>
  <si>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</si>
  <si>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</si>
  <si>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</si>
  <si>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</si>
  <si>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</si>
  <si>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</si>
  <si>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</si>
  <si>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</si>
  <si>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</si>
  <si>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</si>
  <si>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</si>
  <si>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</si>
  <si>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</si>
  <si>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</si>
  <si>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</si>
  <si>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</si>
  <si>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</si>
  <si>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</si>
  <si>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</si>
  <si>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</si>
  <si>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</si>
  <si>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</si>
  <si>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</si>
  <si>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</si>
  <si>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</si>
  <si>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</si>
  <si>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</si>
  <si>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</si>
  <si>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</si>
  <si>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</si>
  <si>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</si>
  <si>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</si>
  <si>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</si>
  <si>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</si>
  <si>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</si>
  <si>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</si>
  <si>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</si>
  <si>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</si>
  <si>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</si>
  <si>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</si>
  <si>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</si>
  <si>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</si>
  <si>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</si>
  <si>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</si>
  <si>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</si>
  <si>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</si>
  <si>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</si>
  <si>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</si>
  <si>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</si>
  <si>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</si>
  <si>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</si>
  <si>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</si>
  <si>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</si>
  <si>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</si>
  <si>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</si>
  <si>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</si>
  <si>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</si>
  <si>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</si>
  <si>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</si>
  <si>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</si>
  <si>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</si>
  <si>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</si>
  <si>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</si>
  <si>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</si>
  <si>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</si>
  <si>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</si>
  <si>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</si>
  <si>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</si>
  <si>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</si>
  <si>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</si>
  <si>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</si>
  <si>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</si>
  <si>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</si>
  <si>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</si>
  <si>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</si>
  <si>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</si>
  <si>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</si>
  <si>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</si>
  <si>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</si>
  <si>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</si>
  <si>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</si>
  <si>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</si>
  <si>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</si>
  <si>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</si>
  <si>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</si>
  <si>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</si>
  <si>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</si>
  <si>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</si>
  <si>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</si>
  <si>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</si>
  <si>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</si>
  <si>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</si>
  <si>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</si>
  <si>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</si>
  <si>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</si>
  <si>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</si>
  <si>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</si>
  <si>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</si>
  <si>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</si>
  <si>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</si>
  <si>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</si>
  <si>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</si>
  <si>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</si>
  <si>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</si>
  <si>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</si>
  <si>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</si>
  <si>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</si>
  <si>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</si>
  <si>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</si>
  <si>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</si>
  <si>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</si>
  <si>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</si>
  <si>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</si>
  <si>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</si>
  <si>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</si>
  <si>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</si>
  <si>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</si>
  <si>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</si>
  <si>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</si>
  <si>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</si>
  <si>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</si>
  <si>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</si>
  <si>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</si>
  <si>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</si>
  <si>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</si>
  <si>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</si>
  <si>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</si>
  <si>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</si>
  <si>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</si>
  <si>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</si>
  <si>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</si>
  <si>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</si>
  <si>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</si>
  <si>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</si>
  <si>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</si>
  <si>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</si>
  <si>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</si>
  <si>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</si>
  <si>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</si>
  <si>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</si>
  <si>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</si>
  <si>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</si>
  <si>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</si>
  <si>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</si>
  <si>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</si>
  <si>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</si>
  <si>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</si>
  <si>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</si>
  <si>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</si>
  <si>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</si>
  <si>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</si>
  <si>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</si>
  <si>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</si>
  <si>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</si>
  <si>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</si>
  <si>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</si>
  <si>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</si>
  <si>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</si>
  <si>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</si>
  <si>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</si>
  <si>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</si>
  <si>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</si>
  <si>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</si>
  <si>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</si>
  <si>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</si>
  <si>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</si>
  <si>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</si>
  <si>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</si>
  <si>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</si>
  <si>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</si>
  <si>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</si>
  <si>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</si>
  <si>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</si>
  <si>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</si>
  <si>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</si>
  <si>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</si>
  <si>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</si>
  <si>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</si>
  <si>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</si>
  <si>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</si>
  <si>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</si>
  <si>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</si>
  <si>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</si>
  <si>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</si>
  <si>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</si>
  <si>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</si>
  <si>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</si>
  <si>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</si>
  <si>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</si>
  <si>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</si>
  <si>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</si>
  <si>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</si>
  <si>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</si>
  <si>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</si>
  <si>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</si>
  <si>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</si>
  <si>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</si>
  <si>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</si>
  <si>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</si>
  <si>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</si>
  <si>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</si>
  <si>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</si>
  <si>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</si>
  <si>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</si>
  <si>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</si>
  <si>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</si>
  <si>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</si>
  <si>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</si>
  <si>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</si>
  <si>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</si>
  <si>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</si>
  <si>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</si>
  <si>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</si>
  <si>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</si>
  <si>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</si>
  <si>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</si>
  <si>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</si>
  <si>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</si>
  <si>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</si>
  <si>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</si>
  <si>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</si>
  <si>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</si>
  <si>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</si>
  <si>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</si>
  <si>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</si>
  <si>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</si>
  <si>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</si>
  <si>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</si>
  <si>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</si>
  <si>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</si>
  <si>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</si>
  <si>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</si>
  <si>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</si>
  <si>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</si>
  <si>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</si>
  <si>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</si>
  <si>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</si>
  <si>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</si>
  <si>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</si>
  <si>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</si>
  <si>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</si>
  <si>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</si>
  <si>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</si>
  <si>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</si>
  <si>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</si>
  <si>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</si>
  <si>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</si>
  <si>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</si>
  <si>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</si>
  <si>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</si>
  <si>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</si>
  <si>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</si>
  <si>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</si>
  <si>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</si>
  <si>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</si>
  <si>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</si>
  <si>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</si>
  <si>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</si>
  <si>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</si>
  <si>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</si>
  <si>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</si>
  <si>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</si>
  <si>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</si>
  <si>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</si>
  <si>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</si>
  <si>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</si>
  <si>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</si>
  <si>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</si>
  <si>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</si>
  <si>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</si>
  <si>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</si>
  <si>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</si>
  <si>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</si>
  <si>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</si>
  <si>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</si>
  <si>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</si>
  <si>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</si>
  <si>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</si>
  <si>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</si>
  <si>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</si>
  <si>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</si>
  <si>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</si>
  <si>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</si>
  <si>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</si>
  <si>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</si>
  <si>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</si>
  <si>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</si>
  <si>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</si>
  <si>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</si>
  <si>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</si>
  <si>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</si>
  <si>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</si>
  <si>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</si>
  <si>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</si>
  <si>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</si>
  <si>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</si>
  <si>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</si>
  <si>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</si>
  <si>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</si>
  <si>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</si>
  <si>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</si>
  <si>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</si>
  <si>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</si>
  <si>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</si>
  <si>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</si>
  <si>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</si>
  <si>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</si>
  <si>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</si>
  <si>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</si>
  <si>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</si>
  <si>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</si>
  <si>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</si>
  <si>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</si>
  <si>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</si>
  <si>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</si>
  <si>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</si>
  <si>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</si>
  <si>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</si>
  <si>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</si>
  <si>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</si>
  <si>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</si>
  <si>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</si>
  <si>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</si>
  <si>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</si>
  <si>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</si>
  <si>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</si>
  <si>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</si>
  <si>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</si>
  <si>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</si>
  <si>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</si>
  <si>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</si>
  <si>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</si>
  <si>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</si>
  <si>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</si>
  <si>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</si>
  <si>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</si>
  <si>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</si>
  <si>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</si>
  <si>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</si>
  <si>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</si>
  <si>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</si>
  <si>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</si>
  <si>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</si>
  <si>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</si>
  <si>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</si>
  <si>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</si>
  <si>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</si>
  <si>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</si>
  <si>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</si>
  <si>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</si>
  <si>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</si>
  <si>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</si>
  <si>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</si>
  <si>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</si>
  <si>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</si>
  <si>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</si>
  <si>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</si>
  <si>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</si>
  <si>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</si>
  <si>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</si>
  <si>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</si>
  <si>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</si>
  <si>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</si>
  <si>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</si>
  <si>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</si>
  <si>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</si>
  <si>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</si>
  <si>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</si>
  <si>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</si>
  <si>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</si>
  <si>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</si>
  <si>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</si>
  <si>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</si>
  <si>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</si>
  <si>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</si>
  <si>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</si>
  <si>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</si>
  <si>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</si>
  <si>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</si>
  <si>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</si>
  <si>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</si>
  <si>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</si>
  <si>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</si>
  <si>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</si>
  <si>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</si>
  <si>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</si>
  <si>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</si>
  <si>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</si>
  <si>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</si>
  <si>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</si>
  <si>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</si>
  <si>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</si>
  <si>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</si>
  <si>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</si>
  <si>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</si>
  <si>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</si>
  <si>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</si>
  <si>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</si>
  <si>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</si>
  <si>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</si>
  <si>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</si>
  <si>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</si>
  <si>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</si>
  <si>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</si>
  <si>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</si>
  <si>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</si>
  <si>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</si>
  <si>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</si>
  <si>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</si>
  <si>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</si>
  <si>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</si>
  <si>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</si>
  <si>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</si>
  <si>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</si>
  <si>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</si>
  <si>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</si>
  <si>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</si>
  <si>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</si>
  <si>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</si>
  <si>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</si>
  <si>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</si>
  <si>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</si>
  <si>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</si>
  <si>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</si>
  <si>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</si>
  <si>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</si>
  <si>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</si>
  <si>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</si>
  <si>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</si>
  <si>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</si>
  <si>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</si>
  <si>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</si>
  <si>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</si>
  <si>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</si>
  <si>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</si>
  <si>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</si>
  <si>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</si>
  <si>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</si>
  <si>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</si>
  <si>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</si>
  <si>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</si>
  <si>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</si>
  <si>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</si>
  <si>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</si>
  <si>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</si>
  <si>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</si>
  <si>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</si>
  <si>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</si>
  <si>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</si>
  <si>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</si>
  <si>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</si>
  <si>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</si>
  <si>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</si>
  <si>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</si>
  <si>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</si>
  <si>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</si>
  <si>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</si>
  <si>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</si>
  <si>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</si>
  <si>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</si>
  <si>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</si>
  <si>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</si>
  <si>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</si>
  <si>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</si>
  <si>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</si>
  <si>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</si>
  <si>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</si>
  <si>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</si>
  <si>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</si>
  <si>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</si>
  <si>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</si>
  <si>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</si>
  <si>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</si>
  <si>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</si>
  <si>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</si>
  <si>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</si>
  <si>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</si>
  <si>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</si>
  <si>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</si>
  <si>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</si>
  <si>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</si>
  <si>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</si>
  <si>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</si>
  <si>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</si>
  <si>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</si>
  <si>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</si>
  <si>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</si>
  <si>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</si>
  <si>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</si>
  <si>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</si>
  <si>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</si>
  <si>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</si>
  <si>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</si>
  <si>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</si>
  <si>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</si>
  <si>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</si>
  <si>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</si>
  <si>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</si>
  <si>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</si>
  <si>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</si>
  <si>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</si>
  <si>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</si>
  <si>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</si>
  <si>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</si>
  <si>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</si>
  <si>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</si>
  <si>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</si>
  <si>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</si>
  <si>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</si>
  <si>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</si>
  <si>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</si>
  <si>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</si>
  <si>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</si>
  <si>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</si>
  <si>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</si>
  <si>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</si>
  <si>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</si>
  <si>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</si>
  <si>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</si>
  <si>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</si>
  <si>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</si>
  <si>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</si>
  <si>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</si>
  <si>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</si>
  <si>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</si>
  <si>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</si>
  <si>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</si>
  <si>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</si>
  <si>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</si>
  <si>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</si>
  <si>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</si>
  <si>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</si>
  <si>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</si>
  <si>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</si>
  <si>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</si>
  <si>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</si>
  <si>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</si>
  <si>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</si>
  <si>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</si>
  <si>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</si>
  <si>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</si>
  <si>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</si>
  <si>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</si>
  <si>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</si>
  <si>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</si>
  <si>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</si>
  <si>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</si>
  <si>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</si>
  <si>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</si>
  <si>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</si>
  <si>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</si>
  <si>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</si>
  <si>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</si>
  <si>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</si>
  <si>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</si>
  <si>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</si>
  <si>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</si>
  <si>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</si>
  <si>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</si>
  <si>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</si>
  <si>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</si>
  <si>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</si>
  <si>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</si>
  <si>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</si>
  <si>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</si>
  <si>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</si>
  <si>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</si>
  <si>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</si>
  <si>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</si>
  <si>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</si>
  <si>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</si>
  <si>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</si>
  <si>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</si>
  <si>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</si>
  <si>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</si>
  <si>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</si>
  <si>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</si>
  <si>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</si>
  <si>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</si>
  <si>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</si>
  <si>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</si>
  <si>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</si>
  <si>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</si>
  <si>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</si>
  <si>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</si>
  <si>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</si>
  <si>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</si>
  <si>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</si>
  <si>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</si>
  <si>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</si>
  <si>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</si>
  <si>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</si>
  <si>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</si>
  <si>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</si>
  <si>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</si>
  <si>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</si>
  <si>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</si>
  <si>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</si>
  <si>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</si>
  <si>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</si>
  <si>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</si>
  <si>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</si>
  <si>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</si>
  <si>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</si>
  <si>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</si>
  <si>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</si>
  <si>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</si>
  <si>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</si>
  <si>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</si>
  <si>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</si>
  <si>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</si>
  <si>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</si>
  <si>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</si>
  <si>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</si>
  <si>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</si>
  <si>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</si>
  <si>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</si>
  <si>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</si>
  <si>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</si>
  <si>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</si>
  <si>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</si>
  <si>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</si>
  <si>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</si>
  <si>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</si>
  <si>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</si>
  <si>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</si>
  <si>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</si>
  <si>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</si>
  <si>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</si>
  <si>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</si>
  <si>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</si>
  <si>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</si>
  <si>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</si>
  <si>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</si>
  <si>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</si>
  <si>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</si>
  <si>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</si>
  <si>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</si>
  <si>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</si>
  <si>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</si>
  <si>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</si>
  <si>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</si>
  <si>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</si>
  <si>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</si>
  <si>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</si>
  <si>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</si>
  <si>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</si>
  <si>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</si>
  <si>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</si>
  <si>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</si>
  <si>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</si>
  <si>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</si>
  <si>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</si>
  <si>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</si>
  <si>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</si>
  <si>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</si>
  <si>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</si>
  <si>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</si>
  <si>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</si>
  <si>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</si>
  <si>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</si>
  <si>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</si>
  <si>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</si>
  <si>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</si>
  <si>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</si>
  <si>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</si>
  <si>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</si>
  <si>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</si>
  <si>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</si>
  <si>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</si>
  <si>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</si>
  <si>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</si>
  <si>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</si>
  <si>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</si>
  <si>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</si>
  <si>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</si>
  <si>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</si>
  <si>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</si>
  <si>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</si>
  <si>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</si>
  <si>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</si>
  <si>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</si>
  <si>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</si>
  <si>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</si>
  <si>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</si>
  <si>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</si>
  <si>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</si>
  <si>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</si>
  <si>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</si>
  <si>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</si>
  <si>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</si>
  <si>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</si>
  <si>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</si>
  <si>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</si>
  <si>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</si>
  <si>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</si>
  <si>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</si>
  <si>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</si>
  <si>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</si>
  <si>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</si>
  <si>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</si>
  <si>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</si>
  <si>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</si>
  <si>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</si>
  <si>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</si>
  <si>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</si>
  <si>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</si>
  <si>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</si>
  <si>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</si>
  <si>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</si>
  <si>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</si>
  <si>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</si>
  <si>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</si>
  <si>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</si>
  <si>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</si>
  <si>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</si>
  <si>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</si>
  <si>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</si>
  <si>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</si>
  <si>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</si>
  <si>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</si>
  <si>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</si>
  <si>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</si>
  <si>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</si>
  <si>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</si>
  <si>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</si>
  <si>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</si>
  <si>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</si>
  <si>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</si>
  <si>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</si>
  <si>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</si>
  <si>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</si>
  <si>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</si>
  <si>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</si>
  <si>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</si>
  <si>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</si>
  <si>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</si>
  <si>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</si>
  <si>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</si>
  <si>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</si>
  <si>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</si>
  <si>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</si>
  <si>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</si>
  <si>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</si>
  <si>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</si>
  <si>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</si>
  <si>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</si>
  <si>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</si>
  <si>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</si>
  <si>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</si>
  <si>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</si>
  <si>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</si>
  <si>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</si>
  <si>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</si>
  <si>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</si>
  <si>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</si>
  <si>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</si>
  <si>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</si>
  <si>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</si>
  <si>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</si>
  <si>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</si>
  <si>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</si>
  <si>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</si>
  <si>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</si>
  <si>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</si>
  <si>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</si>
  <si>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</si>
  <si>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</si>
  <si>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</si>
  <si>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</si>
  <si>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</si>
  <si>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</si>
  <si>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</si>
  <si>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</si>
  <si>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</si>
  <si>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</si>
  <si>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</si>
  <si>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</si>
  <si>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</si>
  <si>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</si>
  <si>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</si>
  <si>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</si>
  <si>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</si>
  <si>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</si>
  <si>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</si>
  <si>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</si>
  <si>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</si>
  <si>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</si>
  <si>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</si>
  <si>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</si>
  <si>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</si>
  <si>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</si>
  <si>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</si>
  <si>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</si>
  <si>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</si>
  <si>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</si>
  <si>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</si>
  <si>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</si>
  <si>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</si>
  <si>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</si>
  <si>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</si>
  <si>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</si>
  <si>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</si>
  <si>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</si>
  <si>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</si>
  <si>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</si>
  <si>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</si>
  <si>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</si>
  <si>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</si>
  <si>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</si>
  <si>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</si>
  <si>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</si>
  <si>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</si>
  <si>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</si>
  <si>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</si>
  <si>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</si>
  <si>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</si>
  <si>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</si>
  <si>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</si>
  <si>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</si>
  <si>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</si>
  <si>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</si>
  <si>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</si>
  <si>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</si>
  <si>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</si>
  <si>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</si>
  <si>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</si>
  <si>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</si>
  <si>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</si>
  <si>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</si>
  <si>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</si>
  <si>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</si>
  <si>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</si>
  <si>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</si>
  <si>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</si>
  <si>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</si>
  <si>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</si>
  <si>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</si>
  <si>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</si>
  <si>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</si>
  <si>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</si>
  <si>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</si>
  <si>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</si>
  <si>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</si>
  <si>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</si>
  <si>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</si>
  <si>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</si>
  <si>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</si>
  <si>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</si>
  <si>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</si>
  <si>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</si>
  <si>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</si>
  <si>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</si>
  <si>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</si>
  <si>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</si>
  <si>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</si>
  <si>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</si>
  <si>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</si>
  <si>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</si>
  <si>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</si>
  <si>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</si>
  <si>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</si>
  <si>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</si>
  <si>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</si>
  <si>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</si>
  <si>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</si>
  <si>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</si>
  <si>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</si>
  <si>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</si>
  <si>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</si>
  <si>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</si>
  <si>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</si>
  <si>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</si>
  <si>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</si>
  <si>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</si>
  <si>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</si>
  <si>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</si>
  <si>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</si>
  <si>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</si>
  <si>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</si>
  <si>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</si>
  <si>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</si>
  <si>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</si>
  <si>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</si>
  <si>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</si>
  <si>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</si>
  <si>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</si>
  <si>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</si>
  <si>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</si>
  <si>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</si>
  <si>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</si>
  <si>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</si>
  <si>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</si>
  <si>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</si>
  <si>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</si>
  <si>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</si>
  <si>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</si>
  <si>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</si>
  <si>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</si>
  <si>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</si>
  <si>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</si>
  <si>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</si>
  <si>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</si>
  <si>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</si>
  <si>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</si>
  <si>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</si>
  <si>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</si>
  <si>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</si>
  <si>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</si>
  <si>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</si>
  <si>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</si>
  <si>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</si>
  <si>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</si>
  <si>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</si>
  <si>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</si>
  <si>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</si>
  <si>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</si>
  <si>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</si>
  <si>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</si>
  <si>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</si>
  <si>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</si>
  <si>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</si>
  <si>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</si>
  <si>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</si>
  <si>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</si>
  <si>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</si>
  <si>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</si>
  <si>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</si>
  <si>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</si>
  <si>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</si>
  <si>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</si>
  <si>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</si>
  <si>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</si>
  <si>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</si>
  <si>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</si>
  <si>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</si>
  <si>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</si>
  <si>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</si>
  <si>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</si>
  <si>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</si>
  <si>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</si>
  <si>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</si>
  <si>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</si>
  <si>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</si>
  <si>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</si>
  <si>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</si>
  <si>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</si>
  <si>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</si>
  <si>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</si>
  <si>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</si>
  <si>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</si>
  <si>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</si>
  <si>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</si>
  <si>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</si>
  <si>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</si>
  <si>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</si>
  <si>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</si>
  <si>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</si>
  <si>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</si>
  <si>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</si>
  <si>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</si>
  <si>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</si>
  <si>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</si>
  <si>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</si>
  <si>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</si>
  <si>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</si>
  <si>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</si>
  <si>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</si>
  <si>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</si>
  <si>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</si>
  <si>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</si>
  <si>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</si>
  <si>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</si>
  <si>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</si>
  <si>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</si>
  <si>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</si>
  <si>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</si>
  <si>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</si>
  <si>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</si>
  <si>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</si>
  <si>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</si>
  <si>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</si>
  <si>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</si>
  <si>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</si>
  <si>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</si>
  <si>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</si>
  <si>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</si>
  <si>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</si>
  <si>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</si>
  <si>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</si>
  <si>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</si>
  <si>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</si>
  <si>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</si>
  <si>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</si>
  <si>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</si>
  <si>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</si>
  <si>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</si>
  <si>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</si>
  <si>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</si>
  <si>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</si>
  <si>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</si>
  <si>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</si>
  <si>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</si>
  <si>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</si>
  <si>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</si>
  <si>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</si>
  <si>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</si>
  <si>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</si>
  <si>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</si>
  <si>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</si>
  <si>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</si>
  <si>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</si>
  <si>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</si>
  <si>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</si>
  <si>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</si>
  <si>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</si>
  <si>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</si>
  <si>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</si>
  <si>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</si>
  <si>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</si>
  <si>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</si>
  <si>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</si>
  <si>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</si>
  <si>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</si>
  <si>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</si>
  <si>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</si>
  <si>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</si>
  <si>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</si>
  <si>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</si>
  <si>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</si>
  <si>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</si>
  <si>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</si>
  <si>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</si>
  <si>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</si>
  <si>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</si>
  <si>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</si>
  <si>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</si>
  <si>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</si>
  <si>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</si>
  <si>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</si>
  <si>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</si>
  <si>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</si>
  <si>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</si>
  <si>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</si>
  <si>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</si>
  <si>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</si>
  <si>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</si>
  <si>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</si>
  <si>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</si>
  <si>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</si>
  <si>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</si>
  <si>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</si>
  <si>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</si>
  <si>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</si>
  <si>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</si>
  <si>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</si>
  <si>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</si>
  <si>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</si>
  <si>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</si>
  <si>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</si>
  <si>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</si>
  <si>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</si>
  <si>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</si>
  <si>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</si>
  <si>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</si>
  <si>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</si>
  <si>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</si>
  <si>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</si>
  <si>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</si>
  <si>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</si>
  <si>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</si>
  <si>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</si>
  <si>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</si>
  <si>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</si>
  <si>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</si>
  <si>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</si>
  <si>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</si>
  <si>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</si>
  <si>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</si>
  <si>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</si>
  <si>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</si>
  <si>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</si>
  <si>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</si>
  <si>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</si>
  <si>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</si>
  <si>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</si>
  <si>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</si>
  <si>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</si>
  <si>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</si>
  <si>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</si>
  <si>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</si>
  <si>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</si>
  <si>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</si>
  <si>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</si>
  <si>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</si>
  <si>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</si>
  <si>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</si>
  <si>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</si>
  <si>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</si>
  <si>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</si>
  <si>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</si>
  <si>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</si>
  <si>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</si>
  <si>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</si>
  <si>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</si>
  <si>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</si>
  <si>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</si>
  <si>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</si>
  <si>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</si>
  <si>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</si>
  <si>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</si>
  <si>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</si>
  <si>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</si>
  <si>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</si>
  <si>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</si>
  <si>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</si>
  <si>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</si>
  <si>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</si>
  <si>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</si>
  <si>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</si>
  <si>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</si>
  <si>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</si>
  <si>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</si>
  <si>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</si>
  <si>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</si>
  <si>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</si>
  <si>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</si>
  <si>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</si>
  <si>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</si>
  <si>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</si>
  <si>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</si>
  <si>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</si>
  <si>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</si>
  <si>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</si>
  <si>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</si>
  <si>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</si>
  <si>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</si>
  <si>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</si>
  <si>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</si>
  <si>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</si>
  <si>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</si>
  <si>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</si>
  <si>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</si>
  <si>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</si>
  <si>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</si>
  <si>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</si>
  <si>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</si>
  <si>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</si>
  <si>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</si>
  <si>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</si>
  <si>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</si>
  <si>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</si>
  <si>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</si>
  <si>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</si>
  <si>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</si>
  <si>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</si>
  <si>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</si>
  <si>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</si>
  <si>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</si>
  <si>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</si>
  <si>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</si>
  <si>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</si>
  <si>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</si>
  <si>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</si>
  <si>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</si>
  <si>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</si>
  <si>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</si>
  <si>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</si>
  <si>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</si>
  <si>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</si>
  <si>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</si>
  <si>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</si>
  <si>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</si>
  <si>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</si>
  <si>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</si>
  <si>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</si>
  <si>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</si>
  <si>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</si>
  <si>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</si>
  <si>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</si>
  <si>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</si>
  <si>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</si>
  <si>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</si>
  <si>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</si>
  <si>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</si>
  <si>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</si>
  <si>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</si>
  <si>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</si>
  <si>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</si>
  <si>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</si>
  <si>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</si>
  <si>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</si>
  <si>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</si>
  <si>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</si>
  <si>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</si>
  <si>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</si>
  <si>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</si>
  <si>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</si>
  <si>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</si>
  <si>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</si>
  <si>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</si>
  <si>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</si>
  <si>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</si>
  <si>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</si>
  <si>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</si>
  <si>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</si>
  <si>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</si>
  <si>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</si>
  <si>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</si>
  <si>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</si>
  <si>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</si>
  <si>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</si>
  <si>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</si>
  <si>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</si>
  <si>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</si>
  <si>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</si>
  <si>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</si>
  <si>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</si>
  <si>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</si>
  <si>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</si>
  <si>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</si>
  <si>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</si>
  <si>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</si>
  <si>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</si>
  <si>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</si>
  <si>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</si>
  <si>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</si>
  <si>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</si>
  <si>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</si>
  <si>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</si>
  <si>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</si>
  <si>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</si>
  <si>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</si>
  <si>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</si>
  <si>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</si>
  <si>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</si>
  <si>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</si>
  <si>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</si>
  <si>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</si>
  <si>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</si>
  <si>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</si>
  <si>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</si>
  <si>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</si>
  <si>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</si>
  <si>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</si>
  <si>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</si>
  <si>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</si>
  <si>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</si>
  <si>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</si>
  <si>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</si>
  <si>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</si>
  <si>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</si>
  <si>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</si>
  <si>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</si>
  <si>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</si>
  <si>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</si>
  <si>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</si>
  <si>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</si>
  <si>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</si>
  <si>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</si>
  <si>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</si>
  <si>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</si>
  <si>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</si>
  <si>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</si>
  <si>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</si>
  <si>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</si>
  <si>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</si>
  <si>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</si>
  <si>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</si>
  <si>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</si>
  <si>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</si>
  <si>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</si>
  <si>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</si>
  <si>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</si>
  <si>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</si>
  <si>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</si>
  <si>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</si>
  <si>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</si>
  <si>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</si>
  <si>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</si>
  <si>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</si>
  <si>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</si>
  <si>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</si>
  <si>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</si>
  <si>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</si>
  <si>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</si>
  <si>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</si>
  <si>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</si>
  <si>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</si>
  <si>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</si>
  <si>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</si>
  <si>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</si>
  <si>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</si>
  <si>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</si>
  <si>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</si>
  <si>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</si>
  <si>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</si>
  <si>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</si>
  <si>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</si>
  <si>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</si>
  <si>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</si>
  <si>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</si>
  <si>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</si>
  <si>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</si>
  <si>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</si>
  <si>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</si>
  <si>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</si>
  <si>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</si>
  <si>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</si>
  <si>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</si>
  <si>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</si>
  <si>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</si>
  <si>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</si>
  <si>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</si>
  <si>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</si>
  <si>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</si>
  <si>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</si>
  <si>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</si>
  <si>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</si>
  <si>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</si>
  <si>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</si>
  <si>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</si>
  <si>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</si>
  <si>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</si>
  <si>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</si>
  <si>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</si>
  <si>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</si>
  <si>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</si>
  <si>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</si>
  <si>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</si>
  <si>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</si>
  <si>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</si>
  <si>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</si>
  <si>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</si>
  <si>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</si>
  <si>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</si>
  <si>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</si>
  <si>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</si>
  <si>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</si>
  <si>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</si>
  <si>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</si>
  <si>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</si>
  <si>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</si>
  <si>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</si>
  <si>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</si>
  <si>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</si>
  <si>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</si>
  <si>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</si>
  <si>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</si>
  <si>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</si>
  <si>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</si>
  <si>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</si>
  <si>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</si>
  <si>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</si>
  <si>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</si>
  <si>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</si>
  <si>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</si>
  <si>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</si>
  <si>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</si>
  <si>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</si>
  <si>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</si>
  <si>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</si>
  <si>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</si>
  <si>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</si>
  <si>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</si>
  <si>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</si>
  <si>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</si>
  <si>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</si>
  <si>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</si>
  <si>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</si>
  <si>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</si>
  <si>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</si>
  <si>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</si>
  <si>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</si>
  <si>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</si>
  <si>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</si>
  <si>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</si>
  <si>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</si>
  <si>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</si>
  <si>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</si>
  <si>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</si>
  <si>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</si>
  <si>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</si>
  <si>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</si>
  <si>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</si>
  <si>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</si>
  <si>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</si>
  <si>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</si>
  <si>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</si>
  <si>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</si>
  <si>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</si>
  <si>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</si>
  <si>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</si>
  <si>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</si>
  <si>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</si>
  <si>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</si>
  <si>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</si>
  <si>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</si>
  <si>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</si>
  <si>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</si>
  <si>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</si>
  <si>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</si>
  <si>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</si>
  <si>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</si>
  <si>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</si>
  <si>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</si>
  <si>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</si>
  <si>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</si>
  <si>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</si>
  <si>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</si>
  <si>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</si>
  <si>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</si>
  <si>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</si>
  <si>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</si>
  <si>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</si>
  <si>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</si>
  <si>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</si>
  <si>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</si>
  <si>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</si>
  <si>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</si>
  <si>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</si>
  <si>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</si>
  <si>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</si>
  <si>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</si>
  <si>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</si>
  <si>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</si>
  <si>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</si>
  <si>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</si>
  <si>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</si>
  <si>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</si>
  <si>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</si>
  <si>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</si>
  <si>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</si>
  <si>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</si>
  <si>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</si>
  <si>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</si>
  <si>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</si>
  <si>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</si>
  <si>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</si>
  <si>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</si>
  <si>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</si>
  <si>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</si>
  <si>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</si>
  <si>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</si>
  <si>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</si>
  <si>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</si>
  <si>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</si>
  <si>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</si>
  <si>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</si>
  <si>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</si>
  <si>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</si>
  <si>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</si>
  <si>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</si>
  <si>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</si>
  <si>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</si>
  <si>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</si>
  <si>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</si>
  <si>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</si>
  <si>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</si>
  <si>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</si>
  <si>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</si>
  <si>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</si>
  <si>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</si>
  <si>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</si>
  <si>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</si>
  <si>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</si>
  <si>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</si>
  <si>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</si>
  <si>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</si>
  <si>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</si>
  <si>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</si>
  <si>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</si>
  <si>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</si>
  <si>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</si>
  <si>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</si>
  <si>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</si>
  <si>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</si>
  <si>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</si>
  <si>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</si>
  <si>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</si>
  <si>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</si>
  <si>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</si>
  <si>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</si>
  <si>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</si>
  <si>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</si>
  <si>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</si>
  <si>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</si>
  <si>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</si>
  <si>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</si>
  <si>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</si>
  <si>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</si>
  <si>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</si>
  <si>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</si>
  <si>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</si>
  <si>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</si>
  <si>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</si>
  <si>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</si>
  <si>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</si>
  <si>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</si>
  <si>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</si>
  <si>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</si>
  <si>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</si>
  <si>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</si>
  <si>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</si>
  <si>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</si>
  <si>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</si>
  <si>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</si>
  <si>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</si>
  <si>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</si>
  <si>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</si>
  <si>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</si>
  <si>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</si>
  <si>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</si>
  <si>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</si>
  <si>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</si>
  <si>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</si>
  <si>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</si>
  <si>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</si>
  <si>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</si>
  <si>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</si>
  <si>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</si>
  <si>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</si>
  <si>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</si>
  <si>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</si>
  <si>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</si>
  <si>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</si>
  <si>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</si>
  <si>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</si>
  <si>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</si>
  <si>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</si>
  <si>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</si>
  <si>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</si>
  <si>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</si>
  <si>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</si>
  <si>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</si>
  <si>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</si>
  <si>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</si>
  <si>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</si>
  <si>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</si>
  <si>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</si>
  <si>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</si>
  <si>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</si>
  <si>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</si>
  <si>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</si>
  <si>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</si>
  <si>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</si>
  <si>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</si>
  <si>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</si>
  <si>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</si>
  <si>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</si>
  <si>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</si>
  <si>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</si>
  <si>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</si>
  <si>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</si>
  <si>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</si>
  <si>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</si>
  <si>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</si>
  <si>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</si>
  <si>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</si>
  <si>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</si>
  <si>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</si>
  <si>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</si>
  <si>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</si>
  <si>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</si>
  <si>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</si>
  <si>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</si>
  <si>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</si>
  <si>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</si>
  <si>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</si>
  <si>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</si>
  <si>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</si>
  <si>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</si>
  <si>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</si>
  <si>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</si>
  <si>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</si>
  <si>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</si>
  <si>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</si>
  <si>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</si>
  <si>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</si>
  <si>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</si>
  <si>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</si>
  <si>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</si>
  <si>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</si>
  <si>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</si>
  <si>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</si>
  <si>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</si>
  <si>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</si>
  <si>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</si>
  <si>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</si>
  <si>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</si>
  <si>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</si>
  <si>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</si>
  <si>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</si>
  <si>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</si>
  <si>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</si>
  <si>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</si>
  <si>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</si>
  <si>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</si>
  <si>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</si>
  <si>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</si>
  <si>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</si>
  <si>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</si>
  <si>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</si>
  <si>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</si>
  <si>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</si>
  <si>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</si>
  <si>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</si>
  <si>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</si>
  <si>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</si>
  <si>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</si>
  <si>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</si>
  <si>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</si>
  <si>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</si>
  <si>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</si>
  <si>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</si>
  <si>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</si>
  <si>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</si>
  <si>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</si>
  <si>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</si>
  <si>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</si>
  <si>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</si>
  <si>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</si>
  <si>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</si>
  <si>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</si>
  <si>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</si>
  <si>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</si>
  <si>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</si>
  <si>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</si>
  <si>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</si>
  <si>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</si>
  <si>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</si>
  <si>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</si>
  <si>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</si>
  <si>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</si>
  <si>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</si>
  <si>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</si>
  <si>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</si>
  <si>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</si>
  <si>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</si>
  <si>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</si>
  <si>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</si>
  <si>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</si>
  <si>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</si>
  <si>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</si>
  <si>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</si>
  <si>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</si>
  <si>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</si>
  <si>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</si>
  <si>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</si>
  <si>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</si>
  <si>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</si>
  <si>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</si>
  <si>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</si>
  <si>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</si>
  <si>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</si>
  <si>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</si>
  <si>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</si>
  <si>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</si>
  <si>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</si>
  <si>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</si>
  <si>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</si>
  <si>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</si>
  <si>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</si>
  <si>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</si>
  <si>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</si>
  <si>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</si>
  <si>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</si>
  <si>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</si>
  <si>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</si>
  <si>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</si>
  <si>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</si>
  <si>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</si>
  <si>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</si>
  <si>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</si>
  <si>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</si>
  <si>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</si>
  <si>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</si>
  <si>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</si>
  <si>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</si>
  <si>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</si>
  <si>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</si>
  <si>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</si>
  <si>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</si>
  <si>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</si>
  <si>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</si>
  <si>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</si>
  <si>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</si>
  <si>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</si>
  <si>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</si>
  <si>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</si>
  <si>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</si>
  <si>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</si>
  <si>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</si>
  <si>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</si>
  <si>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</si>
  <si>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</si>
  <si>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</si>
  <si>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</si>
  <si>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</si>
  <si>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</si>
  <si>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</si>
  <si>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</si>
  <si>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</si>
  <si>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</si>
  <si>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</si>
  <si>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</si>
  <si>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</si>
  <si>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</si>
  <si>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</si>
  <si>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</si>
  <si>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</si>
  <si>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</si>
  <si>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</si>
  <si>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</si>
  <si>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</si>
  <si>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</si>
  <si>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</si>
  <si>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</si>
  <si>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</si>
  <si>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</si>
  <si>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</si>
  <si>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</si>
  <si>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</si>
  <si>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</si>
  <si>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</si>
  <si>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</si>
  <si>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</si>
  <si>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</si>
  <si>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</si>
  <si>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</si>
  <si>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</si>
  <si>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</si>
  <si>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</si>
  <si>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</si>
  <si>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</si>
  <si>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</si>
  <si>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</si>
  <si>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</si>
  <si>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</si>
  <si>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</si>
  <si>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</si>
  <si>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</si>
  <si>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</si>
  <si>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</si>
  <si>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</si>
  <si>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</si>
  <si>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</si>
  <si>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</si>
  <si>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</si>
  <si>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</si>
  <si>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</si>
  <si>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</si>
  <si>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</si>
  <si>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</si>
  <si>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</si>
  <si>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</si>
  <si>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</si>
  <si>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</si>
  <si>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</si>
  <si>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</si>
  <si>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</si>
  <si>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</si>
  <si>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</si>
  <si>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</si>
  <si>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</si>
  <si>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</si>
  <si>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</si>
  <si>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</si>
  <si>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</si>
  <si>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</si>
  <si>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</si>
  <si>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</si>
  <si>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</si>
  <si>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</si>
  <si>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</si>
  <si>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</si>
  <si>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</si>
  <si>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</si>
  <si>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</si>
  <si>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</si>
  <si>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</si>
  <si>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</si>
  <si>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</si>
  <si>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</si>
  <si>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</si>
  <si>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</si>
  <si>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</si>
  <si>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</si>
  <si>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</si>
  <si>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</si>
  <si>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</si>
  <si>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</si>
  <si>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</si>
  <si>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</si>
  <si>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</si>
  <si>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</si>
  <si>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</si>
  <si>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</si>
  <si>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</si>
  <si>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</si>
  <si>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</si>
  <si>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</si>
  <si>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</si>
  <si>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</si>
  <si>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</si>
  <si>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</si>
  <si>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</si>
  <si>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</si>
  <si>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</si>
  <si>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</si>
  <si>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</si>
  <si>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</si>
  <si>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</si>
  <si>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</si>
  <si>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</si>
  <si>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</si>
  <si>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</si>
  <si>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</si>
  <si>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</si>
  <si>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</si>
  <si>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</si>
  <si>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</si>
  <si>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</si>
  <si>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</si>
  <si>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</si>
  <si>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</si>
  <si>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</si>
  <si>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</si>
  <si>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</si>
  <si>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</si>
  <si>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</si>
  <si>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</si>
  <si>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</si>
  <si>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</si>
  <si>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</si>
  <si>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</si>
  <si>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</si>
  <si>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</si>
  <si>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</si>
  <si>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</si>
  <si>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</si>
  <si>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</si>
  <si>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</si>
  <si>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</si>
  <si>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</si>
  <si>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</si>
  <si>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</si>
  <si>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</si>
  <si>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</si>
  <si>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</si>
  <si>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</si>
  <si>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</si>
  <si>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</si>
  <si>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</si>
  <si>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</si>
  <si>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</si>
  <si>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</si>
  <si>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</si>
  <si>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</si>
  <si>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</si>
  <si>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</si>
  <si>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</si>
  <si>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</si>
  <si>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</si>
  <si>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</si>
  <si>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</si>
  <si>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</si>
  <si>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</si>
  <si>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</si>
  <si>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</si>
  <si>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</si>
  <si>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</si>
  <si>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</si>
  <si>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</si>
  <si>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</si>
  <si>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</si>
  <si>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</si>
  <si>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</si>
  <si>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</si>
  <si>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</si>
  <si>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</si>
  <si>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</si>
  <si>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</si>
  <si>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</si>
  <si>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</si>
  <si>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</si>
  <si>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</si>
  <si>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</si>
  <si>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</si>
  <si>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</si>
  <si>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</si>
  <si>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</si>
  <si>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</si>
  <si>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</si>
  <si>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</si>
  <si>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</si>
  <si>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</si>
  <si>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</si>
  <si>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</si>
  <si>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</si>
  <si>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</si>
  <si>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</si>
  <si>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</si>
  <si>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</si>
  <si>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</si>
  <si>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</si>
  <si>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</si>
  <si>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</si>
  <si>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</si>
  <si>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</si>
  <si>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</si>
  <si>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</si>
  <si>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</si>
  <si>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</si>
  <si>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</si>
  <si>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</si>
  <si>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</si>
  <si>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</si>
  <si>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</si>
  <si>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</si>
  <si>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</si>
  <si>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</si>
  <si>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</si>
  <si>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</si>
  <si>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</si>
  <si>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</si>
  <si>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</si>
  <si>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</si>
  <si>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</si>
  <si>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</si>
  <si>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</si>
  <si>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</si>
  <si>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</si>
  <si>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</si>
  <si>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</si>
  <si>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</si>
  <si>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</si>
  <si>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</si>
  <si>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</si>
  <si>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</si>
  <si>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</si>
  <si>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</si>
  <si>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</si>
  <si>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</si>
  <si>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</si>
  <si>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</si>
  <si>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</si>
  <si>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</si>
  <si>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</si>
  <si>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</si>
  <si>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</si>
  <si>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</si>
  <si>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</si>
  <si>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</si>
  <si>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</si>
  <si>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</si>
  <si>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</si>
  <si>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</si>
  <si>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</si>
  <si>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</si>
  <si>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</si>
  <si>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</si>
  <si>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</si>
  <si>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</si>
  <si>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</si>
  <si>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</si>
  <si>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</si>
  <si>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</si>
  <si>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</si>
  <si>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</si>
  <si>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</si>
  <si>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</si>
  <si>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</si>
  <si>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</si>
  <si>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</si>
  <si>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</si>
  <si>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</si>
  <si>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</si>
  <si>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</si>
  <si>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</si>
  <si>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</si>
  <si>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</si>
  <si>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</si>
  <si>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</si>
  <si>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</si>
  <si>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</si>
  <si>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</si>
  <si>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</si>
  <si>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</si>
  <si>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</si>
  <si>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</si>
  <si>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</si>
  <si>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</si>
  <si>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</si>
  <si>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</si>
  <si>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</si>
  <si>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</si>
  <si>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</si>
  <si>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</si>
  <si>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</si>
  <si>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</si>
  <si>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</si>
  <si>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</si>
  <si>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</si>
  <si>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</si>
  <si>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</si>
  <si>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</si>
  <si>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</si>
  <si>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</si>
  <si>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</si>
  <si>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</si>
  <si>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</si>
  <si>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</si>
  <si>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</si>
  <si>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</si>
  <si>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</si>
  <si>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</si>
  <si>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</si>
  <si>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</si>
  <si>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</si>
  <si>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</si>
  <si>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</si>
  <si>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</si>
  <si>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</si>
  <si>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</si>
  <si>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</si>
  <si>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</si>
  <si>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</si>
  <si>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</si>
  <si>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</si>
  <si>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</si>
  <si>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</si>
  <si>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</si>
  <si>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</si>
  <si>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</si>
  <si>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</si>
  <si>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</si>
  <si>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</si>
  <si>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</si>
  <si>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</si>
  <si>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</si>
  <si>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</si>
  <si>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</si>
  <si>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</si>
  <si>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</si>
  <si>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</si>
  <si>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</si>
  <si>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</si>
  <si>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</si>
  <si>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</si>
  <si>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</si>
  <si>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</si>
  <si>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</si>
  <si>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</si>
  <si>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</si>
  <si>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</si>
  <si>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</si>
  <si>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</si>
  <si>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</si>
  <si>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</si>
  <si>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</si>
  <si>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</si>
  <si>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</si>
  <si>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</si>
  <si>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</si>
  <si>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</si>
  <si>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</si>
  <si>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</si>
  <si>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</si>
  <si>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</si>
  <si>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</si>
  <si>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</si>
  <si>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</si>
  <si>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</si>
  <si>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</si>
  <si>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</si>
  <si>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</si>
  <si>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</si>
  <si>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</si>
  <si>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</si>
  <si>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</si>
  <si>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</si>
  <si>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</si>
  <si>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</si>
  <si>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</si>
  <si>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</si>
  <si>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</si>
  <si>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</si>
  <si>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</si>
  <si>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</si>
  <si>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</si>
  <si>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</si>
  <si>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</si>
  <si>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</si>
  <si>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</si>
  <si>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</si>
  <si>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</si>
  <si>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</si>
  <si>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</si>
  <si>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</si>
  <si>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</si>
  <si>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</si>
  <si>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</si>
  <si>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</si>
  <si>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</si>
  <si>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</si>
  <si>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</si>
  <si>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</si>
  <si>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</si>
  <si>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</si>
  <si>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</si>
  <si>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</si>
  <si>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</si>
  <si>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</si>
  <si>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</si>
  <si>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</si>
  <si>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</si>
  <si>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</si>
  <si>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</si>
  <si>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</si>
  <si>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</si>
  <si>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</si>
  <si>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</si>
  <si>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</si>
  <si>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</si>
  <si>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</si>
  <si>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</si>
  <si>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</si>
  <si>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</si>
  <si>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</si>
  <si>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</si>
  <si>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</si>
  <si>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</si>
  <si>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</si>
  <si>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</si>
  <si>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</si>
  <si>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</si>
  <si>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</si>
  <si>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</si>
  <si>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</si>
  <si>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</si>
  <si>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</si>
  <si>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</si>
  <si>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</si>
  <si>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</si>
  <si>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</si>
  <si>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</si>
  <si>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</si>
  <si>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</si>
  <si>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</si>
  <si>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</si>
  <si>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</si>
  <si>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</si>
  <si>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</si>
  <si>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</si>
  <si>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</si>
  <si>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</si>
  <si>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</si>
  <si>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</si>
  <si>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</si>
  <si>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</si>
  <si>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</si>
  <si>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</si>
  <si>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</si>
  <si>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</si>
  <si>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</si>
  <si>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</si>
  <si>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</si>
  <si>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</si>
  <si>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</si>
  <si>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</si>
  <si>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</si>
  <si>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</si>
  <si>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</si>
  <si>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</si>
  <si>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</si>
  <si>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</si>
  <si>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</si>
  <si>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</si>
  <si>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</si>
  <si>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</si>
  <si>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</si>
  <si>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</si>
  <si>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</si>
  <si>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</si>
  <si>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</si>
  <si>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</si>
  <si>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</si>
  <si>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</si>
  <si>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</si>
  <si>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</si>
  <si>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</si>
  <si>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</si>
  <si>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</si>
  <si>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</si>
  <si>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</si>
  <si>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</si>
  <si>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</si>
  <si>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</si>
  <si>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</si>
  <si>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</si>
  <si>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</si>
  <si>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</si>
  <si>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</si>
  <si>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</si>
  <si>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</si>
  <si>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</si>
  <si>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</si>
  <si>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</si>
  <si>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</si>
  <si>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</si>
  <si>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</si>
  <si>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</si>
  <si>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</si>
  <si>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</si>
  <si>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</si>
  <si>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</si>
  <si>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</si>
  <si>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</si>
  <si>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</si>
  <si>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</si>
  <si>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</si>
  <si>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</si>
  <si>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</si>
  <si>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</si>
  <si>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</si>
  <si>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</si>
  <si>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</si>
  <si>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</si>
  <si>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</si>
  <si>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</si>
  <si>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</si>
  <si>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</si>
  <si>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</si>
  <si>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</si>
  <si>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</si>
  <si>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</si>
  <si>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</si>
  <si>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</si>
  <si>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</si>
  <si>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</si>
  <si>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</si>
  <si>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</si>
  <si>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</si>
  <si>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</si>
  <si>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</si>
  <si>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</si>
  <si>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</si>
  <si>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</si>
  <si>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</si>
  <si>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</si>
  <si>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</si>
  <si>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</si>
  <si>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</si>
  <si>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</si>
  <si>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</si>
  <si>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</si>
  <si>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</si>
  <si>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</si>
  <si>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</si>
  <si>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</si>
  <si>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</si>
  <si>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</si>
  <si>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</si>
  <si>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</si>
  <si>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</si>
  <si>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</si>
  <si>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</si>
  <si>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</si>
  <si>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</si>
  <si>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</si>
  <si>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</si>
  <si>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</si>
  <si>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</si>
  <si>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</si>
  <si>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</si>
  <si>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</si>
  <si>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</si>
  <si>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</si>
  <si>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</si>
  <si>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</si>
  <si>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</si>
  <si>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</si>
  <si>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</si>
  <si>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</si>
  <si>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</si>
  <si>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</si>
  <si>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</si>
  <si>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</si>
  <si>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</si>
  <si>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</si>
  <si>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</si>
  <si>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</si>
  <si>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</si>
  <si>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</si>
  <si>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</si>
  <si>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</si>
  <si>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</si>
  <si>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</si>
  <si>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</si>
  <si>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</si>
  <si>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</si>
  <si>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</si>
  <si>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</si>
  <si>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</si>
  <si>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</si>
  <si>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</si>
  <si>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</si>
  <si>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</si>
  <si>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</si>
  <si>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</si>
  <si>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</si>
  <si>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</si>
  <si>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</si>
  <si>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</si>
  <si>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</si>
  <si>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</si>
  <si>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</si>
  <si>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</si>
  <si>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</si>
  <si>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</si>
  <si>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</si>
  <si>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</si>
  <si>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</si>
  <si>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</si>
  <si>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</si>
  <si>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</si>
  <si>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</si>
  <si>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</si>
  <si>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</si>
  <si>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</si>
  <si>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</si>
  <si>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</si>
  <si>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</si>
  <si>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</si>
  <si>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</si>
  <si>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</si>
  <si>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</si>
  <si>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</si>
  <si>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</si>
  <si>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</si>
  <si>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</si>
  <si>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</si>
  <si>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</si>
  <si>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</si>
  <si>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</si>
  <si>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</si>
  <si>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</si>
  <si>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</si>
  <si>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</si>
  <si>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</si>
  <si>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</si>
  <si>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</si>
  <si>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</si>
  <si>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</si>
  <si>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</si>
  <si>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</si>
  <si>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</si>
  <si>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</si>
  <si>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</si>
  <si>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</si>
  <si>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</si>
  <si>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</si>
  <si>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</si>
  <si>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</si>
  <si>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</si>
  <si>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</si>
  <si>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</si>
  <si>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</si>
  <si>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</si>
  <si>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</si>
  <si>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</si>
  <si>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</si>
  <si>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</si>
  <si>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</si>
  <si>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</si>
  <si>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</si>
  <si>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</si>
  <si>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</si>
  <si>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</si>
  <si>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</si>
  <si>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</si>
  <si>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</si>
  <si>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</si>
  <si>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</si>
  <si>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</si>
  <si>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</si>
  <si>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</si>
  <si>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</si>
  <si>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</si>
  <si>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</si>
  <si>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</si>
  <si>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</si>
  <si>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</si>
  <si>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</si>
  <si>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</si>
  <si>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</si>
  <si>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</si>
  <si>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</si>
  <si>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</si>
  <si>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</si>
  <si>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</si>
  <si>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</si>
  <si>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</si>
  <si>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</si>
  <si>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</si>
  <si>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</si>
  <si>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</si>
  <si>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</si>
  <si>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</si>
  <si>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</si>
  <si>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</si>
  <si>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</si>
  <si>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</si>
  <si>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</si>
  <si>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</si>
  <si>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</si>
  <si>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</si>
  <si>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</si>
  <si>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</si>
  <si>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</si>
  <si>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</si>
  <si>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</si>
  <si>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</si>
  <si>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</si>
  <si>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</si>
  <si>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</si>
  <si>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</si>
  <si>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</si>
  <si>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</si>
  <si>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</si>
  <si>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</si>
  <si>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</si>
  <si>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</si>
  <si>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</si>
  <si>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</si>
  <si>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</si>
  <si>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</si>
  <si>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</si>
  <si>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</si>
  <si>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</si>
  <si>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</si>
  <si>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</si>
  <si>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</si>
  <si>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</si>
  <si>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</si>
  <si>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</si>
  <si>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</si>
  <si>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</si>
  <si>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</si>
  <si>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</si>
  <si>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</si>
  <si>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</si>
  <si>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</si>
  <si>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</si>
  <si>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</si>
  <si>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</si>
  <si>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</si>
  <si>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</si>
  <si>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</si>
  <si>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</si>
  <si>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</si>
  <si>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</si>
  <si>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</si>
  <si>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</si>
  <si>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</si>
  <si>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</si>
  <si>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</si>
  <si>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</si>
  <si>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</si>
  <si>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</si>
  <si>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</si>
  <si>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</si>
  <si>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</si>
  <si>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</si>
  <si>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</si>
  <si>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</si>
  <si>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</si>
  <si>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</si>
  <si>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</si>
  <si>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</si>
  <si>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</si>
  <si>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</si>
  <si>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</si>
  <si>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</si>
  <si>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</si>
  <si>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</si>
  <si>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</si>
  <si>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</si>
  <si>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</si>
  <si>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</si>
  <si>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</si>
  <si>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</si>
  <si>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</si>
  <si>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</si>
  <si>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</si>
  <si>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</si>
  <si>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</si>
  <si>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</si>
  <si>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</si>
  <si>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</si>
  <si>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</si>
  <si>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</si>
  <si>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</si>
  <si>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</si>
  <si>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</si>
  <si>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</si>
  <si>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</si>
  <si>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</si>
  <si>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</si>
  <si>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</si>
  <si>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</si>
  <si>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</si>
  <si>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</si>
  <si>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</si>
  <si>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</si>
  <si>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</si>
  <si>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</si>
  <si>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</si>
  <si>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</si>
  <si>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</si>
  <si>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</si>
  <si>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</si>
  <si>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</si>
  <si>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</si>
  <si>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</si>
  <si>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</si>
  <si>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</si>
  <si>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</si>
  <si>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</si>
  <si>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</si>
  <si>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</si>
  <si>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</si>
  <si>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</si>
  <si>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</si>
  <si>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</si>
  <si>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</si>
  <si>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</si>
  <si>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</si>
  <si>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</si>
  <si>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</si>
  <si>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</si>
  <si>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</si>
  <si>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</si>
  <si>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</si>
  <si>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</si>
  <si>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</si>
  <si>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</si>
  <si>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</si>
  <si>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</si>
  <si>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</si>
  <si>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</si>
  <si>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</si>
  <si>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</si>
  <si>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</si>
  <si>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</si>
  <si>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</si>
  <si>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</si>
  <si>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</si>
  <si>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</si>
  <si>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</si>
  <si>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</si>
  <si>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</si>
  <si>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</si>
  <si>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</si>
  <si>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</si>
  <si>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</si>
  <si>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</si>
  <si>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</si>
  <si>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</si>
  <si>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</si>
  <si>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</si>
  <si>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</si>
  <si>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</si>
  <si>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</si>
  <si>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</si>
  <si>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</si>
  <si>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</si>
  <si>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</si>
  <si>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</si>
  <si>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</si>
  <si>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</si>
  <si>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</si>
  <si>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</si>
  <si>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</si>
  <si>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</si>
  <si>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</si>
  <si>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</si>
  <si>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</si>
  <si>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</si>
  <si>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</si>
  <si>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</si>
  <si>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</si>
  <si>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</si>
  <si>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</si>
  <si>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</si>
  <si>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</si>
  <si>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</si>
  <si>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</si>
  <si>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</si>
  <si>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</si>
  <si>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</si>
  <si>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</si>
  <si>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</si>
  <si>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</si>
  <si>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</si>
  <si>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</si>
  <si>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</si>
  <si>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</si>
  <si>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</si>
  <si>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</si>
  <si>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</si>
  <si>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</si>
  <si>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</si>
  <si>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</si>
  <si>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</si>
  <si>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</si>
  <si>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</si>
  <si>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</si>
  <si>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</si>
  <si>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</si>
  <si>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</si>
  <si>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</si>
  <si>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</si>
  <si>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</si>
  <si>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</si>
  <si>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</si>
  <si>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</si>
  <si>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</si>
  <si>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</si>
  <si>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</si>
  <si>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</si>
  <si>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</si>
  <si>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</si>
  <si>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</si>
  <si>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</si>
  <si>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</si>
  <si>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</si>
  <si>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</si>
  <si>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</si>
  <si>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</si>
  <si>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</si>
  <si>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</si>
  <si>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</si>
  <si>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</si>
  <si>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</si>
  <si>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</si>
  <si>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</si>
  <si>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</si>
  <si>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</si>
  <si>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</si>
  <si>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</si>
  <si>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</si>
  <si>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</si>
  <si>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</si>
  <si>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</si>
  <si>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</si>
  <si>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</si>
  <si>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</si>
  <si>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</si>
  <si>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</si>
  <si>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</si>
  <si>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</si>
  <si>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</si>
  <si>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</si>
  <si>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</si>
  <si>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</si>
  <si>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</si>
  <si>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</si>
  <si>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</si>
  <si>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</si>
  <si>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</si>
  <si>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</si>
  <si>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</si>
  <si>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</si>
  <si>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</si>
  <si>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</si>
  <si>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</si>
  <si>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</si>
  <si>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</si>
  <si>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</si>
  <si>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</si>
  <si>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</si>
  <si>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</si>
  <si>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</si>
  <si>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</si>
  <si>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</si>
  <si>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</si>
  <si>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</si>
  <si>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</si>
  <si>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</si>
  <si>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</si>
  <si>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</si>
  <si>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</si>
  <si>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</si>
  <si>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</si>
  <si>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</si>
  <si>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</si>
  <si>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</si>
  <si>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</si>
  <si>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</si>
  <si>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</si>
  <si>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</si>
  <si>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</si>
  <si>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</si>
  <si>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</si>
  <si>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</si>
  <si>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</si>
  <si>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</si>
  <si>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</si>
  <si>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</si>
  <si>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</si>
  <si>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</si>
  <si>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</si>
  <si>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</si>
  <si>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</si>
  <si>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</si>
  <si>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</si>
  <si>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</si>
  <si>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</si>
  <si>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</si>
  <si>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</si>
  <si>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</si>
  <si>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</si>
  <si>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</si>
  <si>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</si>
  <si>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</si>
  <si>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</si>
  <si>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</si>
  <si>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</si>
  <si>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</si>
  <si>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</si>
  <si>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</si>
  <si>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</si>
  <si>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</si>
  <si>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</si>
  <si>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</si>
  <si>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</si>
  <si>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</si>
  <si>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</si>
  <si>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</si>
  <si>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</si>
  <si>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</si>
  <si>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</si>
  <si>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</si>
  <si>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</si>
  <si>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</si>
  <si>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</si>
  <si>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</si>
  <si>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</si>
  <si>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</si>
  <si>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</si>
  <si>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</si>
  <si>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</si>
  <si>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</si>
  <si>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</si>
  <si>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</si>
  <si>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</si>
  <si>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</si>
  <si>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</si>
  <si>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</si>
  <si>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</si>
  <si>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</si>
  <si>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</si>
  <si>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</si>
  <si>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</si>
  <si>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</si>
  <si>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</si>
  <si>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</si>
  <si>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</si>
  <si>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</si>
  <si>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</si>
  <si>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</si>
  <si>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</si>
  <si>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</si>
  <si>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</si>
  <si>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</si>
  <si>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</si>
  <si>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</si>
  <si>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</si>
  <si>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</si>
  <si>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</si>
  <si>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</si>
  <si>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</si>
  <si>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</si>
  <si>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</si>
  <si>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</si>
  <si>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</si>
  <si>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</si>
  <si>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</si>
  <si>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</si>
  <si>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</si>
  <si>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</si>
  <si>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</si>
  <si>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</si>
  <si>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</si>
  <si>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</si>
  <si>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</si>
  <si>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</si>
  <si>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</si>
  <si>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</si>
  <si>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</si>
  <si>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</si>
  <si>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</si>
  <si>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</si>
  <si>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</si>
  <si>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</si>
  <si>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</si>
  <si>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</si>
  <si>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</si>
  <si>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</si>
  <si>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</si>
  <si>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</si>
  <si>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</si>
  <si>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</si>
  <si>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</si>
  <si>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</si>
  <si>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</si>
  <si>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</si>
  <si>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</si>
  <si>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</si>
  <si>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</si>
  <si>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</si>
  <si>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</si>
  <si>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</si>
  <si>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</si>
  <si>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</si>
  <si>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</si>
  <si>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</si>
  <si>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</si>
  <si>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</si>
  <si>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</si>
  <si>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</si>
  <si>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</si>
  <si>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</si>
  <si>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</si>
  <si>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</si>
  <si>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</si>
  <si>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</si>
  <si>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</si>
  <si>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</si>
  <si>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</si>
  <si>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</si>
  <si>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</si>
  <si>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</si>
  <si>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</si>
  <si>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</si>
  <si>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</si>
  <si>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</si>
  <si>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</si>
  <si>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</si>
  <si>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</si>
  <si>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</si>
  <si>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</si>
  <si>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</si>
  <si>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</si>
  <si>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</si>
  <si>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</si>
  <si>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</si>
  <si>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</si>
  <si>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</si>
  <si>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</si>
  <si>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</si>
  <si>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</si>
  <si>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</si>
  <si>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</si>
  <si>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</si>
  <si>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</si>
  <si>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</si>
  <si>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</si>
  <si>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</si>
  <si>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</si>
  <si>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</si>
  <si>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</si>
  <si>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</si>
  <si>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</si>
  <si>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</si>
  <si>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</si>
  <si>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</si>
  <si>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</si>
  <si>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</si>
  <si>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</si>
  <si>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</si>
  <si>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</si>
  <si>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</si>
  <si>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</si>
  <si>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</si>
  <si>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</si>
  <si>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</si>
  <si>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</si>
  <si>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</si>
  <si>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</si>
  <si>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</si>
  <si>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</si>
  <si>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</si>
  <si>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</si>
  <si>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</si>
  <si>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</si>
  <si>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</si>
  <si>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</si>
  <si>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</si>
  <si>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</si>
  <si>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</si>
  <si>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</si>
  <si>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</si>
  <si>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</si>
  <si>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</si>
  <si>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</si>
  <si>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</si>
  <si>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</si>
  <si>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</si>
  <si>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</si>
  <si>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</si>
  <si>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</si>
  <si>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</si>
  <si>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</si>
  <si>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</si>
  <si>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</si>
  <si>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</si>
  <si>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</si>
  <si>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</si>
  <si>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</si>
  <si>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</si>
  <si>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</si>
  <si>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</si>
  <si>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</si>
  <si>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</si>
  <si>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</si>
  <si>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</si>
  <si>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</si>
  <si>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</si>
  <si>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</si>
  <si>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</si>
  <si>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</si>
  <si>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</si>
  <si>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</si>
  <si>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</si>
  <si>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</si>
  <si>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</si>
  <si>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</si>
  <si>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</si>
  <si>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</si>
  <si>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</si>
  <si>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</si>
  <si>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</si>
  <si>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</si>
  <si>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</si>
  <si>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</si>
  <si>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</si>
  <si>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</si>
  <si>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</si>
  <si>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</si>
  <si>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</si>
  <si>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</si>
  <si>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</si>
  <si>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</si>
  <si>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</si>
  <si>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</si>
  <si>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</si>
  <si>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</si>
  <si>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</si>
  <si>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</si>
  <si>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</si>
  <si>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</si>
  <si>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</si>
  <si>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</si>
  <si>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</si>
  <si>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</si>
  <si>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</si>
  <si>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</si>
  <si>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</si>
  <si>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</si>
  <si>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</si>
  <si>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</si>
  <si>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</si>
  <si>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</si>
  <si>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</si>
  <si>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</si>
  <si>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</si>
  <si>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</si>
  <si>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</si>
  <si>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</si>
  <si>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</si>
  <si>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</si>
  <si>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</si>
  <si>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</si>
  <si>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</si>
  <si>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</si>
  <si>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</si>
  <si>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</si>
  <si>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</si>
  <si>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</si>
  <si>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</si>
  <si>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</si>
  <si>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</si>
  <si>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</si>
  <si>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</si>
  <si>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</si>
  <si>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</si>
  <si>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</si>
  <si>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</si>
  <si>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</si>
  <si>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</si>
  <si>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</si>
  <si>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</si>
  <si>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</si>
  <si>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</si>
  <si>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</si>
  <si>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</si>
  <si>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</si>
  <si>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</si>
  <si>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</si>
  <si>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</si>
  <si>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</si>
  <si>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</si>
  <si>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</si>
  <si>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</si>
  <si>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</si>
  <si>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</si>
  <si>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</si>
  <si>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</si>
  <si>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</si>
  <si>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</si>
  <si>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</si>
  <si>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</si>
  <si>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</si>
  <si>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</si>
  <si>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</si>
  <si>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</si>
  <si>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</si>
  <si>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</si>
  <si>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</si>
  <si>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</si>
  <si>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</si>
  <si>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</si>
  <si>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</si>
  <si>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</si>
  <si>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</si>
  <si>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</si>
  <si>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</si>
  <si>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</si>
  <si>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</si>
  <si>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</si>
  <si>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</si>
  <si>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</si>
  <si>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</si>
  <si>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</si>
  <si>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</si>
  <si>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</si>
  <si>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</si>
  <si>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</si>
  <si>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</si>
  <si>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</si>
  <si>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</si>
  <si>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</si>
  <si>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</si>
  <si>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</si>
  <si>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</si>
  <si>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</si>
  <si>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</si>
  <si>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</si>
  <si>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</si>
  <si>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</si>
  <si>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</si>
  <si>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</si>
  <si>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</si>
  <si>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</si>
  <si>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</si>
  <si>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</si>
  <si>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</si>
  <si>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</si>
  <si>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</si>
  <si>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</si>
  <si>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</si>
  <si>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</si>
  <si>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</si>
  <si>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</si>
  <si>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</si>
  <si>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</si>
  <si>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</si>
  <si>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</si>
  <si>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</si>
  <si>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</si>
  <si>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</si>
  <si>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</si>
  <si>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</si>
  <si>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</si>
  <si>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</si>
  <si>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</si>
  <si>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</si>
  <si>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</si>
  <si>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</si>
  <si>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</si>
  <si>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</si>
  <si>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</si>
  <si>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</si>
  <si>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</si>
  <si>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</si>
  <si>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</si>
  <si>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</si>
  <si>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</si>
  <si>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</si>
  <si>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</si>
  <si>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</si>
  <si>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</si>
  <si>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</si>
  <si>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E33149364_7_20251208T142248Z.jpg</t>
  </si>
  <si>
    <t>2 Пилорама поката\E33149364_7_20251208T142248Z.jpg</t>
  </si>
  <si>
    <t>пн 08.12.2025 — 14:22:48</t>
  </si>
  <si>
    <t>E33149364_7_20251208T151401Z.jpg</t>
  </si>
  <si>
    <t>2 Пилорама поката\E33149364_7_20251208T151401Z.jpg</t>
  </si>
  <si>
    <t>пн 08.12.2025 — 15:14:01</t>
  </si>
  <si>
    <t>E33149364_7_20251208T152415Z.jpg</t>
  </si>
  <si>
    <t>2 Пилорама поката\E33149364_7_20251208T152415Z.jpg</t>
  </si>
  <si>
    <t>пн 08.12.2025 — 15:24:15</t>
  </si>
  <si>
    <t>E33149364_7_20251208T155255Z.jpg</t>
  </si>
  <si>
    <t>2 Пилорама поката\E33149364_7_20251208T155255Z.jpg</t>
  </si>
  <si>
    <t>пн 08.12.2025 — 15:52:55</t>
  </si>
  <si>
    <t>E33149364_7_20251208T172555Z.jpg</t>
  </si>
  <si>
    <t>2 Пилорама поката\E33149364_7_20251208T172555Z.jpg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</si>
  <si>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</si>
  <si>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</si>
  <si>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</si>
  <si>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</si>
  <si>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1 Ангар Склад 2 въезд\E33149364_6_20251207T135449Z.jpg</t>
  </si>
  <si>
    <t>1 Ангар Склад 2 въезд\E33149364_6_20251207T160931Z.jpg</t>
  </si>
  <si>
    <t>1 Ангар Склад 2 въезд\E33149364_6_20251208T142216Z.jpg</t>
  </si>
  <si>
    <t>1 Ангар Склад 2 въезд\E33149364_6_20251208T155849Z.jpg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</si>
  <si>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</si>
  <si>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</si>
  <si>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</si>
  <si>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</si>
  <si>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</si>
  <si>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</si>
  <si>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</si>
  <si>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</si>
  <si>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</si>
  <si>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</si>
  <si>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</si>
  <si>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</si>
  <si>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</si>
  <si>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</si>
  <si>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</si>
  <si>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</si>
  <si>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</si>
  <si>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</si>
  <si>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</si>
  <si>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</si>
  <si>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</si>
  <si>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</si>
  <si>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8 Рейсмус\E33149364_2_20251208T080617Z.jpg</t>
  </si>
  <si>
    <t>пн 08.12.2025 — 08:06:17</t>
  </si>
  <si>
    <t>E33149364_1_20251208T071219Z.jpg</t>
  </si>
  <si>
    <t>9 Ангар пилорама\E33149364_1_20251208T071219Z.jpg</t>
  </si>
  <si>
    <t>пн 08.12.2025 — 07:12:19</t>
  </si>
  <si>
    <t>E33149364_1_20251208T072909Z.jpg</t>
  </si>
  <si>
    <t>9 Ангар пилорама\E33149364_1_20251208T072909Z.jpg</t>
  </si>
  <si>
    <t>пн 08.12.2025 — 07:29:09</t>
  </si>
  <si>
    <t>E33149364_1_20251208T074333Z.jpg</t>
  </si>
  <si>
    <t>9 Ангар пилорама\E33149364_1_20251208T074333Z.jpg</t>
  </si>
  <si>
    <t>пн 08.12.2025 — 07:43:33</t>
  </si>
  <si>
    <t>E33149364_1_20251208T085008Z.jpg</t>
  </si>
  <si>
    <t>9 Ангар пилорама\E33149364_1_20251208T085008Z.jpg</t>
  </si>
  <si>
    <t>пн 08.12.2025 — 08:50:08</t>
  </si>
  <si>
    <t>E33149364_1_20251208T090846Z.jpg</t>
  </si>
  <si>
    <t>9 Ангар пилорама\E33149364_1_20251208T090846Z.jpg</t>
  </si>
  <si>
    <t>пн 08.12.2025 — 09:08:46</t>
  </si>
  <si>
    <t>E33149364_1_20251208T091722Z.jpg</t>
  </si>
  <si>
    <t>9 Ангар пилорама\E33149364_1_20251208T091722Z.jpg</t>
  </si>
  <si>
    <t>пн 08.12.2025 — 09:17:22</t>
  </si>
  <si>
    <t>E33149364_1_20251208T092944Z.jpg</t>
  </si>
  <si>
    <t>9 Ангар пилорама\E33149364_1_20251208T092944Z.jpg</t>
  </si>
  <si>
    <t>пн 08.12.2025 — 09:29:44</t>
  </si>
  <si>
    <t>E33149364_1_20251208T093349Z.jpg</t>
  </si>
  <si>
    <t>9 Ангар пилорама\E33149364_1_20251208T093349Z.jpg</t>
  </si>
  <si>
    <t>пн 08.12.2025 — 09:33:49</t>
  </si>
  <si>
    <t>E33149364_1_20251208T094253Z.jpg</t>
  </si>
  <si>
    <t>9 Ангар пилорама\E33149364_1_20251208T094253Z.jpg</t>
  </si>
  <si>
    <t>пн 08.12.2025 — 09:42:53</t>
  </si>
  <si>
    <t>E33149364_1_20251208T100027Z.jpg</t>
  </si>
  <si>
    <t>9 Ангар пилорама\E33149364_1_20251208T100027Z.jpg</t>
  </si>
  <si>
    <t>пн 08.12.2025 — 10:00:27</t>
  </si>
  <si>
    <t>E33149364_1_20251208T100335Z.jpg</t>
  </si>
  <si>
    <t>9 Ангар пилорама\E33149364_1_20251208T100335Z.jpg</t>
  </si>
  <si>
    <t>пн 08.12.2025 — 10:03:35</t>
  </si>
  <si>
    <t>E33149364_1_20251208T100917Z.jpg</t>
  </si>
  <si>
    <t>9 Ангар пилорама\E33149364_1_20251208T100917Z.jpg</t>
  </si>
  <si>
    <t>пн 08.12.2025 — 10:09:17</t>
  </si>
  <si>
    <t>E33149364_1_20251208T101634Z.jpg</t>
  </si>
  <si>
    <t>9 Ангар пилорама\E33149364_1_20251208T101634Z.jpg</t>
  </si>
  <si>
    <t>пн 08.12.2025 — 10:16:34</t>
  </si>
  <si>
    <t>E33149364_1_20251208T104102Z.jpg</t>
  </si>
  <si>
    <t>9 Ангар пилорама\E33149364_1_20251208T104102Z.jpg</t>
  </si>
  <si>
    <t>пн 08.12.2025 — 10:41:02</t>
  </si>
  <si>
    <t>E33149364_1_20251208T104850Z.jpg</t>
  </si>
  <si>
    <t>9 Ангар пилорама\E33149364_1_20251208T104850Z.jpg</t>
  </si>
  <si>
    <t>пн 08.12.2025 — 10:48:50</t>
  </si>
  <si>
    <t>E33149364_1_20251208T110316Z.jpg</t>
  </si>
  <si>
    <t>9 Ангар пилорама\E33149364_1_20251208T110316Z.jpg</t>
  </si>
  <si>
    <t>пн 08.12.2025 — 11:03:16</t>
  </si>
  <si>
    <t>E33149364_1_20251208T110504Z.jpg</t>
  </si>
  <si>
    <t>9 Ангар пилорама\E33149364_1_20251208T110504Z.jpg</t>
  </si>
  <si>
    <t>пн 08.12.2025 — 11:05:04</t>
  </si>
  <si>
    <t>E33149364_1_20251208T140050Z.jpg</t>
  </si>
  <si>
    <t>9 Ангар пилорама\E33149364_1_20251208T140050Z.jpg</t>
  </si>
  <si>
    <t>пн 08.12.2025 — 14:00:50</t>
  </si>
  <si>
    <t>E33149364_1_20251208T221822Z.jpg</t>
  </si>
  <si>
    <t>9 Ангар пилорама\E33149364_1_20251208T221822Z.jpg</t>
  </si>
  <si>
    <t>пн 08.12.2025 — 22:18:22</t>
  </si>
  <si>
    <t>E33149364_3_20251208T091125Z.jpg</t>
  </si>
  <si>
    <t>10 Сушилка навес\E33149364_3_20251208T091125Z.jpg</t>
  </si>
  <si>
    <t>пн 08.12.2025 — 09:11:25</t>
  </si>
  <si>
    <t>E33149364_3_20251208T091150Z.jpg</t>
  </si>
  <si>
    <t>10 Сушилка навес\E33149364_3_20251208T091150Z.jpg</t>
  </si>
  <si>
    <t>пн 08.12.2025 — 09:11:50</t>
  </si>
  <si>
    <t>E33149364_3_20251208T091659Z.jpg</t>
  </si>
  <si>
    <t>10 Сушилка навес\E33149364_3_20251208T091659Z.jpg</t>
  </si>
  <si>
    <t>пн 08.12.2025 — 09:16:59</t>
  </si>
  <si>
    <t>E33149364_3_20251208T092522Z.jpg</t>
  </si>
  <si>
    <t>10 Сушилка навес\E33149364_3_20251208T092522Z.jpg</t>
  </si>
  <si>
    <t>E33149364_3_20251208T092553Z.jpg</t>
  </si>
  <si>
    <t>10 Сушилка навес\E33149364_3_20251208T092553Z.jpg</t>
  </si>
  <si>
    <t>пн 08.12.2025 — 09:25:53</t>
  </si>
  <si>
    <t>E33149364_3_20251208T092620Z.jpg</t>
  </si>
  <si>
    <t>10 Сушилка навес\E33149364_3_20251208T092620Z.jpg</t>
  </si>
  <si>
    <t>пн 08.12.2025 — 09:26:20</t>
  </si>
  <si>
    <t>E33149364_3_20251208T092631Z.jpg</t>
  </si>
  <si>
    <t>10 Сушилка навес\E33149364_3_20251208T092631Z.jpg</t>
  </si>
  <si>
    <t>пн 08.12.2025 — 09:26:31</t>
  </si>
  <si>
    <t>E33149364_3_20251208T092639Z.jpg</t>
  </si>
  <si>
    <t>10 Сушилка навес\E33149364_3_20251208T092639Z.jpg</t>
  </si>
  <si>
    <t>пн 08.12.2025 — 09:26:39</t>
  </si>
  <si>
    <t>E33149364_3_20251208T092720Z.jpg</t>
  </si>
  <si>
    <t>10 Сушилка навес\E33149364_3_20251208T092720Z.jpg</t>
  </si>
  <si>
    <t>пн 08.12.2025 — 09:27:20</t>
  </si>
  <si>
    <t>E33149364_3_20251208T095905Z.jpg</t>
  </si>
  <si>
    <t>10 Сушилка навес\E33149364_3_20251208T095905Z.jpg</t>
  </si>
  <si>
    <t>пн 08.12.2025 — 09:59:05</t>
  </si>
  <si>
    <t>E33149364_3_20251208T100034Z.jpg</t>
  </si>
  <si>
    <t>10 Сушилка навес\E33149364_3_20251208T100034Z.jpg</t>
  </si>
  <si>
    <t>пн 08.12.2025 — 10:00:34</t>
  </si>
  <si>
    <t>E33149364_3_20251208T100416Z.jpg</t>
  </si>
  <si>
    <t>10 Сушилка навес\E33149364_3_20251208T100416Z.jpg</t>
  </si>
  <si>
    <t>пн 08.12.2025 — 10:04:16</t>
  </si>
  <si>
    <t>E33149364_3_20251208T100431Z.jpg</t>
  </si>
  <si>
    <t>10 Сушилка навес\E33149364_3_20251208T100431Z.jpg</t>
  </si>
  <si>
    <t>пн 08.12.2025 — 10:04:31</t>
  </si>
  <si>
    <t>E33149364_3_20251208T101134Z.jpg</t>
  </si>
  <si>
    <t>10 Сушилка навес\E33149364_3_20251208T101134Z.jpg</t>
  </si>
  <si>
    <t>пн 08.12.2025 — 10:11:34</t>
  </si>
  <si>
    <t>E33149364_3_20251208T101227Z.jpg</t>
  </si>
  <si>
    <t>10 Сушилка навес\E33149364_3_20251208T101227Z.jpg</t>
  </si>
  <si>
    <t>пн 08.12.2025 — 10:12:27</t>
  </si>
  <si>
    <t>E33149364_3_20251208T101253Z.jpg</t>
  </si>
  <si>
    <t>10 Сушилка навес\E33149364_3_20251208T101253Z.jpg</t>
  </si>
  <si>
    <t>пн 08.12.2025 — 10:12:53</t>
  </si>
  <si>
    <t>E33149364_3_20251208T110517Z.jpg</t>
  </si>
  <si>
    <t>10 Сушилка навес\E33149364_3_20251208T110517Z.jpg</t>
  </si>
  <si>
    <t>пн 08.12.2025 — 11:05:17</t>
  </si>
  <si>
    <t>E33149364_3_20251208T110539Z.jpg</t>
  </si>
  <si>
    <t>10 Сушилка навес\E33149364_3_20251208T110539Z.jpg</t>
  </si>
  <si>
    <t>пн 08.12.2025 — 11:05:39</t>
  </si>
  <si>
    <t>E33149364_3_20251208T111458Z.jpg</t>
  </si>
  <si>
    <t>10 Сушилка навес\E33149364_3_20251208T111458Z.jpg</t>
  </si>
  <si>
    <t>пн 08.12.2025 — 11:14:58</t>
  </si>
  <si>
    <t>E33149364_3_20251208T142549Z.jpg</t>
  </si>
  <si>
    <t>10 Сушилка навес\E33149364_3_20251208T142549Z.jpg</t>
  </si>
  <si>
    <t>пн 08.12.2025 — 14:25:49</t>
  </si>
  <si>
    <t>E33149364_3_20251208T151329Z.jpg</t>
  </si>
  <si>
    <t>10 Сушилка навес\E33149364_3_20251208T151329Z.jpg</t>
  </si>
  <si>
    <t>пн 08.12.2025 — 15:13:29</t>
  </si>
  <si>
    <t>E33149364_3_20251208T152332Z.jpg</t>
  </si>
  <si>
    <t>10 Сушилка навес\E33149364_3_20251208T152332Z.jpg</t>
  </si>
  <si>
    <t>пн 08.12.2025 — 15:23:32</t>
  </si>
  <si>
    <t>E33149364_3_20251208T172344Z.jpg</t>
  </si>
  <si>
    <t>10 Сушилка навес\E33149364_3_20251208T172344Z.jpg</t>
  </si>
  <si>
    <t>пн 08.12.2025 — 17:23:44</t>
  </si>
  <si>
    <t>E33149364_4_20251208T100527Z.jpg</t>
  </si>
  <si>
    <t>11 С ангара на базу\E33149364_4_20251208T100527Z.jpg</t>
  </si>
  <si>
    <t>пн 08.12.2025 — 10:05:27</t>
  </si>
  <si>
    <t>E33149364_4_20251208T110553Z.jpg</t>
  </si>
  <si>
    <t>11 С ангара на базу\E33149364_4_20251208T110553Z.jpg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</si>
  <si>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</si>
  <si>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</si>
  <si>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</si>
  <si>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</si>
  <si>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</si>
  <si>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</si>
  <si>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</si>
  <si>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</si>
  <si>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</si>
  <si>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</si>
  <si>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</si>
  <si>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</si>
  <si>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</si>
  <si>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</si>
  <si>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</si>
  <si>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</si>
  <si>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</si>
  <si>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</si>
  <si>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</si>
  <si>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</si>
  <si>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</si>
  <si>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</si>
  <si>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</si>
  <si>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</si>
  <si>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1 Ангар Склад 2 въезд\E33149364_6_20251209T101406Z.jpg</t>
  </si>
  <si>
    <t>вт 09.12.2025 — 10:14:06</t>
  </si>
  <si>
    <t>E33149364_6_20251209T113012Z.jpg</t>
  </si>
  <si>
    <t>1 Ангар Склад 2 въезд\E33149364_6_20251209T113012Z.jpg</t>
  </si>
  <si>
    <t>вт 09.12.2025 — 11:30:12</t>
  </si>
  <si>
    <t>E33149364_6_20251209T121518Z.jpg</t>
  </si>
  <si>
    <t>1 Ангар Склад 2 въезд\E33149364_6_20251209T121518Z.jpg</t>
  </si>
  <si>
    <t>вт 09.12.2025 — 12:15:18</t>
  </si>
  <si>
    <t>E33149364_6_20251209T122353Z.jpg</t>
  </si>
  <si>
    <t>1 Ангар Склад 2 въезд\E33149364_6_20251209T122353Z.jpg</t>
  </si>
  <si>
    <t>вт 09.12.2025 — 12:23:53</t>
  </si>
  <si>
    <t>E33149364_6_20251209T151412Z.jpg</t>
  </si>
  <si>
    <t>1 Ангар Склад 2 въезд\E33149364_6_20251209T151412Z.jpg</t>
  </si>
  <si>
    <t>вт 09.12.2025 — 15:14:12</t>
  </si>
  <si>
    <t>E33149364_6_20251209T164025Z.jpg</t>
  </si>
  <si>
    <t>1 Ангар Склад 2 въезд\E33149364_6_20251209T164025Z.jpg</t>
  </si>
  <si>
    <t>вт 09.12.2025 — 16:40:25</t>
  </si>
  <si>
    <t>E33149364_6_20251210T124635Z.jpg</t>
  </si>
  <si>
    <t>1 Ангар Склад 2 въезд\E33149364_6_20251210T124635Z.jpg</t>
  </si>
  <si>
    <t>ср 10.12.2025 — 12:46:35</t>
  </si>
  <si>
    <t>E33149364_6_20251210T152006Z.jpg</t>
  </si>
  <si>
    <t>1 Ангар Склад 2 въезд\E33149364_6_20251210T152006Z.jpg</t>
  </si>
  <si>
    <t>ср 10.12.2025 — 15:20:06</t>
  </si>
  <si>
    <t>Грузовик Volvo FH12 с платформой</t>
  </si>
  <si>
    <t>E33149364_7_20251209T100657Z.jpg</t>
  </si>
  <si>
    <t>2 Пилорама поката\E33149364_7_20251209T100657Z.jpg</t>
  </si>
  <si>
    <t>вт 09.12.2025 — 10:06:57</t>
  </si>
  <si>
    <t>E33149364_7_20251209T102454Z.jpg</t>
  </si>
  <si>
    <t>2 Пилорама поката\E33149364_7_20251209T102454Z.jpg</t>
  </si>
  <si>
    <t>вт 09.12.2025 — 10:24:54</t>
  </si>
  <si>
    <t>E33149364_7_20251209T102507Z.jpg</t>
  </si>
  <si>
    <t>2 Пилорама поката\E33149364_7_20251209T102507Z.jpg</t>
  </si>
  <si>
    <t>вт 09.12.2025 — 10:25:07</t>
  </si>
  <si>
    <t>E33149364_7_20251209T151459Z.jpg</t>
  </si>
  <si>
    <t>2 Пилорама поката\E33149364_7_20251209T151459Z.jpg</t>
  </si>
  <si>
    <t>вт 09.12.2025 — 15:14:59</t>
  </si>
  <si>
    <t>E33149364_7_20251209T162901Z.jpg</t>
  </si>
  <si>
    <t>2 Пилорама поката\E33149364_7_20251209T162901Z.jpg</t>
  </si>
  <si>
    <t>вт 09.12.2025 — 16:29:01</t>
  </si>
  <si>
    <t>E33149364_7_20251210T090238Z.jpg</t>
  </si>
  <si>
    <t>2 Пилорама поката\E33149364_7_20251210T090238Z.jpg</t>
  </si>
  <si>
    <t>ср 10.12.2025 — 09:02:38</t>
  </si>
  <si>
    <t>E33149364_7_20251210T090249Z.jpg</t>
  </si>
  <si>
    <t>2 Пилорама поката\E33149364_7_20251210T090249Z.jpg</t>
  </si>
  <si>
    <t>ср 10.12.2025 — 09:02:49</t>
  </si>
  <si>
    <t>E33149364_7_20251210T091115Z.jpg</t>
  </si>
  <si>
    <t>2 Пилорама поката\E33149364_7_20251210T091115Z.jpg</t>
  </si>
  <si>
    <t>ср 10.12.2025 — 09:11:15</t>
  </si>
  <si>
    <t>E33149364_7_20251210T091135Z.jpg</t>
  </si>
  <si>
    <t>2 Пилорама поката\E33149364_7_20251210T091135Z.jpg</t>
  </si>
  <si>
    <t>ср 10.12.2025 — 09:11:35</t>
  </si>
  <si>
    <t>E33149364_7_20251210T124722Z.jpg</t>
  </si>
  <si>
    <t>2 Пилорама поката\E33149364_7_20251210T124722Z.jpg</t>
  </si>
  <si>
    <t>ср 10.12.2025 — 12:47:22</t>
  </si>
  <si>
    <t>E33149364_7_20251210T135133Z.jpg</t>
  </si>
  <si>
    <t>2 Пилорама поката\E33149364_7_20251210T135133Z.jpg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</si>
  <si>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</si>
  <si>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</si>
  <si>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</si>
  <si>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</si>
  <si>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</si>
  <si>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</si>
  <si>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</si>
  <si>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</si>
  <si>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</si>
  <si>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</si>
  <si>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</si>
  <si>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</si>
  <si>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</si>
  <si>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</si>
  <si>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</si>
  <si>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</si>
  <si>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</si>
  <si>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</si>
  <si>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</si>
  <si>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</si>
  <si>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9 Ангар пилорама\E33149364_1_20251209T123629Z.jpg</t>
  </si>
  <si>
    <t>вт 09.12.2025 — 12:36:29</t>
  </si>
  <si>
    <t>E33149364_1_20251209T145548Z.jpg</t>
  </si>
  <si>
    <t>9 Ангар пилорама\E33149364_1_20251209T145548Z.jpg</t>
  </si>
  <si>
    <t>вт 09.12.2025 — 14:55:48</t>
  </si>
  <si>
    <t>E33149364_1_20251209T150456Z.jpg</t>
  </si>
  <si>
    <t>9 Ангар пилорама\E33149364_1_20251209T150456Z.jpg</t>
  </si>
  <si>
    <t>вт 09.12.2025 — 15:04:56</t>
  </si>
  <si>
    <t>E33149364_1_20251209T154214Z.jpg</t>
  </si>
  <si>
    <t>9 Ангар пилорама\E33149364_1_20251209T154214Z.jpg</t>
  </si>
  <si>
    <t>вт 09.12.2025 — 15:42:14</t>
  </si>
  <si>
    <t>E33149364_1_20251209T161325Z.jpg</t>
  </si>
  <si>
    <t>9 Ангар пилорама\E33149364_1_20251209T161325Z.jpg</t>
  </si>
  <si>
    <t>вт 09.12.2025 — 16:13:25</t>
  </si>
  <si>
    <t>E33149364_1_20251209T162454Z.jpg</t>
  </si>
  <si>
    <t>9 Ангар пилорама\E33149364_1_20251209T162454Z.jpg</t>
  </si>
  <si>
    <t>вт 09.12.2025 — 16:24:54</t>
  </si>
  <si>
    <t>E33149364_1_20251209T201058Z.jpg</t>
  </si>
  <si>
    <t>9 Ангар пилорама\E33149364_1_20251209T201058Z.jpg</t>
  </si>
  <si>
    <t>вт 09.12.2025 — 20:10:58</t>
  </si>
  <si>
    <t>E33149364_1_20251209T224429Z.jpg</t>
  </si>
  <si>
    <t>9 Ангар пилорама\E33149364_1_20251209T224429Z.jpg</t>
  </si>
  <si>
    <t>вт 09.12.2025 — 22:44:29</t>
  </si>
  <si>
    <t>E33149364_1_20251209T232227Z.jpg</t>
  </si>
  <si>
    <t>9 Ангар пилорама\E33149364_1_20251209T232227Z.jpg</t>
  </si>
  <si>
    <t>вт 09.12.2025 — 23:22:27</t>
  </si>
  <si>
    <t>E33149364_1_20251210T083250Z.jpg</t>
  </si>
  <si>
    <t>9 Ангар пилорама\E33149364_1_20251210T083250Z.jpg</t>
  </si>
  <si>
    <t>ср 10.12.2025 — 08:32:50</t>
  </si>
  <si>
    <t>E33149364_1_20251210T095622Z.jpg</t>
  </si>
  <si>
    <t>9 Ангар пилорама\E33149364_1_20251210T095622Z.jpg</t>
  </si>
  <si>
    <t>ср 10.12.2025 — 09:56:22</t>
  </si>
  <si>
    <t>E33149364_1_20251210T105941Z.jpg</t>
  </si>
  <si>
    <t>9 Ангар пилорама\E33149364_1_20251210T105941Z.jpg</t>
  </si>
  <si>
    <t>ср 10.12.2025 — 10:59:41</t>
  </si>
  <si>
    <t>E33149364_1_20251210T110617Z.jpg</t>
  </si>
  <si>
    <t>9 Ангар пилорама\E33149364_1_20251210T110617Z.jpg</t>
  </si>
  <si>
    <t>ср 10.12.2025 — 11:06:17</t>
  </si>
  <si>
    <t>E33149364_1_20251210T115405Z.jpg</t>
  </si>
  <si>
    <t>9 Ангар пилорама\E33149364_1_20251210T115405Z.jpg</t>
  </si>
  <si>
    <t>ср 10.12.2025 — 11:54:05</t>
  </si>
  <si>
    <t>E33149364_1_20251210T120731Z.jpg</t>
  </si>
  <si>
    <t>9 Ангар пилорама\E33149364_1_20251210T120731Z.jpg</t>
  </si>
  <si>
    <t>ср 10.12.2025 — 12:07:31</t>
  </si>
  <si>
    <t>E33149364_1_20251210T123147Z.jpg</t>
  </si>
  <si>
    <t>9 Ангар пилорама\E33149364_1_20251210T123147Z.jpg</t>
  </si>
  <si>
    <t>ср 10.12.2025 — 12:31:47</t>
  </si>
  <si>
    <t>E33149364_1_20251210T125645Z.jpg</t>
  </si>
  <si>
    <t>9 Ангар пилорама\E33149364_1_20251210T125645Z.jpg</t>
  </si>
  <si>
    <t>ср 10.12.2025 — 12:56:45</t>
  </si>
  <si>
    <t>E33149364_1_20251210T154006Z.jpg</t>
  </si>
  <si>
    <t>9 Ангар пилорама\E33149364_1_20251210T154006Z.jpg</t>
  </si>
  <si>
    <t>ср 10.12.2025 — 15:40:06</t>
  </si>
  <si>
    <t>E33149364_1_20251210T154352Z.jpg</t>
  </si>
  <si>
    <t>9 Ангар пилорама\E33149364_1_20251210T154352Z.jpg</t>
  </si>
  <si>
    <t>ср 10.12.2025 — 15:43:52</t>
  </si>
  <si>
    <t>E33149364_1_20251210T155933Z.jpg</t>
  </si>
  <si>
    <t>9 Ангар пилорама\E33149364_1_20251210T155933Z.jpg</t>
  </si>
  <si>
    <t>ср 10.12.2025 — 15:59:33</t>
  </si>
  <si>
    <t>E33149364_1_20251211T091221Z.jpg</t>
  </si>
  <si>
    <t>9 Ангар пилорама\E33149364_1_20251211T091221Z.jpg</t>
  </si>
  <si>
    <t>чт 11.12.2025 — 09:12:21</t>
  </si>
  <si>
    <t>E33149364_1_20251211T201257Z.jpg</t>
  </si>
  <si>
    <t>9 Ангар пилорама\E33149364_1_20251211T201257Z.jpg</t>
  </si>
  <si>
    <t>чт 11.12.2025 — 20:12:57</t>
  </si>
  <si>
    <t>E33149364_1_20251211T203243Z.jpg</t>
  </si>
  <si>
    <t>9 Ангар пилорама\E33149364_1_20251211T203243Z.jpg</t>
  </si>
  <si>
    <t>чт 11.12.2025 — 20:32:43</t>
  </si>
  <si>
    <t>E33149364_1_20251211T214101Z.jpg</t>
  </si>
  <si>
    <t>9 Ангар пилорама\E33149364_1_20251211T214101Z.jpg</t>
  </si>
  <si>
    <t>чт 11.12.2025 — 21:41:01</t>
  </si>
  <si>
    <t>E33149364_1_20251211T231657Z.jpg</t>
  </si>
  <si>
    <t>9 Ангар пилорама\E33149364_1_20251211T231657Z.jpg</t>
  </si>
  <si>
    <t>чт 11.12.2025 — 23:16:57</t>
  </si>
  <si>
    <t>E33149364_4_20251209T145412Z.jpg</t>
  </si>
  <si>
    <t>C:\ВИДЕОНАБЛЮДЕНИЕ\11 С ангара на базу\captrue\</t>
  </si>
  <si>
    <t>11 С ангара на базу\E33149364_4_20251209T145412Z.jpg</t>
  </si>
  <si>
    <t>вт 09.12.2025 — 14:54:12</t>
  </si>
  <si>
    <t>E33149364_4_20251209T150204Z.jpg</t>
  </si>
  <si>
    <t>11 С ангара на базу\E33149364_4_20251209T150204Z.jpg</t>
  </si>
  <si>
    <t>вт 09.12.2025 — 15:02:04</t>
  </si>
  <si>
    <t>E33149364_4_20251209T151029Z.jpg</t>
  </si>
  <si>
    <t>11 С ангара на базу\E33149364_4_20251209T151029Z.jpg</t>
  </si>
  <si>
    <t>вт 09.12.2025 — 15:10:29</t>
  </si>
  <si>
    <t>E33149364_4_20251210T121206Z.jpg</t>
  </si>
  <si>
    <t>11 С ангара на базу\E33149364_4_20251210T121206Z.jpg</t>
  </si>
  <si>
    <t>ср 10.12.2025 — 12:12:06</t>
  </si>
  <si>
    <t>E33149364_4_20251211T145553Z.jpg</t>
  </si>
  <si>
    <t>11 С ангара на базу\E33149364_4_20251211T145553Z.jpg</t>
  </si>
  <si>
    <t>чт 11.12.2025 — 14:55:53</t>
  </si>
  <si>
    <t>E33149364_4_20251211T145746Z.jpg</t>
  </si>
  <si>
    <t>11 С ангара на базу\E33149364_4_20251211T145746Z.jpg</t>
  </si>
  <si>
    <t>чт 11.12.2025 — 14:57:46</t>
  </si>
  <si>
    <t>E33149364_4_20251211T151503Z.jpg</t>
  </si>
  <si>
    <t>11 С ангара на базу\E33149364_4_20251211T151503Z.jpg</t>
  </si>
  <si>
    <t>чт 11.12.2025 — 15:15:03</t>
  </si>
  <si>
    <t>E33149364_4_20251211T172016Z.jpg</t>
  </si>
  <si>
    <t>11 С ангара на базу\E33149364_4_20251211T172016Z.jpg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</si>
  <si>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</si>
  <si>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</si>
  <si>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</si>
  <si>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</si>
  <si>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</si>
  <si>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</si>
  <si>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</si>
  <si>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</si>
  <si>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</si>
  <si>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</si>
  <si>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</si>
  <si>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</si>
  <si>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</si>
  <si>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</si>
  <si>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</si>
  <si>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</si>
  <si>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</si>
  <si>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</si>
  <si>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</si>
  <si>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</si>
  <si>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</si>
  <si>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</si>
  <si>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</si>
  <si>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</si>
  <si>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</si>
  <si>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</si>
  <si>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</si>
  <si>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</si>
  <si>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</si>
  <si>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3 Въезд на базу\E33149364_8_20251209T121555Z.jpg</t>
  </si>
  <si>
    <t>вт 09.12.2025 — 12:15:55</t>
  </si>
  <si>
    <t>E33149364_8_20251209T125803Z.jpg</t>
  </si>
  <si>
    <t>3 Въезд на базу\E33149364_8_20251209T125803Z.jpg</t>
  </si>
  <si>
    <t>вт 09.12.2025 — 12:58:03</t>
  </si>
  <si>
    <t>E33149364_8_20251209T170557Z.jpg</t>
  </si>
  <si>
    <t>3 Въезд на базу\E33149364_8_20251209T170557Z.jpg</t>
  </si>
  <si>
    <t>вт 09.12.2025 — 17:05:57</t>
  </si>
  <si>
    <t>E33149364_8_20251210T151750Z.jpg</t>
  </si>
  <si>
    <t>3 Въезд на базу\E33149364_8_20251210T151750Z.jpg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</si>
  <si>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</si>
  <si>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</si>
  <si>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</si>
  <si>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</si>
  <si>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</si>
  <si>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</si>
  <si>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</si>
  <si>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</si>
  <si>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</si>
  <si>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</si>
  <si>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</si>
  <si>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</si>
  <si>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</si>
  <si>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</si>
  <si>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</si>
  <si>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</si>
  <si>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</si>
  <si>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</si>
  <si>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</si>
  <si>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</si>
  <si>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</si>
  <si>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</si>
  <si>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</si>
  <si>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8 Рейсмус\E33149364_2_20251209T162636Z.jpg</t>
  </si>
  <si>
    <t>вт 09.12.2025 — 16:26:36</t>
  </si>
  <si>
    <t>E33149364_2_20251210T105719Z.jpg</t>
  </si>
  <si>
    <t>8 Рейсмус\E33149364_2_20251210T105719Z.jpg</t>
  </si>
  <si>
    <t>ср 10.12.2025 — 10:57:19</t>
  </si>
  <si>
    <t>E33149364_2_20251210T144538Z.jpg</t>
  </si>
  <si>
    <t>8 Рейсмус\E33149364_2_20251210T144538Z.jpg</t>
  </si>
  <si>
    <t>ср 10.12.2025 — 14:45:38</t>
  </si>
  <si>
    <t>E33149364_2_20251210T144542Z.jpg</t>
  </si>
  <si>
    <t>8 Рейсмус\E33149364_2_20251210T144542Z.jpg</t>
  </si>
  <si>
    <t>ср 10.12.2025 — 14:45:42</t>
  </si>
  <si>
    <t>E33149364_2_20251210T144651Z.jpg</t>
  </si>
  <si>
    <t>8 Рейсмус\E33149364_2_20251210T144651Z.jpg</t>
  </si>
  <si>
    <t>ср 10.12.2025 — 14:46:51</t>
  </si>
  <si>
    <t>E33149364_2_20251210T152944Z.jpg</t>
  </si>
  <si>
    <t>8 Рейсмус\E33149364_2_20251210T152944Z.jpg</t>
  </si>
  <si>
    <t>ср 10.12.2025 — 15:29:44</t>
  </si>
  <si>
    <t>E33149364_2_20251210T155125Z.jpg</t>
  </si>
  <si>
    <t>8 Рейсмус\E33149364_2_20251210T155125Z.jpg</t>
  </si>
  <si>
    <t>ср 10.12.2025 — 15:51:25</t>
  </si>
  <si>
    <t>E33149364_2_20251210T155629Z.jpg</t>
  </si>
  <si>
    <t>8 Рейсмус\E33149364_2_20251210T155629Z.jpg</t>
  </si>
  <si>
    <t>ср 10.12.2025 — 15:56:29</t>
  </si>
  <si>
    <t>E33149364_2_20251211T233847Z.jpg</t>
  </si>
  <si>
    <t>8 Рейсмус\E33149364_2_20251211T233847Z.jpg</t>
  </si>
  <si>
    <t>чт 11.12.2025 — 23:38:47</t>
  </si>
  <si>
    <t>E33149364_3_20251209T085928Z.jpg</t>
  </si>
  <si>
    <t>10 Сушилка навес\E33149364_3_20251209T085928Z.jpg</t>
  </si>
  <si>
    <t>вт 09.12.2025 — 08:59:28</t>
  </si>
  <si>
    <t>E33149364_3_20251209T100711Z.jpg</t>
  </si>
  <si>
    <t>10 Сушилка навес\E33149364_3_20251209T100711Z.jpg</t>
  </si>
  <si>
    <t>вт 09.12.2025 — 10:07:11</t>
  </si>
  <si>
    <t>E33149364_3_20251209T113832Z.jpg</t>
  </si>
  <si>
    <t>10 Сушилка навес\E33149364_3_20251209T113832Z.jpg</t>
  </si>
  <si>
    <t>вт 09.12.2025 — 11:38:32</t>
  </si>
  <si>
    <t>E33149364_3_20251209T145541Z.jpg</t>
  </si>
  <si>
    <t>10 Сушилка навес\E33149364_3_20251209T145541Z.jpg</t>
  </si>
  <si>
    <t>вт 09.12.2025 — 14:55:41</t>
  </si>
  <si>
    <t>E33149364_3_20251209T150325Z.jpg</t>
  </si>
  <si>
    <t>10 Сушилка навес\E33149364_3_20251209T150325Z.jpg</t>
  </si>
  <si>
    <t>вт 09.12.2025 — 15:03:25</t>
  </si>
  <si>
    <t>E33149364_3_20251209T151206Z.jpg</t>
  </si>
  <si>
    <t>10 Сушилка навес\E33149364_3_20251209T151206Z.jpg</t>
  </si>
  <si>
    <t>вт 09.12.2025 — 15:12:06</t>
  </si>
  <si>
    <t>E33149364_3_20251210T084548Z.jpg</t>
  </si>
  <si>
    <t>10 Сушилка навес\E33149364_3_20251210T084548Z.jpg</t>
  </si>
  <si>
    <t>ср 10.12.2025 — 08:45:48</t>
  </si>
  <si>
    <t>E33149364_3_20251210T090139Z.jpg</t>
  </si>
  <si>
    <t>10 Сушилка навес\E33149364_3_20251210T090139Z.jpg</t>
  </si>
  <si>
    <t>ср 10.12.2025 — 09:01:39</t>
  </si>
  <si>
    <t>E33149364_3_20251210T090149Z.jpg</t>
  </si>
  <si>
    <t>10 Сушилка навес\E33149364_3_20251210T090149Z.jpg</t>
  </si>
  <si>
    <t>ср 10.12.2025 — 09:01:49</t>
  </si>
  <si>
    <t>E33149364_3_20251210T090932Z.jpg</t>
  </si>
  <si>
    <t>10 Сушилка навес\E33149364_3_20251210T090932Z.jpg</t>
  </si>
  <si>
    <t>ср 10.12.2025 — 09:09:32</t>
  </si>
  <si>
    <t>E33149364_3_20251210T091054Z.jpg</t>
  </si>
  <si>
    <t>10 Сушилка навес\E33149364_3_20251210T091054Z.jpg</t>
  </si>
  <si>
    <t>ср 10.12.2025 — 09:10:54</t>
  </si>
  <si>
    <t>E33149364_3_20251210T094520Z.jpg</t>
  </si>
  <si>
    <t>10 Сушилка навес\E33149364_3_20251210T094520Z.jpg</t>
  </si>
  <si>
    <t>ср 10.12.2025 — 09:45:20</t>
  </si>
  <si>
    <t>E33149364_3_20251210T115614Z.jpg</t>
  </si>
  <si>
    <t>10 Сушилка навес\E33149364_3_20251210T115614Z.jpg</t>
  </si>
  <si>
    <t>ср 10.12.2025 — 11:56:14</t>
  </si>
  <si>
    <t>E33149364_3_20251210T115623Z.jpg</t>
  </si>
  <si>
    <t>10 Сушилка навес\E33149364_3_20251210T115623Z.jpg</t>
  </si>
  <si>
    <t>ср 10.12.2025 — 11:56:23</t>
  </si>
  <si>
    <t>E33149364_3_20251210T120511Z.jpg</t>
  </si>
  <si>
    <t>10 Сушилка навес\E33149364_3_20251210T120511Z.jpg</t>
  </si>
  <si>
    <t>ср 10.12.2025 — 12:05:11</t>
  </si>
  <si>
    <t>E33149364_3_20251210T121317Z.jpg</t>
  </si>
  <si>
    <t>10 Сушилка навес\E33149364_3_20251210T121317Z.jpg</t>
  </si>
  <si>
    <t>ср 10.12.2025 — 12:13:17</t>
  </si>
  <si>
    <t>E33149364_3_20251211T091501Z.jpg</t>
  </si>
  <si>
    <t>10 Сушилка навес\E33149364_3_20251211T091501Z.jpg</t>
  </si>
  <si>
    <t>чт 11.12.2025 — 09:15:01</t>
  </si>
  <si>
    <t>E33149364_3_20251211T132030Z.jpg</t>
  </si>
  <si>
    <t>10 Сушилка навес\E33149364_3_20251211T132030Z.jpg</t>
  </si>
  <si>
    <t>чт 11.12.2025 — 13:20:30</t>
  </si>
  <si>
    <t>E33149364_3_20251211T165723Z.jpg</t>
  </si>
  <si>
    <t>10 Сушилка навес\E33149364_3_20251211T165723Z.jpg</t>
  </si>
  <si>
    <t>чт 11.12.2025 — 16:57:23</t>
  </si>
  <si>
    <t>E33149364_7_20251211T145657Z.jpg</t>
  </si>
  <si>
    <t>2 Пилорама поката\E33149364_7_20251211T145657Z.jpg</t>
  </si>
  <si>
    <t>чт 11.12.2025 — 14:56:57</t>
  </si>
  <si>
    <t>E33149364_7_20251212T103754Z.jpg</t>
  </si>
  <si>
    <t>2 Пилорама поката\E33149364_7_20251212T103754Z.jpg</t>
  </si>
  <si>
    <t>пт 12.12.2025 — 10:37:54</t>
  </si>
  <si>
    <t>E33149364_7_20251212T110134Z.jpg</t>
  </si>
  <si>
    <t>2 Пилорама поката\E33149364_7_20251212T110134Z.jpg</t>
  </si>
  <si>
    <t>пт 12.12.2025 — 11:01:34</t>
  </si>
  <si>
    <t>E33149364_7_20251212T111818Z.jpg</t>
  </si>
  <si>
    <t>2 Пилорама поката\E33149364_7_20251212T111818Z.jpg</t>
  </si>
  <si>
    <t>пт 12.12.2025 — 11:18:18</t>
  </si>
  <si>
    <t>E33149364_7_20251212T112745Z.jpg</t>
  </si>
  <si>
    <t>2 Пилорама поката\E33149364_7_20251212T112745Z.jpg</t>
  </si>
  <si>
    <t>пт 12.12.2025 — 11:27:45</t>
  </si>
  <si>
    <t>E33149364_7_20251212T113413Z.jpg</t>
  </si>
  <si>
    <t>2 Пилорама поката\E33149364_7_20251212T113413Z.jpg</t>
  </si>
  <si>
    <t>пт 12.12.2025 — 11:34:13</t>
  </si>
  <si>
    <t>E33149364_7_20251212T114437Z.jpg</t>
  </si>
  <si>
    <t>2 Пилорама поката\E33149364_7_20251212T114437Z.jpg</t>
  </si>
  <si>
    <t>пт 12.12.2025 — 11:44:37</t>
  </si>
  <si>
    <t>E33149364_7_20251212T120819Z.jpg</t>
  </si>
  <si>
    <t>2 Пилорама поката\E33149364_7_20251212T120819Z.jpg</t>
  </si>
  <si>
    <t>пт 12.12.2025 — 12:08:19</t>
  </si>
  <si>
    <t>E33149364_7_20251212T122100Z.jpg</t>
  </si>
  <si>
    <t>2 Пилорама поката\E33149364_7_20251212T122100Z.jpg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</si>
  <si>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</si>
  <si>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</si>
  <si>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</si>
  <si>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</si>
  <si>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</si>
  <si>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</si>
  <si>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</si>
  <si>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</si>
  <si>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</si>
  <si>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</si>
  <si>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</si>
  <si>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</si>
  <si>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</si>
  <si>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</si>
  <si>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1 Ангар Склад 2 въезд\E33149364_6_20251211T170609Z.jpg</t>
  </si>
  <si>
    <t>чт 11.12.2025 — 17:06:09</t>
  </si>
  <si>
    <t>E33149364_6_20251212T174150Z.jpg</t>
  </si>
  <si>
    <t>1 Ангар Склад 2 въезд\E33149364_6_20251212T174150Z.jpg</t>
  </si>
  <si>
    <t>пт 12.12.2025 — 17:41:50</t>
  </si>
  <si>
    <t>E33149364_8_20251211T132921Z.jpg</t>
  </si>
  <si>
    <t>3 Въезд на базу\E33149364_8_20251211T132921Z.jpg</t>
  </si>
  <si>
    <t>чт 11.12.2025 — 13:29:21</t>
  </si>
  <si>
    <t>E33149364_8_20251211T160622Z.jpg</t>
  </si>
  <si>
    <t>3 Въезд на базу\E33149364_8_20251211T160622Z.jpg</t>
  </si>
  <si>
    <t>чт 11.12.2025 — 16:06:22</t>
  </si>
  <si>
    <t>E33149364_8_20251212T113525Z.jpg</t>
  </si>
  <si>
    <t>3 Въезд на базу\E33149364_8_20251212T113525Z.jpg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</si>
  <si>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</si>
  <si>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</si>
  <si>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</si>
  <si>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</si>
  <si>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</si>
  <si>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</si>
  <si>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</si>
  <si>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</si>
  <si>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</si>
  <si>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</si>
  <si>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</si>
  <si>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</si>
  <si>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</si>
  <si>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</si>
  <si>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</si>
  <si>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</si>
  <si>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</si>
  <si>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</si>
  <si>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</si>
  <si>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</si>
  <si>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</si>
  <si>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</si>
  <si>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</si>
  <si>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8 Рейсмус\E33149364_2_20251212T122335Z.jpg</t>
  </si>
  <si>
    <t>пт 12.12.2025 — 12:23:35</t>
  </si>
  <si>
    <t>E33149364_3_20251212T090346Z.jpg</t>
  </si>
  <si>
    <t>10 Сушилка навес\E33149364_3_20251212T090346Z.jpg</t>
  </si>
  <si>
    <t>пт 12.12.2025 — 09:03:46</t>
  </si>
  <si>
    <t>E33149364_3_20251212T100840Z.jpg</t>
  </si>
  <si>
    <t>10 Сушилка навес\E33149364_3_20251212T100840Z.jpg</t>
  </si>
  <si>
    <t>пт 12.12.2025 — 10:08:40</t>
  </si>
  <si>
    <t>E33149364_3_20251212T103736Z.jpg</t>
  </si>
  <si>
    <t>10 Сушилка навес\E33149364_3_20251212T103736Z.jpg</t>
  </si>
  <si>
    <t>пт 12.12.2025 — 10:37:36</t>
  </si>
  <si>
    <t>E33149364_3_20251212T104151Z.jpg</t>
  </si>
  <si>
    <t>10 Сушилка навес\E33149364_3_20251212T104151Z.jpg</t>
  </si>
  <si>
    <t>пт 12.12.2025 — 10:41:51</t>
  </si>
  <si>
    <t>E33149364_3_20251212T104200Z.jpg</t>
  </si>
  <si>
    <t>10 Сушилка навес\E33149364_3_20251212T104200Z.jpg</t>
  </si>
  <si>
    <t>пт 12.12.2025 — 10:42:00</t>
  </si>
  <si>
    <t>E33149364_3_20251212T104711Z.jpg</t>
  </si>
  <si>
    <t>10 Сушилка навес\E33149364_3_20251212T104711Z.jpg</t>
  </si>
  <si>
    <t>пт 12.12.2025 — 10:47:11</t>
  </si>
  <si>
    <t>E33149364_3_20251212T104833Z.jpg</t>
  </si>
  <si>
    <t>10 Сушилка навес\E33149364_3_20251212T104833Z.jpg</t>
  </si>
  <si>
    <t>пт 12.12.2025 — 10:48:33</t>
  </si>
  <si>
    <t>E33149364_3_20251212T110052Z.jpg</t>
  </si>
  <si>
    <t>10 Сушилка навес\E33149364_3_20251212T110052Z.jpg</t>
  </si>
  <si>
    <t>пт 12.12.2025 — 11:00:52</t>
  </si>
  <si>
    <t>E33149364_3_20251212T111741Z.jpg</t>
  </si>
  <si>
    <t>10 Сушилка навес\E33149364_3_20251212T111741Z.jpg</t>
  </si>
  <si>
    <t>пт 12.12.2025 — 11:17:41</t>
  </si>
  <si>
    <t>E33149364_3_20251212T112701Z.jpg</t>
  </si>
  <si>
    <t>10 Сушилка навес\E33149364_3_20251212T112701Z.jpg</t>
  </si>
  <si>
    <t>пт 12.12.2025 — 11:27:01</t>
  </si>
  <si>
    <t>E33149364_3_20251212T113333Z.jpg</t>
  </si>
  <si>
    <t>10 Сушилка навес\E33149364_3_20251212T113333Z.jpg</t>
  </si>
  <si>
    <t>пт 12.12.2025 — 11:33:33</t>
  </si>
  <si>
    <t>E33149364_3_20251212T114400Z.jpg</t>
  </si>
  <si>
    <t>10 Сушилка навес\E33149364_3_20251212T114400Z.jpg</t>
  </si>
  <si>
    <t>пт 12.12.2025 — 11:44:00</t>
  </si>
  <si>
    <t>E33149364_3_20251212T120737Z.jpg</t>
  </si>
  <si>
    <t>10 Сушилка навес\E33149364_3_20251212T120737Z.jpg</t>
  </si>
  <si>
    <t>пт 12.12.2025 — 12:07:37</t>
  </si>
  <si>
    <t>E33149364_3_20251212T122024Z.jpg</t>
  </si>
  <si>
    <t>10 Сушилка навес\E33149364_3_20251212T122024Z.jpg</t>
  </si>
  <si>
    <t>пт 12.12.2025 — 12:20:24</t>
  </si>
  <si>
    <t>E33149364_3_20251212T161944Z.jpg</t>
  </si>
  <si>
    <t>10 Сушилка навес\E33149364_3_20251212T161944Z.jpg</t>
  </si>
  <si>
    <t>пт 12.12.2025 — 16:19:44</t>
  </si>
  <si>
    <t>E33149364_4_20251212T104310Z.jpg</t>
  </si>
  <si>
    <t>11 С ангара на базу\E33149364_4_20251212T104310Z.jpg</t>
  </si>
  <si>
    <t>пт 12.12.2025 — 10:43:10</t>
  </si>
  <si>
    <t>E33149364_4_20251212T143646Z.jpg</t>
  </si>
  <si>
    <t>11 С ангара на базу\E33149364_4_20251212T143646Z.jpg</t>
  </si>
  <si>
    <t>пт 12.12.2025 — 14:36:46</t>
  </si>
  <si>
    <t>E33149364_4_20251212T165109Z.jpg</t>
  </si>
  <si>
    <t>11 С ангара на базу\E33149364_4_20251212T165109Z.jpg</t>
  </si>
  <si>
    <t>пт 12.12.2025 — 16:51:09</t>
  </si>
  <si>
    <t>E33149364_1_20251212T002648Z.jpg</t>
  </si>
  <si>
    <t>9 Ангар пилорама\E33149364_1_20251212T002648Z.jpg</t>
  </si>
  <si>
    <t>пт 12.12.2025 — 00:26:48</t>
  </si>
  <si>
    <t>E33149364_1_20251212T004421Z.jpg</t>
  </si>
  <si>
    <t>9 Ангар пилорама\E33149364_1_20251212T004421Z.jpg</t>
  </si>
  <si>
    <t>пт 12.12.2025 — 00:44:21</t>
  </si>
  <si>
    <t>E33149364_1_20251212T005907Z.jpg</t>
  </si>
  <si>
    <t>9 Ангар пилорама\E33149364_1_20251212T005907Z.jpg</t>
  </si>
  <si>
    <t>пт 12.12.2025 — 00:59:07</t>
  </si>
  <si>
    <t>E33149364_1_20251212T071338Z.jpg</t>
  </si>
  <si>
    <t>9 Ангар пилорама\E33149364_1_20251212T071338Z.jpg</t>
  </si>
  <si>
    <t>пт 12.12.2025 — 07:13:38</t>
  </si>
  <si>
    <t>E33149364_1_20251212T074050Z.jpg</t>
  </si>
  <si>
    <t>9 Ангар пилорама\E33149364_1_20251212T074050Z.jpg</t>
  </si>
  <si>
    <t>пт 12.12.2025 — 07:40:50</t>
  </si>
  <si>
    <t>E33149364_1_20251212T082706Z.jpg</t>
  </si>
  <si>
    <t>9 Ангар пилорама\E33149364_1_20251212T082706Z.jpg</t>
  </si>
  <si>
    <t>пт 12.12.2025 — 08:27:06</t>
  </si>
  <si>
    <t>E33149364_1_20251212T083357Z.jpg</t>
  </si>
  <si>
    <t>9 Ангар пилорама\E33149364_1_20251212T083357Z.jpg</t>
  </si>
  <si>
    <t>пт 12.12.2025 — 08:33:57</t>
  </si>
  <si>
    <t>E33149364_1_20251212T084503Z.jpg</t>
  </si>
  <si>
    <t>9 Ангар пилорама\E33149364_1_20251212T084503Z.jpg</t>
  </si>
  <si>
    <t>пт 12.12.2025 — 08:45:03</t>
  </si>
  <si>
    <t>E33149364_1_20251212T084933Z.jpg</t>
  </si>
  <si>
    <t>9 Ангар пилорама\E33149364_1_20251212T084933Z.jpg</t>
  </si>
  <si>
    <t>пт 12.12.2025 — 08:49:33</t>
  </si>
  <si>
    <t>E33149364_1_20251212T090335Z.jpg</t>
  </si>
  <si>
    <t>9 Ангар пилорама\E33149364_1_20251212T090335Z.jpg</t>
  </si>
  <si>
    <t>пт 12.12.2025 — 09:03:35</t>
  </si>
  <si>
    <t>E33149364_1_20251212T091806Z.jpg</t>
  </si>
  <si>
    <t>9 Ангар пилорама\E33149364_1_20251212T091806Z.jpg</t>
  </si>
  <si>
    <t>пт 12.12.2025 — 09:18:06</t>
  </si>
  <si>
    <t>E33149364_1_20251212T100937Z.jpg</t>
  </si>
  <si>
    <t>9 Ангар пилорама\E33149364_1_20251212T100937Z.jpg</t>
  </si>
  <si>
    <t>пт 12.12.2025 — 10:09:37</t>
  </si>
  <si>
    <t>E33149364_1_20251212T104324Z.jpg</t>
  </si>
  <si>
    <t>9 Ангар пилорама\E33149364_1_20251212T104324Z.jpg</t>
  </si>
  <si>
    <t>пт 12.12.2025 — 10:43:24</t>
  </si>
  <si>
    <t>E33149364_1_20251212T122354Z.jpg</t>
  </si>
  <si>
    <t>9 Ангар пилорама\E33149364_1_20251212T122354Z.jpg</t>
  </si>
  <si>
    <t>пт 12.12.2025 — 12:23:54</t>
  </si>
  <si>
    <t>E33149364_1_20251212T194305Z.jpg</t>
  </si>
  <si>
    <t>9 Ангар пилорама\E33149364_1_20251212T194305Z.jpg</t>
  </si>
  <si>
    <t>пт 12.12.2025 — 19:43:05</t>
  </si>
  <si>
    <t>E33149364_1_20251212T202356Z.jpg</t>
  </si>
  <si>
    <t>9 Ангар пилорама\E33149364_1_20251212T202356Z.jpg</t>
  </si>
  <si>
    <t>пт 12.12.2025 — 20:23:56</t>
  </si>
  <si>
    <t>E33149364_1_20251212T210351Z.jpg</t>
  </si>
  <si>
    <t>9 Ангар пилорама\E33149364_1_20251212T210351Z.jpg</t>
  </si>
  <si>
    <t>пт 12.12.2025 — 21:03:51</t>
  </si>
  <si>
    <t>E33149364_1_20251212T222522Z.jpg</t>
  </si>
  <si>
    <t>9 Ангар пилорама\E33149364_1_20251212T222522Z.jpg</t>
  </si>
  <si>
    <t>пт 12.12.2025 — 22:25:22</t>
  </si>
  <si>
    <t>E33149364_1_20251212T230011Z.jpg</t>
  </si>
  <si>
    <t>9 Ангар пилорама\E33149364_1_20251212T230011Z.jpg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</si>
  <si>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</si>
  <si>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</si>
  <si>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</si>
  <si>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</si>
  <si>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</si>
  <si>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</si>
  <si>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</si>
  <si>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</si>
  <si>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</si>
  <si>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</si>
  <si>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</si>
  <si>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</si>
  <si>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</si>
  <si>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</si>
  <si>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</si>
  <si>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</si>
  <si>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</si>
  <si>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</si>
  <si>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</si>
  <si>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</si>
  <si>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</si>
  <si>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</si>
  <si>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</si>
  <si>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</si>
  <si>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</si>
  <si>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</si>
  <si>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</si>
  <si>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</si>
  <si>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</si>
  <si>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</si>
  <si>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</si>
  <si>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</si>
  <si>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2 Пилорама поката\E33149364_7_20251213T173441Z.jpg</t>
  </si>
  <si>
    <t>сб 13.12.2025 — 17:34:41</t>
  </si>
  <si>
    <t>E33149364_6_20251213T095058Z.jpg</t>
  </si>
  <si>
    <t>1 Ангар Склад 2 въезд\E33149364_6_20251213T095058Z.jpg</t>
  </si>
  <si>
    <t>сб 13.12.2025 — 09:50:58</t>
  </si>
  <si>
    <t>E33149364_6_20251213T124230Z.jpg</t>
  </si>
  <si>
    <t>1 Ангар Склад 2 въезд\E33149364_6_20251213T124230Z.jpg</t>
  </si>
  <si>
    <t>сб 13.12.2025 — 12:42:30</t>
  </si>
  <si>
    <t>E33149364_6_20251213T124254Z.jpg</t>
  </si>
  <si>
    <t>1 Ангар Склад 2 въезд\E33149364_6_20251213T124254Z.jpg</t>
  </si>
  <si>
    <t>сб 13.12.2025 — 12:42:54</t>
  </si>
  <si>
    <t>E33149364_6_20251213T125310Z.jpg</t>
  </si>
  <si>
    <t>1 Ангар Склад 2 въезд\E33149364_6_20251213T125310Z.jpg</t>
  </si>
  <si>
    <t>сб 13.12.2025 — 12:53:10</t>
  </si>
  <si>
    <t>E33149364_6_20251213T125340Z.jpg</t>
  </si>
  <si>
    <t>1 Ангар Склад 2 въезд\E33149364_6_20251213T125340Z.jpg</t>
  </si>
  <si>
    <t>сб 13.12.2025 — 12:53:40</t>
  </si>
  <si>
    <t>E33149364_6_20251213T125657Z.jpg</t>
  </si>
  <si>
    <t>1 Ангар Склад 2 въезд\E33149364_6_20251213T125657Z.jpg</t>
  </si>
  <si>
    <t>сб 13.12.2025 — 12:56:57</t>
  </si>
  <si>
    <t>E33149364_6_20251213T132821Z.jpg</t>
  </si>
  <si>
    <t>1 Ангар Склад 2 въезд\E33149364_6_20251213T132821Z.jpg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</si>
  <si>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</si>
  <si>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</si>
  <si>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</si>
  <si>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</si>
  <si>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</si>
  <si>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</si>
  <si>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</si>
  <si>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</si>
  <si>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</si>
  <si>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</si>
  <si>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</si>
  <si>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</si>
  <si>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</si>
  <si>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</si>
  <si>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</si>
  <si>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</si>
  <si>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</si>
  <si>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</si>
  <si>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</si>
  <si>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</si>
  <si>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</si>
  <si>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</si>
  <si>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</si>
  <si>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3 Въезд на базу\E33149364_8_20251213T094752Z.jpg</t>
  </si>
  <si>
    <t>сб 13.12.2025 — 09:47:52</t>
  </si>
  <si>
    <t>E33149364_8_20251213T124738Z.jpg</t>
  </si>
  <si>
    <t>3 Въезд на базу\E33149364_8_20251213T124738Z.jpg</t>
  </si>
  <si>
    <t>сб 13.12.2025 — 12:47:38</t>
  </si>
  <si>
    <t>E33149364_8_20251213T170414Z.jpg</t>
  </si>
  <si>
    <t>3 Въезд на базу\E33149364_8_20251213T170414Z.jpg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</si>
  <si>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</si>
  <si>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</si>
  <si>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</si>
  <si>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</si>
  <si>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</si>
  <si>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</si>
  <si>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</si>
  <si>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</si>
  <si>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8 Рейсмус\E33149364_2_20251213T113003Z.jpg</t>
  </si>
  <si>
    <t>сб 13.12.2025 — 11:30:03</t>
  </si>
  <si>
    <t>E33149364_1_20251213T083002Z.jpg</t>
  </si>
  <si>
    <t>9 Ангар пилорама\E33149364_1_20251213T083002Z.jpg</t>
  </si>
  <si>
    <t>сб 13.12.2025 — 08:30:02</t>
  </si>
  <si>
    <t>E33149364_1_20251213T085806Z.jpg</t>
  </si>
  <si>
    <t>9 Ангар пилорама\E33149364_1_20251213T085806Z.jpg</t>
  </si>
  <si>
    <t>сб 13.12.2025 — 08:58:06</t>
  </si>
  <si>
    <t>E33149364_1_20251213T100353Z.jpg</t>
  </si>
  <si>
    <t>9 Ангар пилорама\E33149364_1_20251213T100353Z.jpg</t>
  </si>
  <si>
    <t>сб 13.12.2025 — 10:03:53</t>
  </si>
  <si>
    <t>E33149364_1_20251213T162351Z.jpg</t>
  </si>
  <si>
    <t>9 Ангар пилорама\E33149364_1_20251213T162351Z.jpg</t>
  </si>
  <si>
    <t>сб 13.12.2025 — 16:23:51</t>
  </si>
  <si>
    <t>E33149364_3_20251213T091811Z.jpg</t>
  </si>
  <si>
    <t>10 Сушилка навес\E33149364_3_20251213T091811Z.jpg</t>
  </si>
  <si>
    <t>сб 13.12.2025 — 09:18:11</t>
  </si>
  <si>
    <t>E33149364_3_20251213T095738Z.jpg</t>
  </si>
  <si>
    <t>10 Сушилка навес\E33149364_3_20251213T095738Z.jpg</t>
  </si>
  <si>
    <t>сб 13.12.2025 — 09:57:38</t>
  </si>
  <si>
    <t>E33149364_3_20251213T131200Z.jpg</t>
  </si>
  <si>
    <t>10 Сушилка навес\E33149364_3_20251213T131200Z.jpg</t>
  </si>
  <si>
    <t>сб 13.12.2025 — 13:12:00</t>
  </si>
  <si>
    <t>E33149364_3_20251213T171104Z.jpg</t>
  </si>
  <si>
    <t>10 Сушилка навес\E33149364_3_20251213T171104Z.jpg</t>
  </si>
  <si>
    <t>сб 13.12.2025 — 17:11:04</t>
  </si>
  <si>
    <t>E33149364_4_20251213T091533Z.jpg</t>
  </si>
  <si>
    <t>11 С ангара на базу\E33149364_4_20251213T091533Z.jpg</t>
  </si>
  <si>
    <t>сб 13.12.2025 — 09:15:33</t>
  </si>
  <si>
    <t>E33149364_4_20251213T091609Z.jpg</t>
  </si>
  <si>
    <t>11 С ангара на базу\E33149364_4_20251213T091609Z.jpg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</si>
  <si>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</si>
  <si>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</si>
  <si>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</si>
  <si>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</si>
  <si>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</si>
  <si>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</si>
  <si>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</si>
  <si>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</si>
  <si>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</si>
  <si>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</si>
  <si>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</si>
  <si>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</si>
  <si>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</si>
  <si>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</si>
  <si>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</si>
  <si>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</si>
  <si>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</si>
  <si>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</si>
  <si>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</si>
  <si>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</si>
  <si>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</si>
  <si>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</si>
  <si>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</si>
  <si>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</si>
  <si>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</si>
  <si>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</si>
  <si>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11 С ангара на базу\E33149364_4_20251213T094242Z.jpg</t>
  </si>
  <si>
    <t>сб 13.12.2025 — 09:42:42</t>
  </si>
  <si>
    <t>E33149364_4_20251213T130837Z.jpg</t>
  </si>
  <si>
    <t>11 С ангара на базу\E33149364_4_20251213T130837Z.jpg</t>
  </si>
  <si>
    <t>сб 13.12.2025 — 13:08:37</t>
  </si>
  <si>
    <t>E33149364_4_20251213T131040Z.jpg</t>
  </si>
  <si>
    <t>11 С ангара на базу\E33149364_4_20251213T131040Z.jpg</t>
  </si>
  <si>
    <t>сб 13.12.2025 — 13:10:40</t>
  </si>
  <si>
    <t>E33149364_4_20251213T131053Z.jpg</t>
  </si>
  <si>
    <t>11 С ангара на базу\E33149364_4_20251213T131053Z.jpg</t>
  </si>
  <si>
    <t>сб 13.12.2025 — 13:10:53</t>
  </si>
  <si>
    <t>E33149364_4_20251213T131327Z.jpg</t>
  </si>
  <si>
    <t>11 С ангара на базу\E33149364_4_20251213T131327Z.jpg</t>
  </si>
  <si>
    <t>сб 13.12.2025 — 13:13:27</t>
  </si>
  <si>
    <t>E33149364_4_20251213T131336Z.jpg</t>
  </si>
  <si>
    <t>11 С ангара на базу\E33149364_4_20251213T131336Z.jpg</t>
  </si>
  <si>
    <t>сб 13.12.2025 — 13:13:36</t>
  </si>
  <si>
    <t>E33149364_4_20251213T131736Z.jpg</t>
  </si>
  <si>
    <t>11 С ангара на базу\E33149364_4_20251213T131736Z.jpg</t>
  </si>
  <si>
    <t>сб 13.12.2025 — 13:17:36</t>
  </si>
  <si>
    <t>E33149364_4_20251213T171029Z.jpg</t>
  </si>
  <si>
    <t>11 С ангара на базу\E33149364_4_20251213T171029Z.jpg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</si>
  <si>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</si>
  <si>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</si>
  <si>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</si>
  <si>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</si>
  <si>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</si>
  <si>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</si>
  <si>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</si>
  <si>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</si>
  <si>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</si>
  <si>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</si>
  <si>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</si>
  <si>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</si>
  <si>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</si>
  <si>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</si>
  <si>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</si>
  <si>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</si>
  <si>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</si>
  <si>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</si>
  <si>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</si>
  <si>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</si>
  <si>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</si>
  <si>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</si>
  <si>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</si>
  <si>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</si>
  <si>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</si>
  <si>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</si>
  <si>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</si>
  <si>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</si>
  <si>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</si>
  <si>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</si>
  <si>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</si>
  <si>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</si>
  <si>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</si>
  <si>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2 Пилорама поката\E33149364_7_20251214T174342Z.jpg</t>
  </si>
  <si>
    <t>вс 14.12.2025 — 17:43:42</t>
  </si>
  <si>
    <t>E33149364_8_20251214T162604Z.jpg</t>
  </si>
  <si>
    <t>3 Въезд на базу\E33149364_8_20251214T162604Z.jpg</t>
  </si>
  <si>
    <t>вс 14.12.2025 — 16:26:04</t>
  </si>
  <si>
    <t>E33149364_6_20251214T120447Z.jpg</t>
  </si>
  <si>
    <t>1 Ангар Склад 2 въезд\E33149364_6_20251214T120447Z.jpg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</si>
  <si>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</si>
  <si>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</si>
  <si>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</si>
  <si>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</si>
  <si>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</si>
  <si>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</si>
  <si>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</si>
  <si>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</si>
  <si>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</si>
  <si>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</si>
  <si>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</si>
  <si>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8 Рейсмус\E33149364_2_20251214T161553Z.jpg</t>
  </si>
  <si>
    <t>вс 14.12.2025 — 16:15:53</t>
  </si>
  <si>
    <t>E33149364_1_20251214T085135Z.jpg</t>
  </si>
  <si>
    <t>9 Ангар пилорама\E33149364_1_20251214T085135Z.jpg</t>
  </si>
  <si>
    <t>вс 14.12.2025 — 08:51:35</t>
  </si>
  <si>
    <t>E33149364_1_20251214T094954Z.jpg</t>
  </si>
  <si>
    <t>9 Ангар пилорама\E33149364_1_20251214T094954Z.jpg</t>
  </si>
  <si>
    <t>вс 14.12.2025 — 09:49:54</t>
  </si>
  <si>
    <t>E33149364_1_20251214T101031Z.jpg</t>
  </si>
  <si>
    <t>9 Ангар пилорама\E33149364_1_20251214T101031Z.jpg</t>
  </si>
  <si>
    <t>вс 14.12.2025 — 10:10:31</t>
  </si>
  <si>
    <t>E33149364_1_20251214T135519Z.jpg</t>
  </si>
  <si>
    <t>9 Ангар пилорама\E33149364_1_20251214T135519Z.jpg</t>
  </si>
  <si>
    <t>вс 14.12.2025 — 13:55:19</t>
  </si>
  <si>
    <t>E33149364_1_20251214T142831Z.jpg</t>
  </si>
  <si>
    <t>9 Ангар пилорама\E33149364_1_20251214T142831Z.jpg</t>
  </si>
  <si>
    <t>вс 14.12.2025 — 14:28:31</t>
  </si>
  <si>
    <t>E33149364_1_20251214T150638Z.jpg</t>
  </si>
  <si>
    <t>9 Ангар пилорама\E33149364_1_20251214T150638Z.jpg</t>
  </si>
  <si>
    <t>вс 14.12.2025 — 15:06:38</t>
  </si>
  <si>
    <t>E33149364_1_20251214T155710Z.jpg</t>
  </si>
  <si>
    <t>9 Ангар пилорама\E33149364_1_20251214T155710Z.jpg</t>
  </si>
  <si>
    <t>вс 14.12.2025 — 15:57:10</t>
  </si>
  <si>
    <t>E33149364_1_20251214T165634Z.jpg</t>
  </si>
  <si>
    <t>9 Ангар пилорама\E33149364_1_20251214T165634Z.jpg</t>
  </si>
  <si>
    <t>вс 14.12.2025 — 16:56:34</t>
  </si>
  <si>
    <t>E33149364_1_20251214T174632Z.jpg</t>
  </si>
  <si>
    <t>9 Ангар пилорама\E33149364_1_20251214T174632Z.jpg</t>
  </si>
  <si>
    <t>вс 14.12.2025 — 17:46:32</t>
  </si>
  <si>
    <t>E33149364_1_20251214T191235Z.jpg</t>
  </si>
  <si>
    <t>9 Ангар пилорама\E33149364_1_20251214T191235Z.jpg</t>
  </si>
  <si>
    <t>вс 14.12.2025 — 19:12:35</t>
  </si>
  <si>
    <t>E33149364_1_20251214T202746Z.jpg</t>
  </si>
  <si>
    <t>9 Ангар пилорама\E33149364_1_20251214T202746Z.jpg</t>
  </si>
  <si>
    <t>вс 14.12.2025 — 20:27:46</t>
  </si>
  <si>
    <t>E33149364_1_20251214T212400Z.jpg</t>
  </si>
  <si>
    <t>9 Ангар пилорама\E33149364_1_20251214T212400Z.jpg</t>
  </si>
  <si>
    <t>вс 14.12.2025 — 21:24:00</t>
  </si>
  <si>
    <t>E33149364_3_20251214T165345Z.jpg</t>
  </si>
  <si>
    <t>10 Сушилка навес\E33149364_3_20251214T165345Z.jpg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</si>
  <si>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</si>
  <si>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</si>
  <si>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</si>
  <si>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</si>
  <si>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</si>
  <si>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</si>
  <si>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</si>
  <si>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</si>
  <si>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11 С ангара на базу\E33149364_4_20251214T165322Z.jpg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</si>
  <si>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</si>
  <si>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</si>
  <si>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</si>
  <si>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</si>
  <si>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1 Ангар Склад 2 въезд\E33149364_6_20251215T102943Z.jpg</t>
  </si>
  <si>
    <t>пн 15.12.2025 — 10:29:43</t>
  </si>
  <si>
    <t>E33149364_6_20251215T113340Z.jpg</t>
  </si>
  <si>
    <t>1 Ангар Склад 2 въезд\E33149364_6_20251215T113340Z.jpg</t>
  </si>
  <si>
    <t>пн 15.12.2025 — 11:33:40</t>
  </si>
  <si>
    <t>E33149364_6_20251215T113358Z.jpg</t>
  </si>
  <si>
    <t>1 Ангар Склад 2 въезд\E33149364_6_20251215T113358Z.jpg</t>
  </si>
  <si>
    <t>пн 15.12.2025 — 11:33:58</t>
  </si>
  <si>
    <t>E33149364_6_20251215T122024Z.jpg</t>
  </si>
  <si>
    <t>1 Ангар Склад 2 въезд\E33149364_6_20251215T122024Z.jpg</t>
  </si>
  <si>
    <t>пн 15.12.2025 — 12:20:24</t>
  </si>
  <si>
    <t>E33149364_6_20251215T125405Z.jpg</t>
  </si>
  <si>
    <t>1 Ангар Склад 2 въезд\E33149364_6_20251215T125405Z.jpg</t>
  </si>
  <si>
    <t>пн 15.12.2025 — 12:54:05</t>
  </si>
  <si>
    <t>E33149364_6_20251215T130219Z.jpg</t>
  </si>
  <si>
    <t>1 Ангар Склад 2 въезд\E33149364_6_20251215T130219Z.jpg</t>
  </si>
  <si>
    <t>пн 15.12.2025 — 13:02:19</t>
  </si>
  <si>
    <t>E33149364_7_20251215T094741Z.jpg</t>
  </si>
  <si>
    <t>2 Пилорама поката\E33149364_7_20251215T094741Z.jpg</t>
  </si>
  <si>
    <t>пн 15.12.2025 — 09:47:41</t>
  </si>
  <si>
    <t>E33149364_7_20251215T094815Z.jpg</t>
  </si>
  <si>
    <t>2 Пилорама поката\E33149364_7_20251215T094815Z.jpg</t>
  </si>
  <si>
    <t>пн 15.12.2025 — 09:48:15</t>
  </si>
  <si>
    <t>E33149364_7_20251215T101716Z.jpg</t>
  </si>
  <si>
    <t>2 Пилорама поката\E33149364_7_20251215T101716Z.jpg</t>
  </si>
  <si>
    <t>пн 15.12.2025 — 10:17:16</t>
  </si>
  <si>
    <t>E33149364_7_20251215T103019Z.jpg</t>
  </si>
  <si>
    <t>2 Пилорама поката\E33149364_7_20251215T103019Z.jpg</t>
  </si>
  <si>
    <t>пн 15.12.2025 — 10:30:19</t>
  </si>
  <si>
    <t>E33149364_7_20251215T104436Z.jpg</t>
  </si>
  <si>
    <t>2 Пилорама поката\E33149364_7_20251215T104436Z.jpg</t>
  </si>
  <si>
    <t>пн 15.12.2025 — 10:44:36</t>
  </si>
  <si>
    <t>E33149364_7_20251215T113308Z.jpg</t>
  </si>
  <si>
    <t>E33149364_7_20251215T130137Z.jpg</t>
  </si>
  <si>
    <t>2 Пилорама поката\E33149364_7_20251215T130137Z.jpg</t>
  </si>
  <si>
    <t>пн 15.12.2025 — 13:01:37</t>
  </si>
  <si>
    <t>E33149364_7_20251215T145618Z.jpg</t>
  </si>
  <si>
    <t>2 Пилорама поката\E33149364_7_20251215T145618Z.jpg</t>
  </si>
  <si>
    <t>пн 15.12.2025 — 14:56:18</t>
  </si>
  <si>
    <t>E33149364_7_20251215T150501Z.jpg</t>
  </si>
  <si>
    <t>2 Пилорама поката\E33149364_7_20251215T150501Z.jpg</t>
  </si>
  <si>
    <t>пн 15.12.2025 — 15:05:01</t>
  </si>
  <si>
    <t>E33149364_7_20251215T151220Z.jpg</t>
  </si>
  <si>
    <t>2 Пилорама поката\E33149364_7_20251215T151220Z.jpg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</si>
  <si>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</si>
  <si>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</si>
  <si>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</si>
  <si>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</si>
  <si>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</si>
  <si>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</si>
  <si>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</si>
  <si>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</si>
  <si>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</si>
  <si>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</si>
  <si>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</si>
  <si>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</si>
  <si>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</si>
  <si>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</si>
  <si>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</si>
  <si>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</si>
  <si>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3 Въезд на базу\E33149364_8_20251215T121806Z.jpg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</si>
  <si>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</si>
  <si>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</si>
  <si>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</si>
  <si>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</si>
  <si>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</si>
  <si>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</si>
  <si>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</si>
  <si>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</si>
  <si>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</si>
  <si>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</si>
  <si>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</si>
  <si>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</si>
  <si>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</si>
  <si>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</si>
  <si>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</si>
  <si>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</si>
  <si>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</si>
  <si>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</si>
  <si>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</si>
  <si>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1 Ангар Склад 2 въезд\E33149364_6_20251215T110432Z.jpg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</si>
  <si>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</si>
  <si>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</si>
  <si>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</si>
  <si>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</si>
  <si>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</si>
  <si>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8 Рейсмус\E33149364_2_20251215T145948Z.jpg</t>
  </si>
  <si>
    <t>пн 15.12.2025 — 14:59:48</t>
  </si>
  <si>
    <t>E33149364_1_20251215T091848Z.jpg</t>
  </si>
  <si>
    <t>9 Ангар пилорама\E33149364_1_20251215T091848Z.jpg</t>
  </si>
  <si>
    <t>пн 15.12.2025 — 09:18:48</t>
  </si>
  <si>
    <t>E33149364_1_20251215T095621Z.jpg</t>
  </si>
  <si>
    <t>9 Ангар пилорама\E33149364_1_20251215T095621Z.jpg</t>
  </si>
  <si>
    <t>пн 15.12.2025 — 09:56:21</t>
  </si>
  <si>
    <t>E33149364_1_20251215T102845Z.jpg</t>
  </si>
  <si>
    <t>9 Ангар пилорама\E33149364_1_20251215T102845Z.jpg</t>
  </si>
  <si>
    <t>пн 15.12.2025 — 10:28:45</t>
  </si>
  <si>
    <t>E33149364_1_20251215T111256Z.jpg</t>
  </si>
  <si>
    <t>9 Ангар пилорама\E33149364_1_20251215T111256Z.jpg</t>
  </si>
  <si>
    <t>пн 15.12.2025 — 11:12:56</t>
  </si>
  <si>
    <t>E33149364_1_20251215T111454Z.jpg</t>
  </si>
  <si>
    <t>9 Ангар пилорама\E33149364_1_20251215T111454Z.jpg</t>
  </si>
  <si>
    <t>пн 15.12.2025 — 11:14:54</t>
  </si>
  <si>
    <t>E33149364_1_20251215T111532Z.jpg</t>
  </si>
  <si>
    <t>9 Ангар пилорама\E33149364_1_20251215T111532Z.jpg</t>
  </si>
  <si>
    <t>пн 15.12.2025 — 11:15:32</t>
  </si>
  <si>
    <t>E33149364_1_20251215T111710Z.jpg</t>
  </si>
  <si>
    <t>9 Ангар пилорама\E33149364_1_20251215T111710Z.jpg</t>
  </si>
  <si>
    <t>пн 15.12.2025 — 11:17:10</t>
  </si>
  <si>
    <t>E33149364_1_20251215T121521Z.jpg</t>
  </si>
  <si>
    <t>9 Ангар пилорама\E33149364_1_20251215T121521Z.jpg</t>
  </si>
  <si>
    <t>пн 15.12.2025 — 12:15:21</t>
  </si>
  <si>
    <t>E33149364_1_20251215T143919Z.jpg</t>
  </si>
  <si>
    <t>9 Ангар пилорама\E33149364_1_20251215T143919Z.jpg</t>
  </si>
  <si>
    <t>пн 15.12.2025 — 14:39:19</t>
  </si>
  <si>
    <t>E33149364_1_20251215T160621Z.jpg</t>
  </si>
  <si>
    <t>9 Ангар пилорама\E33149364_1_20251215T160621Z.jpg</t>
  </si>
  <si>
    <t>пн 15.12.2025 — 16:06:21</t>
  </si>
  <si>
    <t>E33149364_1_20251215T163531Z.jpg</t>
  </si>
  <si>
    <t>9 Ангар пилорама\E33149364_1_20251215T163531Z.jpg</t>
  </si>
  <si>
    <t>пн 15.12.2025 — 16:35:31</t>
  </si>
  <si>
    <t>E33149364_1_20251215T170548Z.jpg</t>
  </si>
  <si>
    <t>9 Ангар пилорама\E33149364_1_20251215T170548Z.jpg</t>
  </si>
  <si>
    <t>пн 15.12.2025 — 17:05:48</t>
  </si>
  <si>
    <t>E33149364_1_20251215T170823Z.jpg</t>
  </si>
  <si>
    <t>9 Ангар пилорама\E33149364_1_20251215T170823Z.jpg</t>
  </si>
  <si>
    <t>пн 15.12.2025 — 17:08:23</t>
  </si>
  <si>
    <t>E33149364_3_20251215T094838Z.jpg</t>
  </si>
  <si>
    <t>C:\ВИДЕОНАБЛЮДЕНИЕ\10 Сушилка навес\captrue\</t>
  </si>
  <si>
    <t>10 Сушилка навес\E33149364_3_20251215T094838Z.jpg</t>
  </si>
  <si>
    <t>пн 15.12.2025 — 09:48:38</t>
  </si>
  <si>
    <t>E33149364_3_20251215T100721Z.jpg</t>
  </si>
  <si>
    <t>10 Сушилка навес\E33149364_3_20251215T100721Z.jpg</t>
  </si>
  <si>
    <t>пн 15.12.2025 — 10:07:21</t>
  </si>
  <si>
    <t>E33149364_3_20251215T101727Z.jpg</t>
  </si>
  <si>
    <t>10 Сушилка навес\E33149364_3_20251215T101727Z.jpg</t>
  </si>
  <si>
    <t>пн 15.12.2025 — 10:17:27</t>
  </si>
  <si>
    <t>E33149364_3_20251215T110741Z.jpg</t>
  </si>
  <si>
    <t>10 Сушилка навес\E33149364_3_20251215T110741Z.jpg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</si>
  <si>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</si>
  <si>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</si>
  <si>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</si>
  <si>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</si>
  <si>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</si>
  <si>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</si>
  <si>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</si>
  <si>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</si>
  <si>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</si>
  <si>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</si>
  <si>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</si>
  <si>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</si>
  <si>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</si>
  <si>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</si>
  <si>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</si>
  <si>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</si>
  <si>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</si>
  <si>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</si>
  <si>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</si>
  <si>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</si>
  <si>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</si>
  <si>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</si>
  <si>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</si>
  <si>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</si>
  <si>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</si>
  <si>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</si>
  <si>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</si>
  <si>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</si>
  <si>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</si>
  <si>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</si>
  <si>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</si>
  <si>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</si>
  <si>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</si>
  <si>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</si>
  <si>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</si>
  <si>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</si>
  <si>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</si>
  <si>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</si>
  <si>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</si>
  <si>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</si>
  <si>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</si>
  <si>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</si>
  <si>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</si>
  <si>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</si>
  <si>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</si>
  <si>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</si>
  <si>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</si>
  <si>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</si>
  <si>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</si>
  <si>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</si>
  <si>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</si>
  <si>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</si>
  <si>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</si>
  <si>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</si>
  <si>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</si>
  <si>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</si>
  <si>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</si>
  <si>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</si>
  <si>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</si>
  <si>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</si>
  <si>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</si>
  <si>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</si>
  <si>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</si>
  <si>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</si>
  <si>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</si>
  <si>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</si>
  <si>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</si>
  <si>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</si>
  <si>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10 Сушилка навес\E33149364_3_20251215T113145Z.jpg</t>
  </si>
  <si>
    <t>пн 15.12.2025 — 11:31:45</t>
  </si>
  <si>
    <t>E33149364_3_20251215T143327Z.jpg</t>
  </si>
  <si>
    <t>10 Сушилка навес\E33149364_3_20251215T143327Z.jpg</t>
  </si>
  <si>
    <t>пн 15.12.2025 — 14:33:27</t>
  </si>
  <si>
    <t>E33149364_3_20251215T143341Z.jpg</t>
  </si>
  <si>
    <t>10 Сушилка навес\E33149364_3_20251215T143341Z.jpg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</si>
  <si>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</si>
  <si>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</si>
  <si>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</si>
  <si>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</si>
  <si>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</si>
  <si>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10 Сушилка навес\E33149364_3_20251215T144053Z.jpg</t>
  </si>
  <si>
    <t>пн 15.12.2025 — 14:40:53</t>
  </si>
  <si>
    <t>E33149364_3_20251215T145544Z.jpg</t>
  </si>
  <si>
    <t>10 Сушилка навес\E33149364_3_20251215T145544Z.jpg</t>
  </si>
  <si>
    <t>пн 15.12.2025 — 14:55:44</t>
  </si>
  <si>
    <t>E33149364_3_20251215T150426Z.jpg</t>
  </si>
  <si>
    <t>10 Сушилка навес\E33149364_3_20251215T150426Z.jpg</t>
  </si>
  <si>
    <t>пн 15.12.2025 — 15:04:26</t>
  </si>
  <si>
    <t>E33149364_3_20251215T151152Z.jpg</t>
  </si>
  <si>
    <t>10 Сушилка навес\E33149364_3_20251215T151152Z.jpg</t>
  </si>
  <si>
    <t>пн 15.12.2025 — 15:11:52</t>
  </si>
  <si>
    <t>E33149364_3_20251215T164354Z.jpg</t>
  </si>
  <si>
    <t>10 Сушилка навес\E33149364_3_20251215T164354Z.jpg</t>
  </si>
  <si>
    <t>пн 15.12.2025 — 16:43:54</t>
  </si>
  <si>
    <t>E33149364_3_20251215T165944Z.jpg</t>
  </si>
  <si>
    <t>10 Сушилка навес\E33149364_3_20251215T165944Z.jpg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</si>
  <si>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</si>
  <si>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</si>
  <si>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</si>
  <si>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</si>
  <si>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</si>
  <si>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</si>
  <si>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</si>
  <si>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</si>
  <si>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11 С ангара на базу\E33149364_4_20251215T110705Z.jpg</t>
  </si>
  <si>
    <t>пн 15.12.2025 — 11:07:05</t>
  </si>
  <si>
    <t>E33149364_4_20251215T112355Z.jpg</t>
  </si>
  <si>
    <t>11 С ангара на базу\E33149364_4_20251215T112355Z.jpg</t>
  </si>
  <si>
    <t>пн 15.12.2025 — 11:23:55</t>
  </si>
  <si>
    <t>E33149364_4_20251215T160510Z.jpg</t>
  </si>
  <si>
    <t>11 С ангара на базу\E33149364_4_20251215T160510Z.jpg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</si>
  <si>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</si>
  <si>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</si>
  <si>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</si>
  <si>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</si>
  <si>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</si>
  <si>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</si>
  <si>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</si>
  <si>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</si>
  <si>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</si>
  <si>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</si>
  <si>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</si>
  <si>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</si>
  <si>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</si>
  <si>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</si>
  <si>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</si>
  <si>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</si>
  <si>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</si>
  <si>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</si>
  <si>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</si>
  <si>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</si>
  <si>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1 Ангар Склад 2 въезд\E33149364_6_20251216T104431Z.jpg</t>
  </si>
  <si>
    <t>вт 16.12.2025 — 10:44:31</t>
  </si>
  <si>
    <t>E33149364_6_20251216T110520Z.jpg</t>
  </si>
  <si>
    <t>1 Ангар Склад 2 въезд\E33149364_6_20251216T110520Z.jpg</t>
  </si>
  <si>
    <t>вт 16.12.2025 — 11:05:20</t>
  </si>
  <si>
    <t>E33149364_6_20251216T115438Z.jpg</t>
  </si>
  <si>
    <t>1 Ангар Склад 2 въезд\E33149364_6_20251216T115438Z.jpg</t>
  </si>
  <si>
    <t>вт 16.12.2025 — 11:54:38</t>
  </si>
  <si>
    <t>E33149364_6_20251216T140112Z.jpg</t>
  </si>
  <si>
    <t>1 Ангар Склад 2 въезд\E33149364_6_20251216T140112Z.jpg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</si>
  <si>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</si>
  <si>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</si>
  <si>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</si>
  <si>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</si>
  <si>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</si>
  <si>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</si>
  <si>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</si>
  <si>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</si>
  <si>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2 Пилорама поката\E33149364_7_20251216T115745Z.jpg</t>
  </si>
  <si>
    <t>вт 16.12.2025 — 11:57:45</t>
  </si>
  <si>
    <t>E33149364_7_20251216T140033Z.jpg</t>
  </si>
  <si>
    <t>2 Пилорама поката\E33149364_7_20251216T140033Z.jpg</t>
  </si>
  <si>
    <t>вт 16.12.2025 — 14:00:33</t>
  </si>
  <si>
    <t>E33149364_8_20251216T110426Z.jpg</t>
  </si>
  <si>
    <t>3 Въезд на базу\E33149364_8_20251216T110426Z.jpg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</si>
  <si>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</si>
  <si>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</si>
  <si>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</si>
  <si>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</si>
  <si>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</si>
  <si>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</si>
  <si>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</si>
  <si>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</si>
  <si>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</si>
  <si>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</si>
  <si>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</si>
  <si>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8 Рейсмус\E33149364_2_20251216T100314Z.jpg</t>
  </si>
  <si>
    <t>вт 16.12.2025 — 10:03:14</t>
  </si>
  <si>
    <t>E33149364_2_20251216T100655Z.jpg</t>
  </si>
  <si>
    <t>8 Рейсмус\E33149364_2_20251216T100655Z.jpg</t>
  </si>
  <si>
    <t>вт 16.12.2025 — 10:06:55</t>
  </si>
  <si>
    <t>E33149364_2_20251216T100836Z.jpg</t>
  </si>
  <si>
    <t>8 Рейсмус\E33149364_2_20251216T100836Z.jpg</t>
  </si>
  <si>
    <t>вт 16.12.2025 — 10:08:36</t>
  </si>
  <si>
    <t>E33149364_2_20251216T103011Z.jpg</t>
  </si>
  <si>
    <t>8 Рейсмус\E33149364_2_20251216T103011Z.jpg</t>
  </si>
  <si>
    <t>вт 16.12.2025 — 10:30:11</t>
  </si>
  <si>
    <t>E33149364_2_20251216T115912Z.jpg</t>
  </si>
  <si>
    <t>8 Рейсмус\E33149364_2_20251216T115912Z.jpg</t>
  </si>
  <si>
    <t>вт 16.12.2025 — 11:59:12</t>
  </si>
  <si>
    <t>E33149364_1_20251216T060105Z.jpg</t>
  </si>
  <si>
    <t>9 Ангар пилорама\E33149364_1_20251216T060105Z.jpg</t>
  </si>
  <si>
    <t>вт 16.12.2025 — 06:01:05</t>
  </si>
  <si>
    <t>E33149364_1_20251216T073826Z.jpg</t>
  </si>
  <si>
    <t>9 Ангар пилорама\E33149364_1_20251216T073826Z.jpg</t>
  </si>
  <si>
    <t>вт 16.12.2025 — 07:38:26</t>
  </si>
  <si>
    <t>E33149364_1_20251216T090743Z.jpg</t>
  </si>
  <si>
    <t>9 Ангар пилорама\E33149364_1_20251216T090743Z.jpg</t>
  </si>
  <si>
    <t>вт 16.12.2025 — 09:07:43</t>
  </si>
  <si>
    <t>E33149364_1_20251216T093121Z.jpg</t>
  </si>
  <si>
    <t>9 Ангар пилорама\E33149364_1_20251216T093121Z.jpg</t>
  </si>
  <si>
    <t>вт 16.12.2025 — 09:31:21</t>
  </si>
  <si>
    <t>E33149364_1_20251216T100002Z.jpg</t>
  </si>
  <si>
    <t>9 Ангар пилорама\E33149364_1_20251216T100002Z.jpg</t>
  </si>
  <si>
    <t>вт 16.12.2025 — 10:00:02</t>
  </si>
  <si>
    <t>E33149364_1_20251216T124947Z.jpg</t>
  </si>
  <si>
    <t>9 Ангар пилорама\E33149364_1_20251216T124947Z.jpg</t>
  </si>
  <si>
    <t>вт 16.12.2025 — 12:49:47</t>
  </si>
  <si>
    <t>E33149364_1_20251216T140421Z.jpg</t>
  </si>
  <si>
    <t>9 Ангар пилорама\E33149364_1_20251216T140421Z.jpg</t>
  </si>
  <si>
    <t>вт 16.12.2025 — 14:04:21</t>
  </si>
  <si>
    <t>E33149364_1_20251216T165042Z.jpg</t>
  </si>
  <si>
    <t>9 Ангар пилорама\E33149364_1_20251216T165042Z.jpg</t>
  </si>
  <si>
    <t>вт 16.12.2025 — 16:50:42</t>
  </si>
  <si>
    <t>E33149364_3_20251216T091749Z.jpg</t>
  </si>
  <si>
    <t>10 Сушилка навес\E33149364_3_20251216T091749Z.jpg</t>
  </si>
  <si>
    <t>вт 16.12.2025 — 09:17:49</t>
  </si>
  <si>
    <t>E33149364_3_20251216T093216Z.jpg</t>
  </si>
  <si>
    <t>10 Сушилка навес\E33149364_3_20251216T093216Z.jpg</t>
  </si>
  <si>
    <t>вт 16.12.2025 — 09:32:16</t>
  </si>
  <si>
    <t>E33149364_3_20251216T093655Z.jpg</t>
  </si>
  <si>
    <t>10 Сушилка навес\E33149364_3_20251216T093655Z.jpg</t>
  </si>
  <si>
    <t>вт 16.12.2025 — 09:36:55</t>
  </si>
  <si>
    <t>E33149364_3_20251216T094922Z.jpg</t>
  </si>
  <si>
    <t>10 Сушилка навес\E33149364_3_20251216T094922Z.jpg</t>
  </si>
  <si>
    <t>вт 16.12.2025 — 09:49:22</t>
  </si>
  <si>
    <t>E33149364_3_20251216T110518Z.jpg</t>
  </si>
  <si>
    <t>10 Сушилка навес\E33149364_3_20251216T110518Z.jpg</t>
  </si>
  <si>
    <t>вт 16.12.2025 — 11:05:18</t>
  </si>
  <si>
    <t>E33149364_3_20251216T111332Z.jpg</t>
  </si>
  <si>
    <t>10 Сушилка навес\E33149364_3_20251216T111332Z.jpg</t>
  </si>
  <si>
    <t>вт 16.12.2025 — 11:13:32</t>
  </si>
  <si>
    <t>E33149364_3_20251216T135404Z.jpg</t>
  </si>
  <si>
    <t>10 Сушилка навес\E33149364_3_20251216T135404Z.jpg</t>
  </si>
  <si>
    <t>вт 16.12.2025 — 13:54:04</t>
  </si>
  <si>
    <t>E33149364_3_20251216T153316Z.jpg</t>
  </si>
  <si>
    <t>10 Сушилка навес\E33149364_3_20251216T153316Z.jpg</t>
  </si>
  <si>
    <t>вт 16.12.2025 — 15:33:16</t>
  </si>
  <si>
    <t>E33149364_3_20251216T160946Z.jpg</t>
  </si>
  <si>
    <t>10 Сушилка навес\E33149364_3_20251216T160946Z.jpg</t>
  </si>
  <si>
    <t>вт 16.12.2025 — 16:09:46</t>
  </si>
  <si>
    <t>E33149364_3_20251216T164937Z.jpg</t>
  </si>
  <si>
    <t>10 Сушилка навес\E33149364_3_20251216T164937Z.jpg</t>
  </si>
  <si>
    <t>вт 16.12.2025 — 16:49:37</t>
  </si>
  <si>
    <t>E33149364_4_20251216T172228Z.jpg</t>
  </si>
  <si>
    <t>11 С ангара на базу\E33149364_4_20251216T172228Z.jpg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</si>
  <si>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</si>
  <si>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</si>
  <si>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</si>
  <si>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</si>
  <si>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</si>
  <si>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</si>
  <si>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</si>
  <si>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</si>
  <si>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</si>
  <si>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</si>
  <si>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</si>
  <si>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</si>
  <si>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</si>
  <si>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</si>
  <si>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</si>
  <si>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</si>
  <si>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</si>
  <si>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</si>
  <si>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</si>
  <si>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3 Въезд на базу\E33149364_8_20251217T150338Z.jpg</t>
  </si>
  <si>
    <t>ср 17.12.2025 — 15:03:38</t>
  </si>
  <si>
    <t>E33149364_8_20251218T143702Z.jpg</t>
  </si>
  <si>
    <t>3 Въезд на базу\E33149364_8_20251218T143702Z.jpg</t>
  </si>
  <si>
    <t>чт 18.12.2025 — 14:37:02</t>
  </si>
  <si>
    <t>E33149364_6_20251217T165319Z.jpg</t>
  </si>
  <si>
    <t>1 Ангар Склад 2 въезд\E33149364_6_20251217T165319Z.jpg</t>
  </si>
  <si>
    <t>ср 17.12.2025 — 16:53:19</t>
  </si>
  <si>
    <t>E33149364_6_20251218T121716Z.jpg</t>
  </si>
  <si>
    <t>1 Ангар Склад 2 въезд\E33149364_6_20251218T121716Z.jpg</t>
  </si>
  <si>
    <t>чт 18.12.2025 — 12:17:16</t>
  </si>
  <si>
    <t>E33149364_6_20251218T123344Z.jpg</t>
  </si>
  <si>
    <t>1 Ангар Склад 2 въезд\E33149364_6_20251218T123344Z.jpg</t>
  </si>
  <si>
    <t>чт 18.12.2025 — 12:33:44</t>
  </si>
  <si>
    <t>E33149364_6_20251218T131209Z.jpg</t>
  </si>
  <si>
    <t>1 Ангар Склад 2 въезд\E33149364_6_20251218T131209Z.jpg</t>
  </si>
  <si>
    <t>чт 18.12.2025 — 13:12:09</t>
  </si>
  <si>
    <t>E33149364_6_20251218T140733Z.jpg</t>
  </si>
  <si>
    <t>1 Ангар Склад 2 въезд\E33149364_6_20251218T140733Z.jpg</t>
  </si>
  <si>
    <t>чт 18.12.2025 — 14:07:33</t>
  </si>
  <si>
    <t>E33149364_6_20251218T144551Z.jpg</t>
  </si>
  <si>
    <t>1 Ангар Склад 2 въезд\E33149364_6_20251218T144551Z.jpg</t>
  </si>
  <si>
    <t>чт 18.12.2025 — 14:45:51</t>
  </si>
  <si>
    <t>E33149364_7_20251217T112848Z.jpg</t>
  </si>
  <si>
    <t>2 Пилорама поката\E33149364_7_20251217T112848Z.jpg</t>
  </si>
  <si>
    <t>ср 17.12.2025 — 11:28:48</t>
  </si>
  <si>
    <t>E33149364_7_20251218T095450Z.jpg</t>
  </si>
  <si>
    <t>2 Пилорама поката\E33149364_7_20251218T095450Z.jpg</t>
  </si>
  <si>
    <t>чт 18.12.2025 — 09:54:50</t>
  </si>
  <si>
    <t>E33149364_7_20251218T095522Z.jpg</t>
  </si>
  <si>
    <t>2 Пилорама поката\E33149364_7_20251218T095522Z.jpg</t>
  </si>
  <si>
    <t>чт 18.12.2025 — 09:55:22</t>
  </si>
  <si>
    <t>E33149364_7_20251218T101321Z.jpg</t>
  </si>
  <si>
    <t>2 Пилорама поката\E33149364_7_20251218T101321Z.jpg</t>
  </si>
  <si>
    <t>чт 18.12.2025 — 10:13:21</t>
  </si>
  <si>
    <t>E33149364_7_20251218T121734Z.jpg</t>
  </si>
  <si>
    <t>2 Пилорама поката\E33149364_7_20251218T121734Z.jpg</t>
  </si>
  <si>
    <t>чт 18.12.2025 — 12:17:34</t>
  </si>
  <si>
    <t>E33149364_7_20251218T122303Z.jpg</t>
  </si>
  <si>
    <t>2 Пилорама поката\E33149364_7_20251218T122303Z.jpg</t>
  </si>
  <si>
    <t>чт 18.12.2025 — 12:23:03</t>
  </si>
  <si>
    <t>E33149364_7_20251218T144502Z.jpg</t>
  </si>
  <si>
    <t>2 Пилорама поката\E33149364_7_20251218T144502Z.jpg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</si>
  <si>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</si>
  <si>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</si>
  <si>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</si>
  <si>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</si>
  <si>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</si>
  <si>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</si>
  <si>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</si>
  <si>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</si>
  <si>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</si>
  <si>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</si>
  <si>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</si>
  <si>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</si>
  <si>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</si>
  <si>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</si>
  <si>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</si>
  <si>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</si>
  <si>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</si>
  <si>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8 Рейсмус\E33149364_2_20251217T100725Z.jpg</t>
  </si>
  <si>
    <t>ср 17.12.2025 — 10:07:25</t>
  </si>
  <si>
    <t>E33149364_2_20251217T153636Z.jpg</t>
  </si>
  <si>
    <t>8 Рейсмус\E33149364_2_20251217T153636Z.jpg</t>
  </si>
  <si>
    <t>ср 17.12.2025 — 15:36:36</t>
  </si>
  <si>
    <t>E33149364_1_20251217T090044Z.jpg</t>
  </si>
  <si>
    <t>9 Ангар пилорама\E33149364_1_20251217T090044Z.jpg</t>
  </si>
  <si>
    <t>ср 17.12.2025 — 09:00:44</t>
  </si>
  <si>
    <t>E33149364_1_20251217T101535Z.jpg</t>
  </si>
  <si>
    <t>9 Ангар пилорама\E33149364_1_20251217T101535Z.jpg</t>
  </si>
  <si>
    <t>ср 17.12.2025 — 10:15:35</t>
  </si>
  <si>
    <t>E33149364_1_20251217T102007Z.jpg</t>
  </si>
  <si>
    <t>9 Ангар пилорама\E33149364_1_20251217T102007Z.jpg</t>
  </si>
  <si>
    <t>ср 17.12.2025 — 10:20:07</t>
  </si>
  <si>
    <t>E33149364_1_20251217T110121Z.jpg</t>
  </si>
  <si>
    <t>9 Ангар пилорама\E33149364_1_20251217T110121Z.jpg</t>
  </si>
  <si>
    <t>ср 17.12.2025 — 11:01:21</t>
  </si>
  <si>
    <t>E33149364_1_20251217T112139Z.jpg</t>
  </si>
  <si>
    <t>9 Ангар пилорама\E33149364_1_20251217T112139Z.jpg</t>
  </si>
  <si>
    <t>ср 17.12.2025 — 11:21:39</t>
  </si>
  <si>
    <t>E33149364_1_20251217T113750Z.jpg</t>
  </si>
  <si>
    <t>9 Ангар пилорама\E33149364_1_20251217T113750Z.jpg</t>
  </si>
  <si>
    <t>ср 17.12.2025 — 11:37:50</t>
  </si>
  <si>
    <t>E33149364_1_20251217T114025Z.jpg</t>
  </si>
  <si>
    <t>9 Ангар пилорама\E33149364_1_20251217T114025Z.jpg</t>
  </si>
  <si>
    <t>ср 17.12.2025 — 11:40:25</t>
  </si>
  <si>
    <t>E33149364_1_20251217T122212Z.jpg</t>
  </si>
  <si>
    <t>9 Ангар пилорама\E33149364_1_20251217T122212Z.jpg</t>
  </si>
  <si>
    <t>ср 17.12.2025 — 12:22:12</t>
  </si>
  <si>
    <t>E33149364_1_20251217T122638Z.jpg</t>
  </si>
  <si>
    <t>9 Ангар пилорама\E33149364_1_20251217T122638Z.jpg</t>
  </si>
  <si>
    <t>ср 17.12.2025 — 12:26:38</t>
  </si>
  <si>
    <t>E33149364_1_20251217T124523Z.jpg</t>
  </si>
  <si>
    <t>9 Ангар пилорама\E33149364_1_20251217T124523Z.jpg</t>
  </si>
  <si>
    <t>ср 17.12.2025 — 12:45:23</t>
  </si>
  <si>
    <t>E33149364_1_20251217T145302Z.jpg</t>
  </si>
  <si>
    <t>9 Ангар пилорама\E33149364_1_20251217T145302Z.jpg</t>
  </si>
  <si>
    <t>ср 17.12.2025 — 14:53:02</t>
  </si>
  <si>
    <t>E33149364_1_20251217T145320Z.jpg</t>
  </si>
  <si>
    <t>9 Ангар пилорама\E33149364_1_20251217T145320Z.jpg</t>
  </si>
  <si>
    <t>ср 17.12.2025 — 14:53:20</t>
  </si>
  <si>
    <t>E33149364_1_20251217T145419Z.jpg</t>
  </si>
  <si>
    <t>9 Ангар пилорама\E33149364_1_20251217T145419Z.jpg</t>
  </si>
  <si>
    <t>ср 17.12.2025 — 14:54:19</t>
  </si>
  <si>
    <t>E33149364_1_20251217T154301Z.jpg</t>
  </si>
  <si>
    <t>9 Ангар пилорама\E33149364_1_20251217T154301Z.jpg</t>
  </si>
  <si>
    <t>ср 17.12.2025 — 15:43:01</t>
  </si>
  <si>
    <t>E33149364_1_20251217T154548Z.jpg</t>
  </si>
  <si>
    <t>9 Ангар пилорама\E33149364_1_20251217T154548Z.jpg</t>
  </si>
  <si>
    <t>ср 17.12.2025 — 15:45:48</t>
  </si>
  <si>
    <t>E33149364_1_20251217T162453Z.jpg</t>
  </si>
  <si>
    <t>9 Ангар пилорама\E33149364_1_20251217T162453Z.jpg</t>
  </si>
  <si>
    <t>ср 17.12.2025 — 16:24:53</t>
  </si>
  <si>
    <t>E33149364_1_20251217T163226Z.jpg</t>
  </si>
  <si>
    <t>9 Ангар пилорама\E33149364_1_20251217T163226Z.jpg</t>
  </si>
  <si>
    <t>ср 17.12.2025 — 16:32:26</t>
  </si>
  <si>
    <t>E33149364_1_20251217T163441Z.jpg</t>
  </si>
  <si>
    <t>9 Ангар пилорама\E33149364_1_20251217T163441Z.jpg</t>
  </si>
  <si>
    <t>ср 17.12.2025 — 16:34:41</t>
  </si>
  <si>
    <t>E33149364_1_20251217T165330Z.jpg</t>
  </si>
  <si>
    <t>9 Ангар пилорама\E33149364_1_20251217T165330Z.jpg</t>
  </si>
  <si>
    <t>ср 17.12.2025 — 16:53:30</t>
  </si>
  <si>
    <t>E33149364_3_20251217T094144Z.jpg</t>
  </si>
  <si>
    <t>10 Сушилка навес\E33149364_3_20251217T094144Z.jpg</t>
  </si>
  <si>
    <t>ср 17.12.2025 — 09:41:44</t>
  </si>
  <si>
    <t>E33149364_3_20251217T101005Z.jpg</t>
  </si>
  <si>
    <t>10 Сушилка навес\E33149364_3_20251217T101005Z.jpg</t>
  </si>
  <si>
    <t>ср 17.12.2025 — 10:10:05</t>
  </si>
  <si>
    <t>E33149364_3_20251217T102017Z.jpg</t>
  </si>
  <si>
    <t>10 Сушилка навес\E33149364_3_20251217T102017Z.jpg</t>
  </si>
  <si>
    <t>ср 17.12.2025 — 10:20:17</t>
  </si>
  <si>
    <t>E33149364_3_20251217T110237Z.jpg</t>
  </si>
  <si>
    <t>10 Сушилка навес\E33149364_3_20251217T110237Z.jpg</t>
  </si>
  <si>
    <t>ср 17.12.2025 — 11:02:37</t>
  </si>
  <si>
    <t>E33149364_3_20251217T112143Z.jpg</t>
  </si>
  <si>
    <t>10 Сушилка навес\E33149364_3_20251217T112143Z.jpg</t>
  </si>
  <si>
    <t>ср 17.12.2025 — 11:21:43</t>
  </si>
  <si>
    <t>E33149364_3_20251217T114039Z.jpg</t>
  </si>
  <si>
    <t>10 Сушилка навес\E33149364_3_20251217T114039Z.jpg</t>
  </si>
  <si>
    <t>ср 17.12.2025 — 11:40:39</t>
  </si>
  <si>
    <t>E33149364_3_20251217T115521Z.jpg</t>
  </si>
  <si>
    <t>10 Сушилка навес\E33149364_3_20251217T115521Z.jpg</t>
  </si>
  <si>
    <t>ср 17.12.2025 — 11:55:21</t>
  </si>
  <si>
    <t>E33149364_3_20251217T122221Z.jpg</t>
  </si>
  <si>
    <t>10 Сушилка навес\E33149364_3_20251217T122221Z.jpg</t>
  </si>
  <si>
    <t>ср 17.12.2025 — 12:22:21</t>
  </si>
  <si>
    <t>E33149364_3_20251217T141850Z.jpg</t>
  </si>
  <si>
    <t>10 Сушилка навес\E33149364_3_20251217T141850Z.jpg</t>
  </si>
  <si>
    <t>ср 17.12.2025 — 14:18:50</t>
  </si>
  <si>
    <t>E33149364_3_20251217T142606Z.jpg</t>
  </si>
  <si>
    <t>10 Сушилка навес\E33149364_3_20251217T142606Z.jpg</t>
  </si>
  <si>
    <t>ср 17.12.2025 — 14:26:06</t>
  </si>
  <si>
    <t>E33149364_3_20251217T143304Z.jpg</t>
  </si>
  <si>
    <t>10 Сушилка навес\E33149364_3_20251217T143304Z.jpg</t>
  </si>
  <si>
    <t>ср 17.12.2025 — 14:33:04</t>
  </si>
  <si>
    <t>E33149364_3_20251217T152529Z.jpg</t>
  </si>
  <si>
    <t>10 Сушилка навес\E33149364_3_20251217T152529Z.jpg</t>
  </si>
  <si>
    <t>ср 17.12.2025 — 15:25:29</t>
  </si>
  <si>
    <t>E33149364_3_20251217T162222Z.jpg</t>
  </si>
  <si>
    <t>10 Сушилка навес\E33149364_3_20251217T162222Z.jpg</t>
  </si>
  <si>
    <t>ср 17.12.2025 — 16:22:22</t>
  </si>
  <si>
    <t>E33149364_4_20251217T160515Z.jpg</t>
  </si>
  <si>
    <t>11 С ангара на базу\E33149364_4_20251217T160515Z.jpg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</si>
  <si>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</si>
  <si>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</si>
  <si>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</si>
  <si>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</si>
  <si>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</si>
  <si>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</si>
  <si>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</si>
  <si>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</si>
  <si>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</si>
  <si>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</si>
  <si>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</si>
  <si>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</si>
  <si>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</si>
  <si>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</si>
  <si>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</si>
  <si>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</si>
  <si>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</si>
  <si>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</si>
  <si>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</si>
  <si>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</si>
  <si>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</si>
  <si>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</si>
  <si>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</si>
  <si>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</si>
  <si>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</si>
  <si>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</si>
  <si>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</si>
  <si>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</si>
  <si>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</si>
  <si>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</si>
  <si>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</si>
  <si>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</si>
  <si>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</si>
  <si>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</si>
  <si>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</si>
  <si>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</si>
  <si>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</si>
  <si>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</si>
  <si>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</si>
  <si>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</si>
  <si>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</si>
  <si>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</si>
  <si>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</si>
  <si>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</si>
  <si>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</si>
  <si>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</si>
  <si>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</si>
  <si>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</si>
  <si>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</si>
  <si>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</si>
  <si>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</si>
  <si>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</si>
  <si>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</si>
  <si>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</si>
  <si>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</si>
  <si>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</si>
  <si>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</si>
  <si>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2 Пилорама поката\E33149364_7_20251219T110844Z.jpg</t>
  </si>
  <si>
    <t>пт 19.12.2025 — 11:08:44</t>
  </si>
  <si>
    <t>E33149364_7_20251219T110920Z.jpg</t>
  </si>
  <si>
    <t>2 Пилорама поката\E33149364_7_20251219T110920Z.jpg</t>
  </si>
  <si>
    <t>пт 19.12.2025 — 11:09:20</t>
  </si>
  <si>
    <t>E33149364_7_20251219T110933Z.jpg</t>
  </si>
  <si>
    <t>2 Пилорама поката\E33149364_7_20251219T110933Z.jpg</t>
  </si>
  <si>
    <t>пт 19.12.2025 — 11:09:33</t>
  </si>
  <si>
    <t>E33149364_7_20251219T111408Z.jpg</t>
  </si>
  <si>
    <t>2 Пилорама поката\E33149364_7_20251219T111408Z.jpg</t>
  </si>
  <si>
    <t>пт 19.12.2025 — 11:14:08</t>
  </si>
  <si>
    <t>E33149364_7_20251219T112008Z.jpg</t>
  </si>
  <si>
    <t>2 Пилорама поката\E33149364_7_20251219T112008Z.jpg</t>
  </si>
  <si>
    <t>пт 19.12.2025 — 11:20:08</t>
  </si>
  <si>
    <t>E33149364_7_20251219T112241Z.jpg</t>
  </si>
  <si>
    <t>2 Пилорама поката\E33149364_7_20251219T112241Z.jpg</t>
  </si>
  <si>
    <t>пт 19.12.2025 — 11:22:41</t>
  </si>
  <si>
    <t>E33149364_7_20251220T154823Z.jpg</t>
  </si>
  <si>
    <t>2 Пилорама поката\E33149364_7_20251220T154823Z.jpg</t>
  </si>
  <si>
    <t>сб 20.12.2025 — 15:48:23</t>
  </si>
  <si>
    <t>E33149364_6_20251219T155120Z.jpg</t>
  </si>
  <si>
    <t>1 Ангар Склад 2 въезд\E33149364_6_20251219T155120Z.jpg</t>
  </si>
  <si>
    <t>пт 19.12.2025 — 15:51:20</t>
  </si>
  <si>
    <t>E33149364_6_20251220T162258Z.jpg</t>
  </si>
  <si>
    <t>1 Ангар Склад 2 въезд\E33149364_6_20251220T162258Z.jpg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</si>
  <si>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</si>
  <si>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</si>
  <si>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</si>
  <si>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</si>
  <si>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</si>
  <si>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</si>
  <si>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</si>
  <si>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</si>
  <si>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3 Въезд на базу\E33149364_8_20251219T161320Z.jpg</t>
  </si>
  <si>
    <t>пт 19.12.2025 — 16:13:20</t>
  </si>
  <si>
    <t>E33149364_8_20251220T162309Z.jpg</t>
  </si>
  <si>
    <t>3 Въезд на базу\E33149364_8_20251220T162309Z.jpg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</si>
  <si>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</si>
  <si>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</si>
  <si>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</si>
  <si>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</si>
  <si>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</si>
  <si>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</si>
  <si>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</si>
  <si>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</si>
  <si>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</si>
  <si>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</si>
  <si>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</si>
  <si>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</si>
  <si>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</si>
  <si>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</si>
  <si>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</si>
  <si>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</si>
  <si>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</si>
  <si>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8 Рейсмус\E33149364_2_20251218T150902Z.jpg</t>
  </si>
  <si>
    <t>чт 18.12.2025 — 15:09:02</t>
  </si>
  <si>
    <t>E33149364_2_20251219T090946Z.jpg</t>
  </si>
  <si>
    <t>8 Рейсмус\E33149364_2_20251219T090946Z.jpg</t>
  </si>
  <si>
    <t>пт 19.12.2025 — 09:09:46</t>
  </si>
  <si>
    <t>E33149364_2_20251219T155026Z.jpg</t>
  </si>
  <si>
    <t>8 Рейсмус\E33149364_2_20251219T155026Z.jpg</t>
  </si>
  <si>
    <t>пт 19.12.2025 — 15:50:26</t>
  </si>
  <si>
    <t>E33149364_2_20251219T155244Z.jpg</t>
  </si>
  <si>
    <t>8 Рейсмус\E33149364_2_20251219T155244Z.jpg</t>
  </si>
  <si>
    <t>пт 19.12.2025 — 15:52:44</t>
  </si>
  <si>
    <t>E33149364_2_20251220T162005Z.jpg</t>
  </si>
  <si>
    <t>8 Рейсмус\E33149364_2_20251220T162005Z.jpg</t>
  </si>
  <si>
    <t>сб 20.12.2025 — 16:20:05</t>
  </si>
  <si>
    <t>E33149364_1_20251218T085123Z.jpg</t>
  </si>
  <si>
    <t>9 Ангар пилорама\E33149364_1_20251218T085123Z.jpg</t>
  </si>
  <si>
    <t>чт 18.12.2025 — 08:51:23</t>
  </si>
  <si>
    <t>E33149364_1_20251218T093444Z.jpg</t>
  </si>
  <si>
    <t>9 Ангар пилорама\E33149364_1_20251218T093444Z.jpg</t>
  </si>
  <si>
    <t>чт 18.12.2025 — 09:34:44</t>
  </si>
  <si>
    <t>E33149364_1_20251218T093454Z.jpg</t>
  </si>
  <si>
    <t>9 Ангар пилорама\E33149364_1_20251218T093454Z.jpg</t>
  </si>
  <si>
    <t>чт 18.12.2025 — 09:34:54</t>
  </si>
  <si>
    <t>E33149364_1_20251218T093834Z.jpg</t>
  </si>
  <si>
    <t>9 Ангар пилорама\E33149364_1_20251218T093834Z.jpg</t>
  </si>
  <si>
    <t>чт 18.12.2025 — 09:38:34</t>
  </si>
  <si>
    <t>E33149364_1_20251218T094002Z.jpg</t>
  </si>
  <si>
    <t>9 Ангар пилорама\E33149364_1_20251218T094002Z.jpg</t>
  </si>
  <si>
    <t>чт 18.12.2025 — 09:40:02</t>
  </si>
  <si>
    <t>E33149364_1_20251218T095140Z.jpg</t>
  </si>
  <si>
    <t>9 Ангар пилорама\E33149364_1_20251218T095140Z.jpg</t>
  </si>
  <si>
    <t>чт 18.12.2025 — 09:51:40</t>
  </si>
  <si>
    <t>E33149364_1_20251218T101500Z.jpg</t>
  </si>
  <si>
    <t>9 Ангар пилорама\E33149364_1_20251218T101500Z.jpg</t>
  </si>
  <si>
    <t>чт 18.12.2025 — 10:15:00</t>
  </si>
  <si>
    <t>E33149364_1_20251218T102050Z.jpg</t>
  </si>
  <si>
    <t>9 Ангар пилорама\E33149364_1_20251218T102050Z.jpg</t>
  </si>
  <si>
    <t>чт 18.12.2025 — 10:20:50</t>
  </si>
  <si>
    <t>E33149364_1_20251218T124542Z.jpg</t>
  </si>
  <si>
    <t>9 Ангар пилорама\E33149364_1_20251218T124542Z.jpg</t>
  </si>
  <si>
    <t>чт 18.12.2025 — 12:45:42</t>
  </si>
  <si>
    <t>E33149364_1_20251218T142443Z.jpg</t>
  </si>
  <si>
    <t>9 Ангар пилорама\E33149364_1_20251218T142443Z.jpg</t>
  </si>
  <si>
    <t>чт 18.12.2025 — 14:24:43</t>
  </si>
  <si>
    <t>E33149364_1_20251218T143623Z.jpg</t>
  </si>
  <si>
    <t>9 Ангар пилорама\E33149364_1_20251218T143623Z.jpg</t>
  </si>
  <si>
    <t>чт 18.12.2025 — 14:36:23</t>
  </si>
  <si>
    <t>E33149364_1_20251218T144229Z.jpg</t>
  </si>
  <si>
    <t>9 Ангар пилорама\E33149364_1_20251218T144229Z.jpg</t>
  </si>
  <si>
    <t>чт 18.12.2025 — 14:42:29</t>
  </si>
  <si>
    <t>E33149364_1_20251218T144705Z.jpg</t>
  </si>
  <si>
    <t>9 Ангар пилорама\E33149364_1_20251218T144705Z.jpg</t>
  </si>
  <si>
    <t>чт 18.12.2025 — 14:47:05</t>
  </si>
  <si>
    <t>E33149364_1_20251218T161356Z.jpg</t>
  </si>
  <si>
    <t>9 Ангар пилорама\E33149364_1_20251218T161356Z.jpg</t>
  </si>
  <si>
    <t>чт 18.12.2025 — 16:13:56</t>
  </si>
  <si>
    <t>E33149364_1_20251218T162109Z.jpg</t>
  </si>
  <si>
    <t>9 Ангар пилорама\E33149364_1_20251218T162109Z.jpg</t>
  </si>
  <si>
    <t>чт 18.12.2025 — 16:21:09</t>
  </si>
  <si>
    <t>E33149364_1_20251218T205241Z.jpg</t>
  </si>
  <si>
    <t>9 Ангар пилорама\E33149364_1_20251218T205241Z.jpg</t>
  </si>
  <si>
    <t>чт 18.12.2025 — 20:52:41</t>
  </si>
  <si>
    <t>E33149364_1_20251218T221938Z.jpg</t>
  </si>
  <si>
    <t>9 Ангар пилорама\E33149364_1_20251218T221938Z.jpg</t>
  </si>
  <si>
    <t>чт 18.12.2025 — 22:19:38</t>
  </si>
  <si>
    <t>E33149364_1_20251218T231101Z.jpg</t>
  </si>
  <si>
    <t>9 Ангар пилорама\E33149364_1_20251218T231101Z.jpg</t>
  </si>
  <si>
    <t>чт 18.12.2025 — 23:11:01</t>
  </si>
  <si>
    <t>E33149364_1_20251219T092025Z.jpg</t>
  </si>
  <si>
    <t>9 Ангар пилорама\E33149364_1_20251219T092025Z.jpg</t>
  </si>
  <si>
    <t>пт 19.12.2025 — 09:20:25</t>
  </si>
  <si>
    <t>E33149364_1_20251219T110943Z.jpg</t>
  </si>
  <si>
    <t>9 Ангар пилорама\E33149364_1_20251219T110943Z.jpg</t>
  </si>
  <si>
    <t>пт 19.12.2025 — 11:09:43</t>
  </si>
  <si>
    <t>E33149364_1_20251219T121735Z.jpg</t>
  </si>
  <si>
    <t>9 Ангар пилорама\E33149364_1_20251219T121735Z.jpg</t>
  </si>
  <si>
    <t>пт 19.12.2025 — 12:17:35</t>
  </si>
  <si>
    <t>E33149364_1_20251219T121811Z.jpg</t>
  </si>
  <si>
    <t>9 Ангар пилорама\E33149364_1_20251219T121811Z.jpg</t>
  </si>
  <si>
    <t>пт 19.12.2025 — 12:18:11</t>
  </si>
  <si>
    <t>E33149364_1_20251219T155259Z.jpg</t>
  </si>
  <si>
    <t>9 Ангар пилорама\E33149364_1_20251219T155259Z.jpg</t>
  </si>
  <si>
    <t>пт 19.12.2025 — 15:52:59</t>
  </si>
  <si>
    <t>E33149364_1_20251219T162643Z.jpg</t>
  </si>
  <si>
    <t>9 Ангар пилорама\E33149364_1_20251219T162643Z.jpg</t>
  </si>
  <si>
    <t>пт 19.12.2025 — 16:26:43</t>
  </si>
  <si>
    <t>E33149364_1_20251220T120511Z.jpg</t>
  </si>
  <si>
    <t>9 Ангар пилорама\E33149364_1_20251220T120511Z.jpg</t>
  </si>
  <si>
    <t>сб 20.12.2025 — 12:05:11</t>
  </si>
  <si>
    <t>E33149364_1_20251220T170518Z.jpg</t>
  </si>
  <si>
    <t>9 Ангар пилорама\E33149364_1_20251220T170518Z.jpg</t>
  </si>
  <si>
    <t>сб 20.12.2025 — 17:05:18</t>
  </si>
  <si>
    <t>E33149364_3_20251218T091507Z.jpg</t>
  </si>
  <si>
    <t>10 Сушилка навес\E33149364_3_20251218T091507Z.jpg</t>
  </si>
  <si>
    <t>чт 18.12.2025 — 09:15:07</t>
  </si>
  <si>
    <t>E33149364_3_20251218T093816Z.jpg</t>
  </si>
  <si>
    <t>10 Сушилка навес\E33149364_3_20251218T093816Z.jpg</t>
  </si>
  <si>
    <t>чт 18.12.2025 — 09:38:16</t>
  </si>
  <si>
    <t>E33149364_3_20251218T093824Z.jpg</t>
  </si>
  <si>
    <t>10 Сушилка навес\E33149364_3_20251218T093824Z.jpg</t>
  </si>
  <si>
    <t>чт 18.12.2025 — 09:38:24</t>
  </si>
  <si>
    <t>E33149364_3_20251218T095151Z.jpg</t>
  </si>
  <si>
    <t>10 Сушилка навес\E33149364_3_20251218T095151Z.jpg</t>
  </si>
  <si>
    <t>чт 18.12.2025 — 09:51:51</t>
  </si>
  <si>
    <t>E33149364_3_20251218T095534Z.jpg</t>
  </si>
  <si>
    <t>10 Сушилка навес\E33149364_3_20251218T095534Z.jpg</t>
  </si>
  <si>
    <t>чт 18.12.2025 — 09:55:34</t>
  </si>
  <si>
    <t>E33149364_3_20251218T095639Z.jpg</t>
  </si>
  <si>
    <t>10 Сушилка навес\E33149364_3_20251218T095639Z.jpg</t>
  </si>
  <si>
    <t>чт 18.12.2025 — 09:56:39</t>
  </si>
  <si>
    <t>E33149364_3_20251218T101243Z.jpg</t>
  </si>
  <si>
    <t>10 Сушилка навес\E33149364_3_20251218T101243Z.jpg</t>
  </si>
  <si>
    <t>чт 18.12.2025 — 10:12:43</t>
  </si>
  <si>
    <t>E33149364_3_20251218T103347Z.jpg</t>
  </si>
  <si>
    <t>10 Сушилка навес\E33149364_3_20251218T103347Z.jpg</t>
  </si>
  <si>
    <t>чт 18.12.2025 — 10:33:47</t>
  </si>
  <si>
    <t>E33149364_3_20251218T105357Z.jpg</t>
  </si>
  <si>
    <t>10 Сушилка навес\E33149364_3_20251218T105357Z.jpg</t>
  </si>
  <si>
    <t>чт 18.12.2025 — 10:53:57</t>
  </si>
  <si>
    <t>E33149364_3_20251218T112832Z.jpg</t>
  </si>
  <si>
    <t>10 Сушилка навес\E33149364_3_20251218T112832Z.jpg</t>
  </si>
  <si>
    <t>чт 18.12.2025 — 11:28:32</t>
  </si>
  <si>
    <t>E33149364_3_20251218T113400Z.jpg</t>
  </si>
  <si>
    <t>10 Сушилка навес\E33149364_3_20251218T113400Z.jpg</t>
  </si>
  <si>
    <t>чт 18.12.2025 — 11:34:00</t>
  </si>
  <si>
    <t>E33149364_3_20251218T120309Z.jpg</t>
  </si>
  <si>
    <t>10 Сушилка навес\E33149364_3_20251218T120309Z.jpg</t>
  </si>
  <si>
    <t>чт 18.12.2025 — 12:03:09</t>
  </si>
  <si>
    <t>E33149364_3_20251218T122657Z.jpg</t>
  </si>
  <si>
    <t>10 Сушилка навес\E33149364_3_20251218T122657Z.jpg</t>
  </si>
  <si>
    <t>чт 18.12.2025 — 12:26:57</t>
  </si>
  <si>
    <t>E33149364_3_20251218T123712Z.jpg</t>
  </si>
  <si>
    <t>10 Сушилка навес\E33149364_3_20251218T123712Z.jpg</t>
  </si>
  <si>
    <t>чт 18.12.2025 — 12:37:12</t>
  </si>
  <si>
    <t>E33149364_3_20251218T142707Z.jpg</t>
  </si>
  <si>
    <t>10 Сушилка навес\E33149364_3_20251218T142707Z.jpg</t>
  </si>
  <si>
    <t>чт 18.12.2025 — 14:27:07</t>
  </si>
  <si>
    <t>E33149364_3_20251218T142738Z.jpg</t>
  </si>
  <si>
    <t>10 Сушилка навес\E33149364_3_20251218T142738Z.jpg</t>
  </si>
  <si>
    <t>чт 18.12.2025 — 14:27:38</t>
  </si>
  <si>
    <t>E33149364_3_20251218T144406Z.jpg</t>
  </si>
  <si>
    <t>10 Сушилка навес\E33149364_3_20251218T144406Z.jpg</t>
  </si>
  <si>
    <t>чт 18.12.2025 — 14:44:06</t>
  </si>
  <si>
    <t>E33149364_3_20251218T144420Z.jpg</t>
  </si>
  <si>
    <t>10 Сушилка навес\E33149364_3_20251218T144420Z.jpg</t>
  </si>
  <si>
    <t>чт 18.12.2025 — 14:44:20</t>
  </si>
  <si>
    <t>E33149364_3_20251218T144444Z.jpg</t>
  </si>
  <si>
    <t>10 Сушилка навес\E33149364_3_20251218T144444Z.jpg</t>
  </si>
  <si>
    <t>чт 18.12.2025 — 14:44:44</t>
  </si>
  <si>
    <t>E33149364_3_20251218T163834Z.jpg</t>
  </si>
  <si>
    <t>10 Сушилка навес\E33149364_3_20251218T163834Z.jpg</t>
  </si>
  <si>
    <t>чт 18.12.2025 — 16:38:34</t>
  </si>
  <si>
    <t>E33149364_3_20251219T091346Z.jpg</t>
  </si>
  <si>
    <t>10 Сушилка навес\E33149364_3_20251219T091346Z.jpg</t>
  </si>
  <si>
    <t>пт 19.12.2025 — 09:13:46</t>
  </si>
  <si>
    <t>E33149364_3_20251219T091355Z.jpg</t>
  </si>
  <si>
    <t>10 Сушилка навес\E33149364_3_20251219T091355Z.jpg</t>
  </si>
  <si>
    <t>пт 19.12.2025 — 09:13:55</t>
  </si>
  <si>
    <t>E33149364_3_20251219T092205Z.jpg</t>
  </si>
  <si>
    <t>10 Сушилка навес\E33149364_3_20251219T092205Z.jpg</t>
  </si>
  <si>
    <t>пт 19.12.2025 — 09:22:05</t>
  </si>
  <si>
    <t>E33149364_3_20251219T123117Z.jpg</t>
  </si>
  <si>
    <t>10 Сушилка навес\E33149364_3_20251219T123117Z.jpg</t>
  </si>
  <si>
    <t>пт 19.12.2025 — 12:31:17</t>
  </si>
  <si>
    <t>E33149364_3_20251219T155314Z.jpg</t>
  </si>
  <si>
    <t>10 Сушилка навес\E33149364_3_20251219T155314Z.jpg</t>
  </si>
  <si>
    <t>пт 19.12.2025 — 15:53:14</t>
  </si>
  <si>
    <t>E33149364_3_20251219T160845Z.jpg</t>
  </si>
  <si>
    <t>10 Сушилка навес\E33149364_3_20251219T160845Z.jpg</t>
  </si>
  <si>
    <t>пт 19.12.2025 — 16:08:45</t>
  </si>
  <si>
    <t>E33149364_3_20251220T162816Z.jpg</t>
  </si>
  <si>
    <t>10 Сушилка навес\E33149364_3_20251220T162816Z.jpg</t>
  </si>
  <si>
    <t>сб 20.12.2025 — 16:28:16</t>
  </si>
  <si>
    <t>E33149364_4_20251218T095606Z.jpg</t>
  </si>
  <si>
    <t>11 С ангара на базу\E33149364_4_20251218T095606Z.jpg</t>
  </si>
  <si>
    <t>чт 18.12.2025 — 09:56:06</t>
  </si>
  <si>
    <t>E33149364_4_20251218T095636Z.jpg</t>
  </si>
  <si>
    <t>11 С ангара на базу\E33149364_4_20251218T095636Z.jpg</t>
  </si>
  <si>
    <t>чт 18.12.2025 — 09:56:36</t>
  </si>
  <si>
    <t>E33149364_4_20251218T104027Z.jpg</t>
  </si>
  <si>
    <t>11 С ангара на базу\E33149364_4_20251218T104027Z.jpg</t>
  </si>
  <si>
    <t>чт 18.12.2025 — 10:40:27</t>
  </si>
  <si>
    <t>E33149364_4_20251218T144553Z.jpg</t>
  </si>
  <si>
    <t>11 С ангара на базу\E33149364_4_20251218T144553Z.jpg</t>
  </si>
  <si>
    <t>чт 18.12.2025 — 14:45:53</t>
  </si>
  <si>
    <t>E33149364_4_20251218T144616Z.jpg</t>
  </si>
  <si>
    <t>11 С ангара на базу\E33149364_4_20251218T144616Z.jpg</t>
  </si>
  <si>
    <t>чт 18.12.2025 — 14:46:16</t>
  </si>
  <si>
    <t>E33149364_4_20251219T164556Z.jpg</t>
  </si>
  <si>
    <t>11 С ангара на базу\E33149364_4_20251219T164556Z.jpg</t>
  </si>
  <si>
    <t>пт 19.12.2025 — 16:45:56</t>
  </si>
  <si>
    <t>E33149364_4_20251220T162806Z.jpg</t>
  </si>
  <si>
    <t>11 С ангара на базу\E33149364_4_20251220T162806Z.jpg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</si>
  <si>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</si>
  <si>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</si>
  <si>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</si>
  <si>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</si>
  <si>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</si>
  <si>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</si>
  <si>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</si>
  <si>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</si>
  <si>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</si>
  <si>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</si>
  <si>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</si>
  <si>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</si>
  <si>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</si>
  <si>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</si>
  <si>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</si>
  <si>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</si>
  <si>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</si>
  <si>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</si>
  <si>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</si>
  <si>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</si>
  <si>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</si>
  <si>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</si>
  <si>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</si>
  <si>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</si>
  <si>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</si>
  <si>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</si>
  <si>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</si>
  <si>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</si>
  <si>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</si>
  <si>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</si>
  <si>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</si>
  <si>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</si>
  <si>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</si>
  <si>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</si>
  <si>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</si>
  <si>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</si>
  <si>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</si>
  <si>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</si>
  <si>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</si>
  <si>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</si>
  <si>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</si>
  <si>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</si>
  <si>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</si>
  <si>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</si>
  <si>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</si>
  <si>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</si>
  <si>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</si>
  <si>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</si>
  <si>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</si>
  <si>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</si>
  <si>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1 Ангар Склад 2 въезд\E33149364_6_20251221T172557Z.jpg</t>
  </si>
  <si>
    <t>вс 21.12.2025 — 17:25:57</t>
  </si>
  <si>
    <t>E33149364_7_20251221T174304Z.jpg</t>
  </si>
  <si>
    <t>2 Пилорама поката\E33149364_7_20251221T174304Z.jpg</t>
  </si>
  <si>
    <t>вс 21.12.2025 — 17:43:04</t>
  </si>
  <si>
    <t>E33149364_8_20251221T170200Z.jpg</t>
  </si>
  <si>
    <t>3 Въезд на базу\E33149364_8_20251221T170200Z.jpg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</si>
  <si>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</si>
  <si>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</si>
  <si>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</si>
  <si>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</si>
  <si>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</si>
  <si>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</si>
  <si>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</si>
  <si>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</si>
  <si>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8 Рейсмус\E33149364_2_20251221T124126Z.jpg</t>
  </si>
  <si>
    <t>вс 21.12.2025 — 12:41:26</t>
  </si>
  <si>
    <t>E33149364_1_20251221T104512Z.jpg</t>
  </si>
  <si>
    <t>9 Ангар пилорама\E33149364_1_20251221T104512Z.jpg</t>
  </si>
  <si>
    <t>вс 21.12.2025 — 10:45:12</t>
  </si>
  <si>
    <t>E33149364_1_20251221T141623Z.jpg</t>
  </si>
  <si>
    <t>9 Ангар пилорама\E33149364_1_20251221T141623Z.jpg</t>
  </si>
  <si>
    <t>вс 21.12.2025 — 14:16:23</t>
  </si>
  <si>
    <t>E33149364_1_20251221T163956Z.jpg</t>
  </si>
  <si>
    <t>9 Ангар пилорама\E33149364_1_20251221T163956Z.jpg</t>
  </si>
  <si>
    <t>вс 21.12.2025 — 16:39:56</t>
  </si>
  <si>
    <t>E33149364_3_20251221T164250Z.jpg</t>
  </si>
  <si>
    <t>10 Сушилка навес\E33149364_3_20251221T164250Z.jpg</t>
  </si>
  <si>
    <t>вс 21.12.2025 — 16:42:50</t>
  </si>
  <si>
    <t>E33149364_4_20251221T165950Z.jpg</t>
  </si>
  <si>
    <t>11 С ангара на базу\E33149364_4_20251221T165950Z.jpg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</si>
  <si>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</si>
  <si>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</si>
  <si>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</si>
  <si>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</si>
  <si>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</si>
  <si>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</si>
  <si>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</si>
  <si>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</si>
  <si>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</si>
  <si>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</si>
  <si>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</si>
  <si>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</si>
  <si>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2 Пилорама поката\E33149364_7_20251222T111002Z.jpg</t>
  </si>
  <si>
    <t>пн 22.12.2025 — 11:10:02</t>
  </si>
  <si>
    <t>E33149364_7_20251222T131147Z.jpg</t>
  </si>
  <si>
    <t>2 Пилорама поката\E33149364_7_20251222T131147Z.jpg</t>
  </si>
  <si>
    <t>пн 22.12.2025 — 13:11:47</t>
  </si>
  <si>
    <t>E33149364_7_20251223T174651Z.jpg</t>
  </si>
  <si>
    <t>2 Пилорама поката\E33149364_7_20251223T174651Z.jpg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</si>
  <si>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</si>
  <si>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</si>
  <si>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</si>
  <si>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</si>
  <si>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</si>
  <si>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</si>
  <si>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</si>
  <si>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</si>
  <si>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</si>
  <si>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</si>
  <si>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</si>
  <si>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</si>
  <si>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</si>
  <si>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</si>
  <si>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</si>
  <si>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</si>
  <si>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</si>
  <si>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1 Ангар Склад 2 въезд\E33149364_6_20251222T110930Z.jpg</t>
  </si>
  <si>
    <t>пн 22.12.2025 — 11:09:30</t>
  </si>
  <si>
    <t>E33149364_6_20251222T131820Z.jpg</t>
  </si>
  <si>
    <t>1 Ангар Склад 2 въезд\E33149364_6_20251222T131820Z.jpg</t>
  </si>
  <si>
    <t>пн 22.12.2025 — 13:18:20</t>
  </si>
  <si>
    <t>E33149364_6_20251223T181257Z.jpg</t>
  </si>
  <si>
    <t>1 Ангар Склад 2 въезд\E33149364_6_20251223T181257Z.jpg</t>
  </si>
  <si>
    <t>вт 23.12.2025 — 18:12:57</t>
  </si>
  <si>
    <t>E33149364_6_20251223T193501Z.jpg</t>
  </si>
  <si>
    <t>1 Ангар Склад 2 въезд\E33149364_6_20251223T193501Z.jpg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</si>
  <si>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</si>
  <si>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</si>
  <si>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</si>
  <si>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</si>
  <si>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</si>
  <si>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</si>
  <si>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</si>
  <si>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</si>
  <si>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3 Въезд на базу\E33149364_8_20251222T163200Z.jpg</t>
  </si>
  <si>
    <t>пн 22.12.2025 — 16:32:00</t>
  </si>
  <si>
    <t>E33149364_8_20251223T170929Z.jpg</t>
  </si>
  <si>
    <t>3 Въезд на базу\E33149364_8_20251223T170929Z.jpg</t>
  </si>
  <si>
    <t>вт 23.12.2025 — 17:09:29</t>
  </si>
  <si>
    <t>E33149364_8_20251223T193452Z.jpg</t>
  </si>
  <si>
    <t>3 Въезд на базу\E33149364_8_20251223T193452Z.jpg</t>
  </si>
  <si>
    <t>вт 23.12.2025 — 19:34:52</t>
  </si>
  <si>
    <t>E33149364_1_20251222T095535Z.jpg</t>
  </si>
  <si>
    <t>9 Ангар пилорама\E33149364_1_20251222T095535Z.jpg</t>
  </si>
  <si>
    <t>пн 22.12.2025 — 09:55:35</t>
  </si>
  <si>
    <t>E33149364_1_20251222T103703Z.jpg</t>
  </si>
  <si>
    <t>9 Ангар пилорама\E33149364_1_20251222T103703Z.jpg</t>
  </si>
  <si>
    <t>пн 22.12.2025 — 10:37:03</t>
  </si>
  <si>
    <t>E33149364_1_20251222T105855Z.jpg</t>
  </si>
  <si>
    <t>9 Ангар пилорама\E33149364_1_20251222T105855Z.jpg</t>
  </si>
  <si>
    <t>пн 22.12.2025 — 10:58:55</t>
  </si>
  <si>
    <t>E33149364_1_20251222T123129Z.jpg</t>
  </si>
  <si>
    <t>9 Ангар пилорама\E33149364_1_20251222T123129Z.jpg</t>
  </si>
  <si>
    <t>пн 22.12.2025 — 12:31:29</t>
  </si>
  <si>
    <t>E33149364_1_20251222T123809Z.jpg</t>
  </si>
  <si>
    <t>9 Ангар пилорама\E33149364_1_20251222T123809Z.jpg</t>
  </si>
  <si>
    <t>пн 22.12.2025 — 12:38:09</t>
  </si>
  <si>
    <t>E33149364_1_20251222T135437Z.jpg</t>
  </si>
  <si>
    <t>9 Ангар пилорама\E33149364_1_20251222T135437Z.jpg</t>
  </si>
  <si>
    <t>пн 22.12.2025 — 13:54:37</t>
  </si>
  <si>
    <t>E33149364_1_20251222T140332Z.jpg</t>
  </si>
  <si>
    <t>9 Ангар пилорама\E33149364_1_20251222T140332Z.jpg</t>
  </si>
  <si>
    <t>пн 22.12.2025 — 14:03:32</t>
  </si>
  <si>
    <t>E33149364_1_20251222T145347Z.jpg</t>
  </si>
  <si>
    <t>9 Ангар пилорама\E33149364_1_20251222T145347Z.jpg</t>
  </si>
  <si>
    <t>пн 22.12.2025 — 14:53:47</t>
  </si>
  <si>
    <t>E33149364_1_20251223T085746Z.jpg</t>
  </si>
  <si>
    <t>9 Ангар пилорама\E33149364_1_20251223T085746Z.jpg</t>
  </si>
  <si>
    <t>вт 23.12.2025 — 08:57:46</t>
  </si>
  <si>
    <t>E33149364_1_20251223T194256Z.jpg</t>
  </si>
  <si>
    <t>9 Ангар пилорама\E33149364_1_20251223T194256Z.jpg</t>
  </si>
  <si>
    <t>вт 23.12.2025 — 19:42:56</t>
  </si>
  <si>
    <t>E33149364_3_20251222T170048Z.jpg</t>
  </si>
  <si>
    <t>10 Сушилка навес\E33149364_3_20251222T170048Z.jpg</t>
  </si>
  <si>
    <t>пн 22.12.2025 — 17:00:48</t>
  </si>
  <si>
    <t>E33149364_3_20251223T104739Z.jpg</t>
  </si>
  <si>
    <t>10 Сушилка навес\E33149364_3_20251223T104739Z.jpg</t>
  </si>
  <si>
    <t>вт 23.12.2025 — 10:47:39</t>
  </si>
  <si>
    <t>E33149364_4_20251222T171004Z.jpg</t>
  </si>
  <si>
    <t>11 С ангара на базу\E33149364_4_20251222T171004Z.jpg</t>
  </si>
  <si>
    <t>пн 22.12.2025 — 17:10:04</t>
  </si>
  <si>
    <t>E33149364_4_20251223T172523Z.jpg</t>
  </si>
  <si>
    <t>11 С ангара на базу\E33149364_4_20251223T172523Z.jpg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</si>
  <si>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</si>
  <si>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</si>
  <si>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</si>
  <si>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</si>
  <si>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</si>
  <si>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</si>
  <si>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</si>
  <si>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</si>
  <si>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</si>
  <si>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</si>
  <si>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</si>
  <si>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</si>
  <si>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</si>
  <si>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</si>
  <si>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</si>
  <si>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</si>
  <si>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</si>
  <si>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</si>
  <si>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</si>
  <si>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</si>
  <si>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</si>
  <si>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</si>
  <si>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</si>
  <si>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</si>
  <si>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</si>
  <si>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</si>
  <si>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</si>
  <si>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</si>
  <si>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</si>
  <si>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</si>
  <si>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</si>
  <si>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</si>
  <si>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</si>
  <si>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</si>
  <si>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</si>
  <si>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</si>
  <si>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</si>
  <si>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</si>
  <si>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</si>
  <si>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</si>
  <si>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</si>
  <si>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</si>
  <si>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</si>
  <si>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</si>
  <si>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</si>
  <si>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</si>
  <si>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</si>
  <si>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</si>
  <si>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</si>
  <si>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</si>
  <si>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</si>
  <si>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</si>
  <si>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</si>
  <si>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</si>
  <si>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</si>
  <si>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</si>
  <si>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</si>
  <si>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</si>
  <si>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</si>
  <si>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</si>
  <si>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</si>
  <si>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</si>
  <si>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</si>
  <si>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</si>
  <si>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</si>
  <si>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</si>
  <si>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</si>
  <si>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</si>
  <si>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</si>
  <si>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</si>
  <si>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</si>
  <si>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</si>
  <si>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</si>
  <si>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</si>
  <si>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</si>
  <si>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</si>
  <si>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</si>
  <si>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</si>
  <si>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</si>
  <si>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</si>
  <si>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</si>
  <si>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</si>
  <si>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</si>
  <si>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</si>
  <si>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</si>
  <si>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</si>
  <si>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8 Рейсмус\E33149364_2_20251222T143251Z.jpg</t>
  </si>
  <si>
    <t>пн 22.12.2025 — 14:32:51</t>
  </si>
  <si>
    <t>E33149364_2_20251223T180336Z.jpg</t>
  </si>
  <si>
    <t>8 Рейсмус\E33149364_2_20251223T180336Z.jpg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</si>
  <si>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</si>
  <si>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</si>
  <si>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</si>
  <si>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</si>
  <si>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</si>
  <si>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</si>
  <si>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</si>
  <si>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</si>
  <si>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</si>
  <si>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</si>
  <si>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</si>
  <si>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</si>
  <si>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</si>
  <si>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</si>
  <si>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</si>
  <si>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</si>
  <si>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</si>
  <si>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</si>
  <si>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</si>
  <si>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1 Ангар Склад 2 въезд\E33149364_6_20251224T171054Z.jpg</t>
  </si>
  <si>
    <t>ср 24.12.2025 — 17:10:54</t>
  </si>
  <si>
    <t>E33149364_6_20251224T211527Z.jpg</t>
  </si>
  <si>
    <t>1 Ангар Склад 2 въезд\E33149364_6_20251224T211527Z.jpg</t>
  </si>
  <si>
    <t>ср 24.12.2025 — 21:15:27</t>
  </si>
  <si>
    <t>E33149364_6_20251225T114910Z.jpg</t>
  </si>
  <si>
    <t>1 Ангар Склад 2 въезд\E33149364_6_20251225T114910Z.jpg</t>
  </si>
  <si>
    <t>чт 25.12.2025 — 11:49:10</t>
  </si>
  <si>
    <t>E33149364_6_20251225T115604Z.jpg</t>
  </si>
  <si>
    <t>1 Ангар Склад 2 въезд\E33149364_6_20251225T115604Z.jpg</t>
  </si>
  <si>
    <t>чт 25.12.2025 — 11:56:04</t>
  </si>
  <si>
    <t>E33149364_6_20251225T121541Z.jpg</t>
  </si>
  <si>
    <t>1 Ангар Склад 2 въезд\E33149364_6_20251225T121541Z.jpg</t>
  </si>
  <si>
    <t>чт 25.12.2025 — 12:15:41</t>
  </si>
  <si>
    <t>E33149364_6_20251225T121604Z.jpg</t>
  </si>
  <si>
    <t>1 Ангар Склад 2 въезд\E33149364_6_20251225T121604Z.jpg</t>
  </si>
  <si>
    <t>чт 25.12.2025 — 12:16:04</t>
  </si>
  <si>
    <t>E33149364_6_20251225T145721Z.jpg</t>
  </si>
  <si>
    <t>1 Ангар Склад 2 въезд\E33149364_6_20251225T145721Z.jpg</t>
  </si>
  <si>
    <t>чт 25.12.2025 — 14:57:21</t>
  </si>
  <si>
    <t>E33149364_7_20251224T164641Z.jpg</t>
  </si>
  <si>
    <t>2 Пилорама поката\E33149364_7_20251224T164641Z.jpg</t>
  </si>
  <si>
    <t>ср 24.12.2025 — 16:46:41</t>
  </si>
  <si>
    <t>E33149364_7_20251225T174802Z.jpg</t>
  </si>
  <si>
    <t>2 Пилорама поката\E33149364_7_20251225T174802Z.jpg</t>
  </si>
  <si>
    <t>чт 25.12.2025 — 17:48:02</t>
  </si>
  <si>
    <t>E33149364_2_20251224T114643Z.jpg</t>
  </si>
  <si>
    <t>8 Рейсмус\E33149364_2_20251224T114643Z.jpg</t>
  </si>
  <si>
    <t>ср 24.12.2025 — 11:46:43</t>
  </si>
  <si>
    <t>E33149364_2_20251225T095936Z.jpg</t>
  </si>
  <si>
    <t>8 Рейсмус\E33149364_2_20251225T095936Z.jpg</t>
  </si>
  <si>
    <t>чт 25.12.2025 — 09:59:36</t>
  </si>
  <si>
    <t>E33149364_1_20251224T100751Z.jpg</t>
  </si>
  <si>
    <t>9 Ангар пилорама\E33149364_1_20251224T100751Z.jpg</t>
  </si>
  <si>
    <t>ср 24.12.2025 — 10:07:51</t>
  </si>
  <si>
    <t>E33149364_1_20251224T164454Z.jpg</t>
  </si>
  <si>
    <t>9 Ангар пилорама\E33149364_1_20251224T164454Z.jpg</t>
  </si>
  <si>
    <t>ср 24.12.2025 — 16:44:54</t>
  </si>
  <si>
    <t>E33149364_1_20251224T220505Z.jpg</t>
  </si>
  <si>
    <t>9 Ангар пилорама\E33149364_1_20251224T220505Z.jpg</t>
  </si>
  <si>
    <t>ср 24.12.2025 — 22:05:05</t>
  </si>
  <si>
    <t>E33149364_1_20251225T032907Z.jpg</t>
  </si>
  <si>
    <t>9 Ангар пилорама\E33149364_1_20251225T032907Z.jpg</t>
  </si>
  <si>
    <t>чт 25.12.2025 — 03:29:07</t>
  </si>
  <si>
    <t>E33149364_1_20251225T094257Z.jpg</t>
  </si>
  <si>
    <t>9 Ангар пилорама\E33149364_1_20251225T094257Z.jpg</t>
  </si>
  <si>
    <t>чт 25.12.2025 — 09:42:57</t>
  </si>
  <si>
    <t>E33149364_1_20251225T101234Z.jpg</t>
  </si>
  <si>
    <t>9 Ангар пилорама\E33149364_1_20251225T101234Z.jpg</t>
  </si>
  <si>
    <t>чт 25.12.2025 — 10:12:34</t>
  </si>
  <si>
    <t>E33149364_1_20251225T114315Z.jpg</t>
  </si>
  <si>
    <t>9 Ангар пилорама\E33149364_1_20251225T114315Z.jpg</t>
  </si>
  <si>
    <t>чт 25.12.2025 — 11:43:15</t>
  </si>
  <si>
    <t>E33149364_1_20251225T154643Z.jpg</t>
  </si>
  <si>
    <t>9 Ангар пилорама\E33149364_1_20251225T154643Z.jpg</t>
  </si>
  <si>
    <t>чт 25.12.2025 — 15:46:43</t>
  </si>
  <si>
    <t>E33149364_1_20251225T170109Z.jpg</t>
  </si>
  <si>
    <t>9 Ангар пилорама\E33149364_1_20251225T170109Z.jpg</t>
  </si>
  <si>
    <t>чт 25.12.2025 — 17:01:09</t>
  </si>
  <si>
    <t>E33149364_8_20251224T120857Z.jpg</t>
  </si>
  <si>
    <t>3 Въезд на базу\E33149364_8_20251224T120857Z.jpg</t>
  </si>
  <si>
    <t>ср 24.12.2025 — 12:08:57</t>
  </si>
  <si>
    <t>E33149364_8_20251225T090811Z.jpg</t>
  </si>
  <si>
    <t>3 Въезд на базу\E33149364_8_20251225T090811Z.jpg</t>
  </si>
  <si>
    <t>чт 25.12.2025 — 09:08:11</t>
  </si>
  <si>
    <t>E33149364_8_20251225T111058Z.jpg</t>
  </si>
  <si>
    <t>3 Въезд на базу\E33149364_8_20251225T111058Z.jpg</t>
  </si>
  <si>
    <t>чт 25.12.2025 — 11:10:58</t>
  </si>
  <si>
    <t>E33149364_8_20251225T162713Z.jpg</t>
  </si>
  <si>
    <t>3 Въезд на базу\E33149364_8_20251225T162713Z.jpg</t>
  </si>
  <si>
    <t>чт 25.12.2025 — 16:27:13</t>
  </si>
  <si>
    <t>E33149364_3_20251224T103624Z.jpg</t>
  </si>
  <si>
    <t>10 Сушилка навес\E33149364_3_20251224T103624Z.jpg</t>
  </si>
  <si>
    <t>ср 24.12.2025 — 10:36:24</t>
  </si>
  <si>
    <t>E33149364_3_20251224T143603Z.jpg</t>
  </si>
  <si>
    <t>10 Сушилка навес\E33149364_3_20251224T143603Z.jpg</t>
  </si>
  <si>
    <t>ср 24.12.2025 — 14:36:03</t>
  </si>
  <si>
    <t>E33149364_3_20251224T145623Z.jpg</t>
  </si>
  <si>
    <t>10 Сушилка навес\E33149364_3_20251224T145623Z.jpg</t>
  </si>
  <si>
    <t>ср 24.12.2025 — 14:56:23</t>
  </si>
  <si>
    <t>E33149364_3_20251224T165754Z.jpg</t>
  </si>
  <si>
    <t>10 Сушилка навес\E33149364_3_20251224T165754Z.jpg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</si>
  <si>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</si>
  <si>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</si>
  <si>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</si>
  <si>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</si>
  <si>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</si>
  <si>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</si>
  <si>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</si>
  <si>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</si>
  <si>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</si>
  <si>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</si>
  <si>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</si>
  <si>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</si>
  <si>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</si>
  <si>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</si>
  <si>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</si>
  <si>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</si>
  <si>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</si>
  <si>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10 Сушилка навес\E33149364_3_20251225T120938Z.jpg</t>
  </si>
  <si>
    <t>чт 25.12.2025 — 12:09:38</t>
  </si>
  <si>
    <t>E33149364_3_20251225T121615Z.jpg</t>
  </si>
  <si>
    <t>10 Сушилка навес\E33149364_3_20251225T121615Z.jpg</t>
  </si>
  <si>
    <t>чт 25.12.2025 — 12:16:15</t>
  </si>
  <si>
    <t>E33149364_3_20251225T123456Z.jpg</t>
  </si>
  <si>
    <t>10 Сушилка навес\E33149364_3_20251225T123456Z.jpg</t>
  </si>
  <si>
    <t>чт 25.12.2025 — 12:34:56</t>
  </si>
  <si>
    <t>E33149364_3_20251225T123530Z.jpg</t>
  </si>
  <si>
    <t>10 Сушилка навес\E33149364_3_20251225T123530Z.jpg</t>
  </si>
  <si>
    <t>чт 25.12.2025 — 12:35:30</t>
  </si>
  <si>
    <t>E33149364_3_20251225T124918Z.jpg</t>
  </si>
  <si>
    <t>10 Сушилка навес\E33149364_3_20251225T124918Z.jpg</t>
  </si>
  <si>
    <t>чт 25.12.2025 — 12:49:18</t>
  </si>
  <si>
    <t>E33149364_3_20251225T151934Z.jpg</t>
  </si>
  <si>
    <t>10 Сушилка навес\E33149364_3_20251225T151934Z.jpg</t>
  </si>
  <si>
    <t>чт 25.12.2025 — 15:19:34</t>
  </si>
  <si>
    <t>E33149364_3_20251225T165820Z.jpg</t>
  </si>
  <si>
    <t>10 Сушилка навес\E33149364_3_20251225T165820Z.jpg</t>
  </si>
  <si>
    <t>чт 25.12.2025 — 16:58:20</t>
  </si>
  <si>
    <t>E33149364_4_20251224T150756Z.jpg</t>
  </si>
  <si>
    <t>11 С ангара на базу\E33149364_4_20251224T150756Z.jpg</t>
  </si>
  <si>
    <t>ср 24.12.2025 — 15:07:56</t>
  </si>
  <si>
    <t>E33149364_4_20251224T152449Z.jpg</t>
  </si>
  <si>
    <t>11 С ангара на базу\E33149364_4_20251224T152449Z.jpg</t>
  </si>
  <si>
    <t>ср 24.12.2025 — 15:24:49</t>
  </si>
  <si>
    <t>E33149364_4_20251224T162449Z.jpg</t>
  </si>
  <si>
    <t>11 С ангара на базу\E33149364_4_20251224T162449Z.jpg</t>
  </si>
  <si>
    <t>ср 24.12.2025 — 16:24:49</t>
  </si>
  <si>
    <t>E33149364_4_20251224T165822Z.jpg</t>
  </si>
  <si>
    <t>11 С ангара на базу\E33149364_4_20251224T165822Z.jpg</t>
  </si>
  <si>
    <t>ср 24.12.2025 — 16:58:22</t>
  </si>
  <si>
    <t>E33149364_4_20251225T092040Z.jpg</t>
  </si>
  <si>
    <t>11 С ангара на базу\E33149364_4_20251225T092040Z.jpg</t>
  </si>
  <si>
    <t>чт 25.12.2025 — 09:20:40</t>
  </si>
  <si>
    <t>E33149364_4_20251225T092108Z.jpg</t>
  </si>
  <si>
    <t>11 С ангара на базу\E33149364_4_20251225T092108Z.jpg</t>
  </si>
  <si>
    <t>чт 25.12.2025 — 09:21:08</t>
  </si>
  <si>
    <t>E33149364_4_20251225T123710Z.jpg</t>
  </si>
  <si>
    <t>11 С ангара на базу\E33149364_4_20251225T123710Z.jpg</t>
  </si>
  <si>
    <t>чт 25.12.2025 — 12:37:10</t>
  </si>
  <si>
    <t>E33149364_4_20251225T130044Z.jpg</t>
  </si>
  <si>
    <t>11 С ангара на базу\E33149364_4_20251225T130044Z.jpg</t>
  </si>
  <si>
    <t>чт 25.12.2025 — 13:00:44</t>
  </si>
  <si>
    <t>E33149364_4_20251225T145131Z.jpg</t>
  </si>
  <si>
    <t>11 С ангара на базу\E33149364_4_20251225T145131Z.jpg</t>
  </si>
  <si>
    <t>чт 25.12.2025 — 14:51:31</t>
  </si>
  <si>
    <t>E33149364_4_20251225T145610Z.jpg</t>
  </si>
  <si>
    <t>11 С ангара на базу\E33149364_4_20251225T145610Z.jpg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</si>
  <si>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</si>
  <si>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</si>
  <si>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</si>
  <si>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</si>
  <si>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</si>
  <si>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</si>
  <si>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</si>
  <si>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</si>
  <si>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</si>
  <si>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</si>
  <si>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</si>
  <si>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</si>
  <si>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</si>
  <si>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</si>
  <si>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</si>
  <si>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</si>
  <si>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</si>
  <si>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</si>
  <si>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</si>
  <si>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</si>
  <si>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</si>
  <si>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</si>
  <si>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</si>
  <si>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</si>
  <si>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</si>
  <si>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</si>
  <si>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</si>
  <si>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</si>
  <si>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</si>
  <si>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</si>
  <si>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</si>
  <si>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</si>
  <si>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</si>
  <si>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</si>
  <si>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</si>
  <si>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</si>
  <si>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</si>
  <si>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</si>
  <si>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</si>
  <si>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</si>
  <si>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</si>
  <si>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</si>
  <si>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</si>
  <si>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</si>
  <si>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</si>
  <si>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</si>
  <si>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</si>
  <si>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</si>
  <si>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</si>
  <si>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</si>
  <si>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</si>
  <si>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</si>
  <si>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</si>
  <si>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</si>
  <si>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</si>
  <si>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</si>
  <si>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</si>
  <si>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</si>
  <si>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</si>
  <si>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</si>
  <si>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</si>
  <si>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</si>
  <si>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</si>
  <si>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</si>
  <si>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</si>
  <si>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</si>
  <si>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</si>
  <si>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</si>
  <si>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</si>
  <si>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</si>
  <si>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</si>
  <si>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</si>
  <si>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</si>
  <si>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</si>
  <si>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</si>
  <si>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</si>
  <si>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</si>
  <si>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</si>
  <si>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</si>
  <si>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</si>
  <si>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</si>
  <si>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</si>
  <si>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</si>
  <si>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</si>
  <si>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</si>
  <si>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</si>
  <si>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</si>
  <si>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</si>
  <si>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</si>
  <si>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</si>
  <si>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</si>
  <si>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</si>
  <si>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</si>
  <si>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</si>
  <si>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</si>
  <si>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</si>
  <si>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</si>
  <si>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</si>
  <si>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</si>
  <si>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</si>
  <si>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</si>
  <si>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</si>
  <si>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</si>
  <si>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</si>
  <si>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</si>
  <si>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</si>
  <si>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</si>
  <si>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</si>
  <si>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</si>
  <si>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</si>
  <si>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</si>
  <si>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</si>
  <si>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</si>
  <si>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</si>
  <si>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</si>
  <si>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</si>
  <si>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</si>
  <si>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</si>
  <si>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</si>
  <si>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</si>
  <si>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</si>
  <si>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</si>
  <si>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</si>
  <si>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</si>
  <si>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</si>
  <si>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</si>
  <si>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</si>
  <si>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</si>
  <si>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</si>
  <si>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</si>
  <si>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</si>
  <si>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</si>
  <si>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</si>
  <si>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</si>
  <si>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</si>
  <si>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</si>
  <si>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</si>
  <si>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</si>
  <si>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</si>
  <si>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</si>
  <si>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</si>
  <si>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</si>
  <si>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</si>
  <si>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</si>
  <si>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</si>
  <si>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</si>
  <si>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</si>
  <si>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</si>
  <si>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</si>
  <si>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</si>
  <si>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</si>
  <si>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</si>
  <si>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</si>
  <si>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</si>
  <si>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2 Пилорама поката\E33149364_7_20251226T174620Z.jpg</t>
  </si>
  <si>
    <t>пт 26.12.2025 — 17:46:20</t>
  </si>
  <si>
    <t>E33149364_6_20251226T100324Z.jpg</t>
  </si>
  <si>
    <t>1 Ангар Склад 2 въезд\E33149364_6_20251226T100324Z.jpg</t>
  </si>
  <si>
    <t>пт 26.12.2025 — 10:03:24</t>
  </si>
  <si>
    <t>E33149364_6_20251226T114846Z.jpg</t>
  </si>
  <si>
    <t>1 Ангар Склад 2 въезд\E33149364_6_20251226T114846Z.jpg</t>
  </si>
  <si>
    <t>пт 26.12.2025 — 11:48:46</t>
  </si>
  <si>
    <t>E33149364_1_20251226T085058Z.jpg</t>
  </si>
  <si>
    <t>9 Ангар пилорама\E33149364_1_20251226T085058Z.jpg</t>
  </si>
  <si>
    <t>пт 26.12.2025 — 08:50:58</t>
  </si>
  <si>
    <t>E33149364_1_20251226T100030Z.jpg</t>
  </si>
  <si>
    <t>9 Ангар пилорама\E33149364_1_20251226T100030Z.jpg</t>
  </si>
  <si>
    <t>пт 26.12.2025 — 10:00:30</t>
  </si>
  <si>
    <t>E33149364_1_20251226T124640Z.jpg</t>
  </si>
  <si>
    <t>9 Ангар пилорама\E33149364_1_20251226T124640Z.jpg</t>
  </si>
  <si>
    <t>пт 26.12.2025 — 12:46:40</t>
  </si>
  <si>
    <t>E33149364_1_20251226T141800Z.jpg</t>
  </si>
  <si>
    <t>9 Ангар пилорама\E33149364_1_20251226T141800Z.jpg</t>
  </si>
  <si>
    <t>пт 26.12.2025 — 14:18:00</t>
  </si>
  <si>
    <t>E33149364_1_20251226T233812Z.jpg</t>
  </si>
  <si>
    <t>9 Ангар пилорама\E33149364_1_20251226T233812Z.jpg</t>
  </si>
  <si>
    <t>пт 26.12.2025 — 23:38:12</t>
  </si>
  <si>
    <t>E33149364_3_20251226T160456Z.jpg</t>
  </si>
  <si>
    <t>10 Сушилка навес\E33149364_3_20251226T160456Z.jpg</t>
  </si>
  <si>
    <t>пт 26.12.2025 — 16:04:56</t>
  </si>
  <si>
    <t>E33149364_4_20251226T094359Z.jpg</t>
  </si>
  <si>
    <t>11 С ангара на базу\E33149364_4_20251226T094359Z.jpg</t>
  </si>
  <si>
    <t>пт 26.12.2025 — 09:43:59</t>
  </si>
  <si>
    <t>E33149364_4_20251226T095205Z.jpg</t>
  </si>
  <si>
    <t>11 С ангара на базу\E33149364_4_20251226T095205Z.jpg</t>
  </si>
  <si>
    <t>пт 26.12.2025 — 09:52:05</t>
  </si>
  <si>
    <t>E33149364_4_20251226T100421Z.jpg</t>
  </si>
  <si>
    <t>11 С ангара на базу\E33149364_4_20251226T100421Z.jpg</t>
  </si>
  <si>
    <t>пт 26.12.2025 — 10:04:21</t>
  </si>
  <si>
    <t>E33149364_4_20251226T100506Z.jpg</t>
  </si>
  <si>
    <t>11 С ангара на базу\E33149364_4_20251226T100506Z.jpg</t>
  </si>
  <si>
    <t>пт 26.12.2025 — 10:05:06</t>
  </si>
  <si>
    <t>E33149364_4_20251226T102622Z.jpg</t>
  </si>
  <si>
    <t>11 С ангара на базу\E33149364_4_20251226T102622Z.jpg</t>
  </si>
  <si>
    <t>пт 26.12.2025 — 10:26:22</t>
  </si>
  <si>
    <t>E33149364_4_20251226T102707Z.jpg</t>
  </si>
  <si>
    <t>11 С ангара на базу\E33149364_4_20251226T102707Z.jpg</t>
  </si>
  <si>
    <t>пт 26.12.2025 — 10:27:07</t>
  </si>
  <si>
    <t>E33149364_4_20251226T104640Z.jpg</t>
  </si>
  <si>
    <t>11 С ангара на базу\E33149364_4_20251226T104640Z.jpg</t>
  </si>
  <si>
    <t>пт 26.12.2025 — 10:46:40</t>
  </si>
  <si>
    <t>E33149364_4_20251226T114744Z.jpg</t>
  </si>
  <si>
    <t>11 С ангара на базу\E33149364_4_20251226T114744Z.jpg</t>
  </si>
  <si>
    <t>пт 26.12.2025 — 11:47:44</t>
  </si>
  <si>
    <t>E33149364_4_20251226T121252Z.jpg</t>
  </si>
  <si>
    <t>11 С ангара на базу\E33149364_4_20251226T121252Z.jpg</t>
  </si>
  <si>
    <t>пт 26.12.2025 — 12:12:52</t>
  </si>
  <si>
    <t>E33149364_4_20251226T144505Z.jpg</t>
  </si>
  <si>
    <t>11 С ангара на базу\E33149364_4_20251226T144505Z.jpg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</si>
  <si>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</si>
  <si>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</si>
  <si>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</si>
  <si>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</si>
  <si>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</si>
  <si>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</si>
  <si>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</si>
  <si>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</si>
  <si>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</si>
  <si>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</si>
  <si>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</si>
  <si>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</si>
  <si>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</si>
  <si>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</si>
  <si>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</si>
  <si>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</si>
  <si>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</si>
  <si>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</si>
  <si>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</si>
  <si>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</si>
  <si>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</si>
  <si>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</si>
  <si>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</si>
  <si>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</si>
  <si>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</si>
  <si>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</si>
  <si>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</si>
  <si>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</si>
  <si>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</si>
  <si>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</si>
  <si>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</si>
  <si>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</si>
  <si>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</si>
  <si>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</si>
  <si>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</si>
  <si>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</si>
  <si>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</si>
  <si>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</si>
  <si>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</si>
  <si>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</si>
  <si>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</si>
  <si>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</si>
  <si>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</si>
  <si>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</si>
  <si>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</si>
  <si>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</si>
  <si>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</si>
  <si>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</si>
  <si>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</si>
  <si>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</si>
  <si>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</si>
  <si>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</si>
  <si>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</si>
  <si>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</si>
  <si>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</si>
  <si>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</si>
  <si>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</si>
  <si>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</si>
  <si>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</si>
  <si>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</si>
  <si>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</si>
  <si>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</si>
  <si>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</si>
  <si>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</si>
  <si>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</si>
  <si>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</si>
  <si>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</si>
  <si>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</si>
  <si>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</si>
  <si>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</si>
  <si>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</si>
  <si>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</si>
  <si>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</si>
  <si>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</si>
  <si>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</si>
  <si>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</si>
  <si>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</si>
  <si>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</si>
  <si>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</si>
  <si>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</si>
  <si>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</si>
  <si>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</si>
  <si>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</si>
  <si>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</si>
  <si>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</si>
  <si>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</si>
  <si>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</si>
  <si>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</si>
  <si>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</si>
  <si>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8 Рейсмус\E33149364_2_20251226T150727Z.jpg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</si>
  <si>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</si>
  <si>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</si>
  <si>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</si>
  <si>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</si>
  <si>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</si>
  <si>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</si>
  <si>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</si>
  <si>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2 Пилорама поката\E33149364_7_20251227T102329Z.jpg</t>
  </si>
  <si>
    <t>сб 27.12.2025 — 10:23:29</t>
  </si>
  <si>
    <t>E33149364_7_20251227T103628Z.jpg</t>
  </si>
  <si>
    <t>2 Пилорама поката\E33149364_7_20251227T103628Z.jpg</t>
  </si>
  <si>
    <t>сб 27.12.2025 — 10:36:28</t>
  </si>
  <si>
    <t>E33149364_7_20251227T135541Z.jpg</t>
  </si>
  <si>
    <t>2 Пилорама поката\E33149364_7_20251227T135541Z.jpg</t>
  </si>
  <si>
    <t>сб 27.12.2025 — 13:55:41</t>
  </si>
  <si>
    <t>E33149364_7_20251227T143528Z.jpg</t>
  </si>
  <si>
    <t>2 Пилорама поката\E33149364_7_20251227T143528Z.jpg</t>
  </si>
  <si>
    <t>сб 27.12.2025 — 14:35:28</t>
  </si>
  <si>
    <t>E33149364_7_20251228T141209Z.jpg</t>
  </si>
  <si>
    <t>2 Пилорама поката\E33149364_7_20251228T141209Z.jpg</t>
  </si>
  <si>
    <t>вс 28.12.2025 — 14:12:09</t>
  </si>
  <si>
    <t>E33149364_7_20251228T152141Z.jpg</t>
  </si>
  <si>
    <t>2 Пилорама поката\E33149364_7_20251228T152141Z.jpg</t>
  </si>
  <si>
    <t>вс 28.12.2025 — 15:21:41</t>
  </si>
  <si>
    <t>E33149364_6_20251227T102302Z.jpg</t>
  </si>
  <si>
    <t>1 Ангар Склад 2 въезд\E33149364_6_20251227T102302Z.jpg</t>
  </si>
  <si>
    <t>сб 27.12.2025 — 10:23:02</t>
  </si>
  <si>
    <t>E33149364_6_20251227T135638Z.jpg</t>
  </si>
  <si>
    <t>1 Ангар Склад 2 въезд\E33149364_6_20251227T135638Z.jpg</t>
  </si>
  <si>
    <t>сб 27.12.2025 — 13:56:38</t>
  </si>
  <si>
    <t>E33149364_6_20251227T141055Z.jpg</t>
  </si>
  <si>
    <t>1 Ангар Склад 2 въезд\E33149364_6_20251227T141055Z.jpg</t>
  </si>
  <si>
    <t>сб 27.12.2025 — 14:10:55</t>
  </si>
  <si>
    <t>E33149364_6_20251227T143920Z.jpg</t>
  </si>
  <si>
    <t>1 Ангар Склад 2 въезд\E33149364_6_20251227T143920Z.jpg</t>
  </si>
  <si>
    <t>сб 27.12.2025 — 14:39:20</t>
  </si>
  <si>
    <t>E33149364_6_20251228T120351Z.jpg</t>
  </si>
  <si>
    <t>1 Ангар Склад 2 въезд\E33149364_6_20251228T120351Z.jpg</t>
  </si>
  <si>
    <t>вс 28.12.2025 — 12:03:51</t>
  </si>
  <si>
    <t>E33149364_6_20251228T120935Z.jpg</t>
  </si>
  <si>
    <t>1 Ангар Склад 2 въезд\E33149364_6_20251228T120935Z.jpg</t>
  </si>
  <si>
    <t>вс 28.12.2025 — 12:09:35</t>
  </si>
  <si>
    <t>E33149364_6_20251228T120945Z.jpg</t>
  </si>
  <si>
    <t>1 Ангар Склад 2 въезд\E33149364_6_20251228T120945Z.jpg</t>
  </si>
  <si>
    <t>вс 28.12.2025 — 12:09:45</t>
  </si>
  <si>
    <t>E33149364_6_20251228T121007Z.jpg</t>
  </si>
  <si>
    <t>1 Ангар Склад 2 въезд\E33149364_6_20251228T121007Z.jpg</t>
  </si>
  <si>
    <t>вс 28.12.2025 — 12:10:07</t>
  </si>
  <si>
    <t>E33149364_6_20251228T132030Z.jpg</t>
  </si>
  <si>
    <t>1 Ангар Склад 2 въезд\E33149364_6_20251228T132030Z.jpg</t>
  </si>
  <si>
    <t>вс 28.12.2025 — 13:20:30</t>
  </si>
  <si>
    <t>E33149364_6_20251228T152210Z.jpg</t>
  </si>
  <si>
    <t>1 Ангар Склад 2 въезд\E33149364_6_20251228T152210Z.jpg</t>
  </si>
  <si>
    <t>вс 28.12.2025 — 15:22:10</t>
  </si>
  <si>
    <t>E33149364_6_20251228T160230Z.jpg</t>
  </si>
  <si>
    <t>1 Ангар Склад 2 въезд\E33149364_6_20251228T160230Z.jpg</t>
  </si>
  <si>
    <t>вс 28.12.2025 — 16:02:30</t>
  </si>
  <si>
    <t>E33149364_6_20251228T160430Z.jpg</t>
  </si>
  <si>
    <t>1 Ангар Склад 2 въезд\E33149364_6_20251228T160430Z.jpg</t>
  </si>
  <si>
    <t>вс 28.12.2025 — 16:04:30</t>
  </si>
  <si>
    <t>E33149364_6_20251228T211942Z.jpg</t>
  </si>
  <si>
    <t>1 Ангар Склад 2 въезд\E33149364_6_20251228T211942Z.jpg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</si>
  <si>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</si>
  <si>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</si>
  <si>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</si>
  <si>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</si>
  <si>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</si>
  <si>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</si>
  <si>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</si>
  <si>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</si>
  <si>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</si>
  <si>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</si>
  <si>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</si>
  <si>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</si>
  <si>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</si>
  <si>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</si>
  <si>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</si>
  <si>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</si>
  <si>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</si>
  <si>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3 Въезд на базу\E33149364_8_20251227T114720Z.jpg</t>
  </si>
  <si>
    <t>сб 27.12.2025 — 11:47:20</t>
  </si>
  <si>
    <t>E33149364_8_20251227T134908Z.jpg</t>
  </si>
  <si>
    <t>3 Въезд на базу\E33149364_8_20251227T134908Z.jpg</t>
  </si>
  <si>
    <t>сб 27.12.2025 — 13:49:08</t>
  </si>
  <si>
    <t>E33149364_8_20251228T125508Z.jpg</t>
  </si>
  <si>
    <t>3 Въезд на базу\E33149364_8_20251228T125508Z.jpg</t>
  </si>
  <si>
    <t>вс 28.12.2025 — 12:55:08</t>
  </si>
  <si>
    <t>E33149364_8_20251228T165008Z.jpg</t>
  </si>
  <si>
    <t>3 Въезд на базу\E33149364_8_20251228T165008Z.jpg</t>
  </si>
  <si>
    <t>вс 28.12.2025 — 16:50:08</t>
  </si>
  <si>
    <t>E33149364_1_20251227T104833Z.jpg</t>
  </si>
  <si>
    <t>9 Ангар пилорама\E33149364_1_20251227T104833Z.jpg</t>
  </si>
  <si>
    <t>сб 27.12.2025 — 10:48:33</t>
  </si>
  <si>
    <t>E33149364_1_20251228T232441Z.jpg</t>
  </si>
  <si>
    <t>9 Ангар пилорама\E33149364_1_20251228T232441Z.jpg</t>
  </si>
  <si>
    <t>вс 28.12.2025 — 23:24:41</t>
  </si>
  <si>
    <t>E33149364_4_20251227T143544Z.jpg</t>
  </si>
  <si>
    <t>11 С ангара на базу\E33149364_4_20251227T143544Z.jpg</t>
  </si>
  <si>
    <t>сб 27.12.2025 — 14:35:44</t>
  </si>
  <si>
    <t>E33149364_4_20251228T155547Z.jpg</t>
  </si>
  <si>
    <t>11 С ангара на базу\E33149364_4_20251228T155547Z.jpg</t>
  </si>
  <si>
    <t>вс 28.12.2025 — 15:55:47</t>
  </si>
  <si>
    <t>E33149364_4_20251228T172442Z.jpg</t>
  </si>
  <si>
    <t>11 С ангара на базу\E33149364_4_20251228T172442Z.jpg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</si>
  <si>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</si>
  <si>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</si>
  <si>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</si>
  <si>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</si>
  <si>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</si>
  <si>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</si>
  <si>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</si>
  <si>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</si>
  <si>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</si>
  <si>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</si>
  <si>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</si>
  <si>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</si>
  <si>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</si>
  <si>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</si>
  <si>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</si>
  <si>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</si>
  <si>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</si>
  <si>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</si>
  <si>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</si>
  <si>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</si>
  <si>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</si>
  <si>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</si>
  <si>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</si>
  <si>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</si>
  <si>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</si>
  <si>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</si>
  <si>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</si>
  <si>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</si>
  <si>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</si>
  <si>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</si>
  <si>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</si>
  <si>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</si>
  <si>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</si>
  <si>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</si>
  <si>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</si>
  <si>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</si>
  <si>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</si>
  <si>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</si>
  <si>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</si>
  <si>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</si>
  <si>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</si>
  <si>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</si>
  <si>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</si>
  <si>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</si>
  <si>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</si>
  <si>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</si>
  <si>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</si>
  <si>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</si>
  <si>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</si>
  <si>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</si>
  <si>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</si>
  <si>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</si>
  <si>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</si>
  <si>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8 Рейсмус\E33149364_2_20251227T141358Z.jpg</t>
  </si>
  <si>
    <t>сб 27.12.2025 — 14:13:58</t>
  </si>
  <si>
    <t>E33149364_2_20251228T145047Z.jpg</t>
  </si>
  <si>
    <t>8 Рейсмус\E33149364_2_20251228T145047Z.jpg</t>
  </si>
  <si>
    <t>вс 28.12.2025 — 14:50:47</t>
  </si>
  <si>
    <t>E33149364_3_20251227T141831Z.jpg</t>
  </si>
  <si>
    <t>10 Сушилка навес\E33149364_3_20251227T141831Z.jpg</t>
  </si>
  <si>
    <t>сб 27.12.2025 — 14:18:31</t>
  </si>
  <si>
    <t>E33149364_3_20251227T141844Z.jpg</t>
  </si>
  <si>
    <t>10 Сушилка навес\E33149364_3_20251227T141844Z.jpg</t>
  </si>
  <si>
    <t>сб 27.12.2025 — 14:18:44</t>
  </si>
  <si>
    <t>E33149364_3_20251227T143534Z.jpg</t>
  </si>
  <si>
    <t>10 Сушилка навес\E33149364_3_20251227T143534Z.jpg</t>
  </si>
  <si>
    <t>сб 27.12.2025 — 14:35:34</t>
  </si>
  <si>
    <t>E33149364_3_20251228T164636Z.jpg</t>
  </si>
  <si>
    <t>10 Сушилка навес\E33149364_3_20251228T164636Z.jpg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</si>
  <si>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</si>
  <si>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</si>
  <si>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</si>
  <si>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</si>
  <si>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</si>
  <si>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</si>
  <si>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</si>
  <si>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</si>
  <si>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</si>
  <si>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</si>
  <si>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</si>
  <si>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</si>
  <si>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</si>
  <si>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</si>
  <si>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</si>
  <si>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</si>
  <si>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1 Ангар Склад 2 въезд\E33149364_6_20251229T120024Z.jpg</t>
  </si>
  <si>
    <t>пн 29.12.2025 — 12:00:24</t>
  </si>
  <si>
    <t>E33149364_6_20251229T122542Z.jpg</t>
  </si>
  <si>
    <t>1 Ангар Склад 2 въезд\E33149364_6_20251229T122542Z.jpg</t>
  </si>
  <si>
    <t>пн 29.12.2025 — 12:25:42</t>
  </si>
  <si>
    <t>E33149364_6_20251229T152152Z.jpg</t>
  </si>
  <si>
    <t>1 Ангар Склад 2 въезд\E33149364_6_20251229T152152Z.jpg</t>
  </si>
  <si>
    <t>пн 29.12.2025 — 15:21:52</t>
  </si>
  <si>
    <t>E33149364_6_20251230T140108Z.jpg</t>
  </si>
  <si>
    <t>1 Ангар Склад 2 въезд\E33149364_6_20251230T140108Z.jpg</t>
  </si>
  <si>
    <t>вт 30.12.2025 — 14:01:08</t>
  </si>
  <si>
    <t>E33149364_6_20251230T170422Z.jpg</t>
  </si>
  <si>
    <t>1 Ангар Склад 2 въезд\E33149364_6_20251230T170422Z.jpg</t>
  </si>
  <si>
    <t>вт 30.12.2025 — 17:04:22</t>
  </si>
  <si>
    <t>E33149364_6_20251230T192753Z.jpg</t>
  </si>
  <si>
    <t>1 Ангар Склад 2 въезд\E33149364_6_20251230T192753Z.jpg</t>
  </si>
  <si>
    <t>вт 30.12.2025 — 19:27:53</t>
  </si>
  <si>
    <t>E33149364_6_20251231T162530Z.jpg</t>
  </si>
  <si>
    <t>1 Ангар Склад 2 въезд\E33149364_6_20251231T162530Z.jpg</t>
  </si>
  <si>
    <t>ср 31.12.2025 — 16:25:30</t>
  </si>
  <si>
    <t>E33149364_6_20260101T144744Z.jpg</t>
  </si>
  <si>
    <t>1 Ангар Склад 2 въезд\E33149364_6_20260101T144744Z.jpg</t>
  </si>
  <si>
    <t>чт 01.01.2026 — 14:47:44</t>
  </si>
  <si>
    <t>E33149364_7_20251229T152720Z.jpg</t>
  </si>
  <si>
    <t>2 Пилорама поката\E33149364_7_20251229T152720Z.jpg</t>
  </si>
  <si>
    <t>пн 29.12.2025 — 15:27:20</t>
  </si>
  <si>
    <t>E33149364_7_20251230T175139Z.jpg</t>
  </si>
  <si>
    <t>2 Пилорама поката\E33149364_7_20251230T175139Z.jpg</t>
  </si>
  <si>
    <t>вт 30.12.2025 — 17:51:39</t>
  </si>
  <si>
    <t>E33149364_7_20251231T164401Z.jpg</t>
  </si>
  <si>
    <t>2 Пилорама поката\E33149364_7_20251231T164401Z.jpg</t>
  </si>
  <si>
    <t>ср 31.12.2025 — 16:44:01</t>
  </si>
  <si>
    <t>E33149364_7_20260101T175614Z.jpg</t>
  </si>
  <si>
    <t>2 Пилорама поката\E33149364_7_20260101T175614Z.jpg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</si>
  <si>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</si>
  <si>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</si>
  <si>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</si>
  <si>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</si>
  <si>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</si>
  <si>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</si>
  <si>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</si>
  <si>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</si>
  <si>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</si>
  <si>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</si>
  <si>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</si>
  <si>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</si>
  <si>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</si>
  <si>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</si>
  <si>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</si>
  <si>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</si>
  <si>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</si>
  <si>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</si>
  <si>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</si>
  <si>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</si>
  <si>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3 Въезд на базу\E33149364_8_20251229T154323Z.jpg</t>
  </si>
  <si>
    <t>пн 29.12.2025 — 15:43:23</t>
  </si>
  <si>
    <t>E33149364_8_20251230T170421Z.jpg</t>
  </si>
  <si>
    <t>3 Въезд на базу\E33149364_8_20251230T170421Z.jpg</t>
  </si>
  <si>
    <t>вт 30.12.2025 — 17:04:21</t>
  </si>
  <si>
    <t>E33149364_8_20251231T163412Z.jpg</t>
  </si>
  <si>
    <t>3 Въезд на базу\E33149364_8_20251231T163412Z.jpg</t>
  </si>
  <si>
    <t>ср 31.12.2025 — 16:34:12</t>
  </si>
  <si>
    <t>E33149364_8_20260101T171408Z.jpg</t>
  </si>
  <si>
    <t>3 Въезд на базу\E33149364_8_20260101T171408Z.jpg</t>
  </si>
  <si>
    <t>чт 01.01.2026 — 17:14:08</t>
  </si>
  <si>
    <t>E33149364_1_20251229T092257Z.jpg</t>
  </si>
  <si>
    <t>9 Ангар пилорама\E33149364_1_20251229T092257Z.jpg</t>
  </si>
  <si>
    <t>пн 29.12.2025 — 09:22:57</t>
  </si>
  <si>
    <t>E33149364_1_20251229T095247Z.jpg</t>
  </si>
  <si>
    <t>9 Ангар пилорама\E33149364_1_20251229T095247Z.jpg</t>
  </si>
  <si>
    <t>пн 29.12.2025 — 09:52:47</t>
  </si>
  <si>
    <t>E33149364_1_20251229T095255Z.jpg</t>
  </si>
  <si>
    <t>9 Ангар пилорама\E33149364_1_20251229T095255Z.jpg</t>
  </si>
  <si>
    <t>пн 29.12.2025 — 09:52:55</t>
  </si>
  <si>
    <t>E33149364_1_20251229T095317Z.jpg</t>
  </si>
  <si>
    <t>9 Ангар пилорама\E33149364_1_20251229T095317Z.jpg</t>
  </si>
  <si>
    <t>пн 29.12.2025 — 09:53:17</t>
  </si>
  <si>
    <t>E33149364_1_20251229T115105Z.jpg</t>
  </si>
  <si>
    <t>9 Ангар пилорама\E33149364_1_20251229T115105Z.jpg</t>
  </si>
  <si>
    <t>пн 29.12.2025 — 11:51:05</t>
  </si>
  <si>
    <t>E33149364_1_20251230T163719Z.jpg</t>
  </si>
  <si>
    <t>9 Ангар пилорама\E33149364_1_20251230T163719Z.jpg</t>
  </si>
  <si>
    <t>вт 30.12.2025 — 16:37:19</t>
  </si>
  <si>
    <t>E33149364_1_20251231T165300Z.jpg</t>
  </si>
  <si>
    <t>9 Ангар пилорама\E33149364_1_20251231T165300Z.jpg</t>
  </si>
  <si>
    <t>ср 31.12.2025 — 16:53:00</t>
  </si>
  <si>
    <t>E33149364_1_20260101T171044Z.jpg</t>
  </si>
  <si>
    <t>9 Ангар пилорама\E33149364_1_20260101T171044Z.jpg</t>
  </si>
  <si>
    <t>чт 01.01.2026 — 17:10:44</t>
  </si>
  <si>
    <t>E33149364_2_20251229T093356Z.jpg</t>
  </si>
  <si>
    <t>8 Рейсмус\E33149364_2_20251229T093356Z.jpg</t>
  </si>
  <si>
    <t>пн 29.12.2025 — 09:33:56</t>
  </si>
  <si>
    <t>E33149364_2_20251229T095313Z.jpg</t>
  </si>
  <si>
    <t>8 Рейсмус\E33149364_2_20251229T095313Z.jpg</t>
  </si>
  <si>
    <t>пн 29.12.2025 — 09:53:13</t>
  </si>
  <si>
    <t>E33149364_2_20251229T115045Z.jpg</t>
  </si>
  <si>
    <t>8 Рейсмус\E33149364_2_20251229T115045Z.jpg</t>
  </si>
  <si>
    <t>пн 29.12.2025 — 11:50:45</t>
  </si>
  <si>
    <t>E33149364_2_20251230T123142Z.jpg</t>
  </si>
  <si>
    <t>8 Рейсмус\E33149364_2_20251230T123142Z.jpg</t>
  </si>
  <si>
    <t>вт 30.12.2025 — 12:31:42</t>
  </si>
  <si>
    <t>E33149364_2_20260101T161621Z.jpg</t>
  </si>
  <si>
    <t>8 Рейсмус\E33149364_2_20260101T161621Z.jpg</t>
  </si>
  <si>
    <t>чт 01.01.2026 — 16:16:21</t>
  </si>
  <si>
    <t>E33149364_4_20251229T120512Z.jpg</t>
  </si>
  <si>
    <t>11 С ангара на базу\E33149364_4_20251229T120512Z.jpg</t>
  </si>
  <si>
    <t>пн 29.12.2025 — 12:05:12</t>
  </si>
  <si>
    <t>E33149364_4_20251229T121310Z.jpg</t>
  </si>
  <si>
    <t>11 С ангара на базу\E33149364_4_20251229T121310Z.jpg</t>
  </si>
  <si>
    <t>пн 29.12.2025 — 12:13:10</t>
  </si>
  <si>
    <t>E33149364_4_20251229T121400Z.jpg</t>
  </si>
  <si>
    <t>11 С ангара на базу\E33149364_4_20251229T121400Z.jpg</t>
  </si>
  <si>
    <t>пн 29.12.2025 — 12:14:00</t>
  </si>
  <si>
    <t>E33149364_4_20251229T122103Z.jpg</t>
  </si>
  <si>
    <t>11 С ангара на базу\E33149364_4_20251229T122103Z.jpg</t>
  </si>
  <si>
    <t>пн 29.12.2025 — 12:21:03</t>
  </si>
  <si>
    <t>E33149364_4_20251229T122152Z.jpg</t>
  </si>
  <si>
    <t>11 С ангара на базу\E33149364_4_20251229T122152Z.jpg</t>
  </si>
  <si>
    <t>пн 29.12.2025 — 12:21:52</t>
  </si>
  <si>
    <t>E33149364_4_20251229T122219Z.jpg</t>
  </si>
  <si>
    <t>11 С ангара на базу\E33149364_4_20251229T122219Z.jpg</t>
  </si>
  <si>
    <t>пн 29.12.2025 — 12:22:19</t>
  </si>
  <si>
    <t>E33149364_4_20251229T122456Z.jpg</t>
  </si>
  <si>
    <t>11 С ангара на базу\E33149364_4_20251229T122456Z.jpg</t>
  </si>
  <si>
    <t>пн 29.12.2025 — 12:24:56</t>
  </si>
  <si>
    <t>E33149364_4_20251229T153209Z.jpg</t>
  </si>
  <si>
    <t>11 С ангара на базу\E33149364_4_20251229T153209Z.jpg</t>
  </si>
  <si>
    <t>пн 29.12.2025 — 15:32:09</t>
  </si>
  <si>
    <t>E33149364_4_20251230T100949Z.jpg</t>
  </si>
  <si>
    <t>11 С ангара на базу\E33149364_4_20251230T100949Z.jpg</t>
  </si>
  <si>
    <t>вт 30.12.2025 — 10:09:49</t>
  </si>
  <si>
    <t>E33149364_4_20251230T115637Z.jpg</t>
  </si>
  <si>
    <t>11 С ангара на базу\E33149364_4_20251230T115637Z.jpg</t>
  </si>
  <si>
    <t>вт 30.12.2025 — 11:56:37</t>
  </si>
  <si>
    <t>E33149364_4_20251231T163940Z.jpg</t>
  </si>
  <si>
    <t>11 С ангара на базу\E33149364_4_20251231T163940Z.jpg</t>
  </si>
  <si>
    <t>ср 31.12.2025 — 16:39:40</t>
  </si>
  <si>
    <t>E33149364_4_20260101T103436Z.jpg</t>
  </si>
  <si>
    <t>11 С ангара на базу\E33149364_4_20260101T103436Z.jpg</t>
  </si>
  <si>
    <t>чт 01.01.2026 — 10:34:36</t>
  </si>
  <si>
    <t>E33149364_4_20260101T161641Z.jpg</t>
  </si>
  <si>
    <t>11 С ангара на базу\E33149364_4_20260101T161641Z.jpg</t>
  </si>
  <si>
    <t>чт 01.01.2026 — 16:16:41</t>
  </si>
  <si>
    <t>E33149364_3_20251229T120514Z.jpg</t>
  </si>
  <si>
    <t>10 Сушилка навес\E33149364_3_20251229T120514Z.jpg</t>
  </si>
  <si>
    <t>пн 29.12.2025 — 12:05:14</t>
  </si>
  <si>
    <t>E33149364_3_20251229T121655Z.jpg</t>
  </si>
  <si>
    <t>10 Сушилка навес\E33149364_3_20251229T121655Z.jpg</t>
  </si>
  <si>
    <t>пн 29.12.2025 — 12:16:55</t>
  </si>
  <si>
    <t>E33149364_3_20251229T121700Z.jpg</t>
  </si>
  <si>
    <t>10 Сушилка навес\E33149364_3_20251229T121700Z.jpg</t>
  </si>
  <si>
    <t>пн 29.12.2025 — 12:17:00</t>
  </si>
  <si>
    <t>E33149364_3_20251229T121914Z.jpg</t>
  </si>
  <si>
    <t>10 Сушилка навес\E33149364_3_20251229T121914Z.jpg</t>
  </si>
  <si>
    <t>пн 29.12.2025 — 12:19:14</t>
  </si>
  <si>
    <t>E33149364_3_20251229T122450Z.jpg</t>
  </si>
  <si>
    <t>10 Сушилка навес\E33149364_3_20251229T122450Z.jpg</t>
  </si>
  <si>
    <t>пн 29.12.2025 — 12:24:50</t>
  </si>
  <si>
    <t>E33149364_3_20251229T131536Z.jpg</t>
  </si>
  <si>
    <t>10 Сушилка навес\E33149364_3_20251229T131536Z.jpg</t>
  </si>
  <si>
    <t>пн 29.12.2025 — 13:15:36</t>
  </si>
  <si>
    <t>E33149364_3_20251229T140200Z.jpg</t>
  </si>
  <si>
    <t>10 Сушилка навес\E33149364_3_20251229T140200Z.jpg</t>
  </si>
  <si>
    <t>пн 29.12.2025 — 14:02:00</t>
  </si>
  <si>
    <t>E33149364_3_20251229T140543Z.jpg</t>
  </si>
  <si>
    <t>10 Сушилка навес\E33149364_3_20251229T140543Z.jpg</t>
  </si>
  <si>
    <t>пн 29.12.2025 — 14:05:43</t>
  </si>
  <si>
    <t>E33149364_3_20251229T141207Z.jpg</t>
  </si>
  <si>
    <t>10 Сушилка навес\E33149364_3_20251229T141207Z.jpg</t>
  </si>
  <si>
    <t>пн 29.12.2025 — 14:12:07</t>
  </si>
  <si>
    <t>E33149364_3_20251229T152950Z.jpg</t>
  </si>
  <si>
    <t>10 Сушилка навес\E33149364_3_20251229T152950Z.jpg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</si>
  <si>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</si>
  <si>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</si>
  <si>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</si>
  <si>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</si>
  <si>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</si>
  <si>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10 Сушилка навес\E33149364_3_20251229T160300Z.jpg</t>
  </si>
  <si>
    <t>пн 29.12.2025 — 16:03:00</t>
  </si>
  <si>
    <t>E33149364_3_20251229T165442Z.jpg</t>
  </si>
  <si>
    <t>10 Сушилка навес\E33149364_3_20251229T165442Z.jpg</t>
  </si>
  <si>
    <t>пн 29.12.2025 — 16:54:42</t>
  </si>
  <si>
    <t>E33149364_3_20251229T171740Z.jpg</t>
  </si>
  <si>
    <t>10 Сушилка навес\E33149364_3_20251229T171740Z.jpg</t>
  </si>
  <si>
    <t>пн 29.12.2025 — 17:17:40</t>
  </si>
  <si>
    <t>E33149364_3_20251230T135741Z.jpg</t>
  </si>
  <si>
    <t>10 Сушилка навес\E33149364_3_20251230T135741Z.jpg</t>
  </si>
  <si>
    <t>вт 30.12.2025 — 13:57:41</t>
  </si>
  <si>
    <t>E33149364_3_20251230T135827Z.jpg</t>
  </si>
  <si>
    <t>10 Сушилка навес\E33149364_3_20251230T135827Z.jpg</t>
  </si>
  <si>
    <t>вт 30.12.2025 — 13:58:27</t>
  </si>
  <si>
    <t>E33149364_3_20251230T135856Z.jpg</t>
  </si>
  <si>
    <t>10 Сушилка навес\E33149364_3_20251230T135856Z.jpg</t>
  </si>
  <si>
    <t>вт 30.12.2025 — 13:58:56</t>
  </si>
  <si>
    <t>E33149364_3_20251230T135910Z.jpg</t>
  </si>
  <si>
    <t>10 Сушилка навес\E33149364_3_20251230T135910Z.jpg</t>
  </si>
  <si>
    <t>вт 30.12.2025 — 13:59:10</t>
  </si>
  <si>
    <t>E33149364_3_20251230T140007Z.jpg</t>
  </si>
  <si>
    <t>10 Сушилка навес\E33149364_3_20251230T140007Z.jpg</t>
  </si>
  <si>
    <t>вт 30.12.2025 — 14:00:07</t>
  </si>
  <si>
    <t>E33149364_3_20251230T153524Z.jpg</t>
  </si>
  <si>
    <t>10 Сушилка навес\E33149364_3_20251230T153524Z.jpg</t>
  </si>
  <si>
    <t>вт 30.12.2025 — 15:35:24</t>
  </si>
  <si>
    <t>E33149364_3_20251230T154339Z.jpg</t>
  </si>
  <si>
    <t>10 Сушилка навес\E33149364_3_20251230T154339Z.jpg</t>
  </si>
  <si>
    <t>вт 30.12.2025 — 15:43:39</t>
  </si>
  <si>
    <t>E33149364_3_20251230T161856Z.jpg</t>
  </si>
  <si>
    <t>10 Сушилка навес\E33149364_3_20251230T161856Z.jpg</t>
  </si>
  <si>
    <t>вт 30.12.2025 — 16:18:56</t>
  </si>
  <si>
    <t>E33149364_3_20251230T163625Z.jpg</t>
  </si>
  <si>
    <t>10 Сушилка навес\E33149364_3_20251230T163625Z.jpg</t>
  </si>
  <si>
    <t>вт 30.12.2025 — 16:36:25</t>
  </si>
  <si>
    <t>E33149364_3_20251231T135532Z.jpg</t>
  </si>
  <si>
    <t>10 Сушилка навес\E33149364_3_20251231T135532Z.jpg</t>
  </si>
  <si>
    <t>ср 31.12.2025 — 13:55:32</t>
  </si>
  <si>
    <t>E33149364_3_20260101T155513Z.jpg</t>
  </si>
  <si>
    <t>10 Сушилка навес\E33149364_3_20260101T155513Z.jpg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</si>
  <si>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</si>
  <si>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</si>
  <si>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</si>
  <si>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</si>
  <si>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</si>
  <si>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</si>
  <si>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</si>
  <si>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</si>
  <si>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</si>
  <si>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</si>
  <si>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</si>
  <si>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</si>
  <si>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</si>
  <si>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</si>
  <si>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</si>
  <si>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</si>
  <si>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</si>
  <si>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</si>
  <si>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</si>
  <si>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</si>
  <si>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</si>
  <si>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</si>
  <si>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</si>
  <si>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</si>
  <si>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</si>
  <si>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</si>
  <si>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</si>
  <si>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</si>
  <si>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</si>
  <si>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</si>
  <si>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</si>
  <si>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</si>
  <si>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</si>
  <si>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</si>
  <si>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</si>
  <si>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</si>
  <si>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</si>
  <si>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</si>
  <si>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</si>
  <si>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</si>
  <si>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</si>
  <si>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</si>
  <si>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</si>
  <si>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</si>
  <si>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</si>
  <si>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</si>
  <si>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</si>
  <si>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</si>
  <si>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</si>
  <si>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</si>
  <si>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</si>
  <si>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</si>
  <si>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</si>
  <si>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</si>
  <si>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</si>
  <si>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</si>
  <si>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</si>
  <si>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</si>
  <si>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</si>
  <si>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</si>
  <si>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</si>
  <si>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8 Рейсмус\E33149364_2_20251231T143559Z.jpg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</si>
  <si>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</si>
  <si>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</si>
  <si>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</si>
  <si>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</si>
  <si>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</si>
  <si>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</si>
  <si>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</si>
  <si>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</si>
  <si>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</si>
  <si>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</si>
  <si>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</si>
  <si>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</si>
  <si>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</si>
  <si>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</si>
  <si>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</si>
  <si>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</si>
  <si>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</si>
  <si>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</si>
  <si>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</si>
  <si>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</si>
  <si>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</si>
  <si>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</si>
  <si>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</si>
  <si>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</si>
  <si>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</si>
  <si>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</si>
  <si>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</si>
  <si>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</si>
  <si>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</si>
  <si>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</si>
  <si>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2 Пилорама поката\E33149364_7_20260102T175559Z.jpg</t>
  </si>
  <si>
    <t>пт 02.01.2026 — 17:55:59</t>
  </si>
  <si>
    <t>E33149364_7_20260103T175602Z.jpg</t>
  </si>
  <si>
    <t>2 Пилорама поката\E33149364_7_20260103T175602Z.jpg</t>
  </si>
  <si>
    <t>сб 03.01.2026 — 17:56:02</t>
  </si>
  <si>
    <t>E33149364_7_20260104T113429Z.jpg</t>
  </si>
  <si>
    <t>2 Пилорама поката\E33149364_7_20260104T113429Z.jpg</t>
  </si>
  <si>
    <t>вс 04.01.2026 — 11:34:29</t>
  </si>
  <si>
    <t>E33149364_6_20260102T164716Z.jpg</t>
  </si>
  <si>
    <t>1 Ангар Склад 2 въезд\E33149364_6_20260102T164716Z.jpg</t>
  </si>
  <si>
    <t>пт 02.01.2026 — 16:47:16</t>
  </si>
  <si>
    <t>E33149364_6_20260103T161020Z.jpg</t>
  </si>
  <si>
    <t>1 Ангар Склад 2 въезд\E33149364_6_20260103T161020Z.jpg</t>
  </si>
  <si>
    <t>сб 03.01.2026 — 16:10:20</t>
  </si>
  <si>
    <t>E33149364_6_20260103T162955Z.jpg</t>
  </si>
  <si>
    <t>1 Ангар Склад 2 въезд\E33149364_6_20260103T162955Z.jpg</t>
  </si>
  <si>
    <t>сб 03.01.2026 — 16:29:55</t>
  </si>
  <si>
    <t>E33149364_6_20260104T160919Z.jpg</t>
  </si>
  <si>
    <t>1 Ангар Склад 2 въезд\E33149364_6_20260104T160919Z.jpg</t>
  </si>
  <si>
    <t>вс 04.01.2026 — 16:09:19</t>
  </si>
  <si>
    <t>E33149364_8_20260102T140620Z.jpg</t>
  </si>
  <si>
    <t>3 Въезд на базу\E33149364_8_20260102T140620Z.jpg</t>
  </si>
  <si>
    <t>пт 02.01.2026 — 14:06:20</t>
  </si>
  <si>
    <t>E33149364_8_20260103T161030Z.jpg</t>
  </si>
  <si>
    <t>3 Въезд на базу\E33149364_8_20260103T161030Z.jpg</t>
  </si>
  <si>
    <t>сб 03.01.2026 — 16:10:30</t>
  </si>
  <si>
    <t>E33149364_8_20260104T155859Z.jpg</t>
  </si>
  <si>
    <t>3 Въезд на базу\E33149364_8_20260104T155859Z.jpg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</si>
  <si>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</si>
  <si>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</si>
  <si>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</si>
  <si>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</si>
  <si>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</si>
  <si>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</si>
  <si>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</si>
  <si>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</si>
  <si>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</si>
  <si>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</si>
  <si>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</si>
  <si>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</si>
  <si>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</si>
  <si>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</si>
  <si>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</si>
  <si>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</si>
  <si>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</si>
  <si>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</si>
  <si>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</si>
  <si>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</si>
  <si>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8 Рейсмус\E33149364_2_20260102T113006Z.jpg</t>
  </si>
  <si>
    <t>пт 02.01.2026 — 11:30:06</t>
  </si>
  <si>
    <t>E33149364_2_20260103T162936Z.jpg</t>
  </si>
  <si>
    <t>8 Рейсмус\E33149364_2_20260103T162936Z.jpg</t>
  </si>
  <si>
    <t>сб 03.01.2026 — 16:29:36</t>
  </si>
  <si>
    <t>E33149364_2_20260104T150306Z.jpg</t>
  </si>
  <si>
    <t>8 Рейсмус\E33149364_2_20260104T150306Z.jpg</t>
  </si>
  <si>
    <t>вс 04.01.2026 — 15:03:06</t>
  </si>
  <si>
    <t>E33149364_1_20260102T170630Z.jpg</t>
  </si>
  <si>
    <t>9 Ангар пилорама\E33149364_1_20260102T170630Z.jpg</t>
  </si>
  <si>
    <t>пт 02.01.2026 — 17:06:30</t>
  </si>
  <si>
    <t>E33149364_1_20260103T170845Z.jpg</t>
  </si>
  <si>
    <t>9 Ангар пилорама\E33149364_1_20260103T170845Z.jpg</t>
  </si>
  <si>
    <t>сб 03.01.2026 — 17:08:45</t>
  </si>
  <si>
    <t>E33149364_1_20260104T165818Z.jpg</t>
  </si>
  <si>
    <t>9 Ангар пилорама\E33149364_1_20260104T165818Z.jpg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</si>
  <si>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</si>
  <si>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</si>
  <si>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</si>
  <si>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</si>
  <si>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</si>
  <si>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</si>
  <si>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</si>
  <si>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</si>
  <si>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</si>
  <si>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</si>
  <si>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</si>
  <si>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10 Сушилка навес\E33149364_3_20260102T131145Z.jpg</t>
  </si>
  <si>
    <t>пт 02.01.2026 — 13:11:45</t>
  </si>
  <si>
    <t>E33149364_3_20260103T161406Z.jpg</t>
  </si>
  <si>
    <t>10 Сушилка навес\E33149364_3_20260103T161406Z.jpg</t>
  </si>
  <si>
    <t>сб 03.01.2026 — 16:14:06</t>
  </si>
  <si>
    <t>E33149364_3_20260104T113437Z.jpg</t>
  </si>
  <si>
    <t>10 Сушилка навес\E33149364_3_20260104T113437Z.jpg</t>
  </si>
  <si>
    <t>вс 04.01.2026 — 11:34:37</t>
  </si>
  <si>
    <t>E33149364_4_20260102T151910Z.jpg</t>
  </si>
  <si>
    <t>11 С ангара на базу\E33149364_4_20260102T151910Z.jpg</t>
  </si>
  <si>
    <t>пт 02.01.2026 — 15:19:10</t>
  </si>
  <si>
    <t>E33149364_4_20260103T161305Z.jpg</t>
  </si>
  <si>
    <t>11 С ангара на базу\E33149364_4_20260103T161305Z.jpg</t>
  </si>
  <si>
    <t>сб 03.01.2026 — 16:13:05</t>
  </si>
  <si>
    <t>E33149364_4_20260104T160513Z.jpg</t>
  </si>
  <si>
    <t>11 С ангара на базу\E33149364_4_20260104T160513Z.jpg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</si>
  <si>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</si>
  <si>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</si>
  <si>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</si>
  <si>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</si>
  <si>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</si>
  <si>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</si>
  <si>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</si>
  <si>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</si>
  <si>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</si>
  <si>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</si>
  <si>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</si>
  <si>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</si>
  <si>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</si>
  <si>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</si>
  <si>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</si>
  <si>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</si>
  <si>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</si>
  <si>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</si>
  <si>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</si>
  <si>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</si>
  <si>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</si>
  <si>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</si>
  <si>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</si>
  <si>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</si>
  <si>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</si>
  <si>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</si>
  <si>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</si>
  <si>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</si>
  <si>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</si>
  <si>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</si>
  <si>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2 Пилорама поката\E33149364_7_20260105T163002Z.jpg</t>
  </si>
  <si>
    <t>пн 05.01.2026 — 16:30:02</t>
  </si>
  <si>
    <t>E33149364_7_20260106T180019Z.jpg</t>
  </si>
  <si>
    <t>2 Пилорама поката\E33149364_7_20260106T180019Z.jpg</t>
  </si>
  <si>
    <t>вт 06.01.2026 — 18:00:19</t>
  </si>
  <si>
    <t>E33149364_7_20260107T175916Z.jpg</t>
  </si>
  <si>
    <t>2 Пилорама поката\E33149364_7_20260107T175916Z.jpg</t>
  </si>
  <si>
    <t>ср 07.01.2026 — 17:59:16</t>
  </si>
  <si>
    <t>E33149364_7_20260108T175709Z.jpg</t>
  </si>
  <si>
    <t>2 Пилорама поката\E33149364_7_20260108T175709Z.jpg</t>
  </si>
  <si>
    <t>чт 08.01.2026 — 17:57:09</t>
  </si>
  <si>
    <t>E33149364_7_20260109T180405Z.jpg</t>
  </si>
  <si>
    <t>2 Пилорама поката\E33149364_7_20260109T180405Z.jpg</t>
  </si>
  <si>
    <t>пт 09.01.2026 — 18:04:05</t>
  </si>
  <si>
    <t>E33149364_7_20260110T180513Z.jpg</t>
  </si>
  <si>
    <t>2 Пилорама поката\E33149364_7_20260110T180513Z.jpg</t>
  </si>
  <si>
    <t>сб 10.01.2026 — 18:05:13</t>
  </si>
  <si>
    <t>E33149364_7_20260111T151317Z.jpg</t>
  </si>
  <si>
    <t>2 Пилорама поката\E33149364_7_20260111T151317Z.jpg</t>
  </si>
  <si>
    <t>вс 11.01.2026 — 15:13:17</t>
  </si>
  <si>
    <t>E33149364_6_20260105T171206Z.jpg</t>
  </si>
  <si>
    <t>1 Ангар Склад 2 въезд\E33149364_6_20260105T171206Z.jpg</t>
  </si>
  <si>
    <t>пн 05.01.2026 — 17:12:06</t>
  </si>
  <si>
    <t>E33149364_6_20260106T140127Z.jpg</t>
  </si>
  <si>
    <t>1 Ангар Склад 2 въезд\E33149364_6_20260106T140127Z.jpg</t>
  </si>
  <si>
    <t>вт 06.01.2026 — 14:01:27</t>
  </si>
  <si>
    <t>E33149364_6_20260106T141024Z.jpg</t>
  </si>
  <si>
    <t>1 Ангар Склад 2 въезд\E33149364_6_20260106T141024Z.jpg</t>
  </si>
  <si>
    <t>вт 06.01.2026 — 14:10:24</t>
  </si>
  <si>
    <t>E33149364_6_20260107T162122Z.jpg</t>
  </si>
  <si>
    <t>1 Ангар Склад 2 въезд\E33149364_6_20260107T162122Z.jpg</t>
  </si>
  <si>
    <t>ср 07.01.2026 — 16:21:22</t>
  </si>
  <si>
    <t>E33149364_6_20260108T175716Z.jpg</t>
  </si>
  <si>
    <t>1 Ангар Склад 2 въезд\E33149364_6_20260108T175716Z.jpg</t>
  </si>
  <si>
    <t>чт 08.01.2026 — 17:57:16</t>
  </si>
  <si>
    <t>E33149364_6_20260108T175844Z.jpg</t>
  </si>
  <si>
    <t>1 Ангар Склад 2 въезд\E33149364_6_20260108T175844Z.jpg</t>
  </si>
  <si>
    <t>чт 08.01.2026 — 17:58:44</t>
  </si>
  <si>
    <t>E33149364_6_20260109T160341Z.jpg</t>
  </si>
  <si>
    <t>1 Ангар Склад 2 въезд\E33149364_6_20260109T160341Z.jpg</t>
  </si>
  <si>
    <t>пт 09.01.2026 — 16:03:41</t>
  </si>
  <si>
    <t>E33149364_6_20260109T161125Z.jpg</t>
  </si>
  <si>
    <t>1 Ангар Склад 2 въезд\E33149364_6_20260109T161125Z.jpg</t>
  </si>
  <si>
    <t>пт 09.01.2026 — 16:11:25</t>
  </si>
  <si>
    <t>E33149364_6_20260110T124240Z.jpg</t>
  </si>
  <si>
    <t>1 Ангар Склад 2 въезд\E33149364_6_20260110T124240Z.jpg</t>
  </si>
  <si>
    <t>сб 10.01.2026 — 12:42:40</t>
  </si>
  <si>
    <t>E33149364_6_20260110T130537Z.jpg</t>
  </si>
  <si>
    <t>1 Ангар Склад 2 въезд\E33149364_6_20260110T130537Z.jpg</t>
  </si>
  <si>
    <t>сб 10.01.2026 — 13:05:37</t>
  </si>
  <si>
    <t>E33149364_6_20260110T130805Z.jpg</t>
  </si>
  <si>
    <t>1 Ангар Склад 2 въезд\E33149364_6_20260110T130805Z.jpg</t>
  </si>
  <si>
    <t>сб 10.01.2026 — 13:08:05</t>
  </si>
  <si>
    <t>E33149364_6_20260110T130820Z.jpg</t>
  </si>
  <si>
    <t>1 Ангар Склад 2 въезд\E33149364_6_20260110T130820Z.jpg</t>
  </si>
  <si>
    <t>сб 10.01.2026 — 13:08:20</t>
  </si>
  <si>
    <t>E33149364_6_20260110T163347Z.jpg</t>
  </si>
  <si>
    <t>1 Ангар Склад 2 въезд\E33149364_6_20260110T163347Z.jpg</t>
  </si>
  <si>
    <t>сб 10.01.2026 — 16:33:47</t>
  </si>
  <si>
    <t>E33149364_6_20260110T170641Z.jpg</t>
  </si>
  <si>
    <t>1 Ангар Склад 2 въезд\E33149364_6_20260110T170641Z.jpg</t>
  </si>
  <si>
    <t>сб 10.01.2026 — 17:06:41</t>
  </si>
  <si>
    <t>E33149364_6_20260111T160324Z.jpg</t>
  </si>
  <si>
    <t>1 Ангар Склад 2 въезд\E33149364_6_20260111T160324Z.jpg</t>
  </si>
  <si>
    <t>вс 11.01.2026 — 16:03:24</t>
  </si>
  <si>
    <t>E33149364_6_20260111T185154Z.jpg</t>
  </si>
  <si>
    <t>1 Ангар Склад 2 въезд\E33149364_6_20260111T185154Z.jpg</t>
  </si>
  <si>
    <t>вс 11.01.2026 — 18:51:54</t>
  </si>
  <si>
    <t>E33149364_6_20260111T185328Z.jpg</t>
  </si>
  <si>
    <t>1 Ангар Склад 2 въезд\E33149364_6_20260111T185328Z.jpg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</si>
  <si>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</si>
  <si>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</si>
  <si>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</si>
  <si>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</si>
  <si>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</si>
  <si>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</si>
  <si>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</si>
  <si>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</si>
  <si>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</si>
  <si>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</si>
  <si>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</si>
  <si>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</si>
  <si>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</si>
  <si>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</si>
  <si>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</si>
  <si>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</si>
  <si>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</si>
  <si>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</si>
  <si>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</si>
  <si>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</si>
  <si>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</si>
  <si>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</si>
  <si>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</si>
  <si>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</si>
  <si>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</si>
  <si>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</si>
  <si>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</si>
  <si>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</si>
  <si>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</si>
  <si>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</si>
  <si>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</si>
  <si>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</si>
  <si>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</si>
  <si>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</si>
  <si>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</si>
  <si>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</si>
  <si>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</si>
  <si>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</si>
  <si>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</si>
  <si>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</si>
  <si>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</si>
  <si>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</si>
  <si>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</si>
  <si>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</si>
  <si>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8 Рейсмус\E33149364_2_20260105T143530Z.jpg</t>
  </si>
  <si>
    <t>пн 05.01.2026 — 14:35:30</t>
  </si>
  <si>
    <t>E33149364_2_20260106T155321Z.jpg</t>
  </si>
  <si>
    <t>8 Рейсмус\E33149364_2_20260106T155321Z.jpg</t>
  </si>
  <si>
    <t>вт 06.01.2026 — 15:53:21</t>
  </si>
  <si>
    <t>E33149364_2_20260107T120357Z.jpg</t>
  </si>
  <si>
    <t>8 Рейсмус\E33149364_2_20260107T120357Z.jpg</t>
  </si>
  <si>
    <t>ср 07.01.2026 — 12:03:57</t>
  </si>
  <si>
    <t>E33149364_2_20260108T142150Z.jpg</t>
  </si>
  <si>
    <t>8 Рейсмус\E33149364_2_20260108T142150Z.jpg</t>
  </si>
  <si>
    <t>чт 08.01.2026 — 14:21:50</t>
  </si>
  <si>
    <t>E33149364_2_20260109T164349Z.jpg</t>
  </si>
  <si>
    <t>8 Рейсмус\E33149364_2_20260109T164349Z.jpg</t>
  </si>
  <si>
    <t>пт 09.01.2026 — 16:43:49</t>
  </si>
  <si>
    <t>E33149364_2_20260110T160508Z.jpg</t>
  </si>
  <si>
    <t>8 Рейсмус\E33149364_2_20260110T160508Z.jpg</t>
  </si>
  <si>
    <t>сб 10.01.2026 — 16:05:08</t>
  </si>
  <si>
    <t>E33149364_2_20260111T151612Z.jpg</t>
  </si>
  <si>
    <t>8 Рейсмус\E33149364_2_20260111T151612Z.jpg</t>
  </si>
  <si>
    <t>вс 11.01.2026 — 15:16:12</t>
  </si>
  <si>
    <t>E33149364_8_20260105T162306Z.jpg</t>
  </si>
  <si>
    <t>3 Въезд на базу\E33149364_8_20260105T162306Z.jpg</t>
  </si>
  <si>
    <t>пн 05.01.2026 — 16:23:06</t>
  </si>
  <si>
    <t>E33149364_8_20260106T140140Z.jpg</t>
  </si>
  <si>
    <t>3 Въезд на базу\E33149364_8_20260106T140140Z.jpg</t>
  </si>
  <si>
    <t>вт 06.01.2026 — 14:01:40</t>
  </si>
  <si>
    <t>E33149364_8_20260107T131440Z.jpg</t>
  </si>
  <si>
    <t>3 Въезд на базу\E33149364_8_20260107T131440Z.jpg</t>
  </si>
  <si>
    <t>ср 07.01.2026 — 13:14:40</t>
  </si>
  <si>
    <t>E33149364_8_20260108T132835Z.jpg</t>
  </si>
  <si>
    <t>3 Въезд на базу\E33149364_8_20260108T132835Z.jpg</t>
  </si>
  <si>
    <t>чт 08.01.2026 — 13:28:35</t>
  </si>
  <si>
    <t>E33149364_8_20260109T160339Z.jpg</t>
  </si>
  <si>
    <t>3 Въезд на базу\E33149364_8_20260109T160339Z.jpg</t>
  </si>
  <si>
    <t>пт 09.01.2026 — 16:03:39</t>
  </si>
  <si>
    <t>E33149364_8_20260110T130856Z.jpg</t>
  </si>
  <si>
    <t>3 Въезд на базу\E33149364_8_20260110T130856Z.jpg</t>
  </si>
  <si>
    <t>сб 10.01.2026 — 13:08:56</t>
  </si>
  <si>
    <t>E33149364_8_20260111T164048Z.jpg</t>
  </si>
  <si>
    <t>3 Въезд на базу\E33149364_8_20260111T164048Z.jpg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</si>
  <si>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</si>
  <si>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</si>
  <si>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</si>
  <si>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</si>
  <si>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</si>
  <si>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</si>
  <si>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</si>
  <si>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</si>
  <si>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</si>
  <si>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</si>
  <si>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</si>
  <si>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</si>
  <si>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</si>
  <si>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</si>
  <si>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</si>
  <si>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</si>
  <si>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</si>
  <si>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</si>
  <si>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</si>
  <si>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</si>
  <si>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</si>
  <si>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</si>
  <si>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</si>
  <si>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</si>
  <si>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</si>
  <si>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</si>
  <si>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</si>
  <si>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</si>
  <si>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</si>
  <si>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</si>
  <si>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</si>
  <si>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</si>
  <si>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</si>
  <si>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</si>
  <si>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</si>
  <si>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</si>
  <si>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</si>
  <si>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</si>
  <si>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</si>
  <si>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</si>
  <si>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</si>
  <si>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</si>
  <si>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</si>
  <si>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</si>
  <si>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9 Ангар пилорама\E33149364_1_20260105T165535Z.jpg</t>
  </si>
  <si>
    <t>пн 05.01.2026 — 16:55:35</t>
  </si>
  <si>
    <t>E33149364_1_20260106T101003Z.jpg</t>
  </si>
  <si>
    <t>9 Ангар пилорама\E33149364_1_20260106T101003Z.jpg</t>
  </si>
  <si>
    <t>вт 06.01.2026 — 10:10:03</t>
  </si>
  <si>
    <t>E33149364_1_20260107T120710Z.jpg</t>
  </si>
  <si>
    <t>9 Ангар пилорама\E33149364_1_20260107T120710Z.jpg</t>
  </si>
  <si>
    <t>ср 07.01.2026 — 12:07:10</t>
  </si>
  <si>
    <t>E33149364_1_20260108T171613Z.jpg</t>
  </si>
  <si>
    <t>9 Ангар пилорама\E33149364_1_20260108T171613Z.jpg</t>
  </si>
  <si>
    <t>чт 08.01.2026 — 17:16:13</t>
  </si>
  <si>
    <t>E33149364_1_20260109T135224Z.jpg</t>
  </si>
  <si>
    <t>9 Ангар пилорама\E33149364_1_20260109T135224Z.jpg</t>
  </si>
  <si>
    <t>пт 09.01.2026 — 13:52:24</t>
  </si>
  <si>
    <t>E33149364_1_20260110T093742Z.jpg</t>
  </si>
  <si>
    <t>9 Ангар пилорама\E33149364_1_20260110T093742Z.jpg</t>
  </si>
  <si>
    <t>сб 10.01.2026 — 09:37:42</t>
  </si>
  <si>
    <t>E33149364_1_20260111T151451Z.jpg</t>
  </si>
  <si>
    <t>9 Ангар пилорама\E33149364_1_20260111T151451Z.jpg</t>
  </si>
  <si>
    <t>вс 11.01.2026 — 15:14:51</t>
  </si>
  <si>
    <t>E33149364_3_20260105T155740Z.jpg</t>
  </si>
  <si>
    <t>10 Сушилка навес\E33149364_3_20260105T155740Z.jpg</t>
  </si>
  <si>
    <t>пн 05.01.2026 — 15:57:40</t>
  </si>
  <si>
    <t>E33149364_3_20260106T102158Z.jpg</t>
  </si>
  <si>
    <t>10 Сушилка навес\E33149364_3_20260106T102158Z.jpg</t>
  </si>
  <si>
    <t>вт 06.01.2026 — 10:21:58</t>
  </si>
  <si>
    <t>E33149364_3_20260107T120822Z.jpg</t>
  </si>
  <si>
    <t>10 Сушилка навес\E33149364_3_20260107T120822Z.jpg</t>
  </si>
  <si>
    <t>ср 07.01.2026 — 12:08:22</t>
  </si>
  <si>
    <t>E33149364_3_20260108T180123Z.jpg</t>
  </si>
  <si>
    <t>10 Сушилка навес\E33149364_3_20260108T180123Z.jpg</t>
  </si>
  <si>
    <t>чт 08.01.2026 — 18:01:23</t>
  </si>
  <si>
    <t>E33149364_3_20260109T100736Z.jpg</t>
  </si>
  <si>
    <t>10 Сушилка навес\E33149364_3_20260109T100736Z.jpg</t>
  </si>
  <si>
    <t>пт 09.01.2026 — 10:07:36</t>
  </si>
  <si>
    <t>E33149364_3_20260110T140408Z.jpg</t>
  </si>
  <si>
    <t>10 Сушилка навес\E33149364_3_20260110T140408Z.jpg</t>
  </si>
  <si>
    <t>сб 10.01.2026 — 14:04:08</t>
  </si>
  <si>
    <t>E33149364_3_20260111T151240Z.jpg</t>
  </si>
  <si>
    <t>10 Сушилка навес\E33149364_3_20260111T151240Z.jpg</t>
  </si>
  <si>
    <t>вс 11.01.2026 — 15:12:40</t>
  </si>
  <si>
    <t>E33149364_4_20260105T100625Z.jpg</t>
  </si>
  <si>
    <t>11 С ангара на базу\E33149364_4_20260105T100625Z.jpg</t>
  </si>
  <si>
    <t>пн 05.01.2026 — 10:06:25</t>
  </si>
  <si>
    <t>E33149364_4_20260105T154550Z.jpg</t>
  </si>
  <si>
    <t>11 С ангара на базу\E33149364_4_20260105T154550Z.jpg</t>
  </si>
  <si>
    <t>пн 05.01.2026 — 15:45:50</t>
  </si>
  <si>
    <t>E33149364_4_20260106T102943Z.jpg</t>
  </si>
  <si>
    <t>11 С ангара на базу\E33149364_4_20260106T102943Z.jpg</t>
  </si>
  <si>
    <t>вт 06.01.2026 — 10:29:43</t>
  </si>
  <si>
    <t>E33149364_4_20260106T153323Z.jpg</t>
  </si>
  <si>
    <t>11 С ангара на базу\E33149364_4_20260106T153323Z.jpg</t>
  </si>
  <si>
    <t>вт 06.01.2026 — 15:33:23</t>
  </si>
  <si>
    <t>E33149364_4_20260107T102736Z.jpg</t>
  </si>
  <si>
    <t>11 С ангара на базу\E33149364_4_20260107T102736Z.jpg</t>
  </si>
  <si>
    <t>ср 07.01.2026 — 10:27:36</t>
  </si>
  <si>
    <t>E33149364_4_20260107T153946Z.jpg</t>
  </si>
  <si>
    <t>11 С ангара на базу\E33149364_4_20260107T153946Z.jpg</t>
  </si>
  <si>
    <t>ср 07.01.2026 — 15:39:46</t>
  </si>
  <si>
    <t>E33149364_4_20260108T113816Z.jpg</t>
  </si>
  <si>
    <t>11 С ангара на базу\E33149364_4_20260108T113816Z.jpg</t>
  </si>
  <si>
    <t>чт 08.01.2026 — 11:38:16</t>
  </si>
  <si>
    <t>E33149364_4_20260108T173157Z.jpg</t>
  </si>
  <si>
    <t>11 С ангара на базу\E33149364_4_20260108T173157Z.jpg</t>
  </si>
  <si>
    <t>чт 08.01.2026 — 17:31:57</t>
  </si>
  <si>
    <t>E33149364_4_20260109T125303Z.jpg</t>
  </si>
  <si>
    <t>11 С ангара на базу\E33149364_4_20260109T125303Z.jpg</t>
  </si>
  <si>
    <t>пт 09.01.2026 — 12:53:03</t>
  </si>
  <si>
    <t>E33149364_4_20260110T132347Z.jpg</t>
  </si>
  <si>
    <t>11 С ангара на базу\E33149364_4_20260110T132347Z.jpg</t>
  </si>
  <si>
    <t>сб 10.01.2026 — 13:23:47</t>
  </si>
  <si>
    <t>E33149364_4_20260111T155817Z.jpg</t>
  </si>
  <si>
    <t>11 С ангара на базу\E33149364_4_20260111T155817Z.jpg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</si>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</sst>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NumberFormat="1"/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738"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197" tableType="queryTable" totalsRowShown="0">
  <autoFilter ref="A1:N197" xr:uid="{B468AF39-21AE-47BD-BA18-EADB2FC1D520}"/>
  <tableColumns count="14">
    <tableColumn id="11" xr3:uid="{6F8E650D-029B-40AD-86B4-92C160128A4F}" uniqueName="11" name="День нед" queryTableFieldId="39" dataDxfId="138"/>
    <tableColumn id="8" xr3:uid="{7C2AA400-8F21-45B7-B47D-9CF2CFB5DD00}" uniqueName="8" name="Дата" queryTableFieldId="19" dataDxfId="137"/>
    <tableColumn id="9" xr3:uid="{7CB7ABF0-C98D-49E4-A494-985A43D5F40F}" uniqueName="9" name="Время" queryTableFieldId="20" dataDxfId="136"/>
    <tableColumn id="5" xr3:uid="{613A944B-9245-4C6D-9CCE-5037AD552DED}" uniqueName="5" name="Событие" queryTableFieldId="27" dataDxfId="135"/>
    <tableColumn id="7" xr3:uid="{FFEA85A5-3527-4483-91CE-57F760AB9F33}" uniqueName="7" name="Объект" queryTableFieldId="29" dataDxfId="134"/>
    <tableColumn id="10" xr3:uid="{A2E2C27E-C1B2-4B74-A427-E1854B0E2C76}" uniqueName="10" name="Груз" queryTableFieldId="30" dataDxfId="133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32"/>
    <tableColumn id="4" xr3:uid="{B2B57637-8A7D-4C5F-A6F8-E38F3EA43620}" uniqueName="4" name="Name" queryTableFieldId="14" dataDxfId="131"/>
    <tableColumn id="1" xr3:uid="{79275791-6385-434B-9F1B-8BDC003824A7}" uniqueName="1" name="Folder Path" queryTableFieldId="11" dataDxfId="130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29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28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06" tableType="queryTable" totalsRowShown="0">
  <autoFilter ref="A1:M206" xr:uid="{B468AF39-21AE-47BD-BA18-EADB2FC1D520}"/>
  <tableColumns count="13">
    <tableColumn id="11" xr3:uid="{6804E693-7D64-41A5-9B58-B7D348C4DC92}" uniqueName="11" name="День нед" queryTableFieldId="39" dataDxfId="127"/>
    <tableColumn id="8" xr3:uid="{40827FD9-94EC-4CF6-B212-59CF3E913897}" uniqueName="8" name="Дата" queryTableFieldId="19" dataDxfId="126"/>
    <tableColumn id="9" xr3:uid="{1F8E8ADE-5BFB-4171-9A0A-859E22042D3B}" uniqueName="9" name="Время" queryTableFieldId="20" dataDxfId="125"/>
    <tableColumn id="5" xr3:uid="{9D19F2E1-3C70-4F2F-8ED7-6D41C17A9366}" uniqueName="5" name="Событие" queryTableFieldId="27" dataDxfId="124"/>
    <tableColumn id="7" xr3:uid="{8C8CC69A-BA0A-4417-AE7D-B89E26F69F9B}" uniqueName="7" name="Объект" queryTableFieldId="29" dataDxfId="123"/>
    <tableColumn id="10" xr3:uid="{375C36FB-077D-4AA3-B6F7-74ACE46C2638}" uniqueName="10" name="Груз" queryTableFieldId="30" dataDxfId="122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21"/>
    <tableColumn id="4" xr3:uid="{4A5BB282-D54C-4C68-A1D9-B3A819F9FCF6}" uniqueName="4" name="Name" queryTableFieldId="14" dataDxfId="120"/>
    <tableColumn id="1" xr3:uid="{7BD19058-41FF-4EFE-8283-68501A5B1623}" uniqueName="1" name="Folder Path" queryTableFieldId="11" dataDxfId="119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18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120" tableType="queryTable" totalsRowShown="0">
  <autoFilter ref="A1:M120" xr:uid="{B468AF39-21AE-47BD-BA18-EADB2FC1D520}"/>
  <tableColumns count="13">
    <tableColumn id="11" xr3:uid="{8C7989A8-AE95-4BFB-859E-9F3F94DCD873}" uniqueName="11" name="День нед" queryTableFieldId="39" dataDxfId="117"/>
    <tableColumn id="8" xr3:uid="{B651DAE5-1AB7-4761-9820-CB58DA0D9C46}" uniqueName="8" name="Дата" queryTableFieldId="19" dataDxfId="116"/>
    <tableColumn id="9" xr3:uid="{22B6AE73-6E8B-4F81-B85C-3D141AD4D773}" uniqueName="9" name="Время" queryTableFieldId="20" dataDxfId="115"/>
    <tableColumn id="5" xr3:uid="{CB5AF0FF-A861-4F29-BFD9-751A47066C68}" uniqueName="5" name="Событие" queryTableFieldId="27" dataDxfId="114"/>
    <tableColumn id="7" xr3:uid="{63916370-0910-4B95-ABB4-D88865AA9E43}" uniqueName="7" name="Объект" queryTableFieldId="29" dataDxfId="113"/>
    <tableColumn id="10" xr3:uid="{DDC7656E-7390-4778-A2CE-EEC7AC518263}" uniqueName="10" name="Груз" queryTableFieldId="30" dataDxfId="112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11"/>
    <tableColumn id="4" xr3:uid="{96665EED-E1B8-437C-869A-35CB5BA419D3}" uniqueName="4" name="Name" queryTableFieldId="14" dataDxfId="110"/>
    <tableColumn id="1" xr3:uid="{1F225BD8-B59D-4058-9D99-17124C1F38FB}" uniqueName="1" name="Folder Path" queryTableFieldId="11" dataDxfId="109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08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136" tableType="queryTable" totalsRowShown="0">
  <tableColumns count="13">
    <tableColumn id="11" xr3:uid="{F25D1388-C4DF-49FB-9BF5-0132CEDCCAEA}" uniqueName="11" name="День нед" queryTableFieldId="39" dataDxfId="107"/>
    <tableColumn id="8" xr3:uid="{9EDCCA26-9FD6-4F66-9134-186F89CA663B}" uniqueName="8" name="Дата" queryTableFieldId="19" dataDxfId="106"/>
    <tableColumn id="9" xr3:uid="{FB005DB9-8D3C-48A5-94F1-246606C665DD}" uniqueName="9" name="Время" queryTableFieldId="20" dataDxfId="105"/>
    <tableColumn id="5" xr3:uid="{6D19407C-64CF-4FC5-95E7-163AA12EB226}" uniqueName="5" name="Событие" queryTableFieldId="27" dataDxfId="104"/>
    <tableColumn id="7" xr3:uid="{007BF834-0BCB-4416-8941-11DA4EDFCE5B}" uniqueName="7" name="Объект" queryTableFieldId="29" dataDxfId="103"/>
    <tableColumn id="10" xr3:uid="{E896F002-4451-441D-B0CB-52AD69A6E5C3}" uniqueName="10" name="Груз" queryTableFieldId="30" dataDxfId="102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01"/>
    <tableColumn id="4" xr3:uid="{9F6560FA-27F8-4BE9-BA58-3B0E40F582E5}" uniqueName="4" name="Name" queryTableFieldId="14" dataDxfId="100"/>
    <tableColumn id="1" xr3:uid="{44892CD0-9118-4535-9434-E49462140346}" uniqueName="1" name="Folder Path" queryTableFieldId="11" dataDxfId="99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98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06" tableType="queryTable" totalsRowShown="0">
  <tableColumns count="13">
    <tableColumn id="11" xr3:uid="{390CB009-E9E0-4C0F-93C3-AF6B408B816B}" uniqueName="11" name="День нед" queryTableFieldId="39" dataDxfId="97"/>
    <tableColumn id="8" xr3:uid="{E0A1C296-A368-479C-9A74-85306B3C03D4}" uniqueName="8" name="Дата" queryTableFieldId="19" dataDxfId="96"/>
    <tableColumn id="9" xr3:uid="{86401298-83EB-49D3-ACBA-E743586F5CCB}" uniqueName="9" name="Время" queryTableFieldId="20" dataDxfId="95"/>
    <tableColumn id="5" xr3:uid="{FFB4F03A-A400-4544-A729-2375A1F7D5E8}" uniqueName="5" name="Событие" queryTableFieldId="27" dataDxfId="94"/>
    <tableColumn id="7" xr3:uid="{D96DCF3C-D325-4D0C-94A1-DBE97CC5C9DC}" uniqueName="7" name="Объект" queryTableFieldId="29" dataDxfId="93"/>
    <tableColumn id="10" xr3:uid="{76D99262-42F5-447E-95AC-9C2A84BF344C}" uniqueName="10" name="Груз" queryTableFieldId="30" dataDxfId="92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91"/>
    <tableColumn id="4" xr3:uid="{D16AEB37-7A8A-406F-8ED7-B8D53BAA9BD9}" uniqueName="4" name="Name" queryTableFieldId="14" dataDxfId="90"/>
    <tableColumn id="1" xr3:uid="{1746BE5F-089A-476F-AE8D-5F2B27E9AEEA}" uniqueName="1" name="Folder Path" queryTableFieldId="11" dataDxfId="89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88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102" tableType="queryTable" totalsRowShown="0">
  <tableColumns count="13">
    <tableColumn id="11" xr3:uid="{45D23538-AB74-404E-8577-E2B7A36436AF}" uniqueName="11" name="День нед" queryTableFieldId="39" dataDxfId="37"/>
    <tableColumn id="8" xr3:uid="{40B01B94-168F-4547-A2BC-AA7F91350AB3}" uniqueName="8" name="Дата" queryTableFieldId="19" dataDxfId="36"/>
    <tableColumn id="9" xr3:uid="{A2C94EFB-3081-4BA9-85C2-DFF0455AFA43}" uniqueName="9" name="Время" queryTableFieldId="20" dataDxfId="35"/>
    <tableColumn id="5" xr3:uid="{244D3D34-C9EC-4B9C-BE81-12A0C0BB4342}" uniqueName="5" name="Событие" queryTableFieldId="27" dataDxfId="34"/>
    <tableColumn id="7" xr3:uid="{C449A112-E8A8-4956-B85C-2BA12316F170}" uniqueName="7" name="Объект" queryTableFieldId="29" dataDxfId="33"/>
    <tableColumn id="10" xr3:uid="{C8411557-C312-4542-93DA-DF5949399E11}" uniqueName="10" name="Груз" queryTableFieldId="30" dataDxfId="32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31"/>
    <tableColumn id="4" xr3:uid="{6A396D44-0898-4737-A4C1-8D6D40981793}" uniqueName="4" name="Name" queryTableFieldId="14" dataDxfId="30"/>
    <tableColumn id="1" xr3:uid="{328F21C9-48B9-4081-9B8C-BBD168BD38D1}" uniqueName="1" name="Folder Path" queryTableFieldId="11" dataDxfId="29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28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26" tableType="queryTable" totalsRowShown="0">
  <tableColumns count="13">
    <tableColumn id="11" xr3:uid="{2311EAC9-4673-4BE2-ADB0-E8CEB0BD9945}" uniqueName="11" name="День нед" queryTableFieldId="39" dataDxfId="87"/>
    <tableColumn id="8" xr3:uid="{F1C9804A-F8E7-4755-B717-859265C587A2}" uniqueName="8" name="Дата" queryTableFieldId="19" dataDxfId="86"/>
    <tableColumn id="9" xr3:uid="{1C2BA522-8D4F-4713-849C-1F60357B476E}" uniqueName="9" name="Время" queryTableFieldId="20" dataDxfId="85"/>
    <tableColumn id="5" xr3:uid="{6E084A00-DC62-4E93-8ABC-4651FD4D2408}" uniqueName="5" name="Событие" queryTableFieldId="27" dataDxfId="84"/>
    <tableColumn id="7" xr3:uid="{C9F6EF14-DBE7-4655-9D20-5B253923C11E}" uniqueName="7" name="Объект" queryTableFieldId="29" dataDxfId="83"/>
    <tableColumn id="10" xr3:uid="{0ADEC0F9-9FE9-4E92-BD38-0B8CDDE1BDBD}" uniqueName="10" name="Груз" queryTableFieldId="30" dataDxfId="82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81"/>
    <tableColumn id="4" xr3:uid="{FE606B6B-0A78-44A2-B44F-54FBA553BAD6}" uniqueName="4" name="Name" queryTableFieldId="14" dataDxfId="80"/>
    <tableColumn id="1" xr3:uid="{34274AB2-665A-4EF1-8C79-4944C9C122A7}" uniqueName="1" name="Folder Path" queryTableFieldId="11" dataDxfId="79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78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166" tableType="queryTable" totalsRowShown="0">
  <tableColumns count="13">
    <tableColumn id="11" xr3:uid="{72CE202A-C56C-4D63-9F9F-0DFF72BB5190}" uniqueName="11" name="День нед" queryTableFieldId="39" dataDxfId="77"/>
    <tableColumn id="8" xr3:uid="{0D9F5C4C-70B0-46E2-9E29-649E206B6616}" uniqueName="8" name="Дата" queryTableFieldId="19" dataDxfId="76"/>
    <tableColumn id="9" xr3:uid="{7C8561D4-BD7D-493F-BC95-213F2D55F3FD}" uniqueName="9" name="Время" queryTableFieldId="20" dataDxfId="75"/>
    <tableColumn id="5" xr3:uid="{E48795B2-2732-4E4A-81E8-B1585581420B}" uniqueName="5" name="Событие" queryTableFieldId="27" dataDxfId="74"/>
    <tableColumn id="7" xr3:uid="{F684EE24-0636-4EC2-AB94-A65EA5355534}" uniqueName="7" name="Объект" queryTableFieldId="29" dataDxfId="73"/>
    <tableColumn id="10" xr3:uid="{0C1B5273-277F-4438-B52D-9F868AD13DEE}" uniqueName="10" name="Груз" queryTableFieldId="30" dataDxfId="72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71"/>
    <tableColumn id="4" xr3:uid="{729433F6-F4FD-435B-851D-D34CC9060068}" uniqueName="4" name="Name" queryTableFieldId="14" dataDxfId="70"/>
    <tableColumn id="1" xr3:uid="{7A9B9B80-B872-4A82-9D9D-98A75E20F89B}" uniqueName="1" name="Folder Path" queryTableFieldId="11" dataDxfId="69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68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482" tableType="queryTable" totalsRowShown="0">
  <tableColumns count="13">
    <tableColumn id="11" xr3:uid="{2CE691F0-1D02-41BD-8E81-7716875609CD}" uniqueName="11" name="День нед" queryTableFieldId="39" dataDxfId="67"/>
    <tableColumn id="8" xr3:uid="{1A2A3B97-F602-468E-8AD3-5DD492638A71}" uniqueName="8" name="Дата" queryTableFieldId="19" dataDxfId="66"/>
    <tableColumn id="9" xr3:uid="{E8725BDD-FF6C-47C3-9100-825160B93721}" uniqueName="9" name="Время" queryTableFieldId="20" dataDxfId="65"/>
    <tableColumn id="5" xr3:uid="{F68EB906-7F6F-4765-A5C8-9B40064179BE}" uniqueName="5" name="Событие" queryTableFieldId="27" dataDxfId="64"/>
    <tableColumn id="7" xr3:uid="{812FE0F9-0D7E-497C-893A-B104BA069155}" uniqueName="7" name="Объект" queryTableFieldId="29" dataDxfId="63"/>
    <tableColumn id="10" xr3:uid="{1679E688-A047-4936-9EBC-9BDCFEA4CD95}" uniqueName="10" name="Груз" queryTableFieldId="30" dataDxfId="62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61"/>
    <tableColumn id="4" xr3:uid="{F9F7F55E-2CCF-4A6B-892F-1C76C0668832}" uniqueName="4" name="Name" queryTableFieldId="14" dataDxfId="60"/>
    <tableColumn id="1" xr3:uid="{0AF9B05B-8D0E-4B8A-81D0-358A18429CE8}" uniqueName="1" name="Folder Path" queryTableFieldId="11" dataDxfId="59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58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492" tableType="queryTable" totalsRowShown="0">
  <tableColumns count="13">
    <tableColumn id="11" xr3:uid="{96A6BDDB-7ED5-4607-80F3-3FD842EAEE0A}" uniqueName="11" name="День нед" queryTableFieldId="39" dataDxfId="57"/>
    <tableColumn id="8" xr3:uid="{FBEC9ECA-BD5C-442E-BB86-7CCAEF9464D2}" uniqueName="8" name="Дата" queryTableFieldId="19" dataDxfId="56"/>
    <tableColumn id="9" xr3:uid="{68242AF7-BC60-4380-843B-35A6CC4A66E6}" uniqueName="9" name="Время" queryTableFieldId="20" dataDxfId="55"/>
    <tableColumn id="5" xr3:uid="{C98BCFD6-9DE9-4A28-B769-F5737933429D}" uniqueName="5" name="Событие" queryTableFieldId="27" dataDxfId="54"/>
    <tableColumn id="7" xr3:uid="{4D44F8D4-93A4-4851-894E-AC8CDD93BD71}" uniqueName="7" name="Объект" queryTableFieldId="29" dataDxfId="53"/>
    <tableColumn id="10" xr3:uid="{0A838B00-A88A-40EE-A542-7E8E08968D89}" uniqueName="10" name="Груз" queryTableFieldId="30" dataDxfId="52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51"/>
    <tableColumn id="4" xr3:uid="{4FA2E248-D5A3-4824-875F-C328FA9AC2F9}" uniqueName="4" name="Name" queryTableFieldId="14" dataDxfId="50"/>
    <tableColumn id="1" xr3:uid="{B01A6B83-82C4-4172-AD5B-D2AF410DBE1B}" uniqueName="1" name="Folder Path" queryTableFieldId="11" dataDxfId="49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48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217" tableType="queryTable" totalsRowShown="0">
  <tableColumns count="13">
    <tableColumn id="11" xr3:uid="{2AD64508-44AB-4871-8C82-4C5A1E5A5DD2}" uniqueName="11" name="День нед" queryTableFieldId="39" dataDxfId="47"/>
    <tableColumn id="8" xr3:uid="{C788117B-4896-492B-97B3-B2502F0537D8}" uniqueName="8" name="Дата" queryTableFieldId="19" dataDxfId="46"/>
    <tableColumn id="9" xr3:uid="{E3EF5757-6705-492A-BD76-A47D414757C0}" uniqueName="9" name="Время" queryTableFieldId="20" dataDxfId="45"/>
    <tableColumn id="5" xr3:uid="{EF049B28-F832-4F3D-AB4F-3C396920BF5B}" uniqueName="5" name="Событие" queryTableFieldId="27" dataDxfId="44"/>
    <tableColumn id="7" xr3:uid="{DDB63E42-2809-4377-A568-A326109989E9}" uniqueName="7" name="Объект" queryTableFieldId="29" dataDxfId="43"/>
    <tableColumn id="10" xr3:uid="{A4FCF3D3-582A-4DEF-8FB8-9D050C82517D}" uniqueName="10" name="Груз" queryTableFieldId="30" dataDxfId="42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41"/>
    <tableColumn id="4" xr3:uid="{DA63B8EC-3587-40B4-A86A-92B91C78723D}" uniqueName="4" name="Name" queryTableFieldId="14" dataDxfId="40"/>
    <tableColumn id="1" xr3:uid="{360C7476-DEC6-4377-8E95-D472C6673B12}" uniqueName="1" name="Folder Path" queryTableFieldId="11" dataDxfId="39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38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139" tableType="queryTable" totalsRowShown="0">
  <tableColumns count="13">
    <tableColumn id="11" xr3:uid="{C40005DE-8CA6-428A-9DF2-E715CC943F02}" uniqueName="11" name="День нед" queryTableFieldId="39" dataDxfId="27"/>
    <tableColumn id="8" xr3:uid="{55C75F47-F14F-483C-9C7A-95288D9463D6}" uniqueName="8" name="Дата" queryTableFieldId="19" dataDxfId="26"/>
    <tableColumn id="9" xr3:uid="{79D3981C-638A-4D64-BACB-D64D85DAC855}" uniqueName="9" name="Время" queryTableFieldId="20" dataDxfId="25"/>
    <tableColumn id="5" xr3:uid="{B0B848B5-29B2-4292-89A5-7DE5A2F72D15}" uniqueName="5" name="Событие" queryTableFieldId="27" dataDxfId="24"/>
    <tableColumn id="7" xr3:uid="{A9E0C8AC-2336-4969-BC3E-110E6C33529C}" uniqueName="7" name="Объект" queryTableFieldId="29" dataDxfId="23"/>
    <tableColumn id="10" xr3:uid="{F8691CA5-2689-452F-9550-C52E06B35BD6}" uniqueName="10" name="Груз" queryTableFieldId="30" dataDxfId="22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21"/>
    <tableColumn id="4" xr3:uid="{E9716AC2-8439-4E67-8698-BA6CD84F7B9C}" uniqueName="4" name="Name" queryTableFieldId="14" dataDxfId="20"/>
    <tableColumn id="1" xr3:uid="{9AB30DEC-91E3-4633-A156-B937B586CECB}" uniqueName="1" name="Folder Path" queryTableFieldId="11" dataDxfId="19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8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116" tableType="queryTable" totalsRowShown="0">
  <tableColumns count="13">
    <tableColumn id="11" xr3:uid="{B21CFC33-55C8-4073-BBD2-E0A5154A10D6}" uniqueName="11" name="День нед" queryTableFieldId="39" dataDxfId="17"/>
    <tableColumn id="8" xr3:uid="{004370C0-0D3C-4162-A392-32C741C3A58B}" uniqueName="8" name="Дата" queryTableFieldId="19" dataDxfId="16"/>
    <tableColumn id="9" xr3:uid="{6537DA5E-247D-44FB-ACE3-933B3C9B9408}" uniqueName="9" name="Время" queryTableFieldId="20" dataDxfId="15"/>
    <tableColumn id="5" xr3:uid="{4FA9309D-407E-48C1-B1F9-C33DEA7645B1}" uniqueName="5" name="Событие" queryTableFieldId="27" dataDxfId="14"/>
    <tableColumn id="7" xr3:uid="{76E54E9E-D730-4C99-9BF5-96E9384FF63C}" uniqueName="7" name="Объект" queryTableFieldId="29" dataDxfId="13"/>
    <tableColumn id="10" xr3:uid="{B9F78DE2-7938-486B-9BE2-F824D0E7A6C4}" uniqueName="10" name="Груз" queryTableFieldId="30" dataDxfId="12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1"/>
    <tableColumn id="4" xr3:uid="{921D28C1-5761-48A7-B447-6A4446F87545}" uniqueName="4" name="Name" queryTableFieldId="14" dataDxfId="10"/>
    <tableColumn id="1" xr3:uid="{F1A648C1-8DB5-4DEF-B011-BD85E17FCAA3}" uniqueName="1" name="Folder Path" queryTableFieldId="11" dataDxfId="9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8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2797" totalsRowShown="0">
  <autoFilter ref="A1:G2797" xr:uid="{803833C3-A4ED-4039-95A7-46694D1CE00F}">
    <filterColumn colId="6">
      <filters>
        <filter val="Площадка 2 бетонщики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210" tableType="queryTable" totalsRowShown="0">
  <autoFilter ref="A1:M210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7"/>
    <tableColumn id="3" xr3:uid="{8C3702C1-E43C-496C-A204-7587B7ED5C05}" uniqueName="3" name="Время" queryTableFieldId="3" dataDxfId="6"/>
    <tableColumn id="4" xr3:uid="{C16264D0-558B-425C-8205-E671C6E3EB9E}" uniqueName="4" name="Событие" queryTableFieldId="4" dataDxfId="5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737"/>
    <tableColumn id="10" xr3:uid="{37082223-0A57-495F-97B8-0BCE1F173A2E}" uniqueName="10" name="Folder Path" queryTableFieldId="10" dataDxfId="736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4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371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3"/>
    <tableColumn id="3" xr3:uid="{A5BADAB4-5066-43B1-85E5-70A52776C24E}" uniqueName="3" name="Время" queryTableFieldId="3" dataDxfId="2"/>
    <tableColumn id="4" xr3:uid="{B1D585FC-DA3D-434B-94C8-40BA68B5131D}" uniqueName="4" name="Событие" queryTableFieldId="4" dataDxfId="1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735"/>
    <tableColumn id="10" xr3:uid="{2646CF32-E994-4A14-AEA5-9E938118AF27}" uniqueName="10" name="Folder Path" queryTableFieldId="10" dataDxfId="734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197"/>
  <sheetViews>
    <sheetView tabSelected="1" zoomScale="90" zoomScaleNormal="90" workbookViewId="0">
      <pane ySplit="1" topLeftCell="A173" activePane="bottomLeft" state="frozen"/>
      <selection pane="bottomLeft" activeCell="I181" sqref="I181:I197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81.140625" bestFit="1" customWidth="1"/>
    <col min="9" max="9" width="35.42578125" bestFit="1" customWidth="1"/>
    <col min="10" max="10" width="45.5703125" hidden="1" customWidth="1"/>
    <col min="11" max="11" width="56.85546875" hidden="1" customWidth="1"/>
    <col min="12" max="12" width="24.5703125" hidden="1" customWidth="1"/>
    <col min="13" max="13" width="56.85546875" hidden="1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s="8" t="s">
        <v>62</v>
      </c>
      <c r="E2" s="8" t="s">
        <v>55</v>
      </c>
      <c r="F2" s="8" t="s">
        <v>51</v>
      </c>
      <c r="H2" s="8"/>
      <c r="I2" s="8" t="s">
        <v>26</v>
      </c>
      <c r="J2" s="8" t="s">
        <v>2981</v>
      </c>
      <c r="K2" t="s">
        <v>3103</v>
      </c>
      <c r="L2" t="s">
        <v>3104</v>
      </c>
      <c r="M2" s="3" t="str">
        <f>HYPERLINK(склад2въезд[[#This Row],[RelativePath]])</f>
        <v>1 Ангар Склад 2 въезд\E33149364_6_20251110T115231Z.jpg</v>
      </c>
      <c r="N2" s="8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s="8" t="s">
        <v>91</v>
      </c>
      <c r="E3" s="8" t="s">
        <v>56</v>
      </c>
      <c r="F3" s="8" t="s">
        <v>51</v>
      </c>
      <c r="H3" s="8"/>
      <c r="I3" s="8" t="s">
        <v>27</v>
      </c>
      <c r="J3" s="8" t="s">
        <v>2981</v>
      </c>
      <c r="K3" t="s">
        <v>3105</v>
      </c>
      <c r="L3" t="s">
        <v>3106</v>
      </c>
      <c r="M3" s="3" t="str">
        <f>HYPERLINK(склад2въезд[[#This Row],[RelativePath]])</f>
        <v>1 Ангар Склад 2 въезд\E33149364_6_20251110T120047Z.jpg</v>
      </c>
      <c r="N3" s="8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s="8" t="s">
        <v>91</v>
      </c>
      <c r="E4" s="8" t="s">
        <v>56</v>
      </c>
      <c r="F4" s="8" t="s">
        <v>51</v>
      </c>
      <c r="H4" s="8"/>
      <c r="I4" s="8" t="s">
        <v>28</v>
      </c>
      <c r="J4" s="8" t="s">
        <v>2981</v>
      </c>
      <c r="K4" t="s">
        <v>3107</v>
      </c>
      <c r="L4" t="s">
        <v>3108</v>
      </c>
      <c r="M4" s="3" t="str">
        <f>HYPERLINK(склад2въезд[[#This Row],[RelativePath]])</f>
        <v>1 Ангар Склад 2 въезд\E33149364_6_20251110T120052Z.jpg</v>
      </c>
      <c r="N4" s="8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s="8" t="s">
        <v>62</v>
      </c>
      <c r="E5" s="8" t="s">
        <v>56</v>
      </c>
      <c r="F5" s="8" t="s">
        <v>53</v>
      </c>
      <c r="G5">
        <v>3</v>
      </c>
      <c r="H5" s="8"/>
      <c r="I5" s="8" t="s">
        <v>29</v>
      </c>
      <c r="J5" s="8" t="s">
        <v>2981</v>
      </c>
      <c r="K5" t="s">
        <v>3109</v>
      </c>
      <c r="L5" t="s">
        <v>3110</v>
      </c>
      <c r="M5" s="3" t="str">
        <f>HYPERLINK(склад2въезд[[#This Row],[RelativePath]])</f>
        <v>1 Ангар Склад 2 въезд\E33149364_6_20251110T122835Z.jpg</v>
      </c>
      <c r="N5" s="8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s="8" t="s">
        <v>91</v>
      </c>
      <c r="E6" s="8" t="s">
        <v>55</v>
      </c>
      <c r="F6" s="8" t="s">
        <v>58</v>
      </c>
      <c r="H6" s="8"/>
      <c r="I6" s="8" t="s">
        <v>30</v>
      </c>
      <c r="J6" s="8" t="s">
        <v>2981</v>
      </c>
      <c r="K6" t="s">
        <v>3111</v>
      </c>
      <c r="L6" t="s">
        <v>3112</v>
      </c>
      <c r="M6" s="3" t="str">
        <f>HYPERLINK(склад2въезд[[#This Row],[RelativePath]])</f>
        <v>1 Ангар Склад 2 въезд\E33149364_6_20251110T134029Z.jpg</v>
      </c>
      <c r="N6" s="8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s="8" t="s">
        <v>62</v>
      </c>
      <c r="E7" s="8" t="s">
        <v>55</v>
      </c>
      <c r="F7" s="8" t="s">
        <v>58</v>
      </c>
      <c r="H7" s="8" t="s">
        <v>59</v>
      </c>
      <c r="I7" s="8" t="s">
        <v>31</v>
      </c>
      <c r="J7" s="8" t="s">
        <v>2981</v>
      </c>
      <c r="K7" t="s">
        <v>3113</v>
      </c>
      <c r="L7" t="s">
        <v>3114</v>
      </c>
      <c r="M7" s="3" t="str">
        <f>HYPERLINK(склад2въезд[[#This Row],[RelativePath]])</f>
        <v>1 Ангар Склад 2 въезд\E33149364_6_20251110T134540Z.jpg</v>
      </c>
      <c r="N7" s="8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s="8" t="s">
        <v>91</v>
      </c>
      <c r="E8" s="8" t="s">
        <v>55</v>
      </c>
      <c r="F8" s="8" t="s">
        <v>58</v>
      </c>
      <c r="H8" s="8" t="s">
        <v>59</v>
      </c>
      <c r="I8" s="8" t="s">
        <v>32</v>
      </c>
      <c r="J8" s="8" t="s">
        <v>2981</v>
      </c>
      <c r="K8" t="s">
        <v>3115</v>
      </c>
      <c r="L8" t="s">
        <v>3116</v>
      </c>
      <c r="M8" s="3" t="str">
        <f>HYPERLINK(склад2въезд[[#This Row],[RelativePath]])</f>
        <v>1 Ангар Склад 2 въезд\E33149364_6_20251110T143236Z.jpg</v>
      </c>
      <c r="N8" s="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s="8" t="s">
        <v>91</v>
      </c>
      <c r="E9" s="8" t="s">
        <v>67</v>
      </c>
      <c r="F9" s="8" t="s">
        <v>51</v>
      </c>
      <c r="H9" s="8"/>
      <c r="I9" s="8" t="s">
        <v>33</v>
      </c>
      <c r="J9" s="8" t="s">
        <v>2981</v>
      </c>
      <c r="K9" t="s">
        <v>3117</v>
      </c>
      <c r="L9" t="s">
        <v>3118</v>
      </c>
      <c r="M9" s="3" t="str">
        <f>HYPERLINK(склад2въезд[[#This Row],[RelativePath]])</f>
        <v>1 Ангар Склад 2 въезд\E33149364_6_20251111T092327Z.jpg</v>
      </c>
      <c r="N9" s="8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s="8" t="s">
        <v>62</v>
      </c>
      <c r="E10" s="8" t="s">
        <v>67</v>
      </c>
      <c r="F10" s="8" t="s">
        <v>468</v>
      </c>
      <c r="H10" s="8"/>
      <c r="I10" s="8" t="s">
        <v>34</v>
      </c>
      <c r="J10" s="8" t="s">
        <v>2981</v>
      </c>
      <c r="K10" t="s">
        <v>3119</v>
      </c>
      <c r="L10" t="s">
        <v>3120</v>
      </c>
      <c r="M10" s="3" t="str">
        <f>HYPERLINK(склад2въезд[[#This Row],[RelativePath]])</f>
        <v>1 Ангар Склад 2 въезд\E33149364_6_20251111T104437Z.jpg</v>
      </c>
      <c r="N10" s="8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s="8" t="s">
        <v>91</v>
      </c>
      <c r="E11" s="8" t="s">
        <v>63</v>
      </c>
      <c r="F11" s="8" t="s">
        <v>51</v>
      </c>
      <c r="H11" s="8"/>
      <c r="I11" s="8" t="s">
        <v>35</v>
      </c>
      <c r="J11" s="8" t="s">
        <v>2981</v>
      </c>
      <c r="K11" t="s">
        <v>3121</v>
      </c>
      <c r="L11" t="s">
        <v>3122</v>
      </c>
      <c r="M11" s="3" t="str">
        <f>HYPERLINK(склад2въезд[[#This Row],[RelativePath]])</f>
        <v>1 Ангар Склад 2 въезд\E33149364_6_20251111T104712Z.jpg</v>
      </c>
      <c r="N11" s="8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s="8" t="s">
        <v>89</v>
      </c>
      <c r="E12" s="8" t="s">
        <v>63</v>
      </c>
      <c r="F12" s="8" t="s">
        <v>51</v>
      </c>
      <c r="H12" s="8"/>
      <c r="I12" s="8" t="s">
        <v>36</v>
      </c>
      <c r="J12" s="8" t="s">
        <v>2981</v>
      </c>
      <c r="K12" t="s">
        <v>3123</v>
      </c>
      <c r="L12" t="s">
        <v>3124</v>
      </c>
      <c r="M12" s="3" t="str">
        <f>HYPERLINK(склад2въезд[[#This Row],[RelativePath]])</f>
        <v>1 Ангар Склад 2 въезд\E33149364_6_20251111T104942Z.jpg</v>
      </c>
      <c r="N12" s="8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s="8" t="s">
        <v>64</v>
      </c>
      <c r="E13" s="8" t="s">
        <v>63</v>
      </c>
      <c r="F13" s="8" t="s">
        <v>51</v>
      </c>
      <c r="H13" s="8"/>
      <c r="I13" s="8" t="s">
        <v>37</v>
      </c>
      <c r="J13" s="8" t="s">
        <v>2981</v>
      </c>
      <c r="K13" t="s">
        <v>3125</v>
      </c>
      <c r="L13" t="s">
        <v>3126</v>
      </c>
      <c r="M13" s="3" t="str">
        <f>HYPERLINK(склад2въезд[[#This Row],[RelativePath]])</f>
        <v>1 Ангар Склад 2 въезд\E33149364_6_20251111T104958Z.jpg</v>
      </c>
      <c r="N13" s="8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s="8" t="s">
        <v>62</v>
      </c>
      <c r="E14" s="8" t="s">
        <v>63</v>
      </c>
      <c r="F14" s="8" t="s">
        <v>58</v>
      </c>
      <c r="H14" s="8"/>
      <c r="I14" s="8" t="s">
        <v>38</v>
      </c>
      <c r="J14" s="8" t="s">
        <v>2981</v>
      </c>
      <c r="K14" t="s">
        <v>3127</v>
      </c>
      <c r="L14" t="s">
        <v>3128</v>
      </c>
      <c r="M14" s="3" t="str">
        <f>HYPERLINK(склад2въезд[[#This Row],[RelativePath]])</f>
        <v>1 Ангар Склад 2 въезд\E33149364_6_20251111T113804Z.jpg</v>
      </c>
      <c r="N14" s="8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s="8" t="s">
        <v>62</v>
      </c>
      <c r="E15" s="8" t="s">
        <v>55</v>
      </c>
      <c r="F15" s="8" t="s">
        <v>65</v>
      </c>
      <c r="H15" s="8"/>
      <c r="I15" s="8" t="s">
        <v>39</v>
      </c>
      <c r="J15" s="8" t="s">
        <v>2981</v>
      </c>
      <c r="K15" t="s">
        <v>3129</v>
      </c>
      <c r="L15" t="s">
        <v>3130</v>
      </c>
      <c r="M15" s="3" t="str">
        <f>HYPERLINK(склад2въезд[[#This Row],[RelativePath]])</f>
        <v>1 Ангар Склад 2 въезд\E33149364_6_20251111T125226Z.jpg</v>
      </c>
      <c r="N15" s="8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s="8" t="s">
        <v>91</v>
      </c>
      <c r="E16" s="8" t="s">
        <v>55</v>
      </c>
      <c r="F16" s="8" t="s">
        <v>51</v>
      </c>
      <c r="H16" s="8"/>
      <c r="I16" s="8" t="s">
        <v>40</v>
      </c>
      <c r="J16" s="8" t="s">
        <v>2981</v>
      </c>
      <c r="K16" t="s">
        <v>3131</v>
      </c>
      <c r="L16" t="s">
        <v>3132</v>
      </c>
      <c r="M16" s="3" t="str">
        <f>HYPERLINK(склад2въезд[[#This Row],[RelativePath]])</f>
        <v>1 Ангар Склад 2 въезд\E33149364_6_20251111T154349Z.jpg</v>
      </c>
      <c r="N16" s="8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s="8" t="s">
        <v>91</v>
      </c>
      <c r="E17" s="8" t="s">
        <v>66</v>
      </c>
      <c r="F17" s="8" t="s">
        <v>68</v>
      </c>
      <c r="H17" s="8"/>
      <c r="I17" s="8" t="s">
        <v>41</v>
      </c>
      <c r="J17" s="8" t="s">
        <v>2981</v>
      </c>
      <c r="K17" t="s">
        <v>3133</v>
      </c>
      <c r="L17" t="s">
        <v>3134</v>
      </c>
      <c r="M17" s="3" t="str">
        <f>HYPERLINK(склад2въезд[[#This Row],[RelativePath]])</f>
        <v>1 Ангар Склад 2 въезд\E33149364_6_20251112T161438Z.jpg</v>
      </c>
      <c r="N17" s="8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s="8" t="s">
        <v>62</v>
      </c>
      <c r="E18" s="8" t="s">
        <v>66</v>
      </c>
      <c r="F18" s="8" t="s">
        <v>69</v>
      </c>
      <c r="H18" s="8"/>
      <c r="I18" s="8" t="s">
        <v>42</v>
      </c>
      <c r="J18" s="8" t="s">
        <v>2981</v>
      </c>
      <c r="K18" t="s">
        <v>3135</v>
      </c>
      <c r="L18" t="s">
        <v>3136</v>
      </c>
      <c r="M18" s="3" t="str">
        <f>HYPERLINK(склад2въезд[[#This Row],[RelativePath]])</f>
        <v>1 Ангар Склад 2 въезд\E33149364_6_20251112T170242Z.jpg</v>
      </c>
      <c r="N18" s="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s="8" t="s">
        <v>62</v>
      </c>
      <c r="E19" s="8" t="s">
        <v>55</v>
      </c>
      <c r="F19" s="8" t="s">
        <v>51</v>
      </c>
      <c r="H19" s="8"/>
      <c r="I19" s="8" t="s">
        <v>44</v>
      </c>
      <c r="J19" s="8" t="s">
        <v>2981</v>
      </c>
      <c r="K19" t="s">
        <v>3137</v>
      </c>
      <c r="L19" t="s">
        <v>3138</v>
      </c>
      <c r="M19" s="3" t="str">
        <f>HYPERLINK(склад2въезд[[#This Row],[RelativePath]])</f>
        <v>1 Ангар Склад 2 въезд\E33149364_6_20251113T084904Z.jpg</v>
      </c>
      <c r="N19" s="8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s="8" t="s">
        <v>91</v>
      </c>
      <c r="E20" s="8" t="s">
        <v>70</v>
      </c>
      <c r="F20" s="8" t="s">
        <v>51</v>
      </c>
      <c r="H20" s="8"/>
      <c r="I20" s="8" t="s">
        <v>45</v>
      </c>
      <c r="J20" s="8" t="s">
        <v>2981</v>
      </c>
      <c r="K20" t="s">
        <v>3139</v>
      </c>
      <c r="L20" t="s">
        <v>3140</v>
      </c>
      <c r="M20" s="3" t="str">
        <f>HYPERLINK(склад2въезд[[#This Row],[RelativePath]])</f>
        <v>1 Ангар Склад 2 въезд\E33149364_6_20251113T085509Z.jpg</v>
      </c>
      <c r="N20" s="8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s="8" t="s">
        <v>62</v>
      </c>
      <c r="E21" s="8" t="s">
        <v>70</v>
      </c>
      <c r="F21" s="8" t="s">
        <v>51</v>
      </c>
      <c r="H21" s="8"/>
      <c r="I21" s="8" t="s">
        <v>46</v>
      </c>
      <c r="J21" s="8" t="s">
        <v>2981</v>
      </c>
      <c r="K21" t="s">
        <v>3141</v>
      </c>
      <c r="L21" t="s">
        <v>3142</v>
      </c>
      <c r="M21" s="3" t="str">
        <f>HYPERLINK(склад2въезд[[#This Row],[RelativePath]])</f>
        <v>1 Ангар Склад 2 въезд\E33149364_6_20251113T090456Z.jpg</v>
      </c>
      <c r="N21" s="8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s="8" t="s">
        <v>64</v>
      </c>
      <c r="E22" s="8" t="s">
        <v>70</v>
      </c>
      <c r="F22" s="8" t="s">
        <v>51</v>
      </c>
      <c r="H22" s="8"/>
      <c r="I22" s="8" t="s">
        <v>47</v>
      </c>
      <c r="J22" s="8" t="s">
        <v>2981</v>
      </c>
      <c r="K22" t="s">
        <v>3143</v>
      </c>
      <c r="L22" t="s">
        <v>3144</v>
      </c>
      <c r="M22" s="3" t="str">
        <f>HYPERLINK(склад2въезд[[#This Row],[RelativePath]])</f>
        <v>1 Ангар Склад 2 въезд\E33149364_6_20251113T090500Z.jpg</v>
      </c>
      <c r="N22" s="8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s="8" t="s">
        <v>91</v>
      </c>
      <c r="E23" s="8" t="s">
        <v>70</v>
      </c>
      <c r="F23" s="8" t="s">
        <v>58</v>
      </c>
      <c r="H23" s="8"/>
      <c r="I23" s="8" t="s">
        <v>48</v>
      </c>
      <c r="J23" s="8" t="s">
        <v>2981</v>
      </c>
      <c r="K23" t="s">
        <v>3145</v>
      </c>
      <c r="L23" t="s">
        <v>3146</v>
      </c>
      <c r="M23" s="3" t="str">
        <f>HYPERLINK(склад2въезд[[#This Row],[RelativePath]])</f>
        <v>1 Ангар Склад 2 въезд\E33149364_6_20251113T092918Z.jpg</v>
      </c>
      <c r="N23" s="8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s="8" t="s">
        <v>62</v>
      </c>
      <c r="E24" s="8" t="s">
        <v>70</v>
      </c>
      <c r="F24" s="8" t="s">
        <v>58</v>
      </c>
      <c r="H24" s="8"/>
      <c r="I24" s="8" t="s">
        <v>49</v>
      </c>
      <c r="J24" s="8" t="s">
        <v>2981</v>
      </c>
      <c r="K24" t="s">
        <v>3147</v>
      </c>
      <c r="L24" t="s">
        <v>3148</v>
      </c>
      <c r="M24" s="3" t="str">
        <f>HYPERLINK(склад2въезд[[#This Row],[RelativePath]])</f>
        <v>1 Ангар Склад 2 въезд\E33149364_6_20251113T093428Z.jpg</v>
      </c>
      <c r="N24" s="8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s="8" t="s">
        <v>91</v>
      </c>
      <c r="E25" s="8" t="s">
        <v>55</v>
      </c>
      <c r="F25" s="8" t="s">
        <v>51</v>
      </c>
      <c r="H25" s="8"/>
      <c r="I25" s="8" t="s">
        <v>50</v>
      </c>
      <c r="J25" s="8" t="s">
        <v>2981</v>
      </c>
      <c r="K25" t="s">
        <v>3149</v>
      </c>
      <c r="L25" t="s">
        <v>3150</v>
      </c>
      <c r="M25" s="3" t="str">
        <f>HYPERLINK(склад2въезд[[#This Row],[RelativePath]])</f>
        <v>1 Ангар Склад 2 въезд\E33149364_6_20251113T123446Z.jpg</v>
      </c>
      <c r="N25" s="8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s="8" t="s">
        <v>62</v>
      </c>
      <c r="E26" s="8" t="s">
        <v>55</v>
      </c>
      <c r="F26" s="8" t="s">
        <v>51</v>
      </c>
      <c r="H26" s="8"/>
      <c r="I26" s="8" t="s">
        <v>71</v>
      </c>
      <c r="J26" s="8" t="s">
        <v>2981</v>
      </c>
      <c r="K26" t="s">
        <v>3151</v>
      </c>
      <c r="L26" t="s">
        <v>3152</v>
      </c>
      <c r="M26" s="3" t="str">
        <f>HYPERLINK(склад2въезд[[#This Row],[RelativePath]])</f>
        <v>1 Ангар Склад 2 въезд\E33149364_6_20251114T084700Z.jpg</v>
      </c>
      <c r="N26" s="8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s="8" t="s">
        <v>85</v>
      </c>
      <c r="E27" s="8" t="s">
        <v>86</v>
      </c>
      <c r="F27" s="8" t="s">
        <v>51</v>
      </c>
      <c r="H27" s="8"/>
      <c r="I27" s="8" t="s">
        <v>72</v>
      </c>
      <c r="J27" s="8" t="s">
        <v>2981</v>
      </c>
      <c r="K27" t="s">
        <v>3153</v>
      </c>
      <c r="L27" t="s">
        <v>3154</v>
      </c>
      <c r="M27" s="3" t="str">
        <f>HYPERLINK(склад2въезд[[#This Row],[RelativePath]])</f>
        <v>1 Ангар Склад 2 въезд\E33149364_6_20251114T124506Z.jpg</v>
      </c>
      <c r="N27" s="8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s="8" t="s">
        <v>91</v>
      </c>
      <c r="E28" s="8" t="s">
        <v>86</v>
      </c>
      <c r="F28" s="8" t="s">
        <v>87</v>
      </c>
      <c r="G28">
        <v>1</v>
      </c>
      <c r="H28" s="8"/>
      <c r="I28" s="8" t="s">
        <v>73</v>
      </c>
      <c r="J28" s="8" t="s">
        <v>2981</v>
      </c>
      <c r="K28" t="s">
        <v>3155</v>
      </c>
      <c r="L28" t="s">
        <v>3156</v>
      </c>
      <c r="M28" s="3" t="str">
        <f>HYPERLINK(склад2въезд[[#This Row],[RelativePath]])</f>
        <v>1 Ангар Склад 2 въезд\E33149364_6_20251114T125035Z.jpg</v>
      </c>
      <c r="N28" s="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s="8" t="s">
        <v>62</v>
      </c>
      <c r="E29" s="8" t="s">
        <v>86</v>
      </c>
      <c r="F29" s="8" t="s">
        <v>51</v>
      </c>
      <c r="H29" s="8"/>
      <c r="I29" s="8" t="s">
        <v>74</v>
      </c>
      <c r="J29" s="8" t="s">
        <v>2981</v>
      </c>
      <c r="K29" t="s">
        <v>3157</v>
      </c>
      <c r="L29" t="s">
        <v>3158</v>
      </c>
      <c r="M29" s="3" t="str">
        <f>HYPERLINK(склад2въезд[[#This Row],[RelativePath]])</f>
        <v>1 Ангар Склад 2 въезд\E33149364_6_20251114T125414Z.jpg</v>
      </c>
      <c r="N29" s="8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s="8" t="s">
        <v>89</v>
      </c>
      <c r="E30" s="8" t="s">
        <v>66</v>
      </c>
      <c r="F30" s="8" t="s">
        <v>88</v>
      </c>
      <c r="G30">
        <v>1</v>
      </c>
      <c r="H30" s="8"/>
      <c r="I30" s="8" t="s">
        <v>75</v>
      </c>
      <c r="J30" s="8" t="s">
        <v>2981</v>
      </c>
      <c r="K30" t="s">
        <v>3159</v>
      </c>
      <c r="L30" t="s">
        <v>3160</v>
      </c>
      <c r="M30" s="3" t="str">
        <f>HYPERLINK(склад2въезд[[#This Row],[RelativePath]])</f>
        <v>1 Ангар Склад 2 въезд\E33149364_6_20251114T125702Z.jpg</v>
      </c>
      <c r="N30" s="8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s="8" t="s">
        <v>64</v>
      </c>
      <c r="E31" s="8" t="s">
        <v>86</v>
      </c>
      <c r="F31" s="8" t="s">
        <v>87</v>
      </c>
      <c r="G31">
        <v>1</v>
      </c>
      <c r="H31" s="8"/>
      <c r="I31" s="8" t="s">
        <v>76</v>
      </c>
      <c r="J31" s="8" t="s">
        <v>2981</v>
      </c>
      <c r="K31" t="s">
        <v>3161</v>
      </c>
      <c r="L31" t="s">
        <v>3162</v>
      </c>
      <c r="M31" s="3" t="str">
        <f>HYPERLINK(склад2въезд[[#This Row],[RelativePath]])</f>
        <v>1 Ангар Склад 2 въезд\E33149364_6_20251114T125754Z.jpg</v>
      </c>
      <c r="N31" s="8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s="8" t="s">
        <v>62</v>
      </c>
      <c r="E32" s="8" t="s">
        <v>66</v>
      </c>
      <c r="F32" s="8" t="s">
        <v>51</v>
      </c>
      <c r="H32" s="8"/>
      <c r="I32" s="8" t="s">
        <v>77</v>
      </c>
      <c r="J32" s="8" t="s">
        <v>2981</v>
      </c>
      <c r="K32" t="s">
        <v>3163</v>
      </c>
      <c r="L32" t="s">
        <v>3164</v>
      </c>
      <c r="M32" s="3" t="str">
        <f>HYPERLINK(склад2въезд[[#This Row],[RelativePath]])</f>
        <v>1 Ангар Склад 2 въезд\E33149364_6_20251114T130033Z.jpg</v>
      </c>
      <c r="N32" s="8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s="8" t="s">
        <v>89</v>
      </c>
      <c r="E33" s="8" t="s">
        <v>66</v>
      </c>
      <c r="F33" s="8" t="s">
        <v>88</v>
      </c>
      <c r="G33">
        <v>1</v>
      </c>
      <c r="H33" s="8"/>
      <c r="I33" s="8" t="s">
        <v>78</v>
      </c>
      <c r="J33" s="8" t="s">
        <v>2981</v>
      </c>
      <c r="K33" t="s">
        <v>3165</v>
      </c>
      <c r="L33" t="s">
        <v>3166</v>
      </c>
      <c r="M33" s="3" t="str">
        <f>HYPERLINK(склад2въезд[[#This Row],[RelativePath]])</f>
        <v>1 Ангар Склад 2 въезд\E33149364_6_20251114T131318Z.jpg</v>
      </c>
      <c r="N33" s="8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s="8" t="s">
        <v>62</v>
      </c>
      <c r="E34" s="8" t="s">
        <v>66</v>
      </c>
      <c r="F34" s="8" t="s">
        <v>51</v>
      </c>
      <c r="H34" s="8"/>
      <c r="I34" s="8" t="s">
        <v>79</v>
      </c>
      <c r="J34" s="8" t="s">
        <v>2981</v>
      </c>
      <c r="K34" t="s">
        <v>3167</v>
      </c>
      <c r="L34" t="s">
        <v>3168</v>
      </c>
      <c r="M34" s="3" t="str">
        <f>HYPERLINK(склад2въезд[[#This Row],[RelativePath]])</f>
        <v>1 Ангар Склад 2 въезд\E33149364_6_20251114T131619Z.jpg</v>
      </c>
      <c r="N34" s="8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s="8" t="s">
        <v>89</v>
      </c>
      <c r="E35" s="8" t="s">
        <v>66</v>
      </c>
      <c r="F35" s="8" t="s">
        <v>88</v>
      </c>
      <c r="G35">
        <v>1</v>
      </c>
      <c r="H35" s="8"/>
      <c r="I35" s="8" t="s">
        <v>80</v>
      </c>
      <c r="J35" s="8" t="s">
        <v>2981</v>
      </c>
      <c r="K35" t="s">
        <v>3169</v>
      </c>
      <c r="L35" t="s">
        <v>3170</v>
      </c>
      <c r="M35" s="3" t="str">
        <f>HYPERLINK(склад2въезд[[#This Row],[RelativePath]])</f>
        <v>1 Ангар Склад 2 въезд\E33149364_6_20251114T132811Z.jpg</v>
      </c>
      <c r="N35" s="8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s="8" t="s">
        <v>62</v>
      </c>
      <c r="E36" s="8" t="s">
        <v>66</v>
      </c>
      <c r="F36" s="8" t="s">
        <v>51</v>
      </c>
      <c r="H36" s="8"/>
      <c r="I36" s="8" t="s">
        <v>81</v>
      </c>
      <c r="J36" s="8" t="s">
        <v>2981</v>
      </c>
      <c r="K36" t="s">
        <v>3171</v>
      </c>
      <c r="L36" t="s">
        <v>3172</v>
      </c>
      <c r="M36" s="3" t="str">
        <f>HYPERLINK(склад2въезд[[#This Row],[RelativePath]])</f>
        <v>1 Ангар Склад 2 въезд\E33149364_6_20251114T133038Z.jpg</v>
      </c>
      <c r="N36" s="8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s="8" t="s">
        <v>89</v>
      </c>
      <c r="E37" s="8" t="s">
        <v>66</v>
      </c>
      <c r="F37" s="8" t="s">
        <v>88</v>
      </c>
      <c r="G37">
        <v>1</v>
      </c>
      <c r="H37" s="8"/>
      <c r="I37" s="8" t="s">
        <v>82</v>
      </c>
      <c r="J37" s="8" t="s">
        <v>2981</v>
      </c>
      <c r="K37" t="s">
        <v>3173</v>
      </c>
      <c r="L37" t="s">
        <v>3174</v>
      </c>
      <c r="M37" s="3" t="str">
        <f>HYPERLINK(склад2въезд[[#This Row],[RelativePath]])</f>
        <v>1 Ангар Склад 2 въезд\E33149364_6_20251114T134227Z.jpg</v>
      </c>
      <c r="N37" s="8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s="8" t="s">
        <v>62</v>
      </c>
      <c r="E38" s="8" t="s">
        <v>66</v>
      </c>
      <c r="F38" s="8" t="s">
        <v>51</v>
      </c>
      <c r="H38" s="8"/>
      <c r="I38" s="8" t="s">
        <v>83</v>
      </c>
      <c r="J38" s="8" t="s">
        <v>2981</v>
      </c>
      <c r="K38" t="s">
        <v>3175</v>
      </c>
      <c r="L38" t="s">
        <v>3176</v>
      </c>
      <c r="M38" s="3" t="str">
        <f>HYPERLINK(склад2въезд[[#This Row],[RelativePath]])</f>
        <v>1 Ангар Склад 2 въезд\E33149364_6_20251114T134639Z.jpg</v>
      </c>
      <c r="N38" s="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s="8" t="s">
        <v>91</v>
      </c>
      <c r="E39" s="8" t="s">
        <v>55</v>
      </c>
      <c r="F39" s="8" t="s">
        <v>51</v>
      </c>
      <c r="H39" s="8"/>
      <c r="I39" s="8" t="s">
        <v>84</v>
      </c>
      <c r="J39" s="8" t="s">
        <v>2981</v>
      </c>
      <c r="K39" t="s">
        <v>3177</v>
      </c>
      <c r="L39" t="s">
        <v>3178</v>
      </c>
      <c r="M39" s="3" t="str">
        <f>HYPERLINK(склад2въезд[[#This Row],[RelativePath]])</f>
        <v>1 Ангар Склад 2 въезд\E33149364_6_20251114T142453Z.jpg</v>
      </c>
      <c r="N39" s="8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s="8" t="s">
        <v>91</v>
      </c>
      <c r="E40" s="8" t="s">
        <v>56</v>
      </c>
      <c r="F40" s="8" t="s">
        <v>2000</v>
      </c>
      <c r="H40" s="8"/>
      <c r="I40" s="8" t="s">
        <v>1108</v>
      </c>
      <c r="J40" s="8" t="s">
        <v>2981</v>
      </c>
      <c r="K40" t="s">
        <v>3179</v>
      </c>
      <c r="L40" t="s">
        <v>3180</v>
      </c>
      <c r="M40" s="3" t="str">
        <f>HYPERLINK(склад2въезд[[#This Row],[RelativePath]])</f>
        <v>1 Ангар Склад 2 въезд\E33149364_6_20251115T102817Z.jpg</v>
      </c>
      <c r="N40" s="8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s="8" t="s">
        <v>62</v>
      </c>
      <c r="E41" s="8" t="s">
        <v>55</v>
      </c>
      <c r="F41" s="8" t="s">
        <v>2000</v>
      </c>
      <c r="H41" s="8"/>
      <c r="I41" s="8" t="s">
        <v>1109</v>
      </c>
      <c r="J41" s="8" t="s">
        <v>2981</v>
      </c>
      <c r="K41" t="s">
        <v>3181</v>
      </c>
      <c r="L41" t="s">
        <v>3182</v>
      </c>
      <c r="M41" s="3" t="str">
        <f>HYPERLINK(склад2въезд[[#This Row],[RelativePath]])</f>
        <v>1 Ангар Склад 2 въезд\E33149364_6_20251115T103838Z.jpg</v>
      </c>
      <c r="N41" s="8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s="8" t="s">
        <v>91</v>
      </c>
      <c r="E42" s="8" t="s">
        <v>2001</v>
      </c>
      <c r="F42" s="8"/>
      <c r="H42" s="8"/>
      <c r="I42" s="8" t="s">
        <v>1110</v>
      </c>
      <c r="J42" s="8" t="s">
        <v>2981</v>
      </c>
      <c r="K42" t="s">
        <v>3183</v>
      </c>
      <c r="L42" t="s">
        <v>3184</v>
      </c>
      <c r="M42" s="3" t="str">
        <f>HYPERLINK(склад2въезд[[#This Row],[RelativePath]])</f>
        <v>1 Ангар Склад 2 въезд\E33149364_6_20251115T111407Z.jpg</v>
      </c>
      <c r="N42" s="8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s="8" t="s">
        <v>62</v>
      </c>
      <c r="E43" s="8" t="s">
        <v>2001</v>
      </c>
      <c r="F43" s="8"/>
      <c r="H43" s="8"/>
      <c r="I43" s="8" t="s">
        <v>1111</v>
      </c>
      <c r="J43" s="8" t="s">
        <v>2981</v>
      </c>
      <c r="K43" t="s">
        <v>3185</v>
      </c>
      <c r="L43" t="s">
        <v>3186</v>
      </c>
      <c r="M43" s="3" t="str">
        <f>HYPERLINK(склад2въезд[[#This Row],[RelativePath]])</f>
        <v>1 Ангар Склад 2 въезд\E33149364_6_20251115T115633Z.jpg</v>
      </c>
      <c r="N43" s="8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s="8" t="s">
        <v>91</v>
      </c>
      <c r="E44" s="8" t="s">
        <v>2002</v>
      </c>
      <c r="F44" s="8"/>
      <c r="H44" s="8"/>
      <c r="I44" s="8" t="s">
        <v>1112</v>
      </c>
      <c r="J44" s="8" t="s">
        <v>2981</v>
      </c>
      <c r="K44" t="s">
        <v>3187</v>
      </c>
      <c r="L44" t="s">
        <v>3188</v>
      </c>
      <c r="M44" s="3" t="str">
        <f>HYPERLINK(склад2въезд[[#This Row],[RelativePath]])</f>
        <v>1 Ангар Склад 2 въезд\E33149364_6_20251115T145651Z.jpg</v>
      </c>
      <c r="N44" s="8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s="8" t="s">
        <v>91</v>
      </c>
      <c r="E45" s="8" t="s">
        <v>55</v>
      </c>
      <c r="F45" s="8" t="s">
        <v>2000</v>
      </c>
      <c r="H45" s="8"/>
      <c r="I45" s="8" t="s">
        <v>1113</v>
      </c>
      <c r="J45" s="8" t="s">
        <v>2981</v>
      </c>
      <c r="K45" t="s">
        <v>3189</v>
      </c>
      <c r="L45" t="s">
        <v>3190</v>
      </c>
      <c r="M45" s="3" t="str">
        <f>HYPERLINK(склад2въезд[[#This Row],[RelativePath]])</f>
        <v>1 Ангар Склад 2 въезд\E33149364_6_20251115T150734Z.jpg</v>
      </c>
      <c r="N45" s="8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s="8" t="s">
        <v>62</v>
      </c>
      <c r="E46" s="8" t="s">
        <v>2002</v>
      </c>
      <c r="F46" s="8"/>
      <c r="H46" s="8"/>
      <c r="I46" s="8" t="s">
        <v>1114</v>
      </c>
      <c r="J46" s="8" t="s">
        <v>2981</v>
      </c>
      <c r="K46" t="s">
        <v>3191</v>
      </c>
      <c r="L46" t="s">
        <v>3192</v>
      </c>
      <c r="M46" s="3" t="str">
        <f>HYPERLINK(склад2въезд[[#This Row],[RelativePath]])</f>
        <v>1 Ангар Склад 2 въезд\E33149364_6_20251115T152654Z.jpg</v>
      </c>
      <c r="N46" s="8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s="8" t="s">
        <v>62</v>
      </c>
      <c r="E47" s="8" t="s">
        <v>56</v>
      </c>
      <c r="F47" s="8" t="s">
        <v>200</v>
      </c>
      <c r="H47" s="8"/>
      <c r="I47" s="8" t="s">
        <v>2003</v>
      </c>
      <c r="J47" s="8" t="s">
        <v>2981</v>
      </c>
      <c r="K47" t="s">
        <v>3193</v>
      </c>
      <c r="L47" t="s">
        <v>3194</v>
      </c>
      <c r="M47" s="3" t="str">
        <f>HYPERLINK(склад2въезд[[#This Row],[RelativePath]])</f>
        <v>1 Ангар Склад 2 въезд\E33149364_6_20251115T151813Z.jpg</v>
      </c>
      <c r="N47" s="8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s="8" t="s">
        <v>2004</v>
      </c>
      <c r="E48" s="8"/>
      <c r="F48" s="8"/>
      <c r="H48" s="8"/>
      <c r="I48" s="8" t="s">
        <v>2049</v>
      </c>
      <c r="J48" s="8" t="s">
        <v>2981</v>
      </c>
      <c r="K48" t="s">
        <v>3195</v>
      </c>
      <c r="L48" t="s">
        <v>3196</v>
      </c>
      <c r="M48" s="3" t="str">
        <f>HYPERLINK(склад2въезд[[#This Row],[RelativePath]])</f>
        <v>1 Ангар Склад 2 въезд\E33149364_6_20251117T173330Z.jpg</v>
      </c>
      <c r="N48" s="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s="8" t="s">
        <v>64</v>
      </c>
      <c r="E49" s="8" t="s">
        <v>70</v>
      </c>
      <c r="F49" s="8" t="s">
        <v>51</v>
      </c>
      <c r="H49" s="8"/>
      <c r="I49" s="8" t="s">
        <v>2050</v>
      </c>
      <c r="J49" s="8" t="s">
        <v>2981</v>
      </c>
      <c r="K49" t="s">
        <v>3197</v>
      </c>
      <c r="L49" t="s">
        <v>3198</v>
      </c>
      <c r="M49" s="3" t="str">
        <f>HYPERLINK(склад2въезд[[#This Row],[RelativePath]])</f>
        <v>1 Ангар Склад 2 въезд\E33149364_6_20251118T090558Z.jpg</v>
      </c>
      <c r="N49" s="8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s="8" t="s">
        <v>62</v>
      </c>
      <c r="E50" s="8" t="s">
        <v>70</v>
      </c>
      <c r="F50" s="8" t="s">
        <v>58</v>
      </c>
      <c r="H50" s="8"/>
      <c r="I50" s="8" t="s">
        <v>2051</v>
      </c>
      <c r="J50" s="8" t="s">
        <v>2981</v>
      </c>
      <c r="K50" t="s">
        <v>3199</v>
      </c>
      <c r="L50" t="s">
        <v>3200</v>
      </c>
      <c r="M50" s="3" t="str">
        <f>HYPERLINK(склад2въезд[[#This Row],[RelativePath]])</f>
        <v>1 Ангар Склад 2 въезд\E33149364_6_20251118T094148Z.jpg</v>
      </c>
      <c r="N50" s="8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s="8" t="s">
        <v>64</v>
      </c>
      <c r="E51" s="8" t="s">
        <v>2920</v>
      </c>
      <c r="F51" s="8" t="s">
        <v>2921</v>
      </c>
      <c r="H51" s="8"/>
      <c r="I51" s="8" t="s">
        <v>2052</v>
      </c>
      <c r="J51" s="8" t="s">
        <v>2981</v>
      </c>
      <c r="K51" t="s">
        <v>3201</v>
      </c>
      <c r="L51" t="s">
        <v>3202</v>
      </c>
      <c r="M51" s="3" t="str">
        <f>HYPERLINK(склад2въезд[[#This Row],[RelativePath]])</f>
        <v>1 Ангар Склад 2 въезд\E33149364_6_20251118T102134Z.jpg</v>
      </c>
      <c r="N51" s="8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s="8" t="s">
        <v>62</v>
      </c>
      <c r="E52" s="8" t="s">
        <v>2920</v>
      </c>
      <c r="F52" s="8" t="s">
        <v>2922</v>
      </c>
      <c r="H52" s="8"/>
      <c r="I52" s="8" t="s">
        <v>2053</v>
      </c>
      <c r="J52" s="8" t="s">
        <v>2981</v>
      </c>
      <c r="K52" t="s">
        <v>3203</v>
      </c>
      <c r="L52" t="s">
        <v>3204</v>
      </c>
      <c r="M52" s="3" t="str">
        <f>HYPERLINK(склад2въезд[[#This Row],[RelativePath]])</f>
        <v>1 Ангар Склад 2 въезд\E33149364_6_20251118T102612Z.jpg</v>
      </c>
      <c r="N52" s="8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s="8" t="s">
        <v>62</v>
      </c>
      <c r="E53" s="8" t="s">
        <v>2923</v>
      </c>
      <c r="F53" s="8" t="s">
        <v>58</v>
      </c>
      <c r="H53" s="8"/>
      <c r="I53" s="8" t="s">
        <v>2054</v>
      </c>
      <c r="J53" s="8" t="s">
        <v>2981</v>
      </c>
      <c r="K53" t="s">
        <v>3205</v>
      </c>
      <c r="L53" t="s">
        <v>3206</v>
      </c>
      <c r="M53" s="3" t="str">
        <f>HYPERLINK(склад2въезд[[#This Row],[RelativePath]])</f>
        <v>1 Ангар Склад 2 въезд\E33149364_6_20251118T143628Z.jpg</v>
      </c>
      <c r="N53" s="8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s="8" t="s">
        <v>64</v>
      </c>
      <c r="E54" s="8" t="s">
        <v>70</v>
      </c>
      <c r="F54" s="8" t="s">
        <v>51</v>
      </c>
      <c r="H54" s="8"/>
      <c r="I54" s="8" t="s">
        <v>2055</v>
      </c>
      <c r="J54" s="8" t="s">
        <v>2981</v>
      </c>
      <c r="K54" t="s">
        <v>3207</v>
      </c>
      <c r="L54" t="s">
        <v>3208</v>
      </c>
      <c r="M54" s="3" t="str">
        <f>HYPERLINK(склад2въезд[[#This Row],[RelativePath]])</f>
        <v>1 Ангар Склад 2 въезд\E33149364_6_20251119T105917Z.jpg</v>
      </c>
      <c r="N54" s="8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s="8" t="s">
        <v>62</v>
      </c>
      <c r="E55" s="8" t="s">
        <v>70</v>
      </c>
      <c r="F55" s="8" t="s">
        <v>58</v>
      </c>
      <c r="H55" s="8"/>
      <c r="I55" s="8" t="s">
        <v>2056</v>
      </c>
      <c r="J55" s="8" t="s">
        <v>2981</v>
      </c>
      <c r="K55" t="s">
        <v>3209</v>
      </c>
      <c r="L55" t="s">
        <v>3210</v>
      </c>
      <c r="M55" s="3" t="str">
        <f>HYPERLINK(склад2въезд[[#This Row],[RelativePath]])</f>
        <v>1 Ангар Склад 2 въезд\E33149364_6_20251119T113819Z.jpg</v>
      </c>
      <c r="N55" s="8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s="8" t="s">
        <v>91</v>
      </c>
      <c r="E56" s="8" t="s">
        <v>2002</v>
      </c>
      <c r="F56" s="8"/>
      <c r="H56" s="8"/>
      <c r="I56" s="8" t="s">
        <v>2057</v>
      </c>
      <c r="J56" s="8" t="s">
        <v>2981</v>
      </c>
      <c r="K56" t="s">
        <v>3211</v>
      </c>
      <c r="L56" t="s">
        <v>3212</v>
      </c>
      <c r="M56" s="3" t="str">
        <f>HYPERLINK(склад2въезд[[#This Row],[RelativePath]])</f>
        <v>1 Ангар Склад 2 въезд\E33149364_6_20251119T114703Z.jpg</v>
      </c>
      <c r="N56" s="8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s="8" t="s">
        <v>62</v>
      </c>
      <c r="E57" s="8" t="s">
        <v>2002</v>
      </c>
      <c r="F57" s="8"/>
      <c r="H57" s="8"/>
      <c r="I57" s="8" t="s">
        <v>2058</v>
      </c>
      <c r="J57" s="8" t="s">
        <v>2981</v>
      </c>
      <c r="K57" t="s">
        <v>3213</v>
      </c>
      <c r="L57" t="s">
        <v>3214</v>
      </c>
      <c r="M57" s="3" t="str">
        <f>HYPERLINK(склад2въезд[[#This Row],[RelativePath]])</f>
        <v>1 Ангар Склад 2 въезд\E33149364_6_20251119T115240Z.jpg</v>
      </c>
      <c r="N57" s="8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s="8" t="s">
        <v>2004</v>
      </c>
      <c r="E58" s="8"/>
      <c r="F58" s="8"/>
      <c r="H58" s="8"/>
      <c r="I58" s="8" t="s">
        <v>2059</v>
      </c>
      <c r="J58" s="8" t="s">
        <v>2981</v>
      </c>
      <c r="K58" t="s">
        <v>3215</v>
      </c>
      <c r="L58" t="s">
        <v>3216</v>
      </c>
      <c r="M58" s="3" t="str">
        <f>HYPERLINK(склад2въезд[[#This Row],[RelativePath]])</f>
        <v>1 Ангар Склад 2 въезд\E33149364_6_20251120T164933Z.jpg</v>
      </c>
      <c r="N58" s="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s="8" t="s">
        <v>91</v>
      </c>
      <c r="E59" s="8" t="s">
        <v>70</v>
      </c>
      <c r="F59" s="8"/>
      <c r="H59" s="8"/>
      <c r="I59" s="8" t="s">
        <v>2060</v>
      </c>
      <c r="J59" s="8" t="s">
        <v>2981</v>
      </c>
      <c r="K59" t="s">
        <v>3217</v>
      </c>
      <c r="L59" t="s">
        <v>3218</v>
      </c>
      <c r="M59" s="3" t="str">
        <f>HYPERLINK(склад2въезд[[#This Row],[RelativePath]])</f>
        <v>1 Ангар Склад 2 въезд\E33149364_6_20251121T105828Z.jpg</v>
      </c>
      <c r="N59" s="8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s="8" t="s">
        <v>62</v>
      </c>
      <c r="E60" s="8" t="s">
        <v>70</v>
      </c>
      <c r="F60" s="8"/>
      <c r="H60" s="8" t="s">
        <v>2924</v>
      </c>
      <c r="I60" s="8" t="s">
        <v>2061</v>
      </c>
      <c r="J60" s="8" t="s">
        <v>2981</v>
      </c>
      <c r="K60" t="s">
        <v>3219</v>
      </c>
      <c r="L60" t="s">
        <v>3220</v>
      </c>
      <c r="M60" s="3" t="str">
        <f>HYPERLINK(склад2въезд[[#This Row],[RelativePath]])</f>
        <v>1 Ангар Склад 2 въезд\E33149364_6_20251121T110048Z.jpg</v>
      </c>
      <c r="N60" s="8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s="8" t="s">
        <v>2004</v>
      </c>
      <c r="E61" s="8"/>
      <c r="F61" s="8"/>
      <c r="H61" s="8"/>
      <c r="I61" s="8" t="s">
        <v>2062</v>
      </c>
      <c r="J61" s="8" t="s">
        <v>2981</v>
      </c>
      <c r="K61" t="s">
        <v>3221</v>
      </c>
      <c r="L61" t="s">
        <v>3222</v>
      </c>
      <c r="M61" s="3" t="str">
        <f>HYPERLINK(склад2въезд[[#This Row],[RelativePath]])</f>
        <v>1 Ангар Склад 2 въезд\E33149364_6_20251122T135731Z.jpg</v>
      </c>
      <c r="N61" s="8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s="8" t="s">
        <v>2004</v>
      </c>
      <c r="E62" s="8"/>
      <c r="F62" s="8"/>
      <c r="H62" s="8"/>
      <c r="I62" s="8" t="s">
        <v>2063</v>
      </c>
      <c r="J62" s="8" t="s">
        <v>2981</v>
      </c>
      <c r="K62" t="s">
        <v>3223</v>
      </c>
      <c r="L62" t="s">
        <v>3224</v>
      </c>
      <c r="M62" s="3" t="str">
        <f>HYPERLINK(склад2въезд[[#This Row],[RelativePath]])</f>
        <v>1 Ангар Склад 2 въезд\E33149364_6_20251123T154552Z.jpg</v>
      </c>
      <c r="N62" s="8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s="8" t="s">
        <v>91</v>
      </c>
      <c r="E63" s="8" t="s">
        <v>70</v>
      </c>
      <c r="F63" s="8"/>
      <c r="H63" s="8"/>
      <c r="I63" s="8" t="s">
        <v>2994</v>
      </c>
      <c r="J63" s="8" t="s">
        <v>2981</v>
      </c>
      <c r="K63" t="s">
        <v>2995</v>
      </c>
      <c r="L63" t="s">
        <v>2996</v>
      </c>
      <c r="M63" s="3" t="str">
        <f>HYPERLINK(склад2въезд[[#This Row],[RelativePath]])</f>
        <v>1 Ангар Склад 2 въезд\E33149364_6_20251124T133115Z.jpg</v>
      </c>
      <c r="N63" s="8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s="8" t="s">
        <v>62</v>
      </c>
      <c r="E64" s="8" t="s">
        <v>70</v>
      </c>
      <c r="F64" s="8"/>
      <c r="H64" s="8"/>
      <c r="I64" s="8" t="s">
        <v>2997</v>
      </c>
      <c r="J64" s="8" t="s">
        <v>2981</v>
      </c>
      <c r="K64" t="s">
        <v>2998</v>
      </c>
      <c r="L64" t="s">
        <v>2999</v>
      </c>
      <c r="M64" s="3" t="str">
        <f>HYPERLINK(склад2въезд[[#This Row],[RelativePath]])</f>
        <v>1 Ангар Склад 2 въезд\E33149364_6_20251124T134043Z.jpg</v>
      </c>
      <c r="N64" s="8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s="8" t="s">
        <v>3018</v>
      </c>
      <c r="E65" s="8" t="s">
        <v>1607</v>
      </c>
      <c r="F65" s="8" t="s">
        <v>2929</v>
      </c>
      <c r="H65" s="8"/>
      <c r="I65" s="8" t="s">
        <v>3000</v>
      </c>
      <c r="J65" s="8" t="s">
        <v>2981</v>
      </c>
      <c r="K65" t="s">
        <v>3001</v>
      </c>
      <c r="L65" t="s">
        <v>3002</v>
      </c>
      <c r="M65" s="3" t="str">
        <f>HYPERLINK(склад2въезд[[#This Row],[RelativePath]])</f>
        <v>1 Ангар Склад 2 въезд\E33149364_6_20251124T165934Z.jpg</v>
      </c>
      <c r="N65" s="8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s="8" t="s">
        <v>91</v>
      </c>
      <c r="E66" s="8" t="s">
        <v>70</v>
      </c>
      <c r="F66" s="8" t="s">
        <v>58</v>
      </c>
      <c r="H66" s="8"/>
      <c r="I66" s="8" t="s">
        <v>3003</v>
      </c>
      <c r="J66" s="8" t="s">
        <v>2981</v>
      </c>
      <c r="K66" t="s">
        <v>3004</v>
      </c>
      <c r="L66" t="s">
        <v>3005</v>
      </c>
      <c r="M66" s="3" t="str">
        <f>HYPERLINK(склад2въезд[[#This Row],[RelativePath]])</f>
        <v>1 Ангар Склад 2 въезд\E33149364_6_20251124T173635Z.jpg</v>
      </c>
      <c r="N66" s="8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s="8" t="s">
        <v>62</v>
      </c>
      <c r="E67" s="8" t="s">
        <v>70</v>
      </c>
      <c r="F67" s="8" t="s">
        <v>51</v>
      </c>
      <c r="H67" s="8"/>
      <c r="I67" s="8" t="s">
        <v>3006</v>
      </c>
      <c r="J67" s="8" t="s">
        <v>2981</v>
      </c>
      <c r="K67" t="s">
        <v>3007</v>
      </c>
      <c r="L67" t="s">
        <v>3008</v>
      </c>
      <c r="M67" s="3" t="str">
        <f>HYPERLINK(склад2въезд[[#This Row],[RelativePath]])</f>
        <v>1 Ангар Склад 2 въезд\E33149364_6_20251124T181141Z.jpg</v>
      </c>
      <c r="N67" s="8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s="8" t="s">
        <v>91</v>
      </c>
      <c r="E68" s="8" t="s">
        <v>70</v>
      </c>
      <c r="F68" s="8" t="s">
        <v>58</v>
      </c>
      <c r="H68" s="8"/>
      <c r="I68" s="8" t="s">
        <v>3009</v>
      </c>
      <c r="J68" s="8" t="s">
        <v>2981</v>
      </c>
      <c r="K68" t="s">
        <v>3010</v>
      </c>
      <c r="L68" t="s">
        <v>3011</v>
      </c>
      <c r="M68" s="3" t="str">
        <f>HYPERLINK(склад2въезд[[#This Row],[RelativePath]])</f>
        <v>1 Ангар Склад 2 въезд\E33149364_6_20251125T152935Z.jpg</v>
      </c>
      <c r="N68" s="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s="8" t="s">
        <v>3019</v>
      </c>
      <c r="E69" s="8" t="s">
        <v>70</v>
      </c>
      <c r="F69" s="8" t="s">
        <v>58</v>
      </c>
      <c r="H69" s="8"/>
      <c r="I69" s="8" t="s">
        <v>3012</v>
      </c>
      <c r="J69" s="8" t="s">
        <v>2981</v>
      </c>
      <c r="K69" t="s">
        <v>3013</v>
      </c>
      <c r="L69" t="s">
        <v>3014</v>
      </c>
      <c r="M69" s="3" t="str">
        <f>HYPERLINK(склад2въезд[[#This Row],[RelativePath]])</f>
        <v>1 Ангар Склад 2 въезд\E33149364_6_20251125T153508Z.jpg</v>
      </c>
      <c r="N69" s="8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s="8" t="s">
        <v>3019</v>
      </c>
      <c r="E70" s="8" t="s">
        <v>70</v>
      </c>
      <c r="F70" s="8" t="s">
        <v>58</v>
      </c>
      <c r="H70" s="8" t="s">
        <v>2936</v>
      </c>
      <c r="I70" s="8" t="s">
        <v>3015</v>
      </c>
      <c r="J70" s="8" t="s">
        <v>2981</v>
      </c>
      <c r="K70" t="s">
        <v>3016</v>
      </c>
      <c r="L70" t="s">
        <v>3017</v>
      </c>
      <c r="M70" s="3" t="str">
        <f>HYPERLINK(склад2въезд[[#This Row],[RelativePath]])</f>
        <v>1 Ангар Склад 2 въезд\E33149364_6_20251125T153528Z.jpg</v>
      </c>
      <c r="N70" s="8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s="8" t="s">
        <v>4190</v>
      </c>
      <c r="E71" s="8" t="s">
        <v>4192</v>
      </c>
      <c r="F71" s="8" t="s">
        <v>51</v>
      </c>
      <c r="H71" s="8"/>
      <c r="I71" s="8" t="s">
        <v>3225</v>
      </c>
      <c r="J71" s="8" t="s">
        <v>2981</v>
      </c>
      <c r="K71" t="s">
        <v>3226</v>
      </c>
      <c r="L71" t="s">
        <v>3227</v>
      </c>
      <c r="M71" s="3" t="str">
        <f>HYPERLINK(склад2въезд[[#This Row],[RelativePath]])</f>
        <v>1 Ангар Склад 2 въезд\E33149364_6_20251126T102402Z.jpg</v>
      </c>
      <c r="N71" s="8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s="8" t="s">
        <v>85</v>
      </c>
      <c r="E72" s="8" t="s">
        <v>4192</v>
      </c>
      <c r="F72" s="8" t="s">
        <v>58</v>
      </c>
      <c r="H72" s="8"/>
      <c r="I72" s="8" t="s">
        <v>3228</v>
      </c>
      <c r="J72" s="8" t="s">
        <v>2981</v>
      </c>
      <c r="K72" t="s">
        <v>3229</v>
      </c>
      <c r="L72" t="s">
        <v>3230</v>
      </c>
      <c r="M72" s="3" t="str">
        <f>HYPERLINK(склад2въезд[[#This Row],[RelativePath]])</f>
        <v>1 Ангар Склад 2 въезд\E33149364_6_20251126T105128Z.jpg</v>
      </c>
      <c r="N72" s="8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s="8" t="s">
        <v>91</v>
      </c>
      <c r="E73" s="8" t="s">
        <v>4192</v>
      </c>
      <c r="F73" s="8" t="s">
        <v>58</v>
      </c>
      <c r="H73" s="8"/>
      <c r="I73" s="8" t="s">
        <v>3231</v>
      </c>
      <c r="J73" s="8" t="s">
        <v>2981</v>
      </c>
      <c r="K73" t="s">
        <v>3232</v>
      </c>
      <c r="L73" t="s">
        <v>3233</v>
      </c>
      <c r="M73" s="3" t="str">
        <f>HYPERLINK(склад2въезд[[#This Row],[RelativePath]])</f>
        <v>1 Ангар Склад 2 въезд\E33149364_6_20251126T105132Z.jpg</v>
      </c>
      <c r="N73" s="8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s="8" t="s">
        <v>62</v>
      </c>
      <c r="E74" s="8" t="s">
        <v>4192</v>
      </c>
      <c r="F74" s="8" t="s">
        <v>58</v>
      </c>
      <c r="H74" s="8"/>
      <c r="I74" s="8" t="s">
        <v>3234</v>
      </c>
      <c r="J74" s="8" t="s">
        <v>2981</v>
      </c>
      <c r="K74" t="s">
        <v>3235</v>
      </c>
      <c r="L74" t="s">
        <v>3236</v>
      </c>
      <c r="M74" s="3" t="str">
        <f>HYPERLINK(склад2въезд[[#This Row],[RelativePath]])</f>
        <v>1 Ангар Склад 2 въезд\E33149364_6_20251126T105446Z.jpg</v>
      </c>
      <c r="N74" s="8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s="8" t="s">
        <v>4190</v>
      </c>
      <c r="E75" s="8" t="s">
        <v>4191</v>
      </c>
      <c r="F75" s="8"/>
      <c r="H75" s="8"/>
      <c r="I75" s="8" t="s">
        <v>3237</v>
      </c>
      <c r="J75" s="8" t="s">
        <v>2981</v>
      </c>
      <c r="K75" t="s">
        <v>3238</v>
      </c>
      <c r="L75" t="s">
        <v>3239</v>
      </c>
      <c r="M75" s="3" t="str">
        <f>HYPERLINK(склад2въезд[[#This Row],[RelativePath]])</f>
        <v>1 Ангар Склад 2 въезд\E33149364_6_20251127T120210Z.jpg</v>
      </c>
      <c r="N75" s="8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s="8" t="s">
        <v>85</v>
      </c>
      <c r="E76" s="8" t="s">
        <v>4191</v>
      </c>
      <c r="F76" s="8"/>
      <c r="H76" s="8"/>
      <c r="I76" s="8" t="s">
        <v>3240</v>
      </c>
      <c r="J76" s="8" t="s">
        <v>2981</v>
      </c>
      <c r="K76" t="s">
        <v>3241</v>
      </c>
      <c r="L76" t="s">
        <v>3242</v>
      </c>
      <c r="M76" s="3" t="str">
        <f>HYPERLINK(склад2въезд[[#This Row],[RelativePath]])</f>
        <v>1 Ангар Склад 2 въезд\E33149364_6_20251127T130109Z.jpg</v>
      </c>
      <c r="N76" s="8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s="8" t="s">
        <v>64</v>
      </c>
      <c r="E77" s="8" t="s">
        <v>4193</v>
      </c>
      <c r="F77" s="8"/>
      <c r="H77" s="8"/>
      <c r="I77" s="8" t="s">
        <v>3243</v>
      </c>
      <c r="J77" s="8" t="s">
        <v>2981</v>
      </c>
      <c r="K77" t="s">
        <v>3244</v>
      </c>
      <c r="L77" t="s">
        <v>3245</v>
      </c>
      <c r="M77" s="3" t="str">
        <f>HYPERLINK(склад2въезд[[#This Row],[RelativePath]])</f>
        <v>1 Ангар Склад 2 въезд\E33149364_6_20251128T105521Z.jpg</v>
      </c>
      <c r="N77" s="8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s="8" t="s">
        <v>85</v>
      </c>
      <c r="E78" s="8" t="s">
        <v>4193</v>
      </c>
      <c r="F78" s="8"/>
      <c r="H78" s="8"/>
      <c r="I78" s="8" t="s">
        <v>3246</v>
      </c>
      <c r="J78" s="8" t="s">
        <v>2981</v>
      </c>
      <c r="K78" t="s">
        <v>3247</v>
      </c>
      <c r="L78" t="s">
        <v>3248</v>
      </c>
      <c r="M78" s="3" t="str">
        <f>HYPERLINK(склад2въезд[[#This Row],[RelativePath]])</f>
        <v>1 Ангар Склад 2 въезд\E33149364_6_20251128T121005Z.jpg</v>
      </c>
      <c r="N78" s="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s="8" t="s">
        <v>91</v>
      </c>
      <c r="E79" s="8" t="s">
        <v>4194</v>
      </c>
      <c r="F79" s="8" t="s">
        <v>51</v>
      </c>
      <c r="H79" s="8"/>
      <c r="I79" s="8" t="s">
        <v>3249</v>
      </c>
      <c r="J79" s="8" t="s">
        <v>2981</v>
      </c>
      <c r="K79" t="s">
        <v>3250</v>
      </c>
      <c r="L79" t="s">
        <v>3251</v>
      </c>
      <c r="M79" s="3" t="str">
        <f>HYPERLINK(склад2въезд[[#This Row],[RelativePath]])</f>
        <v>1 Ангар Склад 2 въезд\E33149364_6_20251129T125411Z.jpg</v>
      </c>
      <c r="N79" s="8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s="8" t="s">
        <v>91</v>
      </c>
      <c r="E80" s="8" t="s">
        <v>4195</v>
      </c>
      <c r="F80" s="8" t="s">
        <v>51</v>
      </c>
      <c r="H80" s="8"/>
      <c r="I80" s="8" t="s">
        <v>3252</v>
      </c>
      <c r="J80" s="8" t="s">
        <v>2981</v>
      </c>
      <c r="K80" t="s">
        <v>3253</v>
      </c>
      <c r="L80" t="s">
        <v>3254</v>
      </c>
      <c r="M80" s="3" t="str">
        <f>HYPERLINK(склад2въезд[[#This Row],[RelativePath]])</f>
        <v>1 Ангар Склад 2 въезд\E33149364_6_20251129T153400Z.jpg</v>
      </c>
      <c r="N80" s="8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s="8" t="s">
        <v>91</v>
      </c>
      <c r="E81" s="8" t="s">
        <v>4194</v>
      </c>
      <c r="F81" s="8" t="s">
        <v>4196</v>
      </c>
      <c r="H81" s="8" t="s">
        <v>4197</v>
      </c>
      <c r="I81" s="8" t="s">
        <v>3255</v>
      </c>
      <c r="J81" s="8" t="s">
        <v>2981</v>
      </c>
      <c r="K81" t="s">
        <v>3256</v>
      </c>
      <c r="L81" t="s">
        <v>3257</v>
      </c>
      <c r="M81" s="3" t="str">
        <f>HYPERLINK(склад2въезд[[#This Row],[RelativePath]])</f>
        <v>1 Ангар Склад 2 въезд\E33149364_6_20251129T165257Z.jpg</v>
      </c>
      <c r="N81" s="8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s="8" t="s">
        <v>62</v>
      </c>
      <c r="E82" s="8" t="s">
        <v>4194</v>
      </c>
      <c r="F82" s="8" t="s">
        <v>4196</v>
      </c>
      <c r="H82" s="8"/>
      <c r="I82" s="8" t="s">
        <v>3258</v>
      </c>
      <c r="J82" s="8" t="s">
        <v>2981</v>
      </c>
      <c r="K82" t="s">
        <v>3259</v>
      </c>
      <c r="L82" t="s">
        <v>3260</v>
      </c>
      <c r="M82" s="3" t="str">
        <f>HYPERLINK(склад2въезд[[#This Row],[RelativePath]])</f>
        <v>1 Ангар Склад 2 въезд\E33149364_6_20251129T173803Z.jpg</v>
      </c>
      <c r="N82" s="8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s="8" t="s">
        <v>62</v>
      </c>
      <c r="E83" s="8" t="s">
        <v>55</v>
      </c>
      <c r="F83" s="8" t="s">
        <v>51</v>
      </c>
      <c r="H83" s="8"/>
      <c r="I83" s="8" t="s">
        <v>4252</v>
      </c>
      <c r="J83" s="8" t="s">
        <v>2981</v>
      </c>
      <c r="K83" t="s">
        <v>4253</v>
      </c>
      <c r="L83" t="s">
        <v>4254</v>
      </c>
      <c r="M83" s="3" t="str">
        <f>HYPERLINK(склад2въезд[[#This Row],[RelativePath]])</f>
        <v>1 Ангар Склад 2 въезд\E33149364_6_20251130T170331Z.jpg</v>
      </c>
      <c r="N83" s="8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s="8" t="s">
        <v>91</v>
      </c>
      <c r="E84" s="8" t="s">
        <v>55</v>
      </c>
      <c r="F84" s="8" t="s">
        <v>51</v>
      </c>
      <c r="H84" s="8"/>
      <c r="I84" s="8" t="s">
        <v>4255</v>
      </c>
      <c r="J84" s="8" t="s">
        <v>2981</v>
      </c>
      <c r="K84" t="s">
        <v>4256</v>
      </c>
      <c r="L84" t="s">
        <v>4257</v>
      </c>
      <c r="M84" s="3" t="str">
        <f>HYPERLINK(склад2въезд[[#This Row],[RelativePath]])</f>
        <v>1 Ангар Склад 2 въезд\E33149364_6_20251130T180906Z.jpg</v>
      </c>
      <c r="N84" s="8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s="8" t="s">
        <v>91</v>
      </c>
      <c r="E85" s="8" t="s">
        <v>4194</v>
      </c>
      <c r="F85" s="8" t="s">
        <v>1609</v>
      </c>
      <c r="H85" s="8" t="s">
        <v>5074</v>
      </c>
      <c r="I85" s="8" t="s">
        <v>4402</v>
      </c>
      <c r="J85" s="8" t="s">
        <v>2981</v>
      </c>
      <c r="K85" t="s">
        <v>4403</v>
      </c>
      <c r="L85" t="s">
        <v>4404</v>
      </c>
      <c r="M85" s="3" t="str">
        <f>HYPERLINK(склад2въезд[[#This Row],[RelativePath]])</f>
        <v>1 Ангар Склад 2 въезд\E33149364_6_20251201T204942Z.jpg</v>
      </c>
      <c r="N85" s="8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s="8" t="s">
        <v>62</v>
      </c>
      <c r="E86" s="8" t="s">
        <v>4194</v>
      </c>
      <c r="F86" s="8" t="s">
        <v>51</v>
      </c>
      <c r="H86" s="8" t="s">
        <v>5075</v>
      </c>
      <c r="I86" s="8" t="s">
        <v>4405</v>
      </c>
      <c r="J86" s="8" t="s">
        <v>2981</v>
      </c>
      <c r="K86" t="s">
        <v>4406</v>
      </c>
      <c r="L86" t="s">
        <v>4407</v>
      </c>
      <c r="M86" s="3" t="str">
        <f>HYPERLINK(склад2въезд[[#This Row],[RelativePath]])</f>
        <v>1 Ангар Склад 2 въезд\E33149364_6_20251201T205709Z.jpg</v>
      </c>
      <c r="N86" s="8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s="8" t="s">
        <v>91</v>
      </c>
      <c r="E87" s="8" t="s">
        <v>70</v>
      </c>
      <c r="F87" s="8" t="s">
        <v>5076</v>
      </c>
      <c r="H87" s="8"/>
      <c r="I87" s="8" t="s">
        <v>4408</v>
      </c>
      <c r="J87" s="8" t="s">
        <v>2981</v>
      </c>
      <c r="K87" t="s">
        <v>4409</v>
      </c>
      <c r="L87" t="s">
        <v>4410</v>
      </c>
      <c r="M87" s="3" t="str">
        <f>HYPERLINK(склад2въезд[[#This Row],[RelativePath]])</f>
        <v>1 Ангар Склад 2 въезд\E33149364_6_20251202T083231Z.jpg</v>
      </c>
      <c r="N87" s="8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s="8" t="s">
        <v>62</v>
      </c>
      <c r="E88" s="8" t="s">
        <v>70</v>
      </c>
      <c r="F88" s="8" t="s">
        <v>5076</v>
      </c>
      <c r="H88" s="8"/>
      <c r="I88" s="8" t="s">
        <v>4411</v>
      </c>
      <c r="J88" s="8" t="s">
        <v>2981</v>
      </c>
      <c r="K88" t="s">
        <v>4412</v>
      </c>
      <c r="L88" t="s">
        <v>4413</v>
      </c>
      <c r="M88" s="3" t="str">
        <f>HYPERLINK(склад2въезд[[#This Row],[RelativePath]])</f>
        <v>1 Ангар Склад 2 въезд\E33149364_6_20251202T083819Z.jpg</v>
      </c>
      <c r="N88" s="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s="8" t="s">
        <v>91</v>
      </c>
      <c r="E89" s="8" t="s">
        <v>70</v>
      </c>
      <c r="F89" s="8" t="s">
        <v>5076</v>
      </c>
      <c r="H89" s="8"/>
      <c r="I89" s="8" t="s">
        <v>4414</v>
      </c>
      <c r="J89" s="8" t="s">
        <v>2981</v>
      </c>
      <c r="K89" t="s">
        <v>4415</v>
      </c>
      <c r="L89" t="s">
        <v>4416</v>
      </c>
      <c r="M89" s="3" t="str">
        <f>HYPERLINK(склад2въезд[[#This Row],[RelativePath]])</f>
        <v>1 Ангар Склад 2 въезд\E33149364_6_20251202T091243Z.jpg</v>
      </c>
      <c r="N89" s="8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s="8" t="s">
        <v>62</v>
      </c>
      <c r="E90" s="8" t="s">
        <v>70</v>
      </c>
      <c r="F90" s="8" t="s">
        <v>5076</v>
      </c>
      <c r="H90" s="8"/>
      <c r="I90" s="8" t="s">
        <v>4417</v>
      </c>
      <c r="J90" s="8" t="s">
        <v>2981</v>
      </c>
      <c r="K90" t="s">
        <v>4418</v>
      </c>
      <c r="L90" t="s">
        <v>4419</v>
      </c>
      <c r="M90" s="3" t="str">
        <f>HYPERLINK(склад2въезд[[#This Row],[RelativePath]])</f>
        <v>1 Ангар Склад 2 въезд\E33149364_6_20251202T094908Z.jpg</v>
      </c>
      <c r="N90" s="8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s="8" t="s">
        <v>2004</v>
      </c>
      <c r="E91" s="8"/>
      <c r="F91" s="8"/>
      <c r="H91" s="8"/>
      <c r="I91" s="8" t="s">
        <v>4420</v>
      </c>
      <c r="J91" s="8" t="s">
        <v>2981</v>
      </c>
      <c r="K91" t="s">
        <v>4421</v>
      </c>
      <c r="L91" t="s">
        <v>4422</v>
      </c>
      <c r="M91" s="3" t="str">
        <f>HYPERLINK(склад2въезд[[#This Row],[RelativePath]])</f>
        <v>1 Ангар Склад 2 въезд\E33149364_6_20251203T162423Z.jpg</v>
      </c>
      <c r="N91" s="8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s="8" t="s">
        <v>91</v>
      </c>
      <c r="E92" s="8" t="s">
        <v>70</v>
      </c>
      <c r="F92" s="8" t="s">
        <v>5076</v>
      </c>
      <c r="H92" s="8"/>
      <c r="I92" s="8" t="s">
        <v>4423</v>
      </c>
      <c r="J92" s="8" t="s">
        <v>2981</v>
      </c>
      <c r="K92" t="s">
        <v>4424</v>
      </c>
      <c r="L92" t="s">
        <v>4425</v>
      </c>
      <c r="M92" s="3" t="str">
        <f>HYPERLINK(склад2въезд[[#This Row],[RelativePath]])</f>
        <v>1 Ангар Склад 2 въезд\E33149364_6_20251204T084335Z.jpg</v>
      </c>
      <c r="N92" s="8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s="8" t="s">
        <v>62</v>
      </c>
      <c r="E93" s="8" t="s">
        <v>70</v>
      </c>
      <c r="F93" s="8" t="s">
        <v>5076</v>
      </c>
      <c r="H93" s="8"/>
      <c r="I93" s="8" t="s">
        <v>4426</v>
      </c>
      <c r="J93" s="8" t="s">
        <v>2981</v>
      </c>
      <c r="K93" t="s">
        <v>4427</v>
      </c>
      <c r="L93" t="s">
        <v>4428</v>
      </c>
      <c r="M93" s="3" t="str">
        <f>HYPERLINK(склад2въезд[[#This Row],[RelativePath]])</f>
        <v>1 Ангар Склад 2 въезд\E33149364_6_20251204T091304Z.jpg</v>
      </c>
      <c r="N93" s="8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s="8" t="s">
        <v>91</v>
      </c>
      <c r="E94" s="8" t="s">
        <v>70</v>
      </c>
      <c r="F94" s="8" t="s">
        <v>5076</v>
      </c>
      <c r="H94" s="8"/>
      <c r="I94" s="8" t="s">
        <v>4429</v>
      </c>
      <c r="J94" s="8" t="s">
        <v>2981</v>
      </c>
      <c r="K94" t="s">
        <v>4430</v>
      </c>
      <c r="L94" t="s">
        <v>4431</v>
      </c>
      <c r="M94" s="3" t="str">
        <f>HYPERLINK(склад2въезд[[#This Row],[RelativePath]])</f>
        <v>1 Ангар Склад 2 въезд\E33149364_6_20251204T124548Z.jpg</v>
      </c>
      <c r="N94" s="8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s="8" t="s">
        <v>62</v>
      </c>
      <c r="E95" s="8" t="s">
        <v>70</v>
      </c>
      <c r="F95" s="8" t="s">
        <v>5076</v>
      </c>
      <c r="H95" s="8"/>
      <c r="I95" s="8" t="s">
        <v>4432</v>
      </c>
      <c r="J95" s="8" t="s">
        <v>2981</v>
      </c>
      <c r="K95" t="s">
        <v>4433</v>
      </c>
      <c r="L95" t="s">
        <v>4434</v>
      </c>
      <c r="M95" s="3" t="str">
        <f>HYPERLINK(склад2въезд[[#This Row],[RelativePath]])</f>
        <v>1 Ангар Склад 2 въезд\E33149364_6_20251204T131751Z.jpg</v>
      </c>
      <c r="N95" s="8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s="8" t="s">
        <v>62</v>
      </c>
      <c r="E96" s="8" t="s">
        <v>55</v>
      </c>
      <c r="F96" s="8" t="s">
        <v>51</v>
      </c>
      <c r="H96" s="8"/>
      <c r="I96" s="8" t="s">
        <v>4435</v>
      </c>
      <c r="J96" s="8" t="s">
        <v>2981</v>
      </c>
      <c r="K96" t="s">
        <v>4436</v>
      </c>
      <c r="L96" t="s">
        <v>4437</v>
      </c>
      <c r="M96" s="3" t="str">
        <f>HYPERLINK(склад2въезд[[#This Row],[RelativePath]])</f>
        <v>1 Ангар Склад 2 въезд\E33149364_6_20251205T105217Z.jpg</v>
      </c>
      <c r="N96" s="8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s="8" t="s">
        <v>91</v>
      </c>
      <c r="E97" s="8" t="s">
        <v>55</v>
      </c>
      <c r="F97" s="8" t="s">
        <v>5077</v>
      </c>
      <c r="H97" s="8"/>
      <c r="I97" s="8" t="s">
        <v>4438</v>
      </c>
      <c r="J97" s="8" t="s">
        <v>2981</v>
      </c>
      <c r="K97" t="s">
        <v>4439</v>
      </c>
      <c r="L97" t="s">
        <v>4440</v>
      </c>
      <c r="M97" s="3" t="str">
        <f>HYPERLINK(склад2въезд[[#This Row],[RelativePath]])</f>
        <v>1 Ангар Склад 2 въезд\E33149364_6_20251205T135240Z.jpg</v>
      </c>
      <c r="N97" s="8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s="8" t="s">
        <v>91</v>
      </c>
      <c r="E98" s="8" t="s">
        <v>70</v>
      </c>
      <c r="F98" s="8" t="s">
        <v>5076</v>
      </c>
      <c r="H98" s="8"/>
      <c r="I98" s="8" t="s">
        <v>4441</v>
      </c>
      <c r="J98" s="8" t="s">
        <v>2981</v>
      </c>
      <c r="K98" t="s">
        <v>4442</v>
      </c>
      <c r="L98" t="s">
        <v>4443</v>
      </c>
      <c r="M98" s="3" t="str">
        <f>HYPERLINK(склад2въезд[[#This Row],[RelativePath]])</f>
        <v>1 Ангар Склад 2 въезд\E33149364_6_20251205T135439Z.jpg</v>
      </c>
      <c r="N98" s="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s="8" t="s">
        <v>62</v>
      </c>
      <c r="E99" s="8" t="s">
        <v>70</v>
      </c>
      <c r="F99" s="8" t="s">
        <v>5076</v>
      </c>
      <c r="H99" s="8"/>
      <c r="I99" s="8" t="s">
        <v>4444</v>
      </c>
      <c r="J99" s="8" t="s">
        <v>2981</v>
      </c>
      <c r="K99" t="s">
        <v>4445</v>
      </c>
      <c r="L99" t="s">
        <v>4446</v>
      </c>
      <c r="M99" s="3" t="str">
        <f>HYPERLINK(склад2въезд[[#This Row],[RelativePath]])</f>
        <v>1 Ангар Склад 2 въезд\E33149364_6_20251205T143340Z.jpg</v>
      </c>
      <c r="N99" s="8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s="8" t="s">
        <v>2004</v>
      </c>
      <c r="E100" s="8"/>
      <c r="F100" s="8"/>
      <c r="H100" s="8"/>
      <c r="I100" s="8" t="s">
        <v>4447</v>
      </c>
      <c r="J100" s="8" t="s">
        <v>2981</v>
      </c>
      <c r="K100" t="s">
        <v>4448</v>
      </c>
      <c r="L100" t="s">
        <v>4449</v>
      </c>
      <c r="M100" s="3" t="str">
        <f>HYPERLINK(склад2въезд[[#This Row],[RelativePath]])</f>
        <v>1 Ангар Склад 2 въезд\E33149364_6_20251206T160009Z.jpg</v>
      </c>
      <c r="N100" s="8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s="8" t="s">
        <v>91</v>
      </c>
      <c r="E101" s="8" t="s">
        <v>5259</v>
      </c>
      <c r="F101" s="8" t="s">
        <v>51</v>
      </c>
      <c r="H101" s="8"/>
      <c r="I101" s="8" t="s">
        <v>5144</v>
      </c>
      <c r="J101" s="8" t="s">
        <v>2981</v>
      </c>
      <c r="K101" t="s">
        <v>5300</v>
      </c>
      <c r="L101" t="s">
        <v>5145</v>
      </c>
      <c r="M101" s="3" t="str">
        <f>HYPERLINK(склад2въезд[[#This Row],[RelativePath]])</f>
        <v>1 Ангар Склад 2 въезд\E33149364_6_20251207T135449Z.jpg</v>
      </c>
      <c r="N101" s="8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s="8" t="s">
        <v>62</v>
      </c>
      <c r="E102" s="8" t="s">
        <v>5259</v>
      </c>
      <c r="F102" s="8" t="s">
        <v>5260</v>
      </c>
      <c r="H102" s="8" t="s">
        <v>5261</v>
      </c>
      <c r="I102" s="8" t="s">
        <v>5146</v>
      </c>
      <c r="J102" s="8" t="s">
        <v>2981</v>
      </c>
      <c r="K102" t="s">
        <v>5301</v>
      </c>
      <c r="L102" t="s">
        <v>5147</v>
      </c>
      <c r="M102" s="3" t="str">
        <f>HYPERLINK(склад2въезд[[#This Row],[RelativePath]])</f>
        <v>1 Ангар Склад 2 въезд\E33149364_6_20251207T160931Z.jpg</v>
      </c>
      <c r="N102" s="8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D103" s="8" t="s">
        <v>64</v>
      </c>
      <c r="E103" s="8" t="s">
        <v>4193</v>
      </c>
      <c r="F103" s="8" t="s">
        <v>5076</v>
      </c>
      <c r="H103" s="8"/>
      <c r="I103" s="8" t="s">
        <v>5272</v>
      </c>
      <c r="J103" s="8" t="s">
        <v>2981</v>
      </c>
      <c r="K103" t="s">
        <v>5302</v>
      </c>
      <c r="L103" t="s">
        <v>5273</v>
      </c>
      <c r="M103" s="3" t="str">
        <f>HYPERLINK(склад2въезд[[#This Row],[RelativePath]])</f>
        <v>1 Ангар Склад 2 въезд\E33149364_6_20251208T142216Z.jpg</v>
      </c>
      <c r="N103" s="8" t="str">
        <f>VLOOKUP(склад2въезд[[#This Row],[Name]], СпрСобытий!$F:$G, 2, FALSE)</f>
        <v>Ангар Склад 2 въезд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D104" s="8" t="s">
        <v>85</v>
      </c>
      <c r="E104" s="8" t="s">
        <v>4193</v>
      </c>
      <c r="F104" s="8" t="s">
        <v>5076</v>
      </c>
      <c r="H104" s="8"/>
      <c r="I104" s="8" t="s">
        <v>5274</v>
      </c>
      <c r="J104" s="8" t="s">
        <v>2981</v>
      </c>
      <c r="K104" t="s">
        <v>5303</v>
      </c>
      <c r="L104" t="s">
        <v>5275</v>
      </c>
      <c r="M104" s="3" t="str">
        <f>HYPERLINK(склад2въезд[[#This Row],[RelativePath]])</f>
        <v>1 Ангар Склад 2 въезд\E33149364_6_20251208T155849Z.jpg</v>
      </c>
      <c r="N104" s="8" t="str">
        <f>VLOOKUP(склад2въезд[[#This Row],[Name]], СпрСобытий!$F:$G, 2, FALSE)</f>
        <v>Ангар Склад 2 въезд</v>
      </c>
    </row>
    <row r="105" spans="1:14" x14ac:dyDescent="0.25">
      <c r="A105" s="2" t="s">
        <v>14</v>
      </c>
      <c r="B105" s="4">
        <v>46000</v>
      </c>
      <c r="C105" s="5">
        <v>0.42645833333333333</v>
      </c>
      <c r="D105" s="8" t="s">
        <v>64</v>
      </c>
      <c r="E105" s="8" t="s">
        <v>4193</v>
      </c>
      <c r="F105" s="8" t="s">
        <v>5076</v>
      </c>
      <c r="H105" s="8"/>
      <c r="I105" s="8" t="s">
        <v>5481</v>
      </c>
      <c r="J105" s="8" t="s">
        <v>2981</v>
      </c>
      <c r="K105" t="s">
        <v>5482</v>
      </c>
      <c r="L105" t="s">
        <v>5483</v>
      </c>
      <c r="M105" s="3" t="str">
        <f>HYPERLINK(склад2въезд[[#This Row],[RelativePath]])</f>
        <v>1 Ангар Склад 2 въезд\E33149364_6_20251209T101406Z.jpg</v>
      </c>
      <c r="N105" s="8" t="str">
        <f>VLOOKUP(склад2въезд[[#This Row],[Name]], СпрСобытий!$F:$G, 2, FALSE)</f>
        <v>Ангар Склад 2 въезд</v>
      </c>
    </row>
    <row r="106" spans="1:14" x14ac:dyDescent="0.25">
      <c r="A106" s="2" t="s">
        <v>14</v>
      </c>
      <c r="B106" s="4">
        <v>46000</v>
      </c>
      <c r="C106" s="5">
        <v>0.47930555555555554</v>
      </c>
      <c r="D106" s="8" t="s">
        <v>85</v>
      </c>
      <c r="E106" s="8" t="s">
        <v>4193</v>
      </c>
      <c r="F106" s="8" t="s">
        <v>5076</v>
      </c>
      <c r="H106" s="8"/>
      <c r="I106" s="8" t="s">
        <v>5484</v>
      </c>
      <c r="J106" s="8" t="s">
        <v>2981</v>
      </c>
      <c r="K106" t="s">
        <v>5485</v>
      </c>
      <c r="L106" t="s">
        <v>5486</v>
      </c>
      <c r="M106" s="3" t="str">
        <f>HYPERLINK(склад2въезд[[#This Row],[RelativePath]])</f>
        <v>1 Ангар Склад 2 въезд\E33149364_6_20251209T113012Z.jpg</v>
      </c>
      <c r="N106" s="8" t="str">
        <f>VLOOKUP(склад2въезд[[#This Row],[Name]], СпрСобытий!$F:$G, 2, FALSE)</f>
        <v>Ангар Склад 2 въезд</v>
      </c>
    </row>
    <row r="107" spans="1:14" x14ac:dyDescent="0.25">
      <c r="A107" s="2" t="s">
        <v>14</v>
      </c>
      <c r="B107" s="4">
        <v>46000</v>
      </c>
      <c r="C107" s="5">
        <v>0.510625</v>
      </c>
      <c r="D107" s="8" t="s">
        <v>91</v>
      </c>
      <c r="E107" s="8" t="s">
        <v>5505</v>
      </c>
      <c r="F107" s="8" t="s">
        <v>51</v>
      </c>
      <c r="H107" s="8"/>
      <c r="I107" s="8" t="s">
        <v>5487</v>
      </c>
      <c r="J107" s="8" t="s">
        <v>2981</v>
      </c>
      <c r="K107" t="s">
        <v>5488</v>
      </c>
      <c r="L107" t="s">
        <v>5489</v>
      </c>
      <c r="M107" s="3" t="str">
        <f>HYPERLINK(склад2въезд[[#This Row],[RelativePath]])</f>
        <v>1 Ангар Склад 2 въезд\E33149364_6_20251209T121518Z.jpg</v>
      </c>
      <c r="N107" s="8" t="str">
        <f>VLOOKUP(склад2въезд[[#This Row],[Name]], СпрСобытий!$F:$G, 2, FALSE)</f>
        <v>Ангар Склад 2 въезд</v>
      </c>
    </row>
    <row r="108" spans="1:14" x14ac:dyDescent="0.25">
      <c r="A108" s="2" t="s">
        <v>14</v>
      </c>
      <c r="B108" s="4">
        <v>46000</v>
      </c>
      <c r="C108" s="5">
        <v>0.51658564814814811</v>
      </c>
      <c r="D108" s="8" t="s">
        <v>3019</v>
      </c>
      <c r="E108" s="8" t="s">
        <v>5505</v>
      </c>
      <c r="F108" s="8" t="s">
        <v>51</v>
      </c>
      <c r="H108" s="8"/>
      <c r="I108" s="8" t="s">
        <v>5490</v>
      </c>
      <c r="J108" s="8" t="s">
        <v>2981</v>
      </c>
      <c r="K108" t="s">
        <v>5491</v>
      </c>
      <c r="L108" t="s">
        <v>5492</v>
      </c>
      <c r="M108" s="3" t="str">
        <f>HYPERLINK(склад2въезд[[#This Row],[RelativePath]])</f>
        <v>1 Ангар Склад 2 въезд\E33149364_6_20251209T122353Z.jpg</v>
      </c>
      <c r="N108" s="8" t="str">
        <f>VLOOKUP(склад2въезд[[#This Row],[Name]], СпрСобытий!$F:$G, 2, FALSE)</f>
        <v>Ангар Склад 2 въезд</v>
      </c>
    </row>
    <row r="109" spans="1:14" x14ac:dyDescent="0.25">
      <c r="A109" s="2" t="s">
        <v>14</v>
      </c>
      <c r="B109" s="4">
        <v>46000</v>
      </c>
      <c r="C109" s="5">
        <v>0.6348611111111111</v>
      </c>
      <c r="D109" s="8" t="s">
        <v>64</v>
      </c>
      <c r="E109" s="8" t="s">
        <v>4193</v>
      </c>
      <c r="F109" s="8" t="s">
        <v>5076</v>
      </c>
      <c r="H109" s="8"/>
      <c r="I109" s="8" t="s">
        <v>5493</v>
      </c>
      <c r="J109" s="8" t="s">
        <v>2981</v>
      </c>
      <c r="K109" t="s">
        <v>5494</v>
      </c>
      <c r="L109" t="s">
        <v>5495</v>
      </c>
      <c r="M109" s="3" t="str">
        <f>HYPERLINK(склад2въезд[[#This Row],[RelativePath]])</f>
        <v>1 Ангар Склад 2 въезд\E33149364_6_20251209T151412Z.jpg</v>
      </c>
      <c r="N109" s="8" t="str">
        <f>VLOOKUP(склад2въезд[[#This Row],[Name]], СпрСобытий!$F:$G, 2, FALSE)</f>
        <v>Ангар Склад 2 въезд</v>
      </c>
    </row>
    <row r="110" spans="1:14" x14ac:dyDescent="0.25">
      <c r="A110" s="2" t="s">
        <v>14</v>
      </c>
      <c r="B110" s="4">
        <v>46000</v>
      </c>
      <c r="C110" s="5">
        <v>0.69473379629629628</v>
      </c>
      <c r="D110" s="8" t="s">
        <v>85</v>
      </c>
      <c r="E110" s="8" t="s">
        <v>4193</v>
      </c>
      <c r="F110" s="8" t="s">
        <v>5076</v>
      </c>
      <c r="H110" s="8"/>
      <c r="I110" s="8" t="s">
        <v>5496</v>
      </c>
      <c r="J110" s="8" t="s">
        <v>2981</v>
      </c>
      <c r="K110" t="s">
        <v>5497</v>
      </c>
      <c r="L110" t="s">
        <v>5498</v>
      </c>
      <c r="M110" s="3" t="str">
        <f>HYPERLINK(склад2въезд[[#This Row],[RelativePath]])</f>
        <v>1 Ангар Склад 2 въезд\E33149364_6_20251209T164025Z.jpg</v>
      </c>
      <c r="N110" s="8" t="str">
        <f>VLOOKUP(склад2въезд[[#This Row],[Name]], СпрСобытий!$F:$G, 2, FALSE)</f>
        <v>Ангар Склад 2 въезд</v>
      </c>
    </row>
    <row r="111" spans="1:14" x14ac:dyDescent="0.25">
      <c r="A111" s="2" t="s">
        <v>15</v>
      </c>
      <c r="B111" s="4">
        <v>46001</v>
      </c>
      <c r="C111" s="5">
        <v>0.53234953703703702</v>
      </c>
      <c r="D111" s="8" t="s">
        <v>64</v>
      </c>
      <c r="E111" s="8" t="s">
        <v>4193</v>
      </c>
      <c r="F111" s="8" t="s">
        <v>5076</v>
      </c>
      <c r="H111" s="8"/>
      <c r="I111" s="8" t="s">
        <v>5499</v>
      </c>
      <c r="J111" s="8" t="s">
        <v>2981</v>
      </c>
      <c r="K111" t="s">
        <v>5500</v>
      </c>
      <c r="L111" t="s">
        <v>5501</v>
      </c>
      <c r="M111" s="3" t="str">
        <f>HYPERLINK(склад2въезд[[#This Row],[RelativePath]])</f>
        <v>1 Ангар Склад 2 въезд\E33149364_6_20251210T124635Z.jpg</v>
      </c>
      <c r="N111" s="8" t="str">
        <f>VLOOKUP(склад2въезд[[#This Row],[Name]], СпрСобытий!$F:$G, 2, FALSE)</f>
        <v>Ангар Склад 2 въезд</v>
      </c>
    </row>
    <row r="112" spans="1:14" x14ac:dyDescent="0.25">
      <c r="A112" s="2" t="s">
        <v>15</v>
      </c>
      <c r="B112" s="4">
        <v>46001</v>
      </c>
      <c r="C112" s="5">
        <v>0.63895833333333329</v>
      </c>
      <c r="D112" s="8" t="s">
        <v>85</v>
      </c>
      <c r="E112" s="8" t="s">
        <v>4193</v>
      </c>
      <c r="F112" s="8" t="s">
        <v>5076</v>
      </c>
      <c r="H112" s="8"/>
      <c r="I112" s="8" t="s">
        <v>5502</v>
      </c>
      <c r="J112" s="8" t="s">
        <v>2981</v>
      </c>
      <c r="K112" t="s">
        <v>5503</v>
      </c>
      <c r="L112" t="s">
        <v>5504</v>
      </c>
      <c r="M112" s="3" t="str">
        <f>HYPERLINK(склад2въезд[[#This Row],[RelativePath]])</f>
        <v>1 Ангар Склад 2 въезд\E33149364_6_20251210T152006Z.jpg</v>
      </c>
      <c r="N112" s="8" t="str">
        <f>VLOOKUP(склад2въезд[[#This Row],[Name]], СпрСобытий!$F:$G, 2, FALSE)</f>
        <v>Ангар Склад 2 въезд</v>
      </c>
    </row>
    <row r="113" spans="1:14" x14ac:dyDescent="0.25">
      <c r="A113" s="2" t="s">
        <v>16</v>
      </c>
      <c r="B113" s="4">
        <v>46002</v>
      </c>
      <c r="C113" s="5">
        <v>0.71260416666666671</v>
      </c>
      <c r="D113" s="8" t="s">
        <v>2004</v>
      </c>
      <c r="E113" s="8" t="s">
        <v>8</v>
      </c>
      <c r="F113" s="8"/>
      <c r="H113" s="8"/>
      <c r="I113" s="8" t="s">
        <v>5840</v>
      </c>
      <c r="J113" s="8" t="s">
        <v>2981</v>
      </c>
      <c r="K113" t="s">
        <v>5841</v>
      </c>
      <c r="L113" t="s">
        <v>5842</v>
      </c>
      <c r="M113" s="3" t="str">
        <f>HYPERLINK(склад2въезд[[#This Row],[RelativePath]])</f>
        <v>1 Ангар Склад 2 въезд\E33149364_6_20251211T170609Z.jpg</v>
      </c>
      <c r="N113" s="8" t="str">
        <f>VLOOKUP(склад2въезд[[#This Row],[Name]], СпрСобытий!$F:$G, 2, FALSE)</f>
        <v>Ангар Склад 2 въезд</v>
      </c>
    </row>
    <row r="114" spans="1:14" x14ac:dyDescent="0.25">
      <c r="A114" s="2" t="s">
        <v>17</v>
      </c>
      <c r="B114" s="4">
        <v>46003</v>
      </c>
      <c r="C114" s="5">
        <v>0.73738425925925921</v>
      </c>
      <c r="D114" s="8" t="s">
        <v>91</v>
      </c>
      <c r="E114" s="8" t="s">
        <v>55</v>
      </c>
      <c r="F114" s="8" t="s">
        <v>51</v>
      </c>
      <c r="H114" s="8"/>
      <c r="I114" s="8" t="s">
        <v>5843</v>
      </c>
      <c r="J114" s="8" t="s">
        <v>2981</v>
      </c>
      <c r="K114" t="s">
        <v>5844</v>
      </c>
      <c r="L114" t="s">
        <v>5845</v>
      </c>
      <c r="M114" s="3" t="str">
        <f>HYPERLINK(склад2въезд[[#This Row],[RelativePath]])</f>
        <v>1 Ангар Склад 2 въезд\E33149364_6_20251212T174150Z.jpg</v>
      </c>
      <c r="N114" s="8" t="str">
        <f>VLOOKUP(склад2въезд[[#This Row],[Name]], СпрСобытий!$F:$G, 2, FALSE)</f>
        <v>Ангар Склад 2 въезд</v>
      </c>
    </row>
    <row r="115" spans="1:14" x14ac:dyDescent="0.25">
      <c r="A115" s="2" t="s">
        <v>18</v>
      </c>
      <c r="B115" s="4">
        <v>46004</v>
      </c>
      <c r="C115" s="5">
        <v>0.41039351851851852</v>
      </c>
      <c r="D115" s="8" t="s">
        <v>62</v>
      </c>
      <c r="E115" s="8" t="s">
        <v>6167</v>
      </c>
      <c r="F115" s="8" t="s">
        <v>58</v>
      </c>
      <c r="H115" s="8" t="s">
        <v>6164</v>
      </c>
      <c r="I115" s="8" t="s">
        <v>6023</v>
      </c>
      <c r="J115" s="8" t="s">
        <v>2981</v>
      </c>
      <c r="K115" t="s">
        <v>6024</v>
      </c>
      <c r="L115" t="s">
        <v>6025</v>
      </c>
      <c r="M115" s="3" t="str">
        <f>HYPERLINK(склад2въезд[[#This Row],[RelativePath]])</f>
        <v>1 Ангар Склад 2 въезд\E33149364_6_20251213T095058Z.jpg</v>
      </c>
      <c r="N115" s="8" t="str">
        <f>VLOOKUP(склад2въезд[[#This Row],[Name]], СпрСобытий!$F:$G, 2, FALSE)</f>
        <v>Ангар Склад 2 въезд</v>
      </c>
    </row>
    <row r="116" spans="1:14" x14ac:dyDescent="0.25">
      <c r="A116" s="2" t="s">
        <v>18</v>
      </c>
      <c r="B116" s="4">
        <v>46004</v>
      </c>
      <c r="C116" s="5">
        <v>0.52951388888888884</v>
      </c>
      <c r="D116" s="8" t="s">
        <v>91</v>
      </c>
      <c r="E116" s="8" t="s">
        <v>6166</v>
      </c>
      <c r="F116" s="8" t="s">
        <v>51</v>
      </c>
      <c r="H116" s="8"/>
      <c r="I116" s="8" t="s">
        <v>6026</v>
      </c>
      <c r="J116" s="8" t="s">
        <v>2981</v>
      </c>
      <c r="K116" t="s">
        <v>6027</v>
      </c>
      <c r="L116" t="s">
        <v>6028</v>
      </c>
      <c r="M116" s="3" t="str">
        <f>HYPERLINK(склад2въезд[[#This Row],[RelativePath]])</f>
        <v>1 Ангар Склад 2 въезд\E33149364_6_20251213T124230Z.jpg</v>
      </c>
      <c r="N116" s="8" t="str">
        <f>VLOOKUP(склад2въезд[[#This Row],[Name]], СпрСобытий!$F:$G, 2, FALSE)</f>
        <v>Ангар Склад 2 въезд</v>
      </c>
    </row>
    <row r="117" spans="1:14" x14ac:dyDescent="0.25">
      <c r="A117" s="2" t="s">
        <v>18</v>
      </c>
      <c r="B117" s="4">
        <v>46004</v>
      </c>
      <c r="C117" s="5">
        <v>0.52979166666666666</v>
      </c>
      <c r="D117" s="8" t="s">
        <v>91</v>
      </c>
      <c r="E117" s="8" t="s">
        <v>6165</v>
      </c>
      <c r="F117" s="8" t="s">
        <v>51</v>
      </c>
      <c r="H117" s="8"/>
      <c r="I117" s="8" t="s">
        <v>6029</v>
      </c>
      <c r="J117" s="8" t="s">
        <v>2981</v>
      </c>
      <c r="K117" t="s">
        <v>6030</v>
      </c>
      <c r="L117" t="s">
        <v>6031</v>
      </c>
      <c r="M117" s="3" t="str">
        <f>HYPERLINK(склад2въезд[[#This Row],[RelativePath]])</f>
        <v>1 Ангар Склад 2 въезд\E33149364_6_20251213T124254Z.jpg</v>
      </c>
      <c r="N117" s="8" t="str">
        <f>VLOOKUP(склад2въезд[[#This Row],[Name]], СпрСобытий!$F:$G, 2, FALSE)</f>
        <v>Ангар Склад 2 въезд</v>
      </c>
    </row>
    <row r="118" spans="1:14" x14ac:dyDescent="0.25">
      <c r="A118" s="2" t="s">
        <v>18</v>
      </c>
      <c r="B118" s="4">
        <v>46004</v>
      </c>
      <c r="C118" s="5">
        <v>0.53692129629629626</v>
      </c>
      <c r="D118" s="8" t="s">
        <v>62</v>
      </c>
      <c r="E118" s="8" t="s">
        <v>6166</v>
      </c>
      <c r="F118" s="8" t="s">
        <v>51</v>
      </c>
      <c r="H118" s="8"/>
      <c r="I118" s="8" t="s">
        <v>6032</v>
      </c>
      <c r="J118" s="8" t="s">
        <v>2981</v>
      </c>
      <c r="K118" t="s">
        <v>6033</v>
      </c>
      <c r="L118" t="s">
        <v>6034</v>
      </c>
      <c r="M118" s="3" t="str">
        <f>HYPERLINK(склад2въезд[[#This Row],[RelativePath]])</f>
        <v>1 Ангар Склад 2 въезд\E33149364_6_20251213T125310Z.jpg</v>
      </c>
      <c r="N118" s="8" t="str">
        <f>VLOOKUP(склад2въезд[[#This Row],[Name]], СпрСобытий!$F:$G, 2, FALSE)</f>
        <v>Ангар Склад 2 въезд</v>
      </c>
    </row>
    <row r="119" spans="1:14" x14ac:dyDescent="0.25">
      <c r="A119" s="2" t="s">
        <v>18</v>
      </c>
      <c r="B119" s="4">
        <v>46004</v>
      </c>
      <c r="C119" s="5">
        <v>0.53726851851851853</v>
      </c>
      <c r="D119" s="8" t="s">
        <v>3019</v>
      </c>
      <c r="E119" s="8" t="s">
        <v>6165</v>
      </c>
      <c r="F119" s="8" t="s">
        <v>51</v>
      </c>
      <c r="H119" s="8"/>
      <c r="I119" s="8" t="s">
        <v>6035</v>
      </c>
      <c r="J119" s="8" t="s">
        <v>2981</v>
      </c>
      <c r="K119" t="s">
        <v>6036</v>
      </c>
      <c r="L119" t="s">
        <v>6037</v>
      </c>
      <c r="M119" s="3" t="str">
        <f>HYPERLINK(склад2въезд[[#This Row],[RelativePath]])</f>
        <v>1 Ангар Склад 2 въезд\E33149364_6_20251213T125340Z.jpg</v>
      </c>
      <c r="N119" s="8" t="str">
        <f>VLOOKUP(склад2въезд[[#This Row],[Name]], СпрСобытий!$F:$G, 2, FALSE)</f>
        <v>Ангар Склад 2 въезд</v>
      </c>
    </row>
    <row r="120" spans="1:14" x14ac:dyDescent="0.25">
      <c r="A120" s="2" t="s">
        <v>18</v>
      </c>
      <c r="B120" s="4">
        <v>46004</v>
      </c>
      <c r="C120" s="5">
        <v>0.53954861111111108</v>
      </c>
      <c r="D120" s="8" t="s">
        <v>91</v>
      </c>
      <c r="E120" s="8" t="s">
        <v>6167</v>
      </c>
      <c r="F120" s="8" t="s">
        <v>58</v>
      </c>
      <c r="H120" s="8"/>
      <c r="I120" s="8" t="s">
        <v>6038</v>
      </c>
      <c r="J120" s="8" t="s">
        <v>2981</v>
      </c>
      <c r="K120" t="s">
        <v>6039</v>
      </c>
      <c r="L120" t="s">
        <v>6040</v>
      </c>
      <c r="M120" s="3" t="str">
        <f>HYPERLINK(склад2въезд[[#This Row],[RelativePath]])</f>
        <v>1 Ангар Склад 2 въезд\E33149364_6_20251213T125657Z.jpg</v>
      </c>
      <c r="N120" s="8" t="str">
        <f>VLOOKUP(склад2въезд[[#This Row],[Name]], СпрСобытий!$F:$G, 2, FALSE)</f>
        <v>Ангар Склад 2 въезд</v>
      </c>
    </row>
    <row r="121" spans="1:14" x14ac:dyDescent="0.25">
      <c r="A121" s="2" t="s">
        <v>18</v>
      </c>
      <c r="B121" s="4">
        <v>46004</v>
      </c>
      <c r="C121" s="5">
        <v>0.56135416666666671</v>
      </c>
      <c r="D121" s="8" t="s">
        <v>62</v>
      </c>
      <c r="E121" s="8" t="s">
        <v>6167</v>
      </c>
      <c r="F121" s="8" t="s">
        <v>6168</v>
      </c>
      <c r="H121" s="8" t="s">
        <v>6169</v>
      </c>
      <c r="I121" s="8" t="s">
        <v>6041</v>
      </c>
      <c r="J121" s="8" t="s">
        <v>2981</v>
      </c>
      <c r="K121" t="s">
        <v>6042</v>
      </c>
      <c r="L121" t="s">
        <v>6043</v>
      </c>
      <c r="M121" s="3" t="str">
        <f>HYPERLINK(склад2въезд[[#This Row],[RelativePath]])</f>
        <v>1 Ангар Склад 2 въезд\E33149364_6_20251213T132821Z.jpg</v>
      </c>
      <c r="N121" s="8" t="str">
        <f>VLOOKUP(склад2въезд[[#This Row],[Name]], СпрСобытий!$F:$G, 2, FALSE)</f>
        <v>Ангар Склад 2 въезд</v>
      </c>
    </row>
    <row r="122" spans="1:14" x14ac:dyDescent="0.25">
      <c r="A122" s="2" t="s">
        <v>22</v>
      </c>
      <c r="B122" s="4">
        <v>46005</v>
      </c>
      <c r="C122" s="5">
        <v>0.50332175925925926</v>
      </c>
      <c r="D122" s="8" t="s">
        <v>2004</v>
      </c>
      <c r="E122" s="8" t="s">
        <v>6262</v>
      </c>
      <c r="F122" s="8"/>
      <c r="H122" s="8" t="s">
        <v>6261</v>
      </c>
      <c r="I122" s="8" t="s">
        <v>6198</v>
      </c>
      <c r="J122" s="8" t="s">
        <v>2981</v>
      </c>
      <c r="K122" t="s">
        <v>6199</v>
      </c>
      <c r="L122" t="s">
        <v>6200</v>
      </c>
      <c r="M122" s="3" t="str">
        <f>HYPERLINK(склад2въезд[[#This Row],[RelativePath]])</f>
        <v>1 Ангар Склад 2 въезд\E33149364_6_20251214T120447Z.jpg</v>
      </c>
      <c r="N122" s="8" t="str">
        <f>VLOOKUP(склад2въезд[[#This Row],[Name]], СпрСобытий!$F:$G, 2, FALSE)</f>
        <v>Ангар Склад 2 въезд</v>
      </c>
    </row>
    <row r="123" spans="1:14" x14ac:dyDescent="0.25">
      <c r="A123" s="2" t="s">
        <v>13</v>
      </c>
      <c r="B123" s="4">
        <v>46006</v>
      </c>
      <c r="C123" s="5">
        <v>0.43730324074074073</v>
      </c>
      <c r="D123" s="8" t="s">
        <v>64</v>
      </c>
      <c r="E123" s="8" t="s">
        <v>4193</v>
      </c>
      <c r="F123" s="8" t="s">
        <v>5076</v>
      </c>
      <c r="H123" s="8"/>
      <c r="I123" s="8" t="s">
        <v>6263</v>
      </c>
      <c r="J123" s="8" t="s">
        <v>2981</v>
      </c>
      <c r="K123" t="s">
        <v>6264</v>
      </c>
      <c r="L123" t="s">
        <v>6265</v>
      </c>
      <c r="M123" s="3" t="str">
        <f>HYPERLINK(склад2въезд[[#This Row],[RelativePath]])</f>
        <v>1 Ангар Склад 2 въезд\E33149364_6_20251215T102943Z.jpg</v>
      </c>
      <c r="N123" s="8" t="str">
        <f>VLOOKUP(склад2въезд[[#This Row],[Name]], СпрСобытий!$F:$G, 2, FALSE)</f>
        <v>Ангар Склад 2 въезд</v>
      </c>
    </row>
    <row r="124" spans="1:14" x14ac:dyDescent="0.25">
      <c r="A124" s="2" t="s">
        <v>13</v>
      </c>
      <c r="B124" s="4">
        <v>46006</v>
      </c>
      <c r="C124" s="5">
        <v>0.46148148148148149</v>
      </c>
      <c r="D124" s="8" t="s">
        <v>91</v>
      </c>
      <c r="E124" s="8" t="s">
        <v>6329</v>
      </c>
      <c r="F124" s="8" t="s">
        <v>51</v>
      </c>
      <c r="H124" s="8"/>
      <c r="I124" s="8" t="s">
        <v>6343</v>
      </c>
      <c r="J124" s="8" t="s">
        <v>2981</v>
      </c>
      <c r="K124" t="s">
        <v>6344</v>
      </c>
      <c r="L124" t="s">
        <v>6345</v>
      </c>
      <c r="M124" s="3" t="str">
        <f>HYPERLINK(склад2въезд[[#This Row],[RelativePath]])</f>
        <v>1 Ангар Склад 2 въезд\E33149364_6_20251215T110432Z.jpg</v>
      </c>
      <c r="N124" s="8" t="str">
        <f>VLOOKUP(склад2въезд[[#This Row],[Name]], СпрСобытий!$F:$G, 2, FALSE)</f>
        <v>Ангар Склад 2 въезд</v>
      </c>
    </row>
    <row r="125" spans="1:14" x14ac:dyDescent="0.25">
      <c r="A125" s="2" t="s">
        <v>13</v>
      </c>
      <c r="B125" s="4">
        <v>46006</v>
      </c>
      <c r="C125" s="5">
        <v>0.48171296296296295</v>
      </c>
      <c r="D125" s="8" t="s">
        <v>85</v>
      </c>
      <c r="E125" s="8" t="s">
        <v>6329</v>
      </c>
      <c r="F125" s="8" t="s">
        <v>58</v>
      </c>
      <c r="H125" s="8" t="s">
        <v>1620</v>
      </c>
      <c r="I125" s="8" t="s">
        <v>6266</v>
      </c>
      <c r="J125" s="8" t="s">
        <v>2981</v>
      </c>
      <c r="K125" t="s">
        <v>6267</v>
      </c>
      <c r="L125" t="s">
        <v>6268</v>
      </c>
      <c r="M125" s="3" t="str">
        <f>HYPERLINK(склад2въезд[[#This Row],[RelativePath]])</f>
        <v>1 Ангар Склад 2 въезд\E33149364_6_20251215T113340Z.jpg</v>
      </c>
      <c r="N125" s="8" t="str">
        <f>VLOOKUP(склад2въезд[[#This Row],[Name]], СпрСобытий!$F:$G, 2, FALSE)</f>
        <v>Ангар Склад 2 въезд</v>
      </c>
    </row>
    <row r="126" spans="1:14" x14ac:dyDescent="0.25">
      <c r="A126" s="2" t="s">
        <v>13</v>
      </c>
      <c r="B126" s="4">
        <v>46006</v>
      </c>
      <c r="C126" s="5">
        <v>0.48192129629629632</v>
      </c>
      <c r="D126" s="8" t="s">
        <v>85</v>
      </c>
      <c r="E126" s="8" t="s">
        <v>6329</v>
      </c>
      <c r="F126" s="8" t="s">
        <v>58</v>
      </c>
      <c r="H126" s="8" t="s">
        <v>2936</v>
      </c>
      <c r="I126" s="8" t="s">
        <v>6269</v>
      </c>
      <c r="J126" s="8" t="s">
        <v>2981</v>
      </c>
      <c r="K126" t="s">
        <v>6270</v>
      </c>
      <c r="L126" t="s">
        <v>6271</v>
      </c>
      <c r="M126" s="3" t="str">
        <f>HYPERLINK(склад2въезд[[#This Row],[RelativePath]])</f>
        <v>1 Ангар Склад 2 въезд\E33149364_6_20251215T113358Z.jpg</v>
      </c>
      <c r="N126" s="8" t="str">
        <f>VLOOKUP(склад2въезд[[#This Row],[Name]], СпрСобытий!$F:$G, 2, FALSE)</f>
        <v>Ангар Склад 2 въезд</v>
      </c>
    </row>
    <row r="127" spans="1:14" x14ac:dyDescent="0.25">
      <c r="A127" s="2" t="s">
        <v>13</v>
      </c>
      <c r="B127" s="4">
        <v>46006</v>
      </c>
      <c r="C127" s="5">
        <v>0.51416666666666666</v>
      </c>
      <c r="D127" s="8" t="s">
        <v>62</v>
      </c>
      <c r="E127" s="8" t="s">
        <v>70</v>
      </c>
      <c r="F127" s="8"/>
      <c r="H127" s="8"/>
      <c r="I127" s="8" t="s">
        <v>6272</v>
      </c>
      <c r="J127" s="8" t="s">
        <v>2981</v>
      </c>
      <c r="K127" t="s">
        <v>6273</v>
      </c>
      <c r="L127" t="s">
        <v>6274</v>
      </c>
      <c r="M127" s="3" t="str">
        <f>HYPERLINK(склад2въезд[[#This Row],[RelativePath]])</f>
        <v>1 Ангар Склад 2 въезд\E33149364_6_20251215T122024Z.jpg</v>
      </c>
      <c r="N127" s="8" t="str">
        <f>VLOOKUP(склад2въезд[[#This Row],[Name]], СпрСобытий!$F:$G, 2, FALSE)</f>
        <v>Ангар Склад 2 въезд</v>
      </c>
    </row>
    <row r="128" spans="1:14" x14ac:dyDescent="0.25">
      <c r="A128" s="2" t="s">
        <v>13</v>
      </c>
      <c r="B128" s="4">
        <v>46006</v>
      </c>
      <c r="C128" s="5">
        <v>0.53755787037037039</v>
      </c>
      <c r="D128" s="8" t="s">
        <v>91</v>
      </c>
      <c r="E128" s="8" t="s">
        <v>70</v>
      </c>
      <c r="F128" s="8"/>
      <c r="H128" s="8"/>
      <c r="I128" s="8" t="s">
        <v>6275</v>
      </c>
      <c r="J128" s="8" t="s">
        <v>2981</v>
      </c>
      <c r="K128" t="s">
        <v>6276</v>
      </c>
      <c r="L128" t="s">
        <v>6277</v>
      </c>
      <c r="M128" s="3" t="str">
        <f>HYPERLINK(склад2въезд[[#This Row],[RelativePath]])</f>
        <v>1 Ангар Склад 2 въезд\E33149364_6_20251215T125405Z.jpg</v>
      </c>
      <c r="N128" s="8" t="str">
        <f>VLOOKUP(склад2въезд[[#This Row],[Name]], СпрСобытий!$F:$G, 2, FALSE)</f>
        <v>Ангар Склад 2 въезд</v>
      </c>
    </row>
    <row r="129" spans="1:14" x14ac:dyDescent="0.25">
      <c r="A129" s="2" t="s">
        <v>13</v>
      </c>
      <c r="B129" s="4">
        <v>46006</v>
      </c>
      <c r="C129" s="5">
        <v>0.54327546296296292</v>
      </c>
      <c r="D129" s="8" t="s">
        <v>85</v>
      </c>
      <c r="E129" s="8" t="s">
        <v>4193</v>
      </c>
      <c r="F129" s="8" t="s">
        <v>5076</v>
      </c>
      <c r="H129" s="8"/>
      <c r="I129" s="8" t="s">
        <v>6278</v>
      </c>
      <c r="J129" s="8" t="s">
        <v>2981</v>
      </c>
      <c r="K129" t="s">
        <v>6279</v>
      </c>
      <c r="L129" t="s">
        <v>6280</v>
      </c>
      <c r="M129" s="3" t="str">
        <f>HYPERLINK(склад2въезд[[#This Row],[RelativePath]])</f>
        <v>1 Ангар Склад 2 въезд\E33149364_6_20251215T130219Z.jpg</v>
      </c>
      <c r="N129" s="8" t="str">
        <f>VLOOKUP(склад2въезд[[#This Row],[Name]], СпрСобытий!$F:$G, 2, FALSE)</f>
        <v>Ангар Склад 2 въезд</v>
      </c>
    </row>
    <row r="130" spans="1:14" x14ac:dyDescent="0.25">
      <c r="A130" s="2" t="s">
        <v>14</v>
      </c>
      <c r="B130" s="4">
        <v>46007</v>
      </c>
      <c r="C130" s="5">
        <v>0.4475810185185185</v>
      </c>
      <c r="D130" s="8" t="s">
        <v>91</v>
      </c>
      <c r="E130" s="8" t="s">
        <v>6656</v>
      </c>
      <c r="F130" s="8" t="s">
        <v>51</v>
      </c>
      <c r="H130" s="8"/>
      <c r="I130" s="8" t="s">
        <v>6533</v>
      </c>
      <c r="J130" s="8" t="s">
        <v>2981</v>
      </c>
      <c r="K130" t="s">
        <v>6534</v>
      </c>
      <c r="L130" t="s">
        <v>6535</v>
      </c>
      <c r="M130" s="3" t="str">
        <f>HYPERLINK(склад2въезд[[#This Row],[RelativePath]])</f>
        <v>1 Ангар Склад 2 въезд\E33149364_6_20251216T104431Z.jpg</v>
      </c>
      <c r="N130" s="8" t="str">
        <f>VLOOKUP(склад2въезд[[#This Row],[Name]], СпрСобытий!$F:$G, 2, FALSE)</f>
        <v>Ангар Склад 2 въезд</v>
      </c>
    </row>
    <row r="131" spans="1:14" x14ac:dyDescent="0.25">
      <c r="A131" s="2" t="s">
        <v>14</v>
      </c>
      <c r="B131" s="4">
        <v>46007</v>
      </c>
      <c r="C131" s="5">
        <v>0.46203703703703702</v>
      </c>
      <c r="D131" s="8" t="s">
        <v>62</v>
      </c>
      <c r="E131" s="8" t="s">
        <v>6656</v>
      </c>
      <c r="F131" s="8" t="s">
        <v>6657</v>
      </c>
      <c r="H131" s="8"/>
      <c r="I131" s="8" t="s">
        <v>6536</v>
      </c>
      <c r="J131" s="8" t="s">
        <v>2981</v>
      </c>
      <c r="K131" t="s">
        <v>6537</v>
      </c>
      <c r="L131" t="s">
        <v>6538</v>
      </c>
      <c r="M131" s="3" t="str">
        <f>HYPERLINK(склад2въезд[[#This Row],[RelativePath]])</f>
        <v>1 Ангар Склад 2 въезд\E33149364_6_20251216T110520Z.jpg</v>
      </c>
      <c r="N131" s="8" t="str">
        <f>VLOOKUP(склад2въезд[[#This Row],[Name]], СпрСобытий!$F:$G, 2, FALSE)</f>
        <v>Ангар Склад 2 въезд</v>
      </c>
    </row>
    <row r="132" spans="1:14" x14ac:dyDescent="0.25">
      <c r="A132" s="2" t="s">
        <v>14</v>
      </c>
      <c r="B132" s="4">
        <v>46007</v>
      </c>
      <c r="C132" s="5">
        <v>0.49627314814814816</v>
      </c>
      <c r="D132" s="8" t="s">
        <v>64</v>
      </c>
      <c r="E132" s="8" t="s">
        <v>4193</v>
      </c>
      <c r="F132" s="8" t="s">
        <v>5076</v>
      </c>
      <c r="H132" s="8"/>
      <c r="I132" s="8" t="s">
        <v>6539</v>
      </c>
      <c r="J132" s="8" t="s">
        <v>2981</v>
      </c>
      <c r="K132" t="s">
        <v>6540</v>
      </c>
      <c r="L132" t="s">
        <v>6541</v>
      </c>
      <c r="M132" s="3" t="str">
        <f>HYPERLINK(склад2въезд[[#This Row],[RelativePath]])</f>
        <v>1 Ангар Склад 2 въезд\E33149364_6_20251216T115438Z.jpg</v>
      </c>
      <c r="N132" s="8" t="str">
        <f>VLOOKUP(склад2въезд[[#This Row],[Name]], СпрСобытий!$F:$G, 2, FALSE)</f>
        <v>Ангар Склад 2 въезд</v>
      </c>
    </row>
    <row r="133" spans="1:14" x14ac:dyDescent="0.25">
      <c r="A133" s="2" t="s">
        <v>14</v>
      </c>
      <c r="B133" s="4">
        <v>46007</v>
      </c>
      <c r="C133" s="5">
        <v>0.58416666666666661</v>
      </c>
      <c r="D133" s="8" t="s">
        <v>85</v>
      </c>
      <c r="E133" s="8" t="s">
        <v>4193</v>
      </c>
      <c r="F133" s="8" t="s">
        <v>5076</v>
      </c>
      <c r="H133" s="8"/>
      <c r="I133" s="8" t="s">
        <v>6542</v>
      </c>
      <c r="J133" s="8" t="s">
        <v>2981</v>
      </c>
      <c r="K133" t="s">
        <v>6543</v>
      </c>
      <c r="L133" t="s">
        <v>6544</v>
      </c>
      <c r="M133" s="3" t="str">
        <f>HYPERLINK(склад2въезд[[#This Row],[RelativePath]])</f>
        <v>1 Ангар Склад 2 въезд\E33149364_6_20251216T140112Z.jpg</v>
      </c>
      <c r="N133" s="8" t="str">
        <f>VLOOKUP(склад2въезд[[#This Row],[Name]], СпрСобытий!$F:$G, 2, FALSE)</f>
        <v>Ангар Склад 2 въезд</v>
      </c>
    </row>
    <row r="134" spans="1:14" x14ac:dyDescent="0.25">
      <c r="A134" s="2" t="s">
        <v>15</v>
      </c>
      <c r="B134" s="4">
        <v>46008</v>
      </c>
      <c r="C134" s="5">
        <v>0.70369212962962968</v>
      </c>
      <c r="D134" s="8" t="s">
        <v>2004</v>
      </c>
      <c r="E134" s="8"/>
      <c r="F134" s="8"/>
      <c r="H134" s="8"/>
      <c r="I134" s="8" t="s">
        <v>6664</v>
      </c>
      <c r="J134" s="8" t="s">
        <v>2981</v>
      </c>
      <c r="K134" t="s">
        <v>6665</v>
      </c>
      <c r="L134" t="s">
        <v>6666</v>
      </c>
      <c r="M134" s="3" t="str">
        <f>HYPERLINK(склад2въезд[[#This Row],[RelativePath]])</f>
        <v>1 Ангар Склад 2 въезд\E33149364_6_20251217T165319Z.jpg</v>
      </c>
      <c r="N134" s="8" t="str">
        <f>VLOOKUP(склад2въезд[[#This Row],[Name]], СпрСобытий!$F:$G, 2, FALSE)</f>
        <v>Ангар Склад 2 въезд</v>
      </c>
    </row>
    <row r="135" spans="1:14" x14ac:dyDescent="0.25">
      <c r="A135" s="2" t="s">
        <v>16</v>
      </c>
      <c r="B135" s="4">
        <v>46009</v>
      </c>
      <c r="C135" s="5">
        <v>0.51199074074074069</v>
      </c>
      <c r="D135" s="8" t="s">
        <v>64</v>
      </c>
      <c r="E135" s="8" t="s">
        <v>4193</v>
      </c>
      <c r="F135" s="8" t="s">
        <v>5076</v>
      </c>
      <c r="H135" s="8"/>
      <c r="I135" s="8" t="s">
        <v>6667</v>
      </c>
      <c r="J135" s="8" t="s">
        <v>2981</v>
      </c>
      <c r="K135" t="s">
        <v>6668</v>
      </c>
      <c r="L135" t="s">
        <v>6669</v>
      </c>
      <c r="M135" s="3" t="str">
        <f>HYPERLINK(склад2въезд[[#This Row],[RelativePath]])</f>
        <v>1 Ангар Склад 2 въезд\E33149364_6_20251218T121716Z.jpg</v>
      </c>
      <c r="N135" s="8" t="str">
        <f>VLOOKUP(склад2въезд[[#This Row],[Name]], СпрСобытий!$F:$G, 2, FALSE)</f>
        <v>Ангар Склад 2 въезд</v>
      </c>
    </row>
    <row r="136" spans="1:14" x14ac:dyDescent="0.25">
      <c r="A136" s="2" t="s">
        <v>16</v>
      </c>
      <c r="B136" s="4">
        <v>46009</v>
      </c>
      <c r="C136" s="5">
        <v>0.52342592592592596</v>
      </c>
      <c r="D136" s="8" t="s">
        <v>6865</v>
      </c>
      <c r="E136" s="8"/>
      <c r="F136" s="8"/>
      <c r="H136" s="8"/>
      <c r="I136" s="8" t="s">
        <v>6670</v>
      </c>
      <c r="J136" s="8" t="s">
        <v>2981</v>
      </c>
      <c r="K136" t="s">
        <v>6671</v>
      </c>
      <c r="L136" t="s">
        <v>6672</v>
      </c>
      <c r="M136" s="3" t="str">
        <f>HYPERLINK(склад2въезд[[#This Row],[RelativePath]])</f>
        <v>1 Ангар Склад 2 въезд\E33149364_6_20251218T123344Z.jpg</v>
      </c>
      <c r="N136" s="8" t="str">
        <f>VLOOKUP(склад2въезд[[#This Row],[Name]], СпрСобытий!$F:$G, 2, FALSE)</f>
        <v>Ангар Склад 2 въезд</v>
      </c>
    </row>
    <row r="137" spans="1:14" x14ac:dyDescent="0.25">
      <c r="A137" s="2" t="s">
        <v>16</v>
      </c>
      <c r="B137" s="4">
        <v>46009</v>
      </c>
      <c r="C137" s="5">
        <v>0.55010416666666662</v>
      </c>
      <c r="D137" s="8" t="s">
        <v>91</v>
      </c>
      <c r="E137" s="8" t="s">
        <v>6190</v>
      </c>
      <c r="F137" s="8"/>
      <c r="H137" s="8"/>
      <c r="I137" s="8" t="s">
        <v>6673</v>
      </c>
      <c r="J137" s="8" t="s">
        <v>2981</v>
      </c>
      <c r="K137" t="s">
        <v>6674</v>
      </c>
      <c r="L137" t="s">
        <v>6675</v>
      </c>
      <c r="M137" s="3" t="str">
        <f>HYPERLINK(склад2въезд[[#This Row],[RelativePath]])</f>
        <v>1 Ангар Склад 2 въезд\E33149364_6_20251218T131209Z.jpg</v>
      </c>
      <c r="N137" s="8" t="str">
        <f>VLOOKUP(склад2въезд[[#This Row],[Name]], СпрСобытий!$F:$G, 2, FALSE)</f>
        <v>Ангар Склад 2 въезд</v>
      </c>
    </row>
    <row r="138" spans="1:14" x14ac:dyDescent="0.25">
      <c r="A138" s="2" t="s">
        <v>16</v>
      </c>
      <c r="B138" s="4">
        <v>46009</v>
      </c>
      <c r="C138" s="5">
        <v>0.58857638888888886</v>
      </c>
      <c r="D138" s="8" t="s">
        <v>6866</v>
      </c>
      <c r="E138" s="8" t="s">
        <v>86</v>
      </c>
      <c r="F138" s="8"/>
      <c r="H138" s="8"/>
      <c r="I138" s="8" t="s">
        <v>6676</v>
      </c>
      <c r="J138" s="8" t="s">
        <v>2981</v>
      </c>
      <c r="K138" t="s">
        <v>6677</v>
      </c>
      <c r="L138" t="s">
        <v>6678</v>
      </c>
      <c r="M138" s="3" t="str">
        <f>HYPERLINK(склад2въезд[[#This Row],[RelativePath]])</f>
        <v>1 Ангар Склад 2 въезд\E33149364_6_20251218T140733Z.jpg</v>
      </c>
      <c r="N138" s="8" t="str">
        <f>VLOOKUP(склад2въезд[[#This Row],[Name]], СпрСобытий!$F:$G, 2, FALSE)</f>
        <v>Ангар Склад 2 въезд</v>
      </c>
    </row>
    <row r="139" spans="1:14" x14ac:dyDescent="0.25">
      <c r="A139" s="2" t="s">
        <v>16</v>
      </c>
      <c r="B139" s="4">
        <v>46009</v>
      </c>
      <c r="C139" s="5">
        <v>0.61517361111111113</v>
      </c>
      <c r="D139" s="8" t="s">
        <v>85</v>
      </c>
      <c r="E139" s="8" t="s">
        <v>4193</v>
      </c>
      <c r="F139" s="8" t="s">
        <v>5076</v>
      </c>
      <c r="H139" s="8"/>
      <c r="I139" s="8" t="s">
        <v>6679</v>
      </c>
      <c r="J139" s="8" t="s">
        <v>2981</v>
      </c>
      <c r="K139" t="s">
        <v>6680</v>
      </c>
      <c r="L139" t="s">
        <v>6681</v>
      </c>
      <c r="M139" s="3" t="str">
        <f>HYPERLINK(склад2въезд[[#This Row],[RelativePath]])</f>
        <v>1 Ангар Склад 2 въезд\E33149364_6_20251218T144551Z.jpg</v>
      </c>
      <c r="N139" s="8" t="str">
        <f>VLOOKUP(склад2въезд[[#This Row],[Name]], СпрСобытий!$F:$G, 2, FALSE)</f>
        <v>Ангар Склад 2 въезд</v>
      </c>
    </row>
    <row r="140" spans="1:14" x14ac:dyDescent="0.25">
      <c r="A140" s="2" t="s">
        <v>17</v>
      </c>
      <c r="B140" s="4">
        <v>46010</v>
      </c>
      <c r="C140" s="5">
        <v>0.6606481481481481</v>
      </c>
      <c r="D140" s="8" t="s">
        <v>2004</v>
      </c>
      <c r="E140" s="8"/>
      <c r="F140" s="8"/>
      <c r="H140" s="8"/>
      <c r="I140" s="8" t="s">
        <v>6899</v>
      </c>
      <c r="J140" s="8" t="s">
        <v>2981</v>
      </c>
      <c r="K140" t="s">
        <v>6900</v>
      </c>
      <c r="L140" t="s">
        <v>6901</v>
      </c>
      <c r="M140" s="3" t="str">
        <f>HYPERLINK(склад2въезд[[#This Row],[RelativePath]])</f>
        <v>1 Ангар Склад 2 въезд\E33149364_6_20251219T155120Z.jpg</v>
      </c>
      <c r="N140" s="8" t="str">
        <f>VLOOKUP(склад2въезд[[#This Row],[Name]], СпрСобытий!$F:$G, 2, FALSE)</f>
        <v>Ангар Склад 2 въезд</v>
      </c>
    </row>
    <row r="141" spans="1:14" x14ac:dyDescent="0.25">
      <c r="A141" s="2" t="s">
        <v>18</v>
      </c>
      <c r="B141" s="4">
        <v>46011</v>
      </c>
      <c r="C141" s="5">
        <v>0.68261574074074072</v>
      </c>
      <c r="D141" s="8" t="s">
        <v>2004</v>
      </c>
      <c r="E141" s="8"/>
      <c r="F141" s="8"/>
      <c r="H141" s="8"/>
      <c r="I141" s="8" t="s">
        <v>6902</v>
      </c>
      <c r="J141" s="8" t="s">
        <v>2981</v>
      </c>
      <c r="K141" t="s">
        <v>6903</v>
      </c>
      <c r="L141" t="s">
        <v>6904</v>
      </c>
      <c r="M141" s="3" t="str">
        <f>HYPERLINK(склад2въезд[[#This Row],[RelativePath]])</f>
        <v>1 Ангар Склад 2 въезд\E33149364_6_20251220T162258Z.jpg</v>
      </c>
      <c r="N141" s="8" t="str">
        <f>VLOOKUP(склад2въезд[[#This Row],[Name]], СпрСобытий!$F:$G, 2, FALSE)</f>
        <v>Ангар Склад 2 въезд</v>
      </c>
    </row>
    <row r="142" spans="1:14" x14ac:dyDescent="0.25">
      <c r="A142" s="2" t="s">
        <v>22</v>
      </c>
      <c r="B142" s="4">
        <v>46012</v>
      </c>
      <c r="C142" s="5">
        <v>0.72635416666666663</v>
      </c>
      <c r="D142" s="8" t="s">
        <v>2004</v>
      </c>
      <c r="E142" s="8"/>
      <c r="F142" s="8"/>
      <c r="H142" s="8"/>
      <c r="I142" s="8" t="s">
        <v>7175</v>
      </c>
      <c r="J142" s="8" t="s">
        <v>2981</v>
      </c>
      <c r="K142" t="s">
        <v>7176</v>
      </c>
      <c r="L142" t="s">
        <v>7177</v>
      </c>
      <c r="M142" s="3" t="str">
        <f>HYPERLINK(склад2въезд[[#This Row],[RelativePath]])</f>
        <v>1 Ангар Склад 2 въезд\E33149364_6_20251221T172557Z.jpg</v>
      </c>
      <c r="N142" s="8" t="str">
        <f>VLOOKUP(склад2въезд[[#This Row],[Name]], СпрСобытий!$F:$G, 2, FALSE)</f>
        <v>Ангар Склад 2 въезд</v>
      </c>
    </row>
    <row r="143" spans="1:14" x14ac:dyDescent="0.25">
      <c r="A143" s="2" t="s">
        <v>13</v>
      </c>
      <c r="B143" s="4">
        <v>46013</v>
      </c>
      <c r="C143" s="5">
        <v>0.46493055555555557</v>
      </c>
      <c r="D143" s="8" t="s">
        <v>64</v>
      </c>
      <c r="E143" s="8" t="s">
        <v>4193</v>
      </c>
      <c r="F143" s="8" t="s">
        <v>5076</v>
      </c>
      <c r="H143" s="8"/>
      <c r="I143" s="8" t="s">
        <v>7242</v>
      </c>
      <c r="J143" s="8" t="s">
        <v>2981</v>
      </c>
      <c r="K143" t="s">
        <v>7243</v>
      </c>
      <c r="L143" t="s">
        <v>7244</v>
      </c>
      <c r="M143" s="3" t="str">
        <f>HYPERLINK(склад2въезд[[#This Row],[RelativePath]])</f>
        <v>1 Ангар Склад 2 въезд\E33149364_6_20251222T110930Z.jpg</v>
      </c>
      <c r="N143" s="8" t="str">
        <f>VLOOKUP(склад2въезд[[#This Row],[Name]], СпрСобытий!$F:$G, 2, FALSE)</f>
        <v>Ангар Склад 2 въезд</v>
      </c>
    </row>
    <row r="144" spans="1:14" x14ac:dyDescent="0.25">
      <c r="A144" s="2" t="s">
        <v>13</v>
      </c>
      <c r="B144" s="4">
        <v>46013</v>
      </c>
      <c r="C144" s="5">
        <v>0.55439814814814814</v>
      </c>
      <c r="D144" s="8" t="s">
        <v>85</v>
      </c>
      <c r="E144" s="8" t="s">
        <v>4193</v>
      </c>
      <c r="F144" s="8" t="s">
        <v>5076</v>
      </c>
      <c r="H144" s="8"/>
      <c r="I144" s="8" t="s">
        <v>7245</v>
      </c>
      <c r="J144" s="8" t="s">
        <v>2981</v>
      </c>
      <c r="K144" t="s">
        <v>7246</v>
      </c>
      <c r="L144" t="s">
        <v>7247</v>
      </c>
      <c r="M144" s="3" t="str">
        <f>HYPERLINK(склад2въезд[[#This Row],[RelativePath]])</f>
        <v>1 Ангар Склад 2 въезд\E33149364_6_20251222T131820Z.jpg</v>
      </c>
      <c r="N144" s="8" t="str">
        <f>VLOOKUP(склад2въезд[[#This Row],[Name]], СпрСобытий!$F:$G, 2, FALSE)</f>
        <v>Ангар Склад 2 въезд</v>
      </c>
    </row>
    <row r="145" spans="1:14" x14ac:dyDescent="0.25">
      <c r="A145" s="2" t="s">
        <v>14</v>
      </c>
      <c r="B145" s="4">
        <v>46014</v>
      </c>
      <c r="C145" s="5">
        <v>0.75899305555555552</v>
      </c>
      <c r="D145" s="8" t="s">
        <v>91</v>
      </c>
      <c r="E145" s="8" t="s">
        <v>7410</v>
      </c>
      <c r="F145" s="8" t="s">
        <v>60</v>
      </c>
      <c r="H145" s="8"/>
      <c r="I145" s="8" t="s">
        <v>7248</v>
      </c>
      <c r="J145" s="8" t="s">
        <v>2981</v>
      </c>
      <c r="K145" t="s">
        <v>7249</v>
      </c>
      <c r="L145" t="s">
        <v>7250</v>
      </c>
      <c r="M145" s="3" t="str">
        <f>HYPERLINK(склад2въезд[[#This Row],[RelativePath]])</f>
        <v>1 Ангар Склад 2 въезд\E33149364_6_20251223T181257Z.jpg</v>
      </c>
      <c r="N145" s="8" t="str">
        <f>VLOOKUP(склад2въезд[[#This Row],[Name]], СпрСобытий!$F:$G, 2, FALSE)</f>
        <v>Ангар Склад 2 въезд</v>
      </c>
    </row>
    <row r="146" spans="1:14" x14ac:dyDescent="0.25">
      <c r="A146" s="2" t="s">
        <v>14</v>
      </c>
      <c r="B146" s="4">
        <v>46014</v>
      </c>
      <c r="C146" s="5">
        <v>0.81598379629629625</v>
      </c>
      <c r="D146" s="8" t="s">
        <v>62</v>
      </c>
      <c r="E146" s="8" t="s">
        <v>7410</v>
      </c>
      <c r="F146" s="8" t="s">
        <v>51</v>
      </c>
      <c r="H146" s="8"/>
      <c r="I146" s="8" t="s">
        <v>7251</v>
      </c>
      <c r="J146" s="8" t="s">
        <v>2981</v>
      </c>
      <c r="K146" t="s">
        <v>7252</v>
      </c>
      <c r="L146" t="s">
        <v>7253</v>
      </c>
      <c r="M146" s="3" t="str">
        <f>HYPERLINK(склад2въезд[[#This Row],[RelativePath]])</f>
        <v>1 Ангар Склад 2 въезд\E33149364_6_20251223T193501Z.jpg</v>
      </c>
      <c r="N146" s="8" t="str">
        <f>VLOOKUP(склад2въезд[[#This Row],[Name]], СпрСобытий!$F:$G, 2, FALSE)</f>
        <v>Ангар Склад 2 въезд</v>
      </c>
    </row>
    <row r="147" spans="1:14" x14ac:dyDescent="0.25">
      <c r="A147" s="2" t="s">
        <v>15</v>
      </c>
      <c r="B147" s="4">
        <v>46015</v>
      </c>
      <c r="C147" s="5">
        <v>0.71590277777777778</v>
      </c>
      <c r="D147" s="8" t="s">
        <v>2004</v>
      </c>
      <c r="E147" s="8"/>
      <c r="F147" s="8"/>
      <c r="H147" s="8"/>
      <c r="I147" s="8" t="s">
        <v>7418</v>
      </c>
      <c r="J147" s="8" t="s">
        <v>2981</v>
      </c>
      <c r="K147" t="s">
        <v>7419</v>
      </c>
      <c r="L147" t="s">
        <v>7420</v>
      </c>
      <c r="M147" s="3" t="str">
        <f>HYPERLINK(склад2въезд[[#This Row],[RelativePath]])</f>
        <v>1 Ангар Склад 2 въезд\E33149364_6_20251224T171054Z.jpg</v>
      </c>
      <c r="N147" s="8" t="str">
        <f>VLOOKUP(склад2въезд[[#This Row],[Name]], СпрСобытий!$F:$G, 2, FALSE)</f>
        <v>Ангар Склад 2 въезд</v>
      </c>
    </row>
    <row r="148" spans="1:14" x14ac:dyDescent="0.25">
      <c r="A148" s="2" t="s">
        <v>15</v>
      </c>
      <c r="B148" s="4">
        <v>46015</v>
      </c>
      <c r="C148" s="5">
        <v>0.88572916666666668</v>
      </c>
      <c r="D148" s="8" t="s">
        <v>91</v>
      </c>
      <c r="E148" s="8" t="s">
        <v>7706</v>
      </c>
      <c r="F148" s="8" t="s">
        <v>60</v>
      </c>
      <c r="H148" s="8"/>
      <c r="I148" s="8" t="s">
        <v>7421</v>
      </c>
      <c r="J148" s="8" t="s">
        <v>2981</v>
      </c>
      <c r="K148" t="s">
        <v>7422</v>
      </c>
      <c r="L148" t="s">
        <v>7423</v>
      </c>
      <c r="M148" s="3" t="str">
        <f>HYPERLINK(склад2въезд[[#This Row],[RelativePath]])</f>
        <v>1 Ангар Склад 2 въезд\E33149364_6_20251224T211527Z.jpg</v>
      </c>
      <c r="N148" s="8" t="str">
        <f>VLOOKUP(склад2въезд[[#This Row],[Name]], СпрСобытий!$F:$G, 2, FALSE)</f>
        <v>Ангар Склад 2 въезд</v>
      </c>
    </row>
    <row r="149" spans="1:14" x14ac:dyDescent="0.25">
      <c r="A149" s="2" t="s">
        <v>16</v>
      </c>
      <c r="B149" s="4">
        <v>46016</v>
      </c>
      <c r="C149" s="5">
        <v>0.49247685185185186</v>
      </c>
      <c r="D149" s="8" t="s">
        <v>62</v>
      </c>
      <c r="E149" s="8" t="s">
        <v>7706</v>
      </c>
      <c r="F149" s="8" t="s">
        <v>51</v>
      </c>
      <c r="H149" s="8"/>
      <c r="I149" s="8" t="s">
        <v>7424</v>
      </c>
      <c r="J149" s="8" t="s">
        <v>2981</v>
      </c>
      <c r="K149" t="s">
        <v>7425</v>
      </c>
      <c r="L149" t="s">
        <v>7426</v>
      </c>
      <c r="M149" s="3" t="str">
        <f>HYPERLINK(склад2въезд[[#This Row],[RelativePath]])</f>
        <v>1 Ангар Склад 2 въезд\E33149364_6_20251225T114910Z.jpg</v>
      </c>
      <c r="N149" s="8" t="str">
        <f>VLOOKUP(склад2въезд[[#This Row],[Name]], СпрСобытий!$F:$G, 2, FALSE)</f>
        <v>Ангар Склад 2 въезд</v>
      </c>
    </row>
    <row r="150" spans="1:14" x14ac:dyDescent="0.25">
      <c r="A150" s="2" t="s">
        <v>16</v>
      </c>
      <c r="B150" s="4">
        <v>46016</v>
      </c>
      <c r="C150" s="5">
        <v>0.4972685185185185</v>
      </c>
      <c r="D150" s="8" t="s">
        <v>91</v>
      </c>
      <c r="E150" s="8" t="s">
        <v>70</v>
      </c>
      <c r="F150" s="8" t="s">
        <v>51</v>
      </c>
      <c r="H150" s="8"/>
      <c r="I150" s="8" t="s">
        <v>7427</v>
      </c>
      <c r="J150" s="8" t="s">
        <v>2981</v>
      </c>
      <c r="K150" t="s">
        <v>7428</v>
      </c>
      <c r="L150" t="s">
        <v>7429</v>
      </c>
      <c r="M150" s="3" t="str">
        <f>HYPERLINK(склад2въезд[[#This Row],[RelativePath]])</f>
        <v>1 Ангар Склад 2 въезд\E33149364_6_20251225T115604Z.jpg</v>
      </c>
      <c r="N150" s="8" t="str">
        <f>VLOOKUP(склад2въезд[[#This Row],[Name]], СпрСобытий!$F:$G, 2, FALSE)</f>
        <v>Ангар Склад 2 въезд</v>
      </c>
    </row>
    <row r="151" spans="1:14" x14ac:dyDescent="0.25">
      <c r="A151" s="2" t="s">
        <v>16</v>
      </c>
      <c r="B151" s="4">
        <v>46016</v>
      </c>
      <c r="C151" s="5">
        <v>0.51089120370370367</v>
      </c>
      <c r="D151" s="8" t="s">
        <v>91</v>
      </c>
      <c r="E151" s="8" t="s">
        <v>4193</v>
      </c>
      <c r="F151" s="8" t="s">
        <v>51</v>
      </c>
      <c r="H151" s="8"/>
      <c r="I151" s="8" t="s">
        <v>7430</v>
      </c>
      <c r="J151" s="8" t="s">
        <v>2981</v>
      </c>
      <c r="K151" t="s">
        <v>7431</v>
      </c>
      <c r="L151" t="s">
        <v>7432</v>
      </c>
      <c r="M151" s="3" t="str">
        <f>HYPERLINK(склад2въезд[[#This Row],[RelativePath]])</f>
        <v>1 Ангар Склад 2 въезд\E33149364_6_20251225T121541Z.jpg</v>
      </c>
      <c r="N151" s="8" t="str">
        <f>VLOOKUP(склад2въезд[[#This Row],[Name]], СпрСобытий!$F:$G, 2, FALSE)</f>
        <v>Ангар Склад 2 въезд</v>
      </c>
    </row>
    <row r="152" spans="1:14" x14ac:dyDescent="0.25">
      <c r="A152" s="2" t="s">
        <v>16</v>
      </c>
      <c r="B152" s="4">
        <v>46016</v>
      </c>
      <c r="C152" s="5">
        <v>0.51115740740740745</v>
      </c>
      <c r="D152" s="8" t="s">
        <v>62</v>
      </c>
      <c r="E152" s="8" t="s">
        <v>70</v>
      </c>
      <c r="F152" s="8" t="s">
        <v>58</v>
      </c>
      <c r="H152" s="8"/>
      <c r="I152" s="8" t="s">
        <v>7433</v>
      </c>
      <c r="J152" s="8" t="s">
        <v>2981</v>
      </c>
      <c r="K152" t="s">
        <v>7434</v>
      </c>
      <c r="L152" t="s">
        <v>7435</v>
      </c>
      <c r="M152" s="3" t="str">
        <f>HYPERLINK(склад2въезд[[#This Row],[RelativePath]])</f>
        <v>1 Ангар Склад 2 въезд\E33149364_6_20251225T121604Z.jpg</v>
      </c>
      <c r="N152" s="8" t="str">
        <f>VLOOKUP(склад2въезд[[#This Row],[Name]], СпрСобытий!$F:$G, 2, FALSE)</f>
        <v>Ангар Склад 2 въезд</v>
      </c>
    </row>
    <row r="153" spans="1:14" x14ac:dyDescent="0.25">
      <c r="A153" s="2" t="s">
        <v>16</v>
      </c>
      <c r="B153" s="4">
        <v>46016</v>
      </c>
      <c r="C153" s="5">
        <v>0.62315972222222227</v>
      </c>
      <c r="D153" s="8" t="s">
        <v>62</v>
      </c>
      <c r="E153" s="8" t="s">
        <v>4193</v>
      </c>
      <c r="F153" s="8" t="s">
        <v>4240</v>
      </c>
      <c r="H153" s="8"/>
      <c r="I153" s="8" t="s">
        <v>7436</v>
      </c>
      <c r="J153" s="8" t="s">
        <v>2981</v>
      </c>
      <c r="K153" t="s">
        <v>7437</v>
      </c>
      <c r="L153" t="s">
        <v>7438</v>
      </c>
      <c r="M153" s="3" t="str">
        <f>HYPERLINK(склад2въезд[[#This Row],[RelativePath]])</f>
        <v>1 Ангар Склад 2 въезд\E33149364_6_20251225T145721Z.jpg</v>
      </c>
      <c r="N153" s="8" t="str">
        <f>VLOOKUP(склад2въезд[[#This Row],[Name]], СпрСобытий!$F:$G, 2, FALSE)</f>
        <v>Ангар Склад 2 въезд</v>
      </c>
    </row>
    <row r="154" spans="1:14" x14ac:dyDescent="0.25">
      <c r="A154" s="2" t="s">
        <v>17</v>
      </c>
      <c r="B154" s="4">
        <v>46017</v>
      </c>
      <c r="C154" s="5">
        <v>0.41902777777777778</v>
      </c>
      <c r="D154" s="8" t="s">
        <v>91</v>
      </c>
      <c r="E154" s="8" t="s">
        <v>4193</v>
      </c>
      <c r="F154" s="8" t="s">
        <v>5076</v>
      </c>
      <c r="H154" s="8"/>
      <c r="I154" s="8" t="s">
        <v>7723</v>
      </c>
      <c r="J154" s="8" t="s">
        <v>2981</v>
      </c>
      <c r="K154" t="s">
        <v>7724</v>
      </c>
      <c r="L154" t="s">
        <v>7725</v>
      </c>
      <c r="M154" s="3" t="str">
        <f>HYPERLINK(склад2въезд[[#This Row],[RelativePath]])</f>
        <v>1 Ангар Склад 2 въезд\E33149364_6_20251226T100324Z.jpg</v>
      </c>
      <c r="N154" s="8" t="str">
        <f>VLOOKUP(склад2въезд[[#This Row],[Name]], СпрСобытий!$F:$G, 2, FALSE)</f>
        <v>Ангар Склад 2 въезд</v>
      </c>
    </row>
    <row r="155" spans="1:14" x14ac:dyDescent="0.25">
      <c r="A155" s="2" t="s">
        <v>17</v>
      </c>
      <c r="B155" s="4">
        <v>46017</v>
      </c>
      <c r="C155" s="5">
        <v>0.49219907407407409</v>
      </c>
      <c r="D155" s="8" t="s">
        <v>62</v>
      </c>
      <c r="E155" s="8" t="s">
        <v>4193</v>
      </c>
      <c r="F155" s="8" t="s">
        <v>5076</v>
      </c>
      <c r="H155" s="8"/>
      <c r="I155" s="8" t="s">
        <v>7726</v>
      </c>
      <c r="J155" s="8" t="s">
        <v>2981</v>
      </c>
      <c r="K155" t="s">
        <v>7727</v>
      </c>
      <c r="L155" t="s">
        <v>7728</v>
      </c>
      <c r="M155" s="3" t="str">
        <f>HYPERLINK(склад2въезд[[#This Row],[RelativePath]])</f>
        <v>1 Ангар Склад 2 въезд\E33149364_6_20251226T114846Z.jpg</v>
      </c>
      <c r="N155" s="8" t="str">
        <f>VLOOKUP(склад2въезд[[#This Row],[Name]], СпрСобытий!$F:$G, 2, FALSE)</f>
        <v>Ангар Склад 2 въезд</v>
      </c>
    </row>
    <row r="156" spans="1:14" x14ac:dyDescent="0.25">
      <c r="A156" s="2" t="s">
        <v>18</v>
      </c>
      <c r="B156" s="4">
        <v>46018</v>
      </c>
      <c r="C156" s="5">
        <v>0.43266203703703704</v>
      </c>
      <c r="D156" s="8" t="s">
        <v>64</v>
      </c>
      <c r="E156" s="8" t="s">
        <v>4193</v>
      </c>
      <c r="F156" s="8" t="s">
        <v>5076</v>
      </c>
      <c r="H156" s="8"/>
      <c r="I156" s="8" t="s">
        <v>7890</v>
      </c>
      <c r="J156" s="8" t="s">
        <v>2981</v>
      </c>
      <c r="K156" t="s">
        <v>7891</v>
      </c>
      <c r="L156" t="s">
        <v>7892</v>
      </c>
      <c r="M156" s="3" t="str">
        <f>HYPERLINK(склад2въезд[[#This Row],[RelativePath]])</f>
        <v>1 Ангар Склад 2 въезд\E33149364_6_20251227T102302Z.jpg</v>
      </c>
      <c r="N156" s="8" t="str">
        <f>VLOOKUP(склад2въезд[[#This Row],[Name]], СпрСобытий!$F:$G, 2, FALSE)</f>
        <v>Ангар Склад 2 въезд</v>
      </c>
    </row>
    <row r="157" spans="1:14" x14ac:dyDescent="0.25">
      <c r="A157" s="2" t="s">
        <v>18</v>
      </c>
      <c r="B157" s="4">
        <v>46018</v>
      </c>
      <c r="C157" s="5">
        <v>0.58099537037037041</v>
      </c>
      <c r="D157" s="8" t="s">
        <v>85</v>
      </c>
      <c r="E157" s="8" t="s">
        <v>4193</v>
      </c>
      <c r="F157" s="8" t="s">
        <v>5076</v>
      </c>
      <c r="H157" s="8"/>
      <c r="I157" s="8" t="s">
        <v>7893</v>
      </c>
      <c r="J157" s="8" t="s">
        <v>2981</v>
      </c>
      <c r="K157" t="s">
        <v>7894</v>
      </c>
      <c r="L157" t="s">
        <v>7895</v>
      </c>
      <c r="M157" s="3" t="str">
        <f>HYPERLINK(склад2въезд[[#This Row],[RelativePath]])</f>
        <v>1 Ангар Склад 2 въезд\E33149364_6_20251227T135638Z.jpg</v>
      </c>
      <c r="N157" s="8" t="str">
        <f>VLOOKUP(склад2въезд[[#This Row],[Name]], СпрСобытий!$F:$G, 2, FALSE)</f>
        <v>Ангар Склад 2 въезд</v>
      </c>
    </row>
    <row r="158" spans="1:14" x14ac:dyDescent="0.25">
      <c r="A158" s="2" t="s">
        <v>18</v>
      </c>
      <c r="B158" s="4">
        <v>46018</v>
      </c>
      <c r="C158" s="5">
        <v>0.59091435185185182</v>
      </c>
      <c r="D158" s="8" t="s">
        <v>91</v>
      </c>
      <c r="E158" s="8" t="s">
        <v>6329</v>
      </c>
      <c r="F158" s="8" t="s">
        <v>5076</v>
      </c>
      <c r="H158" s="8"/>
      <c r="I158" s="8" t="s">
        <v>7896</v>
      </c>
      <c r="J158" s="8" t="s">
        <v>2981</v>
      </c>
      <c r="K158" t="s">
        <v>7897</v>
      </c>
      <c r="L158" t="s">
        <v>7898</v>
      </c>
      <c r="M158" s="3" t="str">
        <f>HYPERLINK(склад2въезд[[#This Row],[RelativePath]])</f>
        <v>1 Ангар Склад 2 въезд\E33149364_6_20251227T141055Z.jpg</v>
      </c>
      <c r="N158" s="8" t="str">
        <f>VLOOKUP(склад2въезд[[#This Row],[Name]], СпрСобытий!$F:$G, 2, FALSE)</f>
        <v>Ангар Склад 2 въезд</v>
      </c>
    </row>
    <row r="159" spans="1:14" x14ac:dyDescent="0.25">
      <c r="A159" s="2" t="s">
        <v>18</v>
      </c>
      <c r="B159" s="4">
        <v>46018</v>
      </c>
      <c r="C159" s="5">
        <v>0.61064814814814816</v>
      </c>
      <c r="D159" s="8" t="s">
        <v>62</v>
      </c>
      <c r="E159" s="8" t="s">
        <v>6329</v>
      </c>
      <c r="F159" s="8" t="s">
        <v>5076</v>
      </c>
      <c r="H159" s="8"/>
      <c r="I159" s="8" t="s">
        <v>7899</v>
      </c>
      <c r="J159" s="8" t="s">
        <v>2981</v>
      </c>
      <c r="K159" t="s">
        <v>7900</v>
      </c>
      <c r="L159" t="s">
        <v>7901</v>
      </c>
      <c r="M159" s="3" t="str">
        <f>HYPERLINK(склад2въезд[[#This Row],[RelativePath]])</f>
        <v>1 Ангар Склад 2 въезд\E33149364_6_20251227T143920Z.jpg</v>
      </c>
      <c r="N159" s="8" t="str">
        <f>VLOOKUP(склад2въезд[[#This Row],[Name]], СпрСобытий!$F:$G, 2, FALSE)</f>
        <v>Ангар Склад 2 въезд</v>
      </c>
    </row>
    <row r="160" spans="1:14" x14ac:dyDescent="0.25">
      <c r="A160" s="2" t="s">
        <v>22</v>
      </c>
      <c r="B160" s="4">
        <v>46019</v>
      </c>
      <c r="C160" s="5">
        <v>0.50267361111111108</v>
      </c>
      <c r="D160" s="8" t="s">
        <v>91</v>
      </c>
      <c r="E160" s="8" t="s">
        <v>4193</v>
      </c>
      <c r="F160" s="8" t="s">
        <v>5076</v>
      </c>
      <c r="H160" s="8"/>
      <c r="I160" s="8" t="s">
        <v>7902</v>
      </c>
      <c r="J160" s="8" t="s">
        <v>2981</v>
      </c>
      <c r="K160" t="s">
        <v>7903</v>
      </c>
      <c r="L160" t="s">
        <v>7904</v>
      </c>
      <c r="M160" s="3" t="str">
        <f>HYPERLINK(склад2въезд[[#This Row],[RelativePath]])</f>
        <v>1 Ангар Склад 2 въезд\E33149364_6_20251228T120351Z.jpg</v>
      </c>
      <c r="N160" s="8" t="str">
        <f>VLOOKUP(склад2въезд[[#This Row],[Name]], СпрСобытий!$F:$G, 2, FALSE)</f>
        <v>Ангар Склад 2 въезд</v>
      </c>
    </row>
    <row r="161" spans="1:14" x14ac:dyDescent="0.25">
      <c r="A161" s="2" t="s">
        <v>22</v>
      </c>
      <c r="B161" s="4">
        <v>46019</v>
      </c>
      <c r="C161" s="5">
        <v>0.50665509259259256</v>
      </c>
      <c r="D161" s="8" t="s">
        <v>62</v>
      </c>
      <c r="E161" s="8" t="s">
        <v>4193</v>
      </c>
      <c r="F161" s="8" t="s">
        <v>5076</v>
      </c>
      <c r="H161" s="8"/>
      <c r="I161" s="8" t="s">
        <v>7905</v>
      </c>
      <c r="J161" s="8" t="s">
        <v>2981</v>
      </c>
      <c r="K161" t="s">
        <v>7906</v>
      </c>
      <c r="L161" t="s">
        <v>7907</v>
      </c>
      <c r="M161" s="3" t="str">
        <f>HYPERLINK(склад2въезд[[#This Row],[RelativePath]])</f>
        <v>1 Ангар Склад 2 въезд\E33149364_6_20251228T120935Z.jpg</v>
      </c>
      <c r="N161" s="8" t="str">
        <f>VLOOKUP(склад2въезд[[#This Row],[Name]], СпрСобытий!$F:$G, 2, FALSE)</f>
        <v>Ангар Склад 2 въезд</v>
      </c>
    </row>
    <row r="162" spans="1:14" x14ac:dyDescent="0.25">
      <c r="A162" s="2" t="s">
        <v>22</v>
      </c>
      <c r="B162" s="4">
        <v>46019</v>
      </c>
      <c r="C162" s="5">
        <v>0.50677083333333328</v>
      </c>
      <c r="D162" s="8" t="s">
        <v>8040</v>
      </c>
      <c r="E162" s="8" t="s">
        <v>4193</v>
      </c>
      <c r="F162" s="8" t="s">
        <v>5076</v>
      </c>
      <c r="H162" s="8"/>
      <c r="I162" s="8" t="s">
        <v>7908</v>
      </c>
      <c r="J162" s="8" t="s">
        <v>2981</v>
      </c>
      <c r="K162" t="s">
        <v>7909</v>
      </c>
      <c r="L162" t="s">
        <v>7910</v>
      </c>
      <c r="M162" s="3" t="str">
        <f>HYPERLINK(склад2въезд[[#This Row],[RelativePath]])</f>
        <v>1 Ангар Склад 2 въезд\E33149364_6_20251228T120945Z.jpg</v>
      </c>
      <c r="N162" s="8" t="str">
        <f>VLOOKUP(склад2въезд[[#This Row],[Name]], СпрСобытий!$F:$G, 2, FALSE)</f>
        <v>Ангар Склад 2 въезд</v>
      </c>
    </row>
    <row r="163" spans="1:14" x14ac:dyDescent="0.25">
      <c r="A163" s="2" t="s">
        <v>22</v>
      </c>
      <c r="B163" s="4">
        <v>46019</v>
      </c>
      <c r="C163" s="5">
        <v>0.50702546296296291</v>
      </c>
      <c r="D163" s="8" t="s">
        <v>64</v>
      </c>
      <c r="E163" s="8" t="s">
        <v>4193</v>
      </c>
      <c r="F163" s="8" t="s">
        <v>5076</v>
      </c>
      <c r="H163" s="8"/>
      <c r="I163" s="8" t="s">
        <v>7911</v>
      </c>
      <c r="J163" s="8" t="s">
        <v>2981</v>
      </c>
      <c r="K163" t="s">
        <v>7912</v>
      </c>
      <c r="L163" t="s">
        <v>7913</v>
      </c>
      <c r="M163" s="3" t="str">
        <f>HYPERLINK(склад2въезд[[#This Row],[RelativePath]])</f>
        <v>1 Ангар Склад 2 въезд\E33149364_6_20251228T121007Z.jpg</v>
      </c>
      <c r="N163" s="8" t="str">
        <f>VLOOKUP(склад2въезд[[#This Row],[Name]], СпрСобытий!$F:$G, 2, FALSE)</f>
        <v>Ангар Склад 2 въезд</v>
      </c>
    </row>
    <row r="164" spans="1:14" x14ac:dyDescent="0.25">
      <c r="A164" s="2" t="s">
        <v>22</v>
      </c>
      <c r="B164" s="4">
        <v>46019</v>
      </c>
      <c r="C164" s="5">
        <v>0.55590277777777775</v>
      </c>
      <c r="D164" s="8" t="s">
        <v>62</v>
      </c>
      <c r="E164" s="8" t="s">
        <v>6190</v>
      </c>
      <c r="F164" s="8" t="s">
        <v>51</v>
      </c>
      <c r="H164" s="8"/>
      <c r="I164" s="8" t="s">
        <v>7914</v>
      </c>
      <c r="J164" s="8" t="s">
        <v>2981</v>
      </c>
      <c r="K164" t="s">
        <v>7915</v>
      </c>
      <c r="L164" t="s">
        <v>7916</v>
      </c>
      <c r="M164" s="3" t="str">
        <f>HYPERLINK(склад2въезд[[#This Row],[RelativePath]])</f>
        <v>1 Ангар Склад 2 въезд\E33149364_6_20251228T132030Z.jpg</v>
      </c>
      <c r="N164" s="8" t="str">
        <f>VLOOKUP(склад2въезд[[#This Row],[Name]], СпрСобытий!$F:$G, 2, FALSE)</f>
        <v>Ангар Склад 2 въезд</v>
      </c>
    </row>
    <row r="165" spans="1:14" x14ac:dyDescent="0.25">
      <c r="A165" s="2" t="s">
        <v>22</v>
      </c>
      <c r="B165" s="4">
        <v>46019</v>
      </c>
      <c r="C165" s="5">
        <v>0.64039351851851856</v>
      </c>
      <c r="D165" s="8" t="s">
        <v>85</v>
      </c>
      <c r="E165" s="8" t="s">
        <v>4193</v>
      </c>
      <c r="F165" s="8" t="s">
        <v>5076</v>
      </c>
      <c r="H165" s="8"/>
      <c r="I165" s="8" t="s">
        <v>7917</v>
      </c>
      <c r="J165" s="8" t="s">
        <v>2981</v>
      </c>
      <c r="K165" t="s">
        <v>7918</v>
      </c>
      <c r="L165" t="s">
        <v>7919</v>
      </c>
      <c r="M165" s="3" t="str">
        <f>HYPERLINK(склад2въезд[[#This Row],[RelativePath]])</f>
        <v>1 Ангар Склад 2 въезд\E33149364_6_20251228T152210Z.jpg</v>
      </c>
      <c r="N165" s="8" t="str">
        <f>VLOOKUP(склад2въезд[[#This Row],[Name]], СпрСобытий!$F:$G, 2, FALSE)</f>
        <v>Ангар Склад 2 въезд</v>
      </c>
    </row>
    <row r="166" spans="1:14" x14ac:dyDescent="0.25">
      <c r="A166" s="2" t="s">
        <v>22</v>
      </c>
      <c r="B166" s="4">
        <v>46019</v>
      </c>
      <c r="C166" s="5">
        <v>0.66840277777777779</v>
      </c>
      <c r="D166" s="8" t="s">
        <v>91</v>
      </c>
      <c r="E166" s="8" t="s">
        <v>8041</v>
      </c>
      <c r="F166" s="8"/>
      <c r="H166" s="8"/>
      <c r="I166" s="8" t="s">
        <v>7920</v>
      </c>
      <c r="J166" s="8" t="s">
        <v>2981</v>
      </c>
      <c r="K166" t="s">
        <v>7921</v>
      </c>
      <c r="L166" t="s">
        <v>7922</v>
      </c>
      <c r="M166" s="3" t="str">
        <f>HYPERLINK(склад2въезд[[#This Row],[RelativePath]])</f>
        <v>1 Ангар Склад 2 въезд\E33149364_6_20251228T160230Z.jpg</v>
      </c>
      <c r="N166" s="8" t="str">
        <f>VLOOKUP(склад2въезд[[#This Row],[Name]], СпрСобытий!$F:$G, 2, FALSE)</f>
        <v>Ангар Склад 2 въезд</v>
      </c>
    </row>
    <row r="167" spans="1:14" x14ac:dyDescent="0.25">
      <c r="A167" s="2" t="s">
        <v>22</v>
      </c>
      <c r="B167" s="4">
        <v>46019</v>
      </c>
      <c r="C167" s="5">
        <v>0.66979166666666667</v>
      </c>
      <c r="D167" s="8" t="s">
        <v>62</v>
      </c>
      <c r="E167" s="8" t="s">
        <v>8041</v>
      </c>
      <c r="F167" s="8"/>
      <c r="H167" s="8"/>
      <c r="I167" s="8" t="s">
        <v>7923</v>
      </c>
      <c r="J167" s="8" t="s">
        <v>2981</v>
      </c>
      <c r="K167" t="s">
        <v>7924</v>
      </c>
      <c r="L167" t="s">
        <v>7925</v>
      </c>
      <c r="M167" s="3" t="str">
        <f>HYPERLINK(склад2въезд[[#This Row],[RelativePath]])</f>
        <v>1 Ангар Склад 2 въезд\E33149364_6_20251228T160430Z.jpg</v>
      </c>
      <c r="N167" s="8" t="str">
        <f>VLOOKUP(склад2въезд[[#This Row],[Name]], СпрСобытий!$F:$G, 2, FALSE)</f>
        <v>Ангар Склад 2 въезд</v>
      </c>
    </row>
    <row r="168" spans="1:14" x14ac:dyDescent="0.25">
      <c r="A168" s="2" t="s">
        <v>22</v>
      </c>
      <c r="B168" s="4">
        <v>46019</v>
      </c>
      <c r="C168" s="5">
        <v>0.88868055555555558</v>
      </c>
      <c r="D168" s="8" t="s">
        <v>91</v>
      </c>
      <c r="E168" s="8" t="s">
        <v>6190</v>
      </c>
      <c r="F168" s="8" t="s">
        <v>51</v>
      </c>
      <c r="H168" s="8"/>
      <c r="I168" s="8" t="s">
        <v>7926</v>
      </c>
      <c r="J168" s="8" t="s">
        <v>2981</v>
      </c>
      <c r="K168" t="s">
        <v>7927</v>
      </c>
      <c r="L168" t="s">
        <v>7928</v>
      </c>
      <c r="M168" s="3" t="str">
        <f>HYPERLINK(склад2въезд[[#This Row],[RelativePath]])</f>
        <v>1 Ангар Склад 2 въезд\E33149364_6_20251228T211942Z.jpg</v>
      </c>
      <c r="N168" s="8" t="str">
        <f>VLOOKUP(склад2въезд[[#This Row],[Name]], СпрСобытий!$F:$G, 2, FALSE)</f>
        <v>Ангар Склад 2 въезд</v>
      </c>
    </row>
    <row r="169" spans="1:14" x14ac:dyDescent="0.25">
      <c r="A169" s="2" t="s">
        <v>13</v>
      </c>
      <c r="B169" s="4">
        <v>46020</v>
      </c>
      <c r="C169" s="5">
        <v>0.50027777777777782</v>
      </c>
      <c r="D169" s="8" t="s">
        <v>91</v>
      </c>
      <c r="E169" s="8" t="s">
        <v>70</v>
      </c>
      <c r="F169" s="8" t="s">
        <v>58</v>
      </c>
      <c r="H169" s="8"/>
      <c r="I169" s="8" t="s">
        <v>8054</v>
      </c>
      <c r="J169" s="8" t="s">
        <v>2981</v>
      </c>
      <c r="K169" t="s">
        <v>8055</v>
      </c>
      <c r="L169" t="s">
        <v>8056</v>
      </c>
      <c r="M169" s="3" t="str">
        <f>HYPERLINK(склад2въезд[[#This Row],[RelativePath]])</f>
        <v>1 Ангар Склад 2 въезд\E33149364_6_20251229T120024Z.jpg</v>
      </c>
      <c r="N169" s="8" t="str">
        <f>VLOOKUP(склад2въезд[[#This Row],[Name]], СпрСобытий!$F:$G, 2, FALSE)</f>
        <v>Ангар Склад 2 въезд</v>
      </c>
    </row>
    <row r="170" spans="1:14" x14ac:dyDescent="0.25">
      <c r="A170" s="2" t="s">
        <v>13</v>
      </c>
      <c r="B170" s="4">
        <v>46020</v>
      </c>
      <c r="C170" s="5">
        <v>0.51784722222222224</v>
      </c>
      <c r="D170" s="8" t="s">
        <v>62</v>
      </c>
      <c r="E170" s="8" t="s">
        <v>70</v>
      </c>
      <c r="F170" s="8" t="s">
        <v>51</v>
      </c>
      <c r="H170" s="8"/>
      <c r="I170" s="8" t="s">
        <v>8057</v>
      </c>
      <c r="J170" s="8" t="s">
        <v>2981</v>
      </c>
      <c r="K170" t="s">
        <v>8058</v>
      </c>
      <c r="L170" t="s">
        <v>8059</v>
      </c>
      <c r="M170" s="3" t="str">
        <f>HYPERLINK(склад2въезд[[#This Row],[RelativePath]])</f>
        <v>1 Ангар Склад 2 въезд\E33149364_6_20251229T122542Z.jpg</v>
      </c>
      <c r="N170" s="8" t="str">
        <f>VLOOKUP(склад2въезд[[#This Row],[Name]], СпрСобытий!$F:$G, 2, FALSE)</f>
        <v>Ангар Склад 2 въезд</v>
      </c>
    </row>
    <row r="171" spans="1:14" x14ac:dyDescent="0.25">
      <c r="A171" s="2" t="s">
        <v>13</v>
      </c>
      <c r="B171" s="4">
        <v>46020</v>
      </c>
      <c r="C171" s="5">
        <v>0.64018518518518519</v>
      </c>
      <c r="D171" s="8" t="s">
        <v>91</v>
      </c>
      <c r="E171" s="8" t="s">
        <v>70</v>
      </c>
      <c r="F171" s="8" t="s">
        <v>5076</v>
      </c>
      <c r="H171" s="8"/>
      <c r="I171" s="8" t="s">
        <v>8060</v>
      </c>
      <c r="J171" s="8" t="s">
        <v>2981</v>
      </c>
      <c r="K171" t="s">
        <v>8061</v>
      </c>
      <c r="L171" t="s">
        <v>8062</v>
      </c>
      <c r="M171" s="3" t="str">
        <f>HYPERLINK(склад2въезд[[#This Row],[RelativePath]])</f>
        <v>1 Ангар Склад 2 въезд\E33149364_6_20251229T152152Z.jpg</v>
      </c>
      <c r="N171" s="8" t="str">
        <f>VLOOKUP(склад2въезд[[#This Row],[Name]], СпрСобытий!$F:$G, 2, FALSE)</f>
        <v>Ангар Склад 2 въезд</v>
      </c>
    </row>
    <row r="172" spans="1:14" x14ac:dyDescent="0.25">
      <c r="A172" s="2" t="s">
        <v>14</v>
      </c>
      <c r="B172" s="4">
        <v>46021</v>
      </c>
      <c r="C172" s="5">
        <v>0.58412037037037035</v>
      </c>
      <c r="D172" s="8" t="s">
        <v>62</v>
      </c>
      <c r="E172" s="8" t="s">
        <v>70</v>
      </c>
      <c r="F172" s="8" t="s">
        <v>5076</v>
      </c>
      <c r="H172" s="8"/>
      <c r="I172" s="8" t="s">
        <v>8063</v>
      </c>
      <c r="J172" s="8" t="s">
        <v>2981</v>
      </c>
      <c r="K172" t="s">
        <v>8064</v>
      </c>
      <c r="L172" t="s">
        <v>8065</v>
      </c>
      <c r="M172" s="3" t="str">
        <f>HYPERLINK(склад2въезд[[#This Row],[RelativePath]])</f>
        <v>1 Ангар Склад 2 въезд\E33149364_6_20251230T140108Z.jpg</v>
      </c>
      <c r="N172" s="8" t="str">
        <f>VLOOKUP(склад2въезд[[#This Row],[Name]], СпрСобытий!$F:$G, 2, FALSE)</f>
        <v>Ангар Склад 2 въезд</v>
      </c>
    </row>
    <row r="173" spans="1:14" x14ac:dyDescent="0.25">
      <c r="A173" s="2" t="s">
        <v>14</v>
      </c>
      <c r="B173" s="4">
        <v>46021</v>
      </c>
      <c r="C173" s="5">
        <v>0.71136574074074077</v>
      </c>
      <c r="D173" s="8" t="s">
        <v>62</v>
      </c>
      <c r="E173" s="8" t="s">
        <v>6190</v>
      </c>
      <c r="F173" s="8" t="s">
        <v>51</v>
      </c>
      <c r="H173" s="8"/>
      <c r="I173" s="8" t="s">
        <v>8066</v>
      </c>
      <c r="J173" s="8" t="s">
        <v>2981</v>
      </c>
      <c r="K173" t="s">
        <v>8067</v>
      </c>
      <c r="L173" t="s">
        <v>8068</v>
      </c>
      <c r="M173" s="3" t="str">
        <f>HYPERLINK(склад2въезд[[#This Row],[RelativePath]])</f>
        <v>1 Ангар Склад 2 въезд\E33149364_6_20251230T170422Z.jpg</v>
      </c>
      <c r="N173" s="8" t="str">
        <f>VLOOKUP(склад2въезд[[#This Row],[Name]], СпрСобытий!$F:$G, 2, FALSE)</f>
        <v>Ангар Склад 2 въезд</v>
      </c>
    </row>
    <row r="174" spans="1:14" x14ac:dyDescent="0.25">
      <c r="A174" s="2" t="s">
        <v>14</v>
      </c>
      <c r="B174" s="4">
        <v>46021</v>
      </c>
      <c r="C174" s="5">
        <v>0.81103009259259262</v>
      </c>
      <c r="D174" s="8" t="s">
        <v>91</v>
      </c>
      <c r="E174" s="8" t="s">
        <v>6190</v>
      </c>
      <c r="F174" s="8" t="s">
        <v>51</v>
      </c>
      <c r="H174" s="8"/>
      <c r="I174" s="8" t="s">
        <v>8069</v>
      </c>
      <c r="J174" s="8" t="s">
        <v>2981</v>
      </c>
      <c r="K174" t="s">
        <v>8070</v>
      </c>
      <c r="L174" t="s">
        <v>8071</v>
      </c>
      <c r="M174" s="3" t="str">
        <f>HYPERLINK(склад2въезд[[#This Row],[RelativePath]])</f>
        <v>1 Ангар Склад 2 въезд\E33149364_6_20251230T192753Z.jpg</v>
      </c>
      <c r="N174" s="8" t="str">
        <f>VLOOKUP(склад2въезд[[#This Row],[Name]], СпрСобытий!$F:$G, 2, FALSE)</f>
        <v>Ангар Склад 2 въезд</v>
      </c>
    </row>
    <row r="175" spans="1:14" x14ac:dyDescent="0.25">
      <c r="A175" s="2" t="s">
        <v>15</v>
      </c>
      <c r="B175" s="4">
        <v>46022</v>
      </c>
      <c r="C175" s="5">
        <v>0.68437499999999996</v>
      </c>
      <c r="D175" s="8" t="s">
        <v>2004</v>
      </c>
      <c r="E175" s="8"/>
      <c r="F175" s="8"/>
      <c r="H175" s="8"/>
      <c r="I175" s="8" t="s">
        <v>8072</v>
      </c>
      <c r="J175" s="8" t="s">
        <v>2981</v>
      </c>
      <c r="K175" t="s">
        <v>8073</v>
      </c>
      <c r="L175" t="s">
        <v>8074</v>
      </c>
      <c r="M175" s="3" t="str">
        <f>HYPERLINK(склад2въезд[[#This Row],[RelativePath]])</f>
        <v>1 Ангар Склад 2 въезд\E33149364_6_20251231T162530Z.jpg</v>
      </c>
      <c r="N175" s="8" t="str">
        <f>VLOOKUP(склад2въезд[[#This Row],[Name]], СпрСобытий!$F:$G, 2, FALSE)</f>
        <v>Ангар Склад 2 въезд</v>
      </c>
    </row>
    <row r="176" spans="1:14" x14ac:dyDescent="0.25">
      <c r="A176" s="2" t="s">
        <v>16</v>
      </c>
      <c r="B176" s="4">
        <v>46023</v>
      </c>
      <c r="C176" s="5">
        <v>0.61648148148148152</v>
      </c>
      <c r="D176" s="8" t="s">
        <v>2004</v>
      </c>
      <c r="E176" s="8"/>
      <c r="F176" s="8"/>
      <c r="H176" s="8"/>
      <c r="I176" s="8" t="s">
        <v>8075</v>
      </c>
      <c r="J176" s="8" t="s">
        <v>2981</v>
      </c>
      <c r="K176" t="s">
        <v>8076</v>
      </c>
      <c r="L176" t="s">
        <v>8077</v>
      </c>
      <c r="M176" s="3" t="str">
        <f>HYPERLINK(склад2въезд[[#This Row],[RelativePath]])</f>
        <v>1 Ангар Склад 2 въезд\E33149364_6_20260101T144744Z.jpg</v>
      </c>
      <c r="N176" s="8" t="str">
        <f>VLOOKUP(склад2въезд[[#This Row],[Name]], СпрСобытий!$F:$G, 2, FALSE)</f>
        <v>Ангар Склад 2 въезд</v>
      </c>
    </row>
    <row r="177" spans="1:14" x14ac:dyDescent="0.25">
      <c r="A177" s="2" t="s">
        <v>17</v>
      </c>
      <c r="B177" s="4">
        <v>46024</v>
      </c>
      <c r="C177" s="5">
        <v>0.69949074074074069</v>
      </c>
      <c r="D177" s="8" t="s">
        <v>2004</v>
      </c>
      <c r="E177" s="8"/>
      <c r="F177" s="8"/>
      <c r="H177" s="8"/>
      <c r="I177" s="8" t="s">
        <v>8372</v>
      </c>
      <c r="J177" s="8" t="s">
        <v>2981</v>
      </c>
      <c r="K177" t="s">
        <v>8373</v>
      </c>
      <c r="L177" t="s">
        <v>8374</v>
      </c>
      <c r="M177" s="3" t="str">
        <f>HYPERLINK(склад2въезд[[#This Row],[RelativePath]])</f>
        <v>1 Ангар Склад 2 въезд\E33149364_6_20260102T164716Z.jpg</v>
      </c>
      <c r="N177" s="8" t="str">
        <f>VLOOKUP(склад2въезд[[#This Row],[Name]], СпрСобытий!$F:$G, 2, FALSE)</f>
        <v>Ангар Склад 2 въезд</v>
      </c>
    </row>
    <row r="178" spans="1:14" x14ac:dyDescent="0.25">
      <c r="A178" s="2" t="s">
        <v>18</v>
      </c>
      <c r="B178" s="4">
        <v>46025</v>
      </c>
      <c r="C178" s="5">
        <v>0.6738425925925926</v>
      </c>
      <c r="D178" s="8" t="s">
        <v>91</v>
      </c>
      <c r="E178" s="8" t="s">
        <v>8483</v>
      </c>
      <c r="F178" s="8"/>
      <c r="H178" s="8"/>
      <c r="I178" s="8" t="s">
        <v>8375</v>
      </c>
      <c r="J178" s="8" t="s">
        <v>2981</v>
      </c>
      <c r="K178" t="s">
        <v>8376</v>
      </c>
      <c r="L178" t="s">
        <v>8377</v>
      </c>
      <c r="M178" s="3" t="str">
        <f>HYPERLINK(склад2въезд[[#This Row],[RelativePath]])</f>
        <v>1 Ангар Склад 2 въезд\E33149364_6_20260103T161020Z.jpg</v>
      </c>
      <c r="N178" s="8" t="str">
        <f>VLOOKUP(склад2въезд[[#This Row],[Name]], СпрСобытий!$F:$G, 2, FALSE)</f>
        <v>Ангар Склад 2 въезд</v>
      </c>
    </row>
    <row r="179" spans="1:14" x14ac:dyDescent="0.25">
      <c r="A179" s="2" t="s">
        <v>18</v>
      </c>
      <c r="B179" s="4">
        <v>46025</v>
      </c>
      <c r="C179" s="5">
        <v>0.68744212962962958</v>
      </c>
      <c r="D179" s="8" t="s">
        <v>62</v>
      </c>
      <c r="E179" s="8" t="s">
        <v>8483</v>
      </c>
      <c r="F179" s="8"/>
      <c r="H179" s="8"/>
      <c r="I179" s="8" t="s">
        <v>8378</v>
      </c>
      <c r="J179" s="8" t="s">
        <v>2981</v>
      </c>
      <c r="K179" t="s">
        <v>8379</v>
      </c>
      <c r="L179" t="s">
        <v>8380</v>
      </c>
      <c r="M179" s="3" t="str">
        <f>HYPERLINK(склад2въезд[[#This Row],[RelativePath]])</f>
        <v>1 Ангар Склад 2 въезд\E33149364_6_20260103T162955Z.jpg</v>
      </c>
      <c r="N179" s="8" t="str">
        <f>VLOOKUP(склад2въезд[[#This Row],[Name]], СпрСобытий!$F:$G, 2, FALSE)</f>
        <v>Ангар Склад 2 въезд</v>
      </c>
    </row>
    <row r="180" spans="1:14" x14ac:dyDescent="0.25">
      <c r="A180" s="2" t="s">
        <v>22</v>
      </c>
      <c r="B180" s="4">
        <v>46026</v>
      </c>
      <c r="C180" s="5">
        <v>0.67313657407407412</v>
      </c>
      <c r="D180" s="8" t="s">
        <v>2004</v>
      </c>
      <c r="E180" s="8"/>
      <c r="F180" s="8"/>
      <c r="H180" s="8"/>
      <c r="I180" s="8" t="s">
        <v>8381</v>
      </c>
      <c r="J180" s="8" t="s">
        <v>2981</v>
      </c>
      <c r="K180" t="s">
        <v>8382</v>
      </c>
      <c r="L180" t="s">
        <v>8383</v>
      </c>
      <c r="M180" s="3" t="str">
        <f>HYPERLINK(склад2въезд[[#This Row],[RelativePath]])</f>
        <v>1 Ангар Склад 2 въезд\E33149364_6_20260104T160919Z.jpg</v>
      </c>
      <c r="N180" s="8" t="str">
        <f>VLOOKUP(склад2въезд[[#This Row],[Name]], СпрСобытий!$F:$G, 2, FALSE)</f>
        <v>Ангар Склад 2 въезд</v>
      </c>
    </row>
    <row r="181" spans="1:14" x14ac:dyDescent="0.25">
      <c r="A181" s="2" t="s">
        <v>13</v>
      </c>
      <c r="B181" s="4">
        <v>46027</v>
      </c>
      <c r="C181" s="5">
        <v>0.71673611111111113</v>
      </c>
      <c r="D181" s="8" t="s">
        <v>2004</v>
      </c>
      <c r="E181" s="8"/>
      <c r="F181" s="8"/>
      <c r="H181" s="8"/>
      <c r="I181" s="8" t="s">
        <v>8505</v>
      </c>
      <c r="J181" s="8" t="s">
        <v>2981</v>
      </c>
      <c r="K181" t="s">
        <v>8506</v>
      </c>
      <c r="L181" t="s">
        <v>8507</v>
      </c>
      <c r="M181" s="3" t="str">
        <f>HYPERLINK(склад2въезд[[#This Row],[RelativePath]])</f>
        <v>1 Ангар Склад 2 въезд\E33149364_6_20260105T171206Z.jpg</v>
      </c>
      <c r="N181" s="8" t="str">
        <f>VLOOKUP(склад2въезд[[#This Row],[Name]], СпрСобытий!$F:$G, 2, FALSE)</f>
        <v>Ангар Склад 2 въезд</v>
      </c>
    </row>
    <row r="182" spans="1:14" x14ac:dyDescent="0.25">
      <c r="A182" s="2" t="s">
        <v>14</v>
      </c>
      <c r="B182" s="4">
        <v>46028</v>
      </c>
      <c r="C182" s="5">
        <v>0.58434027777777775</v>
      </c>
      <c r="D182" s="8" t="s">
        <v>91</v>
      </c>
      <c r="E182" s="8" t="s">
        <v>8799</v>
      </c>
      <c r="F182" s="8"/>
      <c r="H182" s="8"/>
      <c r="I182" s="8" t="s">
        <v>8508</v>
      </c>
      <c r="J182" s="8" t="s">
        <v>2981</v>
      </c>
      <c r="K182" t="s">
        <v>8509</v>
      </c>
      <c r="L182" t="s">
        <v>8510</v>
      </c>
      <c r="M182" s="3" t="str">
        <f>HYPERLINK(склад2въезд[[#This Row],[RelativePath]])</f>
        <v>1 Ангар Склад 2 въезд\E33149364_6_20260106T140127Z.jpg</v>
      </c>
      <c r="N182" s="8" t="str">
        <f>VLOOKUP(склад2въезд[[#This Row],[Name]], СпрСобытий!$F:$G, 2, FALSE)</f>
        <v>Ангар Склад 2 въезд</v>
      </c>
    </row>
    <row r="183" spans="1:14" x14ac:dyDescent="0.25">
      <c r="A183" s="2" t="s">
        <v>14</v>
      </c>
      <c r="B183" s="4">
        <v>46028</v>
      </c>
      <c r="C183" s="5">
        <v>0.5905555555555555</v>
      </c>
      <c r="D183" s="8" t="s">
        <v>62</v>
      </c>
      <c r="E183" s="8" t="s">
        <v>8799</v>
      </c>
      <c r="F183" s="8"/>
      <c r="H183" s="8"/>
      <c r="I183" s="8" t="s">
        <v>8511</v>
      </c>
      <c r="J183" s="8" t="s">
        <v>2981</v>
      </c>
      <c r="K183" t="s">
        <v>8512</v>
      </c>
      <c r="L183" t="s">
        <v>8513</v>
      </c>
      <c r="M183" s="3" t="str">
        <f>HYPERLINK(склад2въезд[[#This Row],[RelativePath]])</f>
        <v>1 Ангар Склад 2 въезд\E33149364_6_20260106T141024Z.jpg</v>
      </c>
      <c r="N183" s="8" t="str">
        <f>VLOOKUP(склад2въезд[[#This Row],[Name]], СпрСобытий!$F:$G, 2, FALSE)</f>
        <v>Ангар Склад 2 въезд</v>
      </c>
    </row>
    <row r="184" spans="1:14" x14ac:dyDescent="0.25">
      <c r="A184" s="2" t="s">
        <v>15</v>
      </c>
      <c r="B184" s="4">
        <v>46029</v>
      </c>
      <c r="C184" s="5">
        <v>0.68150462962962965</v>
      </c>
      <c r="D184" s="8" t="s">
        <v>2004</v>
      </c>
      <c r="E184" s="8"/>
      <c r="F184" s="8"/>
      <c r="H184" s="8"/>
      <c r="I184" s="8" t="s">
        <v>8514</v>
      </c>
      <c r="J184" s="8" t="s">
        <v>2981</v>
      </c>
      <c r="K184" t="s">
        <v>8515</v>
      </c>
      <c r="L184" t="s">
        <v>8516</v>
      </c>
      <c r="M184" s="3" t="str">
        <f>HYPERLINK(склад2въезд[[#This Row],[RelativePath]])</f>
        <v>1 Ангар Склад 2 въезд\E33149364_6_20260107T162122Z.jpg</v>
      </c>
      <c r="N184" s="8" t="str">
        <f>VLOOKUP(склад2въезд[[#This Row],[Name]], СпрСобытий!$F:$G, 2, FALSE)</f>
        <v>Ангар Склад 2 въезд</v>
      </c>
    </row>
    <row r="185" spans="1:14" x14ac:dyDescent="0.25">
      <c r="A185" s="2" t="s">
        <v>16</v>
      </c>
      <c r="B185" s="4">
        <v>46030</v>
      </c>
      <c r="C185" s="5">
        <v>0.74810185185185185</v>
      </c>
      <c r="D185" s="8" t="s">
        <v>91</v>
      </c>
      <c r="E185" s="8" t="s">
        <v>8352</v>
      </c>
      <c r="F185" s="8"/>
      <c r="H185" s="8"/>
      <c r="I185" s="8" t="s">
        <v>8517</v>
      </c>
      <c r="J185" s="8" t="s">
        <v>2981</v>
      </c>
      <c r="K185" t="s">
        <v>8518</v>
      </c>
      <c r="L185" t="s">
        <v>8519</v>
      </c>
      <c r="M185" s="3" t="str">
        <f>HYPERLINK(склад2въезд[[#This Row],[RelativePath]])</f>
        <v>1 Ангар Склад 2 въезд\E33149364_6_20260108T175716Z.jpg</v>
      </c>
      <c r="N185" s="8" t="str">
        <f>VLOOKUP(склад2въезд[[#This Row],[Name]], СпрСобытий!$F:$G, 2, FALSE)</f>
        <v>Ангар Склад 2 въезд</v>
      </c>
    </row>
    <row r="186" spans="1:14" x14ac:dyDescent="0.25">
      <c r="A186" s="2" t="s">
        <v>16</v>
      </c>
      <c r="B186" s="4">
        <v>46030</v>
      </c>
      <c r="C186" s="5">
        <v>0.74912037037037038</v>
      </c>
      <c r="D186" s="8" t="s">
        <v>62</v>
      </c>
      <c r="E186" s="8" t="s">
        <v>8352</v>
      </c>
      <c r="F186" s="8"/>
      <c r="H186" s="8"/>
      <c r="I186" s="8" t="s">
        <v>8520</v>
      </c>
      <c r="J186" s="8" t="s">
        <v>2981</v>
      </c>
      <c r="K186" t="s">
        <v>8521</v>
      </c>
      <c r="L186" t="s">
        <v>8522</v>
      </c>
      <c r="M186" s="3" t="str">
        <f>HYPERLINK(склад2въезд[[#This Row],[RelativePath]])</f>
        <v>1 Ангар Склад 2 въезд\E33149364_6_20260108T175844Z.jpg</v>
      </c>
      <c r="N186" s="8" t="str">
        <f>VLOOKUP(склад2въезд[[#This Row],[Name]], СпрСобытий!$F:$G, 2, FALSE)</f>
        <v>Ангар Склад 2 въезд</v>
      </c>
    </row>
    <row r="187" spans="1:14" x14ac:dyDescent="0.25">
      <c r="A187" s="2" t="s">
        <v>17</v>
      </c>
      <c r="B187" s="4">
        <v>46031</v>
      </c>
      <c r="C187" s="5">
        <v>0.66922453703703699</v>
      </c>
      <c r="D187" s="8" t="s">
        <v>91</v>
      </c>
      <c r="E187" s="8" t="s">
        <v>8800</v>
      </c>
      <c r="F187" s="8"/>
      <c r="H187" s="8"/>
      <c r="I187" s="8" t="s">
        <v>8523</v>
      </c>
      <c r="J187" s="8" t="s">
        <v>2981</v>
      </c>
      <c r="K187" t="s">
        <v>8524</v>
      </c>
      <c r="L187" t="s">
        <v>8525</v>
      </c>
      <c r="M187" s="3" t="str">
        <f>HYPERLINK(склад2въезд[[#This Row],[RelativePath]])</f>
        <v>1 Ангар Склад 2 въезд\E33149364_6_20260109T160341Z.jpg</v>
      </c>
      <c r="N187" s="8" t="str">
        <f>VLOOKUP(склад2въезд[[#This Row],[Name]], СпрСобытий!$F:$G, 2, FALSE)</f>
        <v>Ангар Склад 2 въезд</v>
      </c>
    </row>
    <row r="188" spans="1:14" x14ac:dyDescent="0.25">
      <c r="A188" s="2" t="s">
        <v>17</v>
      </c>
      <c r="B188" s="4">
        <v>46031</v>
      </c>
      <c r="C188" s="5">
        <v>0.67459490740740746</v>
      </c>
      <c r="D188" s="8" t="s">
        <v>62</v>
      </c>
      <c r="E188" s="8" t="s">
        <v>8800</v>
      </c>
      <c r="F188" s="8"/>
      <c r="H188" s="8"/>
      <c r="I188" s="8" t="s">
        <v>8526</v>
      </c>
      <c r="J188" s="8" t="s">
        <v>2981</v>
      </c>
      <c r="K188" t="s">
        <v>8527</v>
      </c>
      <c r="L188" t="s">
        <v>8528</v>
      </c>
      <c r="M188" s="3" t="str">
        <f>HYPERLINK(склад2въезд[[#This Row],[RelativePath]])</f>
        <v>1 Ангар Склад 2 въезд\E33149364_6_20260109T161125Z.jpg</v>
      </c>
      <c r="N188" s="8" t="str">
        <f>VLOOKUP(склад2въезд[[#This Row],[Name]], СпрСобытий!$F:$G, 2, FALSE)</f>
        <v>Ангар Склад 2 въезд</v>
      </c>
    </row>
    <row r="189" spans="1:14" x14ac:dyDescent="0.25">
      <c r="A189" s="2" t="s">
        <v>18</v>
      </c>
      <c r="B189" s="4">
        <v>46032</v>
      </c>
      <c r="C189" s="5">
        <v>0.52962962962962967</v>
      </c>
      <c r="D189" s="8" t="s">
        <v>91</v>
      </c>
      <c r="E189" s="8" t="s">
        <v>8801</v>
      </c>
      <c r="F189" s="8"/>
      <c r="H189" s="8"/>
      <c r="I189" s="8" t="s">
        <v>8529</v>
      </c>
      <c r="J189" s="8" t="s">
        <v>2981</v>
      </c>
      <c r="K189" t="s">
        <v>8530</v>
      </c>
      <c r="L189" t="s">
        <v>8531</v>
      </c>
      <c r="M189" s="3" t="str">
        <f>HYPERLINK(склад2въезд[[#This Row],[RelativePath]])</f>
        <v>1 Ангар Склад 2 въезд\E33149364_6_20260110T124240Z.jpg</v>
      </c>
      <c r="N189" s="8" t="str">
        <f>VLOOKUP(склад2въезд[[#This Row],[Name]], СпрСобытий!$F:$G, 2, FALSE)</f>
        <v>Ангар Склад 2 въезд</v>
      </c>
    </row>
    <row r="190" spans="1:14" x14ac:dyDescent="0.25">
      <c r="A190" s="2" t="s">
        <v>18</v>
      </c>
      <c r="B190" s="4">
        <v>46032</v>
      </c>
      <c r="C190" s="5">
        <v>0.54556712962962961</v>
      </c>
      <c r="D190" s="8" t="s">
        <v>62</v>
      </c>
      <c r="E190" s="8" t="s">
        <v>8801</v>
      </c>
      <c r="F190" s="8"/>
      <c r="H190" s="8"/>
      <c r="I190" s="8" t="s">
        <v>8532</v>
      </c>
      <c r="J190" s="8" t="s">
        <v>2981</v>
      </c>
      <c r="K190" t="s">
        <v>8533</v>
      </c>
      <c r="L190" t="s">
        <v>8534</v>
      </c>
      <c r="M190" s="3" t="str">
        <f>HYPERLINK(склад2въезд[[#This Row],[RelativePath]])</f>
        <v>1 Ангар Склад 2 въезд\E33149364_6_20260110T130537Z.jpg</v>
      </c>
      <c r="N190" s="8" t="str">
        <f>VLOOKUP(склад2въезд[[#This Row],[Name]], СпрСобытий!$F:$G, 2, FALSE)</f>
        <v>Ангар Склад 2 въезд</v>
      </c>
    </row>
    <row r="191" spans="1:14" x14ac:dyDescent="0.25">
      <c r="A191" s="2" t="s">
        <v>18</v>
      </c>
      <c r="B191" s="4">
        <v>46032</v>
      </c>
      <c r="C191" s="5">
        <v>0.54728009259259258</v>
      </c>
      <c r="D191" s="8" t="s">
        <v>91</v>
      </c>
      <c r="E191" s="8" t="s">
        <v>8801</v>
      </c>
      <c r="F191" s="8"/>
      <c r="H191" s="8"/>
      <c r="I191" s="8" t="s">
        <v>8535</v>
      </c>
      <c r="J191" s="8" t="s">
        <v>2981</v>
      </c>
      <c r="K191" t="s">
        <v>8536</v>
      </c>
      <c r="L191" t="s">
        <v>8537</v>
      </c>
      <c r="M191" s="3" t="str">
        <f>HYPERLINK(склад2въезд[[#This Row],[RelativePath]])</f>
        <v>1 Ангар Склад 2 въезд\E33149364_6_20260110T130805Z.jpg</v>
      </c>
      <c r="N191" s="8" t="str">
        <f>VLOOKUP(склад2въезд[[#This Row],[Name]], СпрСобытий!$F:$G, 2, FALSE)</f>
        <v>Ангар Склад 2 въезд</v>
      </c>
    </row>
    <row r="192" spans="1:14" x14ac:dyDescent="0.25">
      <c r="A192" s="2" t="s">
        <v>18</v>
      </c>
      <c r="B192" s="4">
        <v>46032</v>
      </c>
      <c r="C192" s="5">
        <v>0.54745370370370372</v>
      </c>
      <c r="D192" s="8" t="s">
        <v>91</v>
      </c>
      <c r="E192" s="8" t="s">
        <v>8802</v>
      </c>
      <c r="F192" s="8"/>
      <c r="H192" s="8"/>
      <c r="I192" s="8" t="s">
        <v>8538</v>
      </c>
      <c r="J192" s="8" t="s">
        <v>2981</v>
      </c>
      <c r="K192" t="s">
        <v>8539</v>
      </c>
      <c r="L192" t="s">
        <v>8540</v>
      </c>
      <c r="M192" s="3" t="str">
        <f>HYPERLINK(склад2въезд[[#This Row],[RelativePath]])</f>
        <v>1 Ангар Склад 2 въезд\E33149364_6_20260110T130820Z.jpg</v>
      </c>
      <c r="N192" s="8" t="str">
        <f>VLOOKUP(склад2въезд[[#This Row],[Name]], СпрСобытий!$F:$G, 2, FALSE)</f>
        <v>Ангар Склад 2 въезд</v>
      </c>
    </row>
    <row r="193" spans="1:14" x14ac:dyDescent="0.25">
      <c r="A193" s="2" t="s">
        <v>18</v>
      </c>
      <c r="B193" s="4">
        <v>46032</v>
      </c>
      <c r="C193" s="5">
        <v>0.69012731481481482</v>
      </c>
      <c r="D193" s="8" t="s">
        <v>62</v>
      </c>
      <c r="E193" s="8" t="s">
        <v>8802</v>
      </c>
      <c r="F193" s="8"/>
      <c r="H193" s="8"/>
      <c r="I193" s="8" t="s">
        <v>8541</v>
      </c>
      <c r="J193" s="8" t="s">
        <v>2981</v>
      </c>
      <c r="K193" t="s">
        <v>8542</v>
      </c>
      <c r="L193" t="s">
        <v>8543</v>
      </c>
      <c r="M193" s="3" t="str">
        <f>HYPERLINK(склад2въезд[[#This Row],[RelativePath]])</f>
        <v>1 Ангар Склад 2 въезд\E33149364_6_20260110T163347Z.jpg</v>
      </c>
      <c r="N193" s="8" t="str">
        <f>VLOOKUP(склад2въезд[[#This Row],[Name]], СпрСобытий!$F:$G, 2, FALSE)</f>
        <v>Ангар Склад 2 въезд</v>
      </c>
    </row>
    <row r="194" spans="1:14" x14ac:dyDescent="0.25">
      <c r="A194" s="2" t="s">
        <v>18</v>
      </c>
      <c r="B194" s="4">
        <v>46032</v>
      </c>
      <c r="C194" s="5">
        <v>0.71297453703703706</v>
      </c>
      <c r="D194" s="8" t="s">
        <v>62</v>
      </c>
      <c r="E194" s="8" t="s">
        <v>8801</v>
      </c>
      <c r="F194" s="8"/>
      <c r="H194" s="8"/>
      <c r="I194" s="8" t="s">
        <v>8544</v>
      </c>
      <c r="J194" s="8" t="s">
        <v>2981</v>
      </c>
      <c r="K194" t="s">
        <v>8545</v>
      </c>
      <c r="L194" t="s">
        <v>8546</v>
      </c>
      <c r="M194" s="3" t="str">
        <f>HYPERLINK(склад2въезд[[#This Row],[RelativePath]])</f>
        <v>1 Ангар Склад 2 въезд\E33149364_6_20260110T170641Z.jpg</v>
      </c>
      <c r="N194" s="8" t="str">
        <f>VLOOKUP(склад2въезд[[#This Row],[Name]], СпрСобытий!$F:$G, 2, FALSE)</f>
        <v>Ангар Склад 2 въезд</v>
      </c>
    </row>
    <row r="195" spans="1:14" x14ac:dyDescent="0.25">
      <c r="A195" s="2" t="s">
        <v>22</v>
      </c>
      <c r="B195" s="4">
        <v>46033</v>
      </c>
      <c r="C195" s="5">
        <v>0.66902777777777778</v>
      </c>
      <c r="D195" s="8" t="s">
        <v>2004</v>
      </c>
      <c r="E195" s="8"/>
      <c r="F195" s="8"/>
      <c r="H195" s="8"/>
      <c r="I195" s="8" t="s">
        <v>8547</v>
      </c>
      <c r="J195" s="8" t="s">
        <v>2981</v>
      </c>
      <c r="K195" t="s">
        <v>8548</v>
      </c>
      <c r="L195" t="s">
        <v>8549</v>
      </c>
      <c r="M195" s="3" t="str">
        <f>HYPERLINK(склад2въезд[[#This Row],[RelativePath]])</f>
        <v>1 Ангар Склад 2 въезд\E33149364_6_20260111T160324Z.jpg</v>
      </c>
      <c r="N195" s="8" t="str">
        <f>VLOOKUP(склад2въезд[[#This Row],[Name]], СпрСобытий!$F:$G, 2, FALSE)</f>
        <v>Ангар Склад 2 въезд</v>
      </c>
    </row>
    <row r="196" spans="1:14" x14ac:dyDescent="0.25">
      <c r="A196" s="2" t="s">
        <v>22</v>
      </c>
      <c r="B196" s="4">
        <v>46033</v>
      </c>
      <c r="C196" s="5">
        <v>0.78604166666666664</v>
      </c>
      <c r="D196" s="8" t="s">
        <v>91</v>
      </c>
      <c r="E196" s="8" t="s">
        <v>8800</v>
      </c>
      <c r="F196" s="8"/>
      <c r="H196" s="8"/>
      <c r="I196" s="8" t="s">
        <v>8550</v>
      </c>
      <c r="J196" s="8" t="s">
        <v>2981</v>
      </c>
      <c r="K196" t="s">
        <v>8551</v>
      </c>
      <c r="L196" t="s">
        <v>8552</v>
      </c>
      <c r="M196" s="3" t="str">
        <f>HYPERLINK(склад2въезд[[#This Row],[RelativePath]])</f>
        <v>1 Ангар Склад 2 въезд\E33149364_6_20260111T185154Z.jpg</v>
      </c>
      <c r="N196" s="8" t="str">
        <f>VLOOKUP(склад2въезд[[#This Row],[Name]], СпрСобытий!$F:$G, 2, FALSE)</f>
        <v>Ангар Склад 2 въезд</v>
      </c>
    </row>
    <row r="197" spans="1:14" x14ac:dyDescent="0.25">
      <c r="A197" s="2" t="s">
        <v>22</v>
      </c>
      <c r="B197" s="4">
        <v>46033</v>
      </c>
      <c r="C197" s="5">
        <v>0.78712962962962962</v>
      </c>
      <c r="D197" s="8" t="s">
        <v>62</v>
      </c>
      <c r="E197" s="8" t="s">
        <v>8800</v>
      </c>
      <c r="F197" s="8"/>
      <c r="H197" s="8"/>
      <c r="I197" s="8" t="s">
        <v>8553</v>
      </c>
      <c r="J197" s="8" t="s">
        <v>2981</v>
      </c>
      <c r="K197" t="s">
        <v>8554</v>
      </c>
      <c r="L197" t="s">
        <v>8555</v>
      </c>
      <c r="M197" s="3" t="str">
        <f>HYPERLINK(склад2въезд[[#This Row],[RelativePath]])</f>
        <v>1 Ангар Склад 2 въезд\E33149364_6_20260111T185328Z.jpg</v>
      </c>
      <c r="N197" s="8" t="str">
        <f>VLOOKUP(склад2въезд[[#This Row],[Name]], СпрСобытий!$F:$G, 2, FALSE)</f>
        <v>Ангар Склад 2 въезд</v>
      </c>
    </row>
  </sheetData>
  <phoneticPr fontId="2" type="noConversion"/>
  <conditionalFormatting sqref="E198:E211 D198:D208 G2:H197 D2:E197">
    <cfRule type="containsText" dxfId="733" priority="23" operator="containsText" text="Выезд с территории">
      <formula>NOT(ISERROR(SEARCH("Выезд с территории",D2)))</formula>
    </cfRule>
  </conditionalFormatting>
  <conditionalFormatting sqref="F2:F685">
    <cfRule type="notContainsText" dxfId="732" priority="21" operator="notContains" text="порожний">
      <formula>ISERROR(SEARCH("порожний",F2))</formula>
    </cfRule>
  </conditionalFormatting>
  <conditionalFormatting sqref="E2:E211">
    <cfRule type="containsText" dxfId="731" priority="12" operator="containsText" text="Газель базы">
      <formula>NOT(ISERROR(SEARCH("Газель базы",E2)))</formula>
    </cfRule>
    <cfRule type="containsText" dxfId="730" priority="13" operator="containsText" text="Погрузчик базы">
      <formula>NOT(ISERROR(SEARCH("Погрузчик базы",E2)))</formula>
    </cfRule>
  </conditionalFormatting>
  <conditionalFormatting sqref="E2:E211">
    <cfRule type="containsText" dxfId="729" priority="11" operator="containsText" text="Трактор базы">
      <formula>NOT(ISERROR(SEARCH("Трактор базы",E2)))</formula>
    </cfRule>
  </conditionalFormatting>
  <conditionalFormatting sqref="A2:C197">
    <cfRule type="expression" dxfId="728" priority="9">
      <formula>$A2="пн"</formula>
    </cfRule>
  </conditionalFormatting>
  <conditionalFormatting sqref="A2:C199">
    <cfRule type="expression" dxfId="727" priority="3">
      <formula>$A2="вс"</formula>
    </cfRule>
    <cfRule type="expression" dxfId="726" priority="4">
      <formula>$A2="сб"</formula>
    </cfRule>
    <cfRule type="expression" dxfId="725" priority="5">
      <formula>$A2="пт"</formula>
    </cfRule>
    <cfRule type="expression" dxfId="724" priority="6">
      <formula>$A2="чт"</formula>
    </cfRule>
    <cfRule type="expression" dxfId="723" priority="7">
      <formula>$A2="ср"</formula>
    </cfRule>
    <cfRule type="expression" dxfId="722" priority="8">
      <formula>$A2="вт"</formula>
    </cfRule>
  </conditionalFormatting>
  <conditionalFormatting sqref="D2:D208">
    <cfRule type="containsText" dxfId="72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08">
    <cfRule type="containsText" dxfId="72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206"/>
  <sheetViews>
    <sheetView zoomScale="90" zoomScaleNormal="90" workbookViewId="0">
      <pane ySplit="1" topLeftCell="A183" activePane="bottomLeft" state="frozen"/>
      <selection pane="bottomLeft" activeCell="I200" sqref="I200:I206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54.28515625" bestFit="1" customWidth="1"/>
    <col min="6" max="6" width="25" bestFit="1" customWidth="1"/>
    <col min="7" max="7" width="9.7109375" bestFit="1" customWidth="1"/>
    <col min="8" max="8" width="30.140625" bestFit="1" customWidth="1"/>
    <col min="9" max="9" width="35.42578125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s="8" t="s">
        <v>4</v>
      </c>
      <c r="E2" s="8" t="s">
        <v>8</v>
      </c>
      <c r="F2" s="8"/>
      <c r="H2" s="8"/>
      <c r="I2" s="8" t="s">
        <v>92</v>
      </c>
      <c r="J2" s="8" t="s">
        <v>2989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s="8" t="s">
        <v>158</v>
      </c>
      <c r="E3" s="8" t="s">
        <v>86</v>
      </c>
      <c r="F3" s="8" t="s">
        <v>60</v>
      </c>
      <c r="G3">
        <v>2</v>
      </c>
      <c r="H3" s="8"/>
      <c r="I3" s="8" t="s">
        <v>94</v>
      </c>
      <c r="J3" s="8" t="s">
        <v>2989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s="8" t="s">
        <v>158</v>
      </c>
      <c r="E4" s="8" t="s">
        <v>86</v>
      </c>
      <c r="F4" s="8" t="s">
        <v>60</v>
      </c>
      <c r="G4">
        <v>1</v>
      </c>
      <c r="H4" s="8"/>
      <c r="I4" s="8" t="s">
        <v>96</v>
      </c>
      <c r="J4" s="8" t="s">
        <v>2989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s="8" t="s">
        <v>158</v>
      </c>
      <c r="E5" s="8" t="s">
        <v>86</v>
      </c>
      <c r="F5" s="8" t="s">
        <v>60</v>
      </c>
      <c r="G5">
        <v>2</v>
      </c>
      <c r="H5" s="8"/>
      <c r="I5" s="8" t="s">
        <v>98</v>
      </c>
      <c r="J5" s="8" t="s">
        <v>2989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s="8" t="s">
        <v>158</v>
      </c>
      <c r="E6" s="8" t="s">
        <v>86</v>
      </c>
      <c r="F6" s="8" t="s">
        <v>60</v>
      </c>
      <c r="G6">
        <v>2</v>
      </c>
      <c r="H6" s="8"/>
      <c r="I6" s="8" t="s">
        <v>100</v>
      </c>
      <c r="J6" s="8" t="s">
        <v>2989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s="8" t="s">
        <v>158</v>
      </c>
      <c r="E7" s="8" t="s">
        <v>86</v>
      </c>
      <c r="F7" s="8" t="s">
        <v>60</v>
      </c>
      <c r="G7">
        <v>1</v>
      </c>
      <c r="H7" s="8"/>
      <c r="I7" s="8" t="s">
        <v>102</v>
      </c>
      <c r="J7" s="8" t="s">
        <v>2989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s="8" t="s">
        <v>158</v>
      </c>
      <c r="E8" s="8" t="s">
        <v>86</v>
      </c>
      <c r="F8" s="8" t="s">
        <v>60</v>
      </c>
      <c r="G8">
        <v>2</v>
      </c>
      <c r="H8" s="8"/>
      <c r="I8" s="8" t="s">
        <v>104</v>
      </c>
      <c r="J8" s="8" t="s">
        <v>2989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s="8" t="s">
        <v>158</v>
      </c>
      <c r="E9" s="8" t="s">
        <v>86</v>
      </c>
      <c r="F9" s="8" t="s">
        <v>60</v>
      </c>
      <c r="G9">
        <v>1</v>
      </c>
      <c r="H9" s="8"/>
      <c r="I9" s="8" t="s">
        <v>106</v>
      </c>
      <c r="J9" s="8" t="s">
        <v>2989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s="8" t="s">
        <v>4</v>
      </c>
      <c r="E10" s="8" t="s">
        <v>8</v>
      </c>
      <c r="F10" s="8"/>
      <c r="H10" s="8"/>
      <c r="I10" s="8" t="s">
        <v>108</v>
      </c>
      <c r="J10" s="8" t="s">
        <v>2989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s="8" t="s">
        <v>4</v>
      </c>
      <c r="E11" s="8" t="s">
        <v>8</v>
      </c>
      <c r="F11" s="8"/>
      <c r="H11" s="8"/>
      <c r="I11" s="8" t="s">
        <v>110</v>
      </c>
      <c r="J11" s="8" t="s">
        <v>2989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s="8" t="s">
        <v>159</v>
      </c>
      <c r="E12" s="8" t="s">
        <v>63</v>
      </c>
      <c r="F12" s="8" t="s">
        <v>51</v>
      </c>
      <c r="H12" s="8"/>
      <c r="I12" s="8" t="s">
        <v>112</v>
      </c>
      <c r="J12" s="8" t="s">
        <v>2989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s="8" t="s">
        <v>158</v>
      </c>
      <c r="E13" s="8" t="s">
        <v>86</v>
      </c>
      <c r="F13" s="8" t="s">
        <v>60</v>
      </c>
      <c r="G13">
        <v>1</v>
      </c>
      <c r="H13" s="8"/>
      <c r="I13" s="8" t="s">
        <v>114</v>
      </c>
      <c r="J13" s="8" t="s">
        <v>2989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s="8" t="s">
        <v>158</v>
      </c>
      <c r="E14" s="8" t="s">
        <v>86</v>
      </c>
      <c r="F14" s="8" t="s">
        <v>60</v>
      </c>
      <c r="G14">
        <v>1</v>
      </c>
      <c r="H14" s="8"/>
      <c r="I14" s="8" t="s">
        <v>116</v>
      </c>
      <c r="J14" s="8" t="s">
        <v>2989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s="8" t="s">
        <v>158</v>
      </c>
      <c r="E15" s="8" t="s">
        <v>86</v>
      </c>
      <c r="F15" s="8" t="s">
        <v>60</v>
      </c>
      <c r="G15">
        <v>1</v>
      </c>
      <c r="H15" s="8"/>
      <c r="I15" s="8" t="s">
        <v>118</v>
      </c>
      <c r="J15" s="8" t="s">
        <v>2989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s="8" t="s">
        <v>158</v>
      </c>
      <c r="E16" s="8" t="s">
        <v>86</v>
      </c>
      <c r="F16" s="8" t="s">
        <v>60</v>
      </c>
      <c r="G16">
        <v>2</v>
      </c>
      <c r="H16" s="8"/>
      <c r="I16" s="8" t="s">
        <v>120</v>
      </c>
      <c r="J16" s="8" t="s">
        <v>2989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s="8" t="s">
        <v>158</v>
      </c>
      <c r="E17" s="8" t="s">
        <v>86</v>
      </c>
      <c r="F17" s="8" t="s">
        <v>60</v>
      </c>
      <c r="G17">
        <v>1</v>
      </c>
      <c r="H17" s="8"/>
      <c r="I17" s="8" t="s">
        <v>122</v>
      </c>
      <c r="J17" s="8" t="s">
        <v>2989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s="8" t="s">
        <v>4</v>
      </c>
      <c r="E18" s="8" t="s">
        <v>8</v>
      </c>
      <c r="F18" s="8"/>
      <c r="H18" s="8"/>
      <c r="I18" s="8" t="s">
        <v>124</v>
      </c>
      <c r="J18" s="8" t="s">
        <v>2989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s="8" t="s">
        <v>4</v>
      </c>
      <c r="E19" s="8" t="s">
        <v>8</v>
      </c>
      <c r="F19" s="8"/>
      <c r="H19" s="8"/>
      <c r="I19" s="8" t="s">
        <v>126</v>
      </c>
      <c r="J19" s="8" t="s">
        <v>2989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s="8" t="s">
        <v>159</v>
      </c>
      <c r="E20" s="8" t="s">
        <v>70</v>
      </c>
      <c r="F20" s="8"/>
      <c r="H20" s="8"/>
      <c r="I20" s="8" t="s">
        <v>128</v>
      </c>
      <c r="J20" s="8" t="s">
        <v>2989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s="8" t="s">
        <v>158</v>
      </c>
      <c r="E21" s="8" t="s">
        <v>86</v>
      </c>
      <c r="F21" s="8" t="s">
        <v>60</v>
      </c>
      <c r="G21">
        <v>1</v>
      </c>
      <c r="H21" s="8"/>
      <c r="I21" s="8" t="s">
        <v>130</v>
      </c>
      <c r="J21" s="8" t="s">
        <v>2989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s="8" t="s">
        <v>4</v>
      </c>
      <c r="E22" s="8" t="s">
        <v>160</v>
      </c>
      <c r="F22" s="8"/>
      <c r="H22" s="8"/>
      <c r="I22" s="8" t="s">
        <v>132</v>
      </c>
      <c r="J22" s="8" t="s">
        <v>2989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s="8" t="s">
        <v>4</v>
      </c>
      <c r="E23" s="8" t="s">
        <v>8</v>
      </c>
      <c r="F23" s="8"/>
      <c r="H23" s="8"/>
      <c r="I23" s="8" t="s">
        <v>134</v>
      </c>
      <c r="J23" s="8" t="s">
        <v>2989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s="8" t="s">
        <v>4</v>
      </c>
      <c r="E24" s="8" t="s">
        <v>8</v>
      </c>
      <c r="F24" s="8"/>
      <c r="H24" s="8"/>
      <c r="I24" s="8" t="s">
        <v>161</v>
      </c>
      <c r="J24" s="8" t="s">
        <v>2989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s="8" t="s">
        <v>159</v>
      </c>
      <c r="E25" s="8" t="s">
        <v>86</v>
      </c>
      <c r="F25" s="8" t="s">
        <v>200</v>
      </c>
      <c r="H25" s="8"/>
      <c r="I25" s="8" t="s">
        <v>164</v>
      </c>
      <c r="J25" s="8" t="s">
        <v>2989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s="8" t="s">
        <v>159</v>
      </c>
      <c r="E26" s="8" t="s">
        <v>86</v>
      </c>
      <c r="F26" s="8" t="s">
        <v>200</v>
      </c>
      <c r="H26" s="8"/>
      <c r="I26" s="8" t="s">
        <v>167</v>
      </c>
      <c r="J26" s="8" t="s">
        <v>2989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s="8" t="s">
        <v>201</v>
      </c>
      <c r="E27" s="8" t="s">
        <v>86</v>
      </c>
      <c r="F27" s="8" t="s">
        <v>51</v>
      </c>
      <c r="H27" s="8"/>
      <c r="I27" s="8" t="s">
        <v>170</v>
      </c>
      <c r="J27" s="8" t="s">
        <v>2989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s="8" t="s">
        <v>159</v>
      </c>
      <c r="E28" s="8" t="s">
        <v>86</v>
      </c>
      <c r="F28" s="8" t="s">
        <v>200</v>
      </c>
      <c r="H28" s="8"/>
      <c r="I28" s="8" t="s">
        <v>173</v>
      </c>
      <c r="J28" s="8" t="s">
        <v>2989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s="8" t="s">
        <v>159</v>
      </c>
      <c r="E29" s="8" t="s">
        <v>86</v>
      </c>
      <c r="F29" s="8" t="s">
        <v>200</v>
      </c>
      <c r="H29" s="8"/>
      <c r="I29" s="8" t="s">
        <v>176</v>
      </c>
      <c r="J29" s="8" t="s">
        <v>2989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s="8" t="s">
        <v>158</v>
      </c>
      <c r="E30" s="8" t="s">
        <v>86</v>
      </c>
      <c r="F30" s="8" t="s">
        <v>60</v>
      </c>
      <c r="G30">
        <v>1</v>
      </c>
      <c r="H30" s="8"/>
      <c r="I30" s="8" t="s">
        <v>179</v>
      </c>
      <c r="J30" s="8" t="s">
        <v>2989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s="8" t="s">
        <v>159</v>
      </c>
      <c r="E31" s="8" t="s">
        <v>86</v>
      </c>
      <c r="F31" s="8" t="s">
        <v>200</v>
      </c>
      <c r="H31" s="8"/>
      <c r="I31" s="8" t="s">
        <v>182</v>
      </c>
      <c r="J31" s="8" t="s">
        <v>2989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s="8" t="s">
        <v>159</v>
      </c>
      <c r="E32" s="8" t="s">
        <v>86</v>
      </c>
      <c r="F32" s="8" t="s">
        <v>200</v>
      </c>
      <c r="H32" s="8"/>
      <c r="I32" s="8" t="s">
        <v>185</v>
      </c>
      <c r="J32" s="8" t="s">
        <v>2989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s="8" t="s">
        <v>159</v>
      </c>
      <c r="E33" s="8" t="s">
        <v>86</v>
      </c>
      <c r="F33" s="8" t="s">
        <v>200</v>
      </c>
      <c r="H33" s="8"/>
      <c r="I33" s="8" t="s">
        <v>188</v>
      </c>
      <c r="J33" s="8" t="s">
        <v>2989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s="8" t="s">
        <v>202</v>
      </c>
      <c r="E34" s="8" t="s">
        <v>86</v>
      </c>
      <c r="F34" s="8" t="s">
        <v>51</v>
      </c>
      <c r="H34" s="8"/>
      <c r="I34" s="8" t="s">
        <v>191</v>
      </c>
      <c r="J34" s="8" t="s">
        <v>2989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s="8" t="s">
        <v>159</v>
      </c>
      <c r="E35" s="8" t="s">
        <v>86</v>
      </c>
      <c r="F35" s="8" t="s">
        <v>87</v>
      </c>
      <c r="H35" s="8"/>
      <c r="I35" s="8" t="s">
        <v>194</v>
      </c>
      <c r="J35" s="8" t="s">
        <v>2989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s="8" t="s">
        <v>4</v>
      </c>
      <c r="E36" s="8" t="s">
        <v>8</v>
      </c>
      <c r="F36" s="8"/>
      <c r="H36" s="8"/>
      <c r="I36" s="8" t="s">
        <v>197</v>
      </c>
      <c r="J36" s="8" t="s">
        <v>2989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s="8" t="s">
        <v>4</v>
      </c>
      <c r="E37" s="8" t="s">
        <v>8</v>
      </c>
      <c r="F37" s="8"/>
      <c r="H37" s="8" t="s">
        <v>2004</v>
      </c>
      <c r="I37" s="8" t="s">
        <v>1178</v>
      </c>
      <c r="J37" s="8" t="s">
        <v>2989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s="8" t="s">
        <v>4</v>
      </c>
      <c r="E38" s="8" t="s">
        <v>8</v>
      </c>
      <c r="F38" s="8"/>
      <c r="H38" s="8"/>
      <c r="I38" s="8" t="s">
        <v>1181</v>
      </c>
      <c r="J38" s="8" t="s">
        <v>2989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s="8" t="s">
        <v>4</v>
      </c>
      <c r="E39" s="8" t="s">
        <v>8</v>
      </c>
      <c r="F39" s="8"/>
      <c r="H39" s="8" t="s">
        <v>2004</v>
      </c>
      <c r="I39" s="8" t="s">
        <v>1184</v>
      </c>
      <c r="J39" s="8" t="s">
        <v>2989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s="8" t="s">
        <v>4</v>
      </c>
      <c r="E40" s="8" t="s">
        <v>8</v>
      </c>
      <c r="F40" s="8"/>
      <c r="H40" s="8"/>
      <c r="I40" s="8" t="s">
        <v>1187</v>
      </c>
      <c r="J40" s="8" t="s">
        <v>2989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s="8" t="s">
        <v>2004</v>
      </c>
      <c r="E41" s="8"/>
      <c r="F41" s="8"/>
      <c r="H41" s="8"/>
      <c r="I41" s="8" t="s">
        <v>2025</v>
      </c>
      <c r="J41" s="8" t="s">
        <v>2989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s="8" t="s">
        <v>2004</v>
      </c>
      <c r="E42" s="8"/>
      <c r="F42" s="8"/>
      <c r="H42" s="8"/>
      <c r="I42" s="8" t="s">
        <v>2028</v>
      </c>
      <c r="J42" s="8" t="s">
        <v>2989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s="8" t="s">
        <v>2004</v>
      </c>
      <c r="E43" s="8"/>
      <c r="F43" s="8"/>
      <c r="H43" s="8"/>
      <c r="I43" s="8" t="s">
        <v>2031</v>
      </c>
      <c r="J43" s="8" t="s">
        <v>2989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s="8" t="s">
        <v>2926</v>
      </c>
      <c r="E44" s="8"/>
      <c r="F44" s="8"/>
      <c r="H44" s="8"/>
      <c r="I44" s="8" t="s">
        <v>2034</v>
      </c>
      <c r="J44" s="8" t="s">
        <v>2989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s="8" t="s">
        <v>4</v>
      </c>
      <c r="E45" s="8" t="s">
        <v>8</v>
      </c>
      <c r="F45" s="8"/>
      <c r="H45" s="8"/>
      <c r="I45" s="8" t="s">
        <v>2037</v>
      </c>
      <c r="J45" s="8" t="s">
        <v>2989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s="8" t="s">
        <v>2004</v>
      </c>
      <c r="E46" s="8"/>
      <c r="F46" s="8"/>
      <c r="H46" s="8"/>
      <c r="I46" s="8" t="s">
        <v>2040</v>
      </c>
      <c r="J46" s="8" t="s">
        <v>2989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s="8" t="s">
        <v>2004</v>
      </c>
      <c r="E47" s="8"/>
      <c r="F47" s="8"/>
      <c r="H47" s="8"/>
      <c r="I47" s="8" t="s">
        <v>2043</v>
      </c>
      <c r="J47" s="8" t="s">
        <v>2989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s="8" t="s">
        <v>2004</v>
      </c>
      <c r="E48" s="8"/>
      <c r="F48" s="8"/>
      <c r="H48" s="8"/>
      <c r="I48" s="8" t="s">
        <v>2046</v>
      </c>
      <c r="J48" s="8" t="s">
        <v>2989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s="8" t="s">
        <v>289</v>
      </c>
      <c r="E49" s="8" t="s">
        <v>86</v>
      </c>
      <c r="F49" s="8" t="s">
        <v>3071</v>
      </c>
      <c r="H49" s="8" t="s">
        <v>3072</v>
      </c>
      <c r="I49" s="8" t="s">
        <v>3020</v>
      </c>
      <c r="J49" s="8" t="s">
        <v>2989</v>
      </c>
      <c r="K49" t="s">
        <v>3021</v>
      </c>
      <c r="L49" t="s">
        <v>3022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s="8" t="s">
        <v>3073</v>
      </c>
      <c r="E50" s="8" t="s">
        <v>86</v>
      </c>
      <c r="F50" s="8" t="s">
        <v>3071</v>
      </c>
      <c r="H50" s="8" t="s">
        <v>3074</v>
      </c>
      <c r="I50" s="8" t="s">
        <v>3023</v>
      </c>
      <c r="J50" s="8" t="s">
        <v>2989</v>
      </c>
      <c r="K50" t="s">
        <v>3024</v>
      </c>
      <c r="L50" t="s">
        <v>3025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s="8" t="s">
        <v>289</v>
      </c>
      <c r="E51" s="8" t="s">
        <v>86</v>
      </c>
      <c r="F51" s="8" t="s">
        <v>3071</v>
      </c>
      <c r="H51" s="8" t="s">
        <v>3072</v>
      </c>
      <c r="I51" s="8" t="s">
        <v>3026</v>
      </c>
      <c r="J51" s="8" t="s">
        <v>2989</v>
      </c>
      <c r="K51" t="s">
        <v>3027</v>
      </c>
      <c r="L51" t="s">
        <v>3028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s="8" t="s">
        <v>3073</v>
      </c>
      <c r="E52" s="8" t="s">
        <v>86</v>
      </c>
      <c r="F52" s="8" t="s">
        <v>3071</v>
      </c>
      <c r="H52" s="8" t="s">
        <v>3074</v>
      </c>
      <c r="I52" s="8" t="s">
        <v>3029</v>
      </c>
      <c r="J52" s="8" t="s">
        <v>2989</v>
      </c>
      <c r="K52" t="s">
        <v>3030</v>
      </c>
      <c r="L52" t="s">
        <v>3031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s="8" t="s">
        <v>158</v>
      </c>
      <c r="E53" s="8" t="s">
        <v>86</v>
      </c>
      <c r="F53" s="8" t="s">
        <v>60</v>
      </c>
      <c r="G53">
        <v>4</v>
      </c>
      <c r="H53" s="8" t="s">
        <v>3075</v>
      </c>
      <c r="I53" s="8" t="s">
        <v>3032</v>
      </c>
      <c r="J53" s="8" t="s">
        <v>2989</v>
      </c>
      <c r="K53" t="s">
        <v>3033</v>
      </c>
      <c r="L53" t="s">
        <v>3034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s="8" t="s">
        <v>289</v>
      </c>
      <c r="E54" s="8" t="s">
        <v>86</v>
      </c>
      <c r="F54" s="8" t="s">
        <v>3071</v>
      </c>
      <c r="H54" s="8" t="s">
        <v>3072</v>
      </c>
      <c r="I54" s="8" t="s">
        <v>3035</v>
      </c>
      <c r="J54" s="8" t="s">
        <v>2989</v>
      </c>
      <c r="K54" t="s">
        <v>3036</v>
      </c>
      <c r="L54" t="s">
        <v>3037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s="8" t="s">
        <v>3073</v>
      </c>
      <c r="E55" s="8" t="s">
        <v>86</v>
      </c>
      <c r="F55" s="8" t="s">
        <v>3071</v>
      </c>
      <c r="H55" s="8" t="s">
        <v>3074</v>
      </c>
      <c r="I55" s="8" t="s">
        <v>3038</v>
      </c>
      <c r="J55" s="8" t="s">
        <v>2989</v>
      </c>
      <c r="K55" t="s">
        <v>3039</v>
      </c>
      <c r="L55" t="s">
        <v>3040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s="8" t="s">
        <v>289</v>
      </c>
      <c r="E56" s="8" t="s">
        <v>86</v>
      </c>
      <c r="F56" s="8" t="s">
        <v>3071</v>
      </c>
      <c r="H56" s="8" t="s">
        <v>3072</v>
      </c>
      <c r="I56" s="8" t="s">
        <v>3041</v>
      </c>
      <c r="J56" s="8" t="s">
        <v>2989</v>
      </c>
      <c r="K56" t="s">
        <v>3042</v>
      </c>
      <c r="L56" t="s">
        <v>3043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s="8" t="s">
        <v>3073</v>
      </c>
      <c r="E57" s="8" t="s">
        <v>86</v>
      </c>
      <c r="F57" s="8" t="s">
        <v>3071</v>
      </c>
      <c r="H57" s="8" t="s">
        <v>3074</v>
      </c>
      <c r="I57" s="8" t="s">
        <v>3044</v>
      </c>
      <c r="J57" s="8" t="s">
        <v>2989</v>
      </c>
      <c r="K57" t="s">
        <v>3045</v>
      </c>
      <c r="L57" t="s">
        <v>3046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s="8" t="s">
        <v>289</v>
      </c>
      <c r="E58" s="8" t="s">
        <v>86</v>
      </c>
      <c r="F58" s="8" t="s">
        <v>3071</v>
      </c>
      <c r="H58" s="8" t="s">
        <v>3072</v>
      </c>
      <c r="I58" s="8" t="s">
        <v>3047</v>
      </c>
      <c r="J58" s="8" t="s">
        <v>2989</v>
      </c>
      <c r="K58" t="s">
        <v>3048</v>
      </c>
      <c r="L58" t="s">
        <v>3049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s="8" t="s">
        <v>3073</v>
      </c>
      <c r="E59" s="8" t="s">
        <v>86</v>
      </c>
      <c r="F59" s="8" t="s">
        <v>3071</v>
      </c>
      <c r="H59" s="8" t="s">
        <v>3074</v>
      </c>
      <c r="I59" s="8" t="s">
        <v>3050</v>
      </c>
      <c r="J59" s="8" t="s">
        <v>2989</v>
      </c>
      <c r="K59" t="s">
        <v>3051</v>
      </c>
      <c r="L59" t="s">
        <v>3052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s="8" t="s">
        <v>289</v>
      </c>
      <c r="E60" s="8" t="s">
        <v>86</v>
      </c>
      <c r="F60" s="8" t="s">
        <v>3076</v>
      </c>
      <c r="G60">
        <v>1</v>
      </c>
      <c r="H60" s="8"/>
      <c r="I60" s="8" t="s">
        <v>3053</v>
      </c>
      <c r="J60" s="8" t="s">
        <v>2989</v>
      </c>
      <c r="K60" t="s">
        <v>3054</v>
      </c>
      <c r="L60" t="s">
        <v>3055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s="8" t="s">
        <v>3073</v>
      </c>
      <c r="E61" s="8" t="s">
        <v>86</v>
      </c>
      <c r="F61" s="8" t="s">
        <v>3076</v>
      </c>
      <c r="G61">
        <v>1</v>
      </c>
      <c r="H61" s="8" t="s">
        <v>3077</v>
      </c>
      <c r="I61" s="8" t="s">
        <v>3056</v>
      </c>
      <c r="J61" s="8" t="s">
        <v>2989</v>
      </c>
      <c r="K61" t="s">
        <v>3057</v>
      </c>
      <c r="L61" t="s">
        <v>3058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s="8" t="s">
        <v>289</v>
      </c>
      <c r="E62" s="8" t="s">
        <v>86</v>
      </c>
      <c r="F62" s="8" t="s">
        <v>3076</v>
      </c>
      <c r="G62">
        <v>1</v>
      </c>
      <c r="H62" s="8"/>
      <c r="I62" s="8" t="s">
        <v>3059</v>
      </c>
      <c r="J62" s="8" t="s">
        <v>2989</v>
      </c>
      <c r="K62" t="s">
        <v>3060</v>
      </c>
      <c r="L62" t="s">
        <v>3061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s="8" t="s">
        <v>3073</v>
      </c>
      <c r="E63" s="8" t="s">
        <v>86</v>
      </c>
      <c r="F63" s="8" t="s">
        <v>3076</v>
      </c>
      <c r="G63">
        <v>1</v>
      </c>
      <c r="H63" s="8" t="s">
        <v>3077</v>
      </c>
      <c r="I63" s="8" t="s">
        <v>3062</v>
      </c>
      <c r="J63" s="8" t="s">
        <v>2989</v>
      </c>
      <c r="K63" t="s">
        <v>3063</v>
      </c>
      <c r="L63" t="s">
        <v>3064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s="8" t="s">
        <v>158</v>
      </c>
      <c r="E64" s="8" t="s">
        <v>86</v>
      </c>
      <c r="F64" s="8" t="s">
        <v>60</v>
      </c>
      <c r="G64">
        <v>1</v>
      </c>
      <c r="H64" s="8" t="s">
        <v>3075</v>
      </c>
      <c r="I64" s="8" t="s">
        <v>3065</v>
      </c>
      <c r="J64" s="8" t="s">
        <v>2989</v>
      </c>
      <c r="K64" t="s">
        <v>3066</v>
      </c>
      <c r="L64" t="s">
        <v>3067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s="8" t="s">
        <v>4</v>
      </c>
      <c r="E65" s="8" t="s">
        <v>8</v>
      </c>
      <c r="F65" s="8"/>
      <c r="H65" s="8" t="s">
        <v>3078</v>
      </c>
      <c r="I65" s="8" t="s">
        <v>3068</v>
      </c>
      <c r="J65" s="8" t="s">
        <v>2989</v>
      </c>
      <c r="K65" t="s">
        <v>3069</v>
      </c>
      <c r="L65" t="s">
        <v>3070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s="8" t="s">
        <v>4198</v>
      </c>
      <c r="E66" s="8" t="s">
        <v>4192</v>
      </c>
      <c r="F66" s="8" t="s">
        <v>51</v>
      </c>
      <c r="H66" s="8"/>
      <c r="I66" s="8" t="s">
        <v>3261</v>
      </c>
      <c r="J66" s="8" t="s">
        <v>2989</v>
      </c>
      <c r="K66" t="s">
        <v>3262</v>
      </c>
      <c r="L66" t="s">
        <v>3263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s="8" t="s">
        <v>4199</v>
      </c>
      <c r="E67" s="8" t="s">
        <v>4200</v>
      </c>
      <c r="F67" s="8"/>
      <c r="H67" s="8" t="s">
        <v>3075</v>
      </c>
      <c r="I67" s="8" t="s">
        <v>3264</v>
      </c>
      <c r="J67" s="8" t="s">
        <v>2989</v>
      </c>
      <c r="K67" t="s">
        <v>3265</v>
      </c>
      <c r="L67" t="s">
        <v>3266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s="8" t="s">
        <v>4199</v>
      </c>
      <c r="E68" s="8" t="s">
        <v>4200</v>
      </c>
      <c r="F68" s="8"/>
      <c r="H68" s="8" t="s">
        <v>2936</v>
      </c>
      <c r="I68" s="8" t="s">
        <v>3267</v>
      </c>
      <c r="J68" s="8" t="s">
        <v>2989</v>
      </c>
      <c r="K68" t="s">
        <v>3268</v>
      </c>
      <c r="L68" t="s">
        <v>3269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s="8" t="s">
        <v>4199</v>
      </c>
      <c r="E69" s="8" t="s">
        <v>4200</v>
      </c>
      <c r="F69" s="8"/>
      <c r="H69" s="8" t="s">
        <v>2936</v>
      </c>
      <c r="I69" s="8" t="s">
        <v>3270</v>
      </c>
      <c r="J69" s="8" t="s">
        <v>2989</v>
      </c>
      <c r="K69" t="s">
        <v>3271</v>
      </c>
      <c r="L69" t="s">
        <v>3272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s="8" t="s">
        <v>4199</v>
      </c>
      <c r="E70" s="8" t="s">
        <v>4200</v>
      </c>
      <c r="F70" s="8"/>
      <c r="H70" s="8" t="s">
        <v>2936</v>
      </c>
      <c r="I70" s="8" t="s">
        <v>3273</v>
      </c>
      <c r="J70" s="8" t="s">
        <v>2989</v>
      </c>
      <c r="K70" t="s">
        <v>3274</v>
      </c>
      <c r="L70" t="s">
        <v>3275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s="8" t="s">
        <v>4199</v>
      </c>
      <c r="E71" s="8" t="s">
        <v>4200</v>
      </c>
      <c r="F71" s="8"/>
      <c r="H71" s="8" t="s">
        <v>2936</v>
      </c>
      <c r="I71" s="8" t="s">
        <v>3276</v>
      </c>
      <c r="J71" s="8" t="s">
        <v>2989</v>
      </c>
      <c r="K71" t="s">
        <v>3277</v>
      </c>
      <c r="L71" t="s">
        <v>3278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s="8" t="s">
        <v>4199</v>
      </c>
      <c r="E72" s="8" t="s">
        <v>4200</v>
      </c>
      <c r="F72" s="8"/>
      <c r="H72" s="8" t="s">
        <v>2936</v>
      </c>
      <c r="I72" s="8" t="s">
        <v>3279</v>
      </c>
      <c r="J72" s="8" t="s">
        <v>2989</v>
      </c>
      <c r="K72" t="s">
        <v>3280</v>
      </c>
      <c r="L72" t="s">
        <v>3281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s="8" t="s">
        <v>4199</v>
      </c>
      <c r="E73" s="8" t="s">
        <v>4200</v>
      </c>
      <c r="F73" s="8"/>
      <c r="H73" s="8" t="s">
        <v>2936</v>
      </c>
      <c r="I73" s="8" t="s">
        <v>3282</v>
      </c>
      <c r="J73" s="8" t="s">
        <v>2989</v>
      </c>
      <c r="K73" t="s">
        <v>3283</v>
      </c>
      <c r="L73" t="s">
        <v>3284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s="8" t="s">
        <v>4199</v>
      </c>
      <c r="E74" s="8" t="s">
        <v>4200</v>
      </c>
      <c r="F74" s="8"/>
      <c r="H74" s="8" t="s">
        <v>2936</v>
      </c>
      <c r="I74" s="8" t="s">
        <v>3285</v>
      </c>
      <c r="J74" s="8" t="s">
        <v>2989</v>
      </c>
      <c r="K74" t="s">
        <v>3286</v>
      </c>
      <c r="L74" t="s">
        <v>3287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s="8" t="s">
        <v>4199</v>
      </c>
      <c r="E75" s="8" t="s">
        <v>4200</v>
      </c>
      <c r="F75" s="8"/>
      <c r="H75" s="8" t="s">
        <v>2936</v>
      </c>
      <c r="I75" s="8" t="s">
        <v>3288</v>
      </c>
      <c r="J75" s="8" t="s">
        <v>2989</v>
      </c>
      <c r="K75" t="s">
        <v>3289</v>
      </c>
      <c r="L75" t="s">
        <v>3290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s="8" t="s">
        <v>4199</v>
      </c>
      <c r="E76" s="8" t="s">
        <v>4200</v>
      </c>
      <c r="F76" s="8"/>
      <c r="H76" s="8" t="s">
        <v>2936</v>
      </c>
      <c r="I76" s="8" t="s">
        <v>3291</v>
      </c>
      <c r="J76" s="8" t="s">
        <v>2989</v>
      </c>
      <c r="K76" t="s">
        <v>3292</v>
      </c>
      <c r="L76" t="s">
        <v>3293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s="8" t="s">
        <v>4199</v>
      </c>
      <c r="E77" s="8" t="s">
        <v>4200</v>
      </c>
      <c r="F77" s="8"/>
      <c r="H77" s="8" t="s">
        <v>2936</v>
      </c>
      <c r="I77" s="8" t="s">
        <v>3294</v>
      </c>
      <c r="J77" s="8" t="s">
        <v>2989</v>
      </c>
      <c r="K77" t="s">
        <v>3295</v>
      </c>
      <c r="L77" t="s">
        <v>3296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s="8" t="s">
        <v>289</v>
      </c>
      <c r="E78" s="8" t="s">
        <v>86</v>
      </c>
      <c r="F78" s="8" t="s">
        <v>3071</v>
      </c>
      <c r="H78" s="8" t="s">
        <v>3072</v>
      </c>
      <c r="I78" s="8" t="s">
        <v>3297</v>
      </c>
      <c r="J78" s="8" t="s">
        <v>2989</v>
      </c>
      <c r="K78" t="s">
        <v>3298</v>
      </c>
      <c r="L78" t="s">
        <v>3299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s="8" t="s">
        <v>3073</v>
      </c>
      <c r="E79" s="8" t="s">
        <v>86</v>
      </c>
      <c r="F79" s="8" t="s">
        <v>3071</v>
      </c>
      <c r="H79" s="8" t="s">
        <v>3074</v>
      </c>
      <c r="I79" s="8" t="s">
        <v>3300</v>
      </c>
      <c r="J79" s="8" t="s">
        <v>2989</v>
      </c>
      <c r="K79" t="s">
        <v>3301</v>
      </c>
      <c r="L79" t="s">
        <v>3302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s="8" t="s">
        <v>289</v>
      </c>
      <c r="E80" s="8" t="s">
        <v>86</v>
      </c>
      <c r="F80" s="8" t="s">
        <v>3071</v>
      </c>
      <c r="H80" s="8" t="s">
        <v>3072</v>
      </c>
      <c r="I80" s="8" t="s">
        <v>3303</v>
      </c>
      <c r="J80" s="8" t="s">
        <v>2989</v>
      </c>
      <c r="K80" t="s">
        <v>3304</v>
      </c>
      <c r="L80" t="s">
        <v>3305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s="8" t="s">
        <v>3073</v>
      </c>
      <c r="E81" s="8" t="s">
        <v>86</v>
      </c>
      <c r="F81" s="8" t="s">
        <v>3071</v>
      </c>
      <c r="H81" s="8" t="s">
        <v>3074</v>
      </c>
      <c r="I81" s="8" t="s">
        <v>3306</v>
      </c>
      <c r="J81" s="8" t="s">
        <v>2989</v>
      </c>
      <c r="K81" t="s">
        <v>3307</v>
      </c>
      <c r="L81" t="s">
        <v>3308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s="8" t="s">
        <v>289</v>
      </c>
      <c r="E82" s="8" t="s">
        <v>86</v>
      </c>
      <c r="F82" s="8" t="s">
        <v>3071</v>
      </c>
      <c r="H82" s="8" t="s">
        <v>3072</v>
      </c>
      <c r="I82" s="8" t="s">
        <v>3309</v>
      </c>
      <c r="J82" s="8" t="s">
        <v>2989</v>
      </c>
      <c r="K82" t="s">
        <v>3310</v>
      </c>
      <c r="L82" t="s">
        <v>3311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s="8" t="s">
        <v>3073</v>
      </c>
      <c r="E83" s="8" t="s">
        <v>86</v>
      </c>
      <c r="F83" s="8" t="s">
        <v>3071</v>
      </c>
      <c r="H83" s="8" t="s">
        <v>3074</v>
      </c>
      <c r="I83" s="8" t="s">
        <v>3312</v>
      </c>
      <c r="J83" s="8" t="s">
        <v>2989</v>
      </c>
      <c r="K83" t="s">
        <v>3313</v>
      </c>
      <c r="L83" t="s">
        <v>3314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s="8" t="s">
        <v>289</v>
      </c>
      <c r="E84" s="8" t="s">
        <v>86</v>
      </c>
      <c r="F84" s="8" t="s">
        <v>3071</v>
      </c>
      <c r="H84" s="8" t="s">
        <v>3072</v>
      </c>
      <c r="I84" s="8" t="s">
        <v>3315</v>
      </c>
      <c r="J84" s="8" t="s">
        <v>2989</v>
      </c>
      <c r="K84" t="s">
        <v>3316</v>
      </c>
      <c r="L84" t="s">
        <v>3317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s="8" t="s">
        <v>3073</v>
      </c>
      <c r="E85" s="8" t="s">
        <v>86</v>
      </c>
      <c r="F85" s="8" t="s">
        <v>3071</v>
      </c>
      <c r="H85" s="8" t="s">
        <v>3074</v>
      </c>
      <c r="I85" s="8" t="s">
        <v>3318</v>
      </c>
      <c r="J85" s="8" t="s">
        <v>2989</v>
      </c>
      <c r="K85" t="s">
        <v>3319</v>
      </c>
      <c r="L85" t="s">
        <v>3320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s="8" t="s">
        <v>4202</v>
      </c>
      <c r="E86" s="8" t="s">
        <v>4193</v>
      </c>
      <c r="F86" s="8" t="s">
        <v>51</v>
      </c>
      <c r="H86" s="8"/>
      <c r="I86" s="8" t="s">
        <v>3321</v>
      </c>
      <c r="J86" s="8" t="s">
        <v>2989</v>
      </c>
      <c r="K86" t="s">
        <v>3322</v>
      </c>
      <c r="L86" t="s">
        <v>3323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s="8" t="s">
        <v>4202</v>
      </c>
      <c r="E87" s="8" t="s">
        <v>4193</v>
      </c>
      <c r="F87" s="8" t="s">
        <v>51</v>
      </c>
      <c r="H87" s="8" t="s">
        <v>2936</v>
      </c>
      <c r="I87" s="8" t="s">
        <v>3324</v>
      </c>
      <c r="J87" s="8" t="s">
        <v>2989</v>
      </c>
      <c r="K87" t="s">
        <v>3325</v>
      </c>
      <c r="L87" t="s">
        <v>3326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s="8" t="s">
        <v>4202</v>
      </c>
      <c r="E88" s="8" t="s">
        <v>4193</v>
      </c>
      <c r="F88" s="8" t="s">
        <v>51</v>
      </c>
      <c r="H88" s="8" t="s">
        <v>2936</v>
      </c>
      <c r="I88" s="8" t="s">
        <v>3327</v>
      </c>
      <c r="J88" s="8" t="s">
        <v>2989</v>
      </c>
      <c r="K88" t="s">
        <v>3328</v>
      </c>
      <c r="L88" t="s">
        <v>3329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s="8" t="s">
        <v>4201</v>
      </c>
      <c r="E89" s="8" t="s">
        <v>4193</v>
      </c>
      <c r="F89" s="8"/>
      <c r="H89" s="8"/>
      <c r="I89" s="8" t="s">
        <v>3330</v>
      </c>
      <c r="J89" s="8" t="s">
        <v>2989</v>
      </c>
      <c r="K89" t="s">
        <v>3331</v>
      </c>
      <c r="L89" t="s">
        <v>3332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s="8" t="s">
        <v>4</v>
      </c>
      <c r="E90" s="8" t="s">
        <v>8</v>
      </c>
      <c r="F90" s="8"/>
      <c r="H90" s="8" t="s">
        <v>3078</v>
      </c>
      <c r="I90" s="8" t="s">
        <v>3333</v>
      </c>
      <c r="J90" s="8" t="s">
        <v>2989</v>
      </c>
      <c r="K90" t="s">
        <v>3334</v>
      </c>
      <c r="L90" t="s">
        <v>3335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s="8" t="s">
        <v>2004</v>
      </c>
      <c r="E91" s="8"/>
      <c r="F91" s="8"/>
      <c r="H91" s="8"/>
      <c r="I91" s="8" t="s">
        <v>4258</v>
      </c>
      <c r="J91" s="8" t="s">
        <v>2989</v>
      </c>
      <c r="K91" t="s">
        <v>4259</v>
      </c>
      <c r="L91" t="s">
        <v>4260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s="8" t="s">
        <v>5078</v>
      </c>
      <c r="E92" s="8" t="s">
        <v>1607</v>
      </c>
      <c r="F92" s="8" t="s">
        <v>5079</v>
      </c>
      <c r="H92" s="8" t="s">
        <v>5080</v>
      </c>
      <c r="I92" s="8" t="s">
        <v>4299</v>
      </c>
      <c r="J92" s="8" t="s">
        <v>2989</v>
      </c>
      <c r="K92" t="s">
        <v>4300</v>
      </c>
      <c r="L92" t="s">
        <v>4301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s="8" t="s">
        <v>5081</v>
      </c>
      <c r="E93" s="8" t="s">
        <v>86</v>
      </c>
      <c r="F93" s="8" t="s">
        <v>3071</v>
      </c>
      <c r="H93" s="8" t="s">
        <v>5082</v>
      </c>
      <c r="I93" s="8" t="s">
        <v>4302</v>
      </c>
      <c r="J93" s="8" t="s">
        <v>2989</v>
      </c>
      <c r="K93" t="s">
        <v>4303</v>
      </c>
      <c r="L93" t="s">
        <v>4304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s="8" t="s">
        <v>4</v>
      </c>
      <c r="E94" s="8" t="s">
        <v>86</v>
      </c>
      <c r="F94" s="8" t="s">
        <v>51</v>
      </c>
      <c r="H94" s="8"/>
      <c r="I94" s="8" t="s">
        <v>4305</v>
      </c>
      <c r="J94" s="8" t="s">
        <v>2989</v>
      </c>
      <c r="K94" t="s">
        <v>4306</v>
      </c>
      <c r="L94" t="s">
        <v>4307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s="8" t="s">
        <v>4</v>
      </c>
      <c r="E95" s="8" t="s">
        <v>86</v>
      </c>
      <c r="F95" s="8" t="s">
        <v>2938</v>
      </c>
      <c r="H95" s="8"/>
      <c r="I95" s="8" t="s">
        <v>4308</v>
      </c>
      <c r="J95" s="8" t="s">
        <v>2989</v>
      </c>
      <c r="K95" t="s">
        <v>4309</v>
      </c>
      <c r="L95" t="s">
        <v>4310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s="8" t="s">
        <v>5081</v>
      </c>
      <c r="E96" s="8" t="s">
        <v>86</v>
      </c>
      <c r="F96" s="8" t="s">
        <v>2938</v>
      </c>
      <c r="H96" s="8" t="s">
        <v>5082</v>
      </c>
      <c r="I96" s="8" t="s">
        <v>4311</v>
      </c>
      <c r="J96" s="8" t="s">
        <v>2989</v>
      </c>
      <c r="K96" t="s">
        <v>4312</v>
      </c>
      <c r="L96" t="s">
        <v>4313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s="8" t="s">
        <v>4</v>
      </c>
      <c r="E97" s="8" t="s">
        <v>86</v>
      </c>
      <c r="F97" s="8" t="s">
        <v>5083</v>
      </c>
      <c r="H97" s="8" t="s">
        <v>5084</v>
      </c>
      <c r="I97" s="8" t="s">
        <v>4314</v>
      </c>
      <c r="J97" s="8" t="s">
        <v>2989</v>
      </c>
      <c r="K97" t="s">
        <v>4315</v>
      </c>
      <c r="L97" t="s">
        <v>4316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s="8" t="s">
        <v>4</v>
      </c>
      <c r="E98" s="8" t="s">
        <v>8</v>
      </c>
      <c r="F98" s="8"/>
      <c r="H98" s="8"/>
      <c r="I98" s="8" t="s">
        <v>4318</v>
      </c>
      <c r="J98" s="8" t="s">
        <v>2989</v>
      </c>
      <c r="K98" t="s">
        <v>4319</v>
      </c>
      <c r="L98" t="s">
        <v>4320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s="8" t="s">
        <v>158</v>
      </c>
      <c r="E99" s="8" t="s">
        <v>86</v>
      </c>
      <c r="F99" s="8" t="s">
        <v>60</v>
      </c>
      <c r="G99">
        <v>2</v>
      </c>
      <c r="H99" s="8" t="s">
        <v>3075</v>
      </c>
      <c r="I99" s="8" t="s">
        <v>4321</v>
      </c>
      <c r="J99" s="8" t="s">
        <v>2989</v>
      </c>
      <c r="K99" t="s">
        <v>4322</v>
      </c>
      <c r="L99" t="s">
        <v>4323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s="8" t="s">
        <v>158</v>
      </c>
      <c r="E100" s="8" t="s">
        <v>86</v>
      </c>
      <c r="F100" s="8" t="s">
        <v>60</v>
      </c>
      <c r="G100">
        <v>1</v>
      </c>
      <c r="H100" s="8" t="s">
        <v>3075</v>
      </c>
      <c r="I100" s="8" t="s">
        <v>4324</v>
      </c>
      <c r="J100" s="8" t="s">
        <v>2989</v>
      </c>
      <c r="K100" t="s">
        <v>4325</v>
      </c>
      <c r="L100" t="s">
        <v>4326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s="8" t="s">
        <v>158</v>
      </c>
      <c r="E101" s="8" t="s">
        <v>86</v>
      </c>
      <c r="F101" s="8" t="s">
        <v>60</v>
      </c>
      <c r="G101">
        <v>2</v>
      </c>
      <c r="H101" s="8" t="s">
        <v>3075</v>
      </c>
      <c r="I101" s="8" t="s">
        <v>4327</v>
      </c>
      <c r="J101" s="8" t="s">
        <v>2989</v>
      </c>
      <c r="K101" t="s">
        <v>4328</v>
      </c>
      <c r="L101" t="s">
        <v>4329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s="8" t="s">
        <v>158</v>
      </c>
      <c r="E102" s="8" t="s">
        <v>86</v>
      </c>
      <c r="F102" s="8" t="s">
        <v>200</v>
      </c>
      <c r="G102">
        <v>2</v>
      </c>
      <c r="H102" s="8" t="s">
        <v>3075</v>
      </c>
      <c r="I102" s="8" t="s">
        <v>4330</v>
      </c>
      <c r="J102" s="8" t="s">
        <v>2989</v>
      </c>
      <c r="K102" t="s">
        <v>4331</v>
      </c>
      <c r="L102" t="s">
        <v>4332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s="8" t="s">
        <v>158</v>
      </c>
      <c r="E103" s="8" t="s">
        <v>86</v>
      </c>
      <c r="F103" s="8" t="s">
        <v>200</v>
      </c>
      <c r="G103">
        <v>4</v>
      </c>
      <c r="H103" s="8" t="s">
        <v>3075</v>
      </c>
      <c r="I103" s="8" t="s">
        <v>4333</v>
      </c>
      <c r="J103" s="8" t="s">
        <v>2989</v>
      </c>
      <c r="K103" t="s">
        <v>4334</v>
      </c>
      <c r="L103" t="s">
        <v>4335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s="8" t="s">
        <v>158</v>
      </c>
      <c r="E104" s="8" t="s">
        <v>86</v>
      </c>
      <c r="F104" s="8" t="s">
        <v>200</v>
      </c>
      <c r="G104">
        <v>4</v>
      </c>
      <c r="H104" s="8" t="s">
        <v>3075</v>
      </c>
      <c r="I104" s="8" t="s">
        <v>4336</v>
      </c>
      <c r="J104" s="8" t="s">
        <v>2989</v>
      </c>
      <c r="K104" t="s">
        <v>4337</v>
      </c>
      <c r="L104" t="s">
        <v>4338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s="8" t="s">
        <v>158</v>
      </c>
      <c r="E105" s="8" t="s">
        <v>86</v>
      </c>
      <c r="F105" s="8" t="s">
        <v>200</v>
      </c>
      <c r="G105">
        <v>1</v>
      </c>
      <c r="H105" s="8" t="s">
        <v>3075</v>
      </c>
      <c r="I105" s="8" t="s">
        <v>4339</v>
      </c>
      <c r="J105" s="8" t="s">
        <v>2989</v>
      </c>
      <c r="K105" t="s">
        <v>4340</v>
      </c>
      <c r="L105" t="s">
        <v>4341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s="8" t="s">
        <v>158</v>
      </c>
      <c r="E106" s="8" t="s">
        <v>86</v>
      </c>
      <c r="F106" s="8" t="s">
        <v>5085</v>
      </c>
      <c r="G106">
        <v>3</v>
      </c>
      <c r="H106" s="8" t="s">
        <v>3075</v>
      </c>
      <c r="I106" s="8" t="s">
        <v>4342</v>
      </c>
      <c r="J106" s="8" t="s">
        <v>2989</v>
      </c>
      <c r="K106" t="s">
        <v>4343</v>
      </c>
      <c r="L106" t="s">
        <v>4344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s="8" t="s">
        <v>158</v>
      </c>
      <c r="E107" s="8" t="s">
        <v>86</v>
      </c>
      <c r="F107" s="8" t="s">
        <v>5085</v>
      </c>
      <c r="G107">
        <v>3</v>
      </c>
      <c r="H107" s="8" t="s">
        <v>3075</v>
      </c>
      <c r="I107" s="8" t="s">
        <v>4345</v>
      </c>
      <c r="J107" s="8" t="s">
        <v>2989</v>
      </c>
      <c r="K107" t="s">
        <v>4346</v>
      </c>
      <c r="L107" t="s">
        <v>4347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s="8" t="s">
        <v>158</v>
      </c>
      <c r="E108" s="8" t="s">
        <v>86</v>
      </c>
      <c r="F108" s="8" t="s">
        <v>5085</v>
      </c>
      <c r="G108">
        <v>3</v>
      </c>
      <c r="H108" s="8" t="s">
        <v>3075</v>
      </c>
      <c r="I108" s="8" t="s">
        <v>4348</v>
      </c>
      <c r="J108" s="8" t="s">
        <v>2989</v>
      </c>
      <c r="K108" t="s">
        <v>4349</v>
      </c>
      <c r="L108" t="s">
        <v>4350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s="8" t="s">
        <v>4221</v>
      </c>
      <c r="E109" s="8" t="s">
        <v>86</v>
      </c>
      <c r="F109" s="8" t="s">
        <v>4240</v>
      </c>
      <c r="H109" s="8" t="s">
        <v>4236</v>
      </c>
      <c r="I109" s="8" t="s">
        <v>4351</v>
      </c>
      <c r="J109" s="8" t="s">
        <v>2989</v>
      </c>
      <c r="K109" t="s">
        <v>4352</v>
      </c>
      <c r="L109" t="s">
        <v>4353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s="8" t="s">
        <v>4221</v>
      </c>
      <c r="E110" s="8" t="s">
        <v>86</v>
      </c>
      <c r="F110" s="8" t="s">
        <v>4240</v>
      </c>
      <c r="H110" s="8" t="s">
        <v>2936</v>
      </c>
      <c r="I110" s="8" t="s">
        <v>4354</v>
      </c>
      <c r="J110" s="8" t="s">
        <v>2989</v>
      </c>
      <c r="K110" t="s">
        <v>4355</v>
      </c>
      <c r="L110" t="s">
        <v>4356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s="8" t="s">
        <v>158</v>
      </c>
      <c r="E111" s="8" t="s">
        <v>86</v>
      </c>
      <c r="F111" s="8" t="s">
        <v>5085</v>
      </c>
      <c r="G111">
        <v>3</v>
      </c>
      <c r="H111" s="8" t="s">
        <v>3075</v>
      </c>
      <c r="I111" s="8" t="s">
        <v>4357</v>
      </c>
      <c r="J111" s="8" t="s">
        <v>2989</v>
      </c>
      <c r="K111" t="s">
        <v>4358</v>
      </c>
      <c r="L111" t="s">
        <v>4359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s="8" t="s">
        <v>158</v>
      </c>
      <c r="E112" s="8" t="s">
        <v>86</v>
      </c>
      <c r="F112" s="8" t="s">
        <v>200</v>
      </c>
      <c r="G112">
        <v>2</v>
      </c>
      <c r="H112" s="8" t="s">
        <v>3075</v>
      </c>
      <c r="I112" s="8" t="s">
        <v>4360</v>
      </c>
      <c r="J112" s="8" t="s">
        <v>2989</v>
      </c>
      <c r="K112" t="s">
        <v>4361</v>
      </c>
      <c r="L112" t="s">
        <v>4362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s="8" t="s">
        <v>158</v>
      </c>
      <c r="E113" s="8" t="s">
        <v>86</v>
      </c>
      <c r="F113" s="8" t="s">
        <v>200</v>
      </c>
      <c r="G113">
        <v>5</v>
      </c>
      <c r="H113" s="8" t="s">
        <v>3075</v>
      </c>
      <c r="I113" s="8" t="s">
        <v>4363</v>
      </c>
      <c r="J113" s="8" t="s">
        <v>2989</v>
      </c>
      <c r="K113" t="s">
        <v>4364</v>
      </c>
      <c r="L113" t="s">
        <v>4365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s="8" t="s">
        <v>158</v>
      </c>
      <c r="E114" s="8" t="s">
        <v>86</v>
      </c>
      <c r="F114" s="8" t="s">
        <v>200</v>
      </c>
      <c r="G114">
        <v>4</v>
      </c>
      <c r="H114" s="8" t="s">
        <v>3075</v>
      </c>
      <c r="I114" s="8" t="s">
        <v>4366</v>
      </c>
      <c r="J114" s="8" t="s">
        <v>2989</v>
      </c>
      <c r="K114" t="s">
        <v>4367</v>
      </c>
      <c r="L114" t="s">
        <v>4368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s="8" t="s">
        <v>158</v>
      </c>
      <c r="E115" s="8" t="s">
        <v>86</v>
      </c>
      <c r="F115" s="8" t="s">
        <v>200</v>
      </c>
      <c r="G115">
        <v>4</v>
      </c>
      <c r="H115" s="8" t="s">
        <v>3075</v>
      </c>
      <c r="I115" s="8" t="s">
        <v>4369</v>
      </c>
      <c r="J115" s="8" t="s">
        <v>2989</v>
      </c>
      <c r="K115" t="s">
        <v>4370</v>
      </c>
      <c r="L115" t="s">
        <v>4371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s="8" t="s">
        <v>158</v>
      </c>
      <c r="E116" s="8" t="s">
        <v>86</v>
      </c>
      <c r="F116" s="8" t="s">
        <v>60</v>
      </c>
      <c r="G116">
        <v>2</v>
      </c>
      <c r="H116" s="8" t="s">
        <v>3075</v>
      </c>
      <c r="I116" s="8" t="s">
        <v>4372</v>
      </c>
      <c r="J116" s="8" t="s">
        <v>2989</v>
      </c>
      <c r="K116" t="s">
        <v>4373</v>
      </c>
      <c r="L116" t="s">
        <v>4374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s="8" t="s">
        <v>158</v>
      </c>
      <c r="E117" s="8" t="s">
        <v>86</v>
      </c>
      <c r="F117" s="8" t="s">
        <v>200</v>
      </c>
      <c r="G117">
        <v>1</v>
      </c>
      <c r="H117" s="8" t="s">
        <v>3075</v>
      </c>
      <c r="I117" s="8" t="s">
        <v>4375</v>
      </c>
      <c r="J117" s="8" t="s">
        <v>2989</v>
      </c>
      <c r="K117" t="s">
        <v>4376</v>
      </c>
      <c r="L117" t="s">
        <v>4377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s="8" t="s">
        <v>4221</v>
      </c>
      <c r="E118" s="8" t="s">
        <v>86</v>
      </c>
      <c r="F118" s="8" t="s">
        <v>2938</v>
      </c>
      <c r="H118" s="8" t="s">
        <v>4236</v>
      </c>
      <c r="I118" s="8" t="s">
        <v>4378</v>
      </c>
      <c r="J118" s="8" t="s">
        <v>2989</v>
      </c>
      <c r="K118" t="s">
        <v>4379</v>
      </c>
      <c r="L118" t="s">
        <v>4380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s="8" t="s">
        <v>4221</v>
      </c>
      <c r="E119" s="8" t="s">
        <v>86</v>
      </c>
      <c r="F119" s="8" t="s">
        <v>2938</v>
      </c>
      <c r="H119" s="8" t="s">
        <v>2936</v>
      </c>
      <c r="I119" s="8" t="s">
        <v>4381</v>
      </c>
      <c r="J119" s="8" t="s">
        <v>2989</v>
      </c>
      <c r="K119" t="s">
        <v>4382</v>
      </c>
      <c r="L119" t="s">
        <v>4383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s="8" t="s">
        <v>158</v>
      </c>
      <c r="E120" s="8" t="s">
        <v>86</v>
      </c>
      <c r="F120" s="8" t="s">
        <v>200</v>
      </c>
      <c r="G120">
        <v>4</v>
      </c>
      <c r="H120" s="8" t="s">
        <v>3075</v>
      </c>
      <c r="I120" s="8" t="s">
        <v>4384</v>
      </c>
      <c r="J120" s="8" t="s">
        <v>2989</v>
      </c>
      <c r="K120" t="s">
        <v>4385</v>
      </c>
      <c r="L120" t="s">
        <v>4386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s="8" t="s">
        <v>158</v>
      </c>
      <c r="E121" s="8" t="s">
        <v>86</v>
      </c>
      <c r="F121" s="8" t="s">
        <v>200</v>
      </c>
      <c r="G121">
        <v>3</v>
      </c>
      <c r="H121" s="8" t="s">
        <v>3075</v>
      </c>
      <c r="I121" s="8" t="s">
        <v>4387</v>
      </c>
      <c r="J121" s="8" t="s">
        <v>2989</v>
      </c>
      <c r="K121" t="s">
        <v>4388</v>
      </c>
      <c r="L121" t="s">
        <v>4389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s="8" t="s">
        <v>158</v>
      </c>
      <c r="E122" s="8" t="s">
        <v>86</v>
      </c>
      <c r="F122" s="8" t="s">
        <v>200</v>
      </c>
      <c r="G122">
        <v>2</v>
      </c>
      <c r="H122" s="8" t="s">
        <v>3075</v>
      </c>
      <c r="I122" s="8" t="s">
        <v>4390</v>
      </c>
      <c r="J122" s="8" t="s">
        <v>2989</v>
      </c>
      <c r="K122" t="s">
        <v>4391</v>
      </c>
      <c r="L122" t="s">
        <v>4392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s="8" t="s">
        <v>158</v>
      </c>
      <c r="E123" s="8" t="s">
        <v>86</v>
      </c>
      <c r="F123" s="8" t="s">
        <v>200</v>
      </c>
      <c r="G123">
        <v>3</v>
      </c>
      <c r="H123" s="8" t="s">
        <v>3075</v>
      </c>
      <c r="I123" s="8" t="s">
        <v>4393</v>
      </c>
      <c r="J123" s="8" t="s">
        <v>2989</v>
      </c>
      <c r="K123" t="s">
        <v>4394</v>
      </c>
      <c r="L123" t="s">
        <v>4395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s="8" t="s">
        <v>158</v>
      </c>
      <c r="E124" s="8" t="s">
        <v>86</v>
      </c>
      <c r="F124" s="8" t="s">
        <v>200</v>
      </c>
      <c r="G124">
        <v>4</v>
      </c>
      <c r="H124" s="8" t="s">
        <v>3075</v>
      </c>
      <c r="I124" s="8" t="s">
        <v>4396</v>
      </c>
      <c r="J124" s="8" t="s">
        <v>2989</v>
      </c>
      <c r="K124" t="s">
        <v>4397</v>
      </c>
      <c r="L124" t="s">
        <v>4398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s="8" t="s">
        <v>2004</v>
      </c>
      <c r="E125" s="8"/>
      <c r="F125" s="8"/>
      <c r="H125" s="8"/>
      <c r="I125" s="8" t="s">
        <v>4399</v>
      </c>
      <c r="J125" s="8" t="s">
        <v>2989</v>
      </c>
      <c r="K125" t="s">
        <v>4400</v>
      </c>
      <c r="L125" t="s">
        <v>4401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s="8" t="s">
        <v>2004</v>
      </c>
      <c r="E126" s="8"/>
      <c r="F126" s="8"/>
      <c r="H126" s="8"/>
      <c r="I126" s="8" t="s">
        <v>5196</v>
      </c>
      <c r="J126" s="8" t="s">
        <v>2989</v>
      </c>
      <c r="K126" t="s">
        <v>5197</v>
      </c>
      <c r="L126" t="s">
        <v>5198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0.59916666666666663</v>
      </c>
      <c r="D127" s="8" t="s">
        <v>4</v>
      </c>
      <c r="E127" s="8" t="s">
        <v>4193</v>
      </c>
      <c r="F127" s="8" t="s">
        <v>5076</v>
      </c>
      <c r="H127" s="8"/>
      <c r="I127" s="8" t="s">
        <v>5282</v>
      </c>
      <c r="J127" s="8" t="s">
        <v>2989</v>
      </c>
      <c r="K127" t="s">
        <v>5283</v>
      </c>
      <c r="L127" t="s">
        <v>5284</v>
      </c>
      <c r="M127" s="3" t="str">
        <f>HYPERLINK(склад2въезд14[[#This Row],[RelativePath]])</f>
        <v>2 Пилорама поката\E33149364_7_20251208T142248Z.jpg</v>
      </c>
    </row>
    <row r="128" spans="1:13" x14ac:dyDescent="0.25">
      <c r="A128" s="2" t="s">
        <v>13</v>
      </c>
      <c r="B128" s="4">
        <v>45999</v>
      </c>
      <c r="C128" s="5">
        <v>0.6244791666666667</v>
      </c>
      <c r="D128" s="8" t="s">
        <v>4</v>
      </c>
      <c r="E128" s="8" t="s">
        <v>4193</v>
      </c>
      <c r="F128" s="8" t="s">
        <v>5076</v>
      </c>
      <c r="H128" s="8" t="s">
        <v>5474</v>
      </c>
      <c r="I128" s="8" t="s">
        <v>5269</v>
      </c>
      <c r="J128" s="8" t="s">
        <v>2989</v>
      </c>
      <c r="K128" t="s">
        <v>5270</v>
      </c>
      <c r="L128" t="s">
        <v>5271</v>
      </c>
      <c r="M128" s="3" t="str">
        <f>HYPERLINK(склад2въезд14[[#This Row],[RelativePath]])</f>
        <v>2 Пилорама поката\E33149364_7_20251208T145915Z.jpg</v>
      </c>
    </row>
    <row r="129" spans="1:13" x14ac:dyDescent="0.25">
      <c r="A129" s="2" t="s">
        <v>13</v>
      </c>
      <c r="B129" s="4">
        <v>45999</v>
      </c>
      <c r="C129" s="5">
        <v>0.63473379629629634</v>
      </c>
      <c r="D129" s="8" t="s">
        <v>158</v>
      </c>
      <c r="E129" s="8" t="s">
        <v>86</v>
      </c>
      <c r="F129" s="8" t="s">
        <v>200</v>
      </c>
      <c r="G129">
        <v>3</v>
      </c>
      <c r="H129" s="8" t="s">
        <v>3075</v>
      </c>
      <c r="I129" s="8" t="s">
        <v>5285</v>
      </c>
      <c r="J129" s="8" t="s">
        <v>2989</v>
      </c>
      <c r="K129" t="s">
        <v>5286</v>
      </c>
      <c r="L129" t="s">
        <v>5287</v>
      </c>
      <c r="M129" s="3" t="str">
        <f>HYPERLINK(склад2въезд14[[#This Row],[RelativePath]])</f>
        <v>2 Пилорама поката\E33149364_7_20251208T151401Z.jpg</v>
      </c>
    </row>
    <row r="130" spans="1:13" x14ac:dyDescent="0.25">
      <c r="A130" s="2" t="s">
        <v>13</v>
      </c>
      <c r="B130" s="4">
        <v>45999</v>
      </c>
      <c r="C130" s="5">
        <v>0.64184027777777775</v>
      </c>
      <c r="D130" s="8" t="s">
        <v>158</v>
      </c>
      <c r="E130" s="8" t="s">
        <v>86</v>
      </c>
      <c r="F130" s="8" t="s">
        <v>200</v>
      </c>
      <c r="G130">
        <v>4</v>
      </c>
      <c r="H130" s="8" t="s">
        <v>3075</v>
      </c>
      <c r="I130" s="8" t="s">
        <v>5288</v>
      </c>
      <c r="J130" s="8" t="s">
        <v>2989</v>
      </c>
      <c r="K130" t="s">
        <v>5289</v>
      </c>
      <c r="L130" t="s">
        <v>5290</v>
      </c>
      <c r="M130" s="3" t="str">
        <f>HYPERLINK(склад2въезд14[[#This Row],[RelativePath]])</f>
        <v>2 Пилорама поката\E33149364_7_20251208T152415Z.jpg</v>
      </c>
    </row>
    <row r="131" spans="1:13" x14ac:dyDescent="0.25">
      <c r="A131" s="2" t="s">
        <v>13</v>
      </c>
      <c r="B131" s="4">
        <v>45999</v>
      </c>
      <c r="C131" s="5">
        <v>0.66174768518518523</v>
      </c>
      <c r="D131" s="8" t="s">
        <v>4</v>
      </c>
      <c r="E131" s="8" t="s">
        <v>5475</v>
      </c>
      <c r="F131" s="8" t="s">
        <v>5076</v>
      </c>
      <c r="H131" s="8" t="s">
        <v>5474</v>
      </c>
      <c r="I131" s="8" t="s">
        <v>5291</v>
      </c>
      <c r="J131" s="8" t="s">
        <v>2989</v>
      </c>
      <c r="K131" t="s">
        <v>5292</v>
      </c>
      <c r="L131" t="s">
        <v>5293</v>
      </c>
      <c r="M131" s="3" t="str">
        <f>HYPERLINK(склад2въезд14[[#This Row],[RelativePath]])</f>
        <v>2 Пилорама поката\E33149364_7_20251208T155255Z.jpg</v>
      </c>
    </row>
    <row r="132" spans="1:13" x14ac:dyDescent="0.25">
      <c r="A132" s="2" t="s">
        <v>13</v>
      </c>
      <c r="B132" s="4">
        <v>45999</v>
      </c>
      <c r="C132" s="5">
        <v>0.72633101851851856</v>
      </c>
      <c r="D132" s="8" t="s">
        <v>4</v>
      </c>
      <c r="E132" s="8" t="s">
        <v>8</v>
      </c>
      <c r="F132" s="8"/>
      <c r="H132" s="8"/>
      <c r="I132" s="8" t="s">
        <v>5294</v>
      </c>
      <c r="J132" s="8" t="s">
        <v>2989</v>
      </c>
      <c r="K132" t="s">
        <v>5295</v>
      </c>
      <c r="L132" t="s">
        <v>5296</v>
      </c>
      <c r="M132" s="3" t="str">
        <f>HYPERLINK(склад2въезд14[[#This Row],[RelativePath]])</f>
        <v>2 Пилорама поката\E33149364_7_20251208T172555Z.jpg</v>
      </c>
    </row>
    <row r="133" spans="1:13" x14ac:dyDescent="0.25">
      <c r="A133" s="2" t="s">
        <v>14</v>
      </c>
      <c r="B133" s="4">
        <v>46000</v>
      </c>
      <c r="C133" s="5">
        <v>0.42149305555555555</v>
      </c>
      <c r="D133" s="8" t="s">
        <v>4198</v>
      </c>
      <c r="E133" s="8" t="s">
        <v>86</v>
      </c>
      <c r="F133" s="8" t="s">
        <v>6170</v>
      </c>
      <c r="H133" s="8"/>
      <c r="I133" s="8" t="s">
        <v>5506</v>
      </c>
      <c r="J133" s="8" t="s">
        <v>2989</v>
      </c>
      <c r="K133" t="s">
        <v>5507</v>
      </c>
      <c r="L133" t="s">
        <v>5508</v>
      </c>
      <c r="M133" s="3" t="str">
        <f>HYPERLINK(склад2въезд14[[#This Row],[RelativePath]])</f>
        <v>2 Пилорама поката\E33149364_7_20251209T100657Z.jpg</v>
      </c>
    </row>
    <row r="134" spans="1:13" x14ac:dyDescent="0.25">
      <c r="A134" s="2" t="s">
        <v>14</v>
      </c>
      <c r="B134" s="4">
        <v>46000</v>
      </c>
      <c r="C134" s="5">
        <v>0.43395833333333333</v>
      </c>
      <c r="D134" s="8" t="s">
        <v>1606</v>
      </c>
      <c r="E134" s="8" t="s">
        <v>4193</v>
      </c>
      <c r="F134" s="8" t="s">
        <v>5076</v>
      </c>
      <c r="H134" s="8"/>
      <c r="I134" s="8" t="s">
        <v>5509</v>
      </c>
      <c r="J134" s="8" t="s">
        <v>2989</v>
      </c>
      <c r="K134" t="s">
        <v>5510</v>
      </c>
      <c r="L134" t="s">
        <v>5511</v>
      </c>
      <c r="M134" s="3" t="str">
        <f>HYPERLINK(склад2въезд14[[#This Row],[RelativePath]])</f>
        <v>2 Пилорама поката\E33149364_7_20251209T102454Z.jpg</v>
      </c>
    </row>
    <row r="135" spans="1:13" x14ac:dyDescent="0.25">
      <c r="A135" s="2" t="s">
        <v>14</v>
      </c>
      <c r="B135" s="4">
        <v>46000</v>
      </c>
      <c r="C135" s="5">
        <v>0.43410879629629628</v>
      </c>
      <c r="D135" s="8" t="s">
        <v>6171</v>
      </c>
      <c r="E135" s="8" t="s">
        <v>4193</v>
      </c>
      <c r="F135" s="8" t="s">
        <v>5076</v>
      </c>
      <c r="H135" s="8" t="s">
        <v>5474</v>
      </c>
      <c r="I135" s="8" t="s">
        <v>5512</v>
      </c>
      <c r="J135" s="8" t="s">
        <v>2989</v>
      </c>
      <c r="K135" t="s">
        <v>5513</v>
      </c>
      <c r="L135" t="s">
        <v>5514</v>
      </c>
      <c r="M135" s="3" t="str">
        <f>HYPERLINK(склад2въезд14[[#This Row],[RelativePath]])</f>
        <v>2 Пилорама поката\E33149364_7_20251209T102507Z.jpg</v>
      </c>
    </row>
    <row r="136" spans="1:13" x14ac:dyDescent="0.25">
      <c r="A136" s="2" t="s">
        <v>14</v>
      </c>
      <c r="B136" s="4">
        <v>46000</v>
      </c>
      <c r="C136" s="5">
        <v>0.63540509259259259</v>
      </c>
      <c r="D136" s="8" t="s">
        <v>1606</v>
      </c>
      <c r="E136" s="8" t="s">
        <v>4193</v>
      </c>
      <c r="F136" s="8" t="s">
        <v>5076</v>
      </c>
      <c r="H136" s="8"/>
      <c r="I136" s="8" t="s">
        <v>5515</v>
      </c>
      <c r="J136" s="8" t="s">
        <v>2989</v>
      </c>
      <c r="K136" t="s">
        <v>5516</v>
      </c>
      <c r="L136" t="s">
        <v>5517</v>
      </c>
      <c r="M136" s="3" t="str">
        <f>HYPERLINK(склад2въезд14[[#This Row],[RelativePath]])</f>
        <v>2 Пилорама поката\E33149364_7_20251209T151459Z.jpg</v>
      </c>
    </row>
    <row r="137" spans="1:13" x14ac:dyDescent="0.25">
      <c r="A137" s="2" t="s">
        <v>14</v>
      </c>
      <c r="B137" s="4">
        <v>46000</v>
      </c>
      <c r="C137" s="5">
        <v>0.6868171296296296</v>
      </c>
      <c r="D137" s="8" t="s">
        <v>6171</v>
      </c>
      <c r="E137" s="8" t="s">
        <v>4193</v>
      </c>
      <c r="F137" s="8" t="s">
        <v>5076</v>
      </c>
      <c r="H137" s="8" t="s">
        <v>5474</v>
      </c>
      <c r="I137" s="8" t="s">
        <v>5518</v>
      </c>
      <c r="J137" s="8" t="s">
        <v>2989</v>
      </c>
      <c r="K137" t="s">
        <v>5519</v>
      </c>
      <c r="L137" t="s">
        <v>5520</v>
      </c>
      <c r="M137" s="3" t="str">
        <f>HYPERLINK(склад2въезд14[[#This Row],[RelativePath]])</f>
        <v>2 Пилорама поката\E33149364_7_20251209T162901Z.jpg</v>
      </c>
    </row>
    <row r="138" spans="1:13" x14ac:dyDescent="0.25">
      <c r="A138" s="2" t="s">
        <v>15</v>
      </c>
      <c r="B138" s="4">
        <v>46001</v>
      </c>
      <c r="C138" s="5">
        <v>0.37682870370370369</v>
      </c>
      <c r="D138" s="8" t="s">
        <v>4198</v>
      </c>
      <c r="E138" s="8" t="s">
        <v>86</v>
      </c>
      <c r="F138" s="8" t="s">
        <v>2944</v>
      </c>
      <c r="H138" s="8"/>
      <c r="I138" s="8" t="s">
        <v>5521</v>
      </c>
      <c r="J138" s="8" t="s">
        <v>2989</v>
      </c>
      <c r="K138" t="s">
        <v>5522</v>
      </c>
      <c r="L138" t="s">
        <v>5523</v>
      </c>
      <c r="M138" s="3" t="str">
        <f>HYPERLINK(склад2въезд14[[#This Row],[RelativePath]])</f>
        <v>2 Пилорама поката\E33149364_7_20251210T090238Z.jpg</v>
      </c>
    </row>
    <row r="139" spans="1:13" x14ac:dyDescent="0.25">
      <c r="A139" s="2" t="s">
        <v>15</v>
      </c>
      <c r="B139" s="4">
        <v>46001</v>
      </c>
      <c r="C139" s="5">
        <v>0.37695601851851851</v>
      </c>
      <c r="D139" s="8" t="s">
        <v>4198</v>
      </c>
      <c r="E139" s="8" t="s">
        <v>86</v>
      </c>
      <c r="F139" s="8" t="s">
        <v>2944</v>
      </c>
      <c r="H139" s="8" t="s">
        <v>2936</v>
      </c>
      <c r="I139" s="8" t="s">
        <v>5524</v>
      </c>
      <c r="J139" s="8" t="s">
        <v>2989</v>
      </c>
      <c r="K139" t="s">
        <v>5525</v>
      </c>
      <c r="L139" t="s">
        <v>5526</v>
      </c>
      <c r="M139" s="3" t="str">
        <f>HYPERLINK(склад2въезд14[[#This Row],[RelativePath]])</f>
        <v>2 Пилорама поката\E33149364_7_20251210T090249Z.jpg</v>
      </c>
    </row>
    <row r="140" spans="1:13" x14ac:dyDescent="0.25">
      <c r="A140" s="2" t="s">
        <v>15</v>
      </c>
      <c r="B140" s="4">
        <v>46001</v>
      </c>
      <c r="C140" s="5">
        <v>0.3828125</v>
      </c>
      <c r="D140" s="8" t="s">
        <v>4198</v>
      </c>
      <c r="E140" s="8" t="s">
        <v>86</v>
      </c>
      <c r="F140" s="8" t="s">
        <v>528</v>
      </c>
      <c r="H140" s="8"/>
      <c r="I140" s="8" t="s">
        <v>5527</v>
      </c>
      <c r="J140" s="8" t="s">
        <v>2989</v>
      </c>
      <c r="K140" t="s">
        <v>5528</v>
      </c>
      <c r="L140" t="s">
        <v>5529</v>
      </c>
      <c r="M140" s="3" t="str">
        <f>HYPERLINK(склад2въезд14[[#This Row],[RelativePath]])</f>
        <v>2 Пилорама поката\E33149364_7_20251210T091115Z.jpg</v>
      </c>
    </row>
    <row r="141" spans="1:13" x14ac:dyDescent="0.25">
      <c r="A141" s="2" t="s">
        <v>15</v>
      </c>
      <c r="B141" s="4">
        <v>46001</v>
      </c>
      <c r="C141" s="5">
        <v>0.3830439814814815</v>
      </c>
      <c r="D141" s="8" t="s">
        <v>4198</v>
      </c>
      <c r="E141" s="8" t="s">
        <v>86</v>
      </c>
      <c r="F141" s="8" t="s">
        <v>528</v>
      </c>
      <c r="H141" s="8" t="s">
        <v>2936</v>
      </c>
      <c r="I141" s="8" t="s">
        <v>5530</v>
      </c>
      <c r="J141" s="8" t="s">
        <v>2989</v>
      </c>
      <c r="K141" t="s">
        <v>5531</v>
      </c>
      <c r="L141" t="s">
        <v>5532</v>
      </c>
      <c r="M141" s="3" t="str">
        <f>HYPERLINK(склад2въезд14[[#This Row],[RelativePath]])</f>
        <v>2 Пилорама поката\E33149364_7_20251210T091135Z.jpg</v>
      </c>
    </row>
    <row r="142" spans="1:13" x14ac:dyDescent="0.25">
      <c r="A142" s="2" t="s">
        <v>15</v>
      </c>
      <c r="B142" s="4">
        <v>46001</v>
      </c>
      <c r="C142" s="5">
        <v>0.53289351851851852</v>
      </c>
      <c r="D142" s="8" t="s">
        <v>1606</v>
      </c>
      <c r="E142" s="8" t="s">
        <v>4193</v>
      </c>
      <c r="F142" s="8" t="s">
        <v>5076</v>
      </c>
      <c r="H142" s="8"/>
      <c r="I142" s="8" t="s">
        <v>5533</v>
      </c>
      <c r="J142" s="8" t="s">
        <v>2989</v>
      </c>
      <c r="K142" t="s">
        <v>5534</v>
      </c>
      <c r="L142" t="s">
        <v>5535</v>
      </c>
      <c r="M142" s="3" t="str">
        <f>HYPERLINK(склад2въезд14[[#This Row],[RelativePath]])</f>
        <v>2 Пилорама поката\E33149364_7_20251210T124722Z.jpg</v>
      </c>
    </row>
    <row r="143" spans="1:13" x14ac:dyDescent="0.25">
      <c r="A143" s="2" t="s">
        <v>15</v>
      </c>
      <c r="B143" s="4">
        <v>46001</v>
      </c>
      <c r="C143" s="5">
        <v>0.57746527777777779</v>
      </c>
      <c r="D143" s="8" t="s">
        <v>6171</v>
      </c>
      <c r="E143" s="8" t="s">
        <v>4193</v>
      </c>
      <c r="F143" s="8" t="s">
        <v>5076</v>
      </c>
      <c r="H143" s="8" t="s">
        <v>5474</v>
      </c>
      <c r="I143" s="8" t="s">
        <v>5536</v>
      </c>
      <c r="J143" s="8" t="s">
        <v>2989</v>
      </c>
      <c r="K143" t="s">
        <v>5537</v>
      </c>
      <c r="L143" t="s">
        <v>5538</v>
      </c>
      <c r="M143" s="3" t="str">
        <f>HYPERLINK(склад2въезд14[[#This Row],[RelativePath]])</f>
        <v>2 Пилорама поката\E33149364_7_20251210T135133Z.jpg</v>
      </c>
    </row>
    <row r="144" spans="1:13" x14ac:dyDescent="0.25">
      <c r="A144" s="2" t="s">
        <v>16</v>
      </c>
      <c r="B144" s="4">
        <v>46002</v>
      </c>
      <c r="C144" s="5">
        <v>0.62288194444444445</v>
      </c>
      <c r="D144" s="8" t="s">
        <v>4</v>
      </c>
      <c r="E144" s="8" t="s">
        <v>8</v>
      </c>
      <c r="F144" s="8"/>
      <c r="H144" s="8"/>
      <c r="I144" s="8" t="s">
        <v>5801</v>
      </c>
      <c r="J144" s="8" t="s">
        <v>2989</v>
      </c>
      <c r="K144" t="s">
        <v>5802</v>
      </c>
      <c r="L144" t="s">
        <v>5803</v>
      </c>
      <c r="M144" s="3" t="str">
        <f>HYPERLINK(склад2въезд14[[#This Row],[RelativePath]])</f>
        <v>2 Пилорама поката\E33149364_7_20251211T145657Z.jpg</v>
      </c>
    </row>
    <row r="145" spans="1:13" x14ac:dyDescent="0.25">
      <c r="A145" s="2" t="s">
        <v>17</v>
      </c>
      <c r="B145" s="4">
        <v>46003</v>
      </c>
      <c r="C145" s="5">
        <v>0.44298611111111114</v>
      </c>
      <c r="D145" s="8" t="s">
        <v>4198</v>
      </c>
      <c r="E145" s="8" t="s">
        <v>86</v>
      </c>
      <c r="F145" s="8" t="s">
        <v>6172</v>
      </c>
      <c r="H145" s="8"/>
      <c r="I145" s="8" t="s">
        <v>5804</v>
      </c>
      <c r="J145" s="8" t="s">
        <v>2989</v>
      </c>
      <c r="K145" t="s">
        <v>5805</v>
      </c>
      <c r="L145" t="s">
        <v>5806</v>
      </c>
      <c r="M145" s="3" t="str">
        <f>HYPERLINK(склад2въезд14[[#This Row],[RelativePath]])</f>
        <v>2 Пилорама поката\E33149364_7_20251212T103754Z.jpg</v>
      </c>
    </row>
    <row r="146" spans="1:13" x14ac:dyDescent="0.25">
      <c r="A146" s="2" t="s">
        <v>17</v>
      </c>
      <c r="B146" s="4">
        <v>46003</v>
      </c>
      <c r="C146" s="5">
        <v>0.4594212962962963</v>
      </c>
      <c r="D146" s="8" t="s">
        <v>158</v>
      </c>
      <c r="E146" s="8" t="s">
        <v>86</v>
      </c>
      <c r="F146" s="8" t="s">
        <v>200</v>
      </c>
      <c r="G146">
        <v>3</v>
      </c>
      <c r="H146" s="8" t="s">
        <v>3075</v>
      </c>
      <c r="I146" s="8" t="s">
        <v>5807</v>
      </c>
      <c r="J146" s="8" t="s">
        <v>2989</v>
      </c>
      <c r="K146" t="s">
        <v>5808</v>
      </c>
      <c r="L146" t="s">
        <v>5809</v>
      </c>
      <c r="M146" s="3" t="str">
        <f>HYPERLINK(склад2въезд14[[#This Row],[RelativePath]])</f>
        <v>2 Пилорама поката\E33149364_7_20251212T110134Z.jpg</v>
      </c>
    </row>
    <row r="147" spans="1:13" x14ac:dyDescent="0.25">
      <c r="A147" s="2" t="s">
        <v>17</v>
      </c>
      <c r="B147" s="4">
        <v>46003</v>
      </c>
      <c r="C147" s="5">
        <v>0.47104166666666669</v>
      </c>
      <c r="D147" s="8" t="s">
        <v>158</v>
      </c>
      <c r="E147" s="8" t="s">
        <v>86</v>
      </c>
      <c r="F147" s="8" t="s">
        <v>200</v>
      </c>
      <c r="G147">
        <v>4</v>
      </c>
      <c r="H147" s="8" t="s">
        <v>3075</v>
      </c>
      <c r="I147" s="8" t="s">
        <v>5810</v>
      </c>
      <c r="J147" s="8" t="s">
        <v>2989</v>
      </c>
      <c r="K147" t="s">
        <v>5811</v>
      </c>
      <c r="L147" t="s">
        <v>5812</v>
      </c>
      <c r="M147" s="3" t="str">
        <f>HYPERLINK(склад2въезд14[[#This Row],[RelativePath]])</f>
        <v>2 Пилорама поката\E33149364_7_20251212T111818Z.jpg</v>
      </c>
    </row>
    <row r="148" spans="1:13" x14ac:dyDescent="0.25">
      <c r="A148" s="2" t="s">
        <v>17</v>
      </c>
      <c r="B148" s="4">
        <v>46003</v>
      </c>
      <c r="C148" s="5">
        <v>0.47760416666666666</v>
      </c>
      <c r="D148" s="8" t="s">
        <v>158</v>
      </c>
      <c r="E148" s="8" t="s">
        <v>86</v>
      </c>
      <c r="F148" s="8" t="s">
        <v>60</v>
      </c>
      <c r="G148">
        <v>2</v>
      </c>
      <c r="H148" s="8" t="s">
        <v>3075</v>
      </c>
      <c r="I148" s="8" t="s">
        <v>5813</v>
      </c>
      <c r="J148" s="8" t="s">
        <v>2989</v>
      </c>
      <c r="K148" t="s">
        <v>5814</v>
      </c>
      <c r="L148" t="s">
        <v>5815</v>
      </c>
      <c r="M148" s="3" t="str">
        <f>HYPERLINK(склад2въезд14[[#This Row],[RelativePath]])</f>
        <v>2 Пилорама поката\E33149364_7_20251212T112745Z.jpg</v>
      </c>
    </row>
    <row r="149" spans="1:13" x14ac:dyDescent="0.25">
      <c r="A149" s="2" t="s">
        <v>17</v>
      </c>
      <c r="B149" s="4">
        <v>46003</v>
      </c>
      <c r="C149" s="5">
        <v>0.4820949074074074</v>
      </c>
      <c r="D149" s="8" t="s">
        <v>158</v>
      </c>
      <c r="E149" s="8" t="s">
        <v>86</v>
      </c>
      <c r="F149" s="8" t="s">
        <v>200</v>
      </c>
      <c r="G149">
        <v>2</v>
      </c>
      <c r="H149" s="8" t="s">
        <v>3075</v>
      </c>
      <c r="I149" s="8" t="s">
        <v>5816</v>
      </c>
      <c r="J149" s="8" t="s">
        <v>2989</v>
      </c>
      <c r="K149" t="s">
        <v>5817</v>
      </c>
      <c r="L149" t="s">
        <v>5818</v>
      </c>
      <c r="M149" s="3" t="str">
        <f>HYPERLINK(склад2въезд14[[#This Row],[RelativePath]])</f>
        <v>2 Пилорама поката\E33149364_7_20251212T113413Z.jpg</v>
      </c>
    </row>
    <row r="150" spans="1:13" x14ac:dyDescent="0.25">
      <c r="A150" s="2" t="s">
        <v>17</v>
      </c>
      <c r="B150" s="4">
        <v>46003</v>
      </c>
      <c r="C150" s="5">
        <v>0.48931712962962964</v>
      </c>
      <c r="D150" s="8" t="s">
        <v>158</v>
      </c>
      <c r="E150" s="8" t="s">
        <v>86</v>
      </c>
      <c r="F150" s="8" t="s">
        <v>60</v>
      </c>
      <c r="G150">
        <v>3</v>
      </c>
      <c r="H150" s="8" t="s">
        <v>3075</v>
      </c>
      <c r="I150" s="8" t="s">
        <v>5819</v>
      </c>
      <c r="J150" s="8" t="s">
        <v>2989</v>
      </c>
      <c r="K150" t="s">
        <v>5820</v>
      </c>
      <c r="L150" t="s">
        <v>5821</v>
      </c>
      <c r="M150" s="3" t="str">
        <f>HYPERLINK(склад2въезд14[[#This Row],[RelativePath]])</f>
        <v>2 Пилорама поката\E33149364_7_20251212T114437Z.jpg</v>
      </c>
    </row>
    <row r="151" spans="1:13" x14ac:dyDescent="0.25">
      <c r="A151" s="2" t="s">
        <v>17</v>
      </c>
      <c r="B151" s="4">
        <v>46003</v>
      </c>
      <c r="C151" s="5">
        <v>0.50577546296296294</v>
      </c>
      <c r="D151" s="8" t="s">
        <v>158</v>
      </c>
      <c r="E151" s="8" t="s">
        <v>86</v>
      </c>
      <c r="F151" s="8" t="s">
        <v>60</v>
      </c>
      <c r="G151">
        <v>3</v>
      </c>
      <c r="H151" s="8" t="s">
        <v>3075</v>
      </c>
      <c r="I151" s="8" t="s">
        <v>5822</v>
      </c>
      <c r="J151" s="8" t="s">
        <v>2989</v>
      </c>
      <c r="K151" t="s">
        <v>5823</v>
      </c>
      <c r="L151" t="s">
        <v>5824</v>
      </c>
      <c r="M151" s="3" t="str">
        <f>HYPERLINK(склад2въезд14[[#This Row],[RelativePath]])</f>
        <v>2 Пилорама поката\E33149364_7_20251212T120819Z.jpg</v>
      </c>
    </row>
    <row r="152" spans="1:13" x14ac:dyDescent="0.25">
      <c r="A152" s="2" t="s">
        <v>17</v>
      </c>
      <c r="B152" s="4">
        <v>46003</v>
      </c>
      <c r="C152" s="5">
        <v>0.51458333333333328</v>
      </c>
      <c r="D152" s="8" t="s">
        <v>158</v>
      </c>
      <c r="E152" s="8" t="s">
        <v>86</v>
      </c>
      <c r="F152" s="8" t="s">
        <v>200</v>
      </c>
      <c r="G152">
        <v>2</v>
      </c>
      <c r="H152" s="8" t="s">
        <v>3075</v>
      </c>
      <c r="I152" s="8" t="s">
        <v>5825</v>
      </c>
      <c r="J152" s="8" t="s">
        <v>2989</v>
      </c>
      <c r="K152" t="s">
        <v>5826</v>
      </c>
      <c r="L152" t="s">
        <v>5827</v>
      </c>
      <c r="M152" s="3" t="str">
        <f>HYPERLINK(склад2въезд14[[#This Row],[RelativePath]])</f>
        <v>2 Пилорама поката\E33149364_7_20251212T122100Z.jpg</v>
      </c>
    </row>
    <row r="153" spans="1:13" x14ac:dyDescent="0.25">
      <c r="A153" s="2" t="s">
        <v>18</v>
      </c>
      <c r="B153" s="4">
        <v>46004</v>
      </c>
      <c r="C153" s="5">
        <v>0.73241898148148143</v>
      </c>
      <c r="D153" s="8" t="s">
        <v>2004</v>
      </c>
      <c r="E153" s="8" t="s">
        <v>8</v>
      </c>
      <c r="F153" s="8"/>
      <c r="H153" s="8"/>
      <c r="I153" s="8" t="s">
        <v>6020</v>
      </c>
      <c r="J153" s="8" t="s">
        <v>2989</v>
      </c>
      <c r="K153" t="s">
        <v>6021</v>
      </c>
      <c r="L153" t="s">
        <v>6022</v>
      </c>
      <c r="M153" s="3" t="str">
        <f>HYPERLINK(склад2въезд14[[#This Row],[RelativePath]])</f>
        <v>2 Пилорама поката\E33149364_7_20251213T173441Z.jpg</v>
      </c>
    </row>
    <row r="154" spans="1:13" x14ac:dyDescent="0.25">
      <c r="A154" s="2" t="s">
        <v>22</v>
      </c>
      <c r="B154" s="4">
        <v>46005</v>
      </c>
      <c r="C154" s="5">
        <v>0.73868055555555556</v>
      </c>
      <c r="D154" s="8" t="s">
        <v>2004</v>
      </c>
      <c r="E154" s="8" t="s">
        <v>8</v>
      </c>
      <c r="F154" s="8"/>
      <c r="H154" s="8"/>
      <c r="I154" s="8" t="s">
        <v>6192</v>
      </c>
      <c r="J154" s="8" t="s">
        <v>2989</v>
      </c>
      <c r="K154" t="s">
        <v>6193</v>
      </c>
      <c r="L154" t="s">
        <v>6194</v>
      </c>
      <c r="M154" s="3" t="str">
        <f>HYPERLINK(склад2въезд14[[#This Row],[RelativePath]])</f>
        <v>2 Пилорама поката\E33149364_7_20251214T174342Z.jpg</v>
      </c>
    </row>
    <row r="155" spans="1:13" x14ac:dyDescent="0.25">
      <c r="A155" s="2" t="s">
        <v>13</v>
      </c>
      <c r="B155" s="4">
        <v>46006</v>
      </c>
      <c r="C155" s="5">
        <v>0.40811342592592592</v>
      </c>
      <c r="D155" s="8" t="s">
        <v>289</v>
      </c>
      <c r="E155" s="8" t="s">
        <v>86</v>
      </c>
      <c r="F155" s="8" t="s">
        <v>4240</v>
      </c>
      <c r="H155" s="8"/>
      <c r="I155" s="8" t="s">
        <v>6281</v>
      </c>
      <c r="J155" s="8" t="s">
        <v>2989</v>
      </c>
      <c r="K155" t="s">
        <v>6282</v>
      </c>
      <c r="L155" t="s">
        <v>6283</v>
      </c>
      <c r="M155" s="3" t="str">
        <f>HYPERLINK(склад2въезд14[[#This Row],[RelativePath]])</f>
        <v>2 Пилорама поката\E33149364_7_20251215T094741Z.jpg</v>
      </c>
    </row>
    <row r="156" spans="1:13" x14ac:dyDescent="0.25">
      <c r="A156" s="2" t="s">
        <v>13</v>
      </c>
      <c r="B156" s="4">
        <v>46006</v>
      </c>
      <c r="C156" s="5">
        <v>0.40850694444444446</v>
      </c>
      <c r="D156" s="8" t="s">
        <v>4198</v>
      </c>
      <c r="E156" s="8" t="s">
        <v>86</v>
      </c>
      <c r="F156" s="8" t="s">
        <v>4240</v>
      </c>
      <c r="H156" s="8" t="s">
        <v>1620</v>
      </c>
      <c r="I156" s="8" t="s">
        <v>6284</v>
      </c>
      <c r="J156" s="8" t="s">
        <v>2989</v>
      </c>
      <c r="K156" t="s">
        <v>6285</v>
      </c>
      <c r="L156" t="s">
        <v>6286</v>
      </c>
      <c r="M156" s="3" t="str">
        <f>HYPERLINK(склад2въезд14[[#This Row],[RelativePath]])</f>
        <v>2 Пилорама поката\E33149364_7_20251215T094815Z.jpg</v>
      </c>
    </row>
    <row r="157" spans="1:13" x14ac:dyDescent="0.25">
      <c r="A157" s="2" t="s">
        <v>13</v>
      </c>
      <c r="B157" s="4">
        <v>46006</v>
      </c>
      <c r="C157" s="5">
        <v>0.42865740740740743</v>
      </c>
      <c r="D157" s="8" t="s">
        <v>4198</v>
      </c>
      <c r="E157" s="8" t="s">
        <v>86</v>
      </c>
      <c r="F157" s="8" t="s">
        <v>6182</v>
      </c>
      <c r="H157" s="8" t="s">
        <v>6339</v>
      </c>
      <c r="I157" s="8" t="s">
        <v>6287</v>
      </c>
      <c r="J157" s="8" t="s">
        <v>2989</v>
      </c>
      <c r="K157" t="s">
        <v>6288</v>
      </c>
      <c r="L157" t="s">
        <v>6289</v>
      </c>
      <c r="M157" s="3" t="str">
        <f>HYPERLINK(склад2въезд14[[#This Row],[RelativePath]])</f>
        <v>2 Пилорама поката\E33149364_7_20251215T101716Z.jpg</v>
      </c>
    </row>
    <row r="158" spans="1:13" x14ac:dyDescent="0.25">
      <c r="A158" s="2" t="s">
        <v>13</v>
      </c>
      <c r="B158" s="4">
        <v>46006</v>
      </c>
      <c r="C158" s="5">
        <v>0.4377199074074074</v>
      </c>
      <c r="D158" s="8" t="s">
        <v>1606</v>
      </c>
      <c r="E158" s="8" t="s">
        <v>4193</v>
      </c>
      <c r="F158" s="8" t="s">
        <v>5076</v>
      </c>
      <c r="H158" s="8"/>
      <c r="I158" s="8" t="s">
        <v>6290</v>
      </c>
      <c r="J158" s="8" t="s">
        <v>2989</v>
      </c>
      <c r="K158" t="s">
        <v>6291</v>
      </c>
      <c r="L158" t="s">
        <v>6292</v>
      </c>
      <c r="M158" s="3" t="str">
        <f>HYPERLINK(склад2въезд14[[#This Row],[RelativePath]])</f>
        <v>2 Пилорама поката\E33149364_7_20251215T103019Z.jpg</v>
      </c>
    </row>
    <row r="159" spans="1:13" x14ac:dyDescent="0.25">
      <c r="A159" s="2" t="s">
        <v>13</v>
      </c>
      <c r="B159" s="4">
        <v>46006</v>
      </c>
      <c r="C159" s="5">
        <v>0.44763888888888886</v>
      </c>
      <c r="D159" s="8" t="s">
        <v>6171</v>
      </c>
      <c r="E159" s="8" t="s">
        <v>4193</v>
      </c>
      <c r="F159" s="8" t="s">
        <v>5076</v>
      </c>
      <c r="H159" s="8" t="s">
        <v>5474</v>
      </c>
      <c r="I159" s="8" t="s">
        <v>6293</v>
      </c>
      <c r="J159" s="8" t="s">
        <v>2989</v>
      </c>
      <c r="K159" t="s">
        <v>6294</v>
      </c>
      <c r="L159" t="s">
        <v>6295</v>
      </c>
      <c r="M159" s="3" t="str">
        <f>HYPERLINK(склад2въезд14[[#This Row],[RelativePath]])</f>
        <v>2 Пилорама поката\E33149364_7_20251215T104436Z.jpg</v>
      </c>
    </row>
    <row r="160" spans="1:13" x14ac:dyDescent="0.25">
      <c r="A160" s="2" t="s">
        <v>13</v>
      </c>
      <c r="B160" s="4">
        <v>46006</v>
      </c>
      <c r="C160" s="5">
        <v>0.54278935185185184</v>
      </c>
      <c r="D160" s="8" t="s">
        <v>650</v>
      </c>
      <c r="E160" s="8" t="s">
        <v>4193</v>
      </c>
      <c r="F160" s="8" t="s">
        <v>5076</v>
      </c>
      <c r="H160" s="8"/>
      <c r="I160" s="8" t="s">
        <v>6297</v>
      </c>
      <c r="J160" s="8" t="s">
        <v>2989</v>
      </c>
      <c r="K160" t="s">
        <v>6298</v>
      </c>
      <c r="L160" t="s">
        <v>6299</v>
      </c>
      <c r="M160" s="3" t="str">
        <f>HYPERLINK(склад2въезд14[[#This Row],[RelativePath]])</f>
        <v>2 Пилорама поката\E33149364_7_20251215T130137Z.jpg</v>
      </c>
    </row>
    <row r="161" spans="1:13" x14ac:dyDescent="0.25">
      <c r="A161" s="2" t="s">
        <v>13</v>
      </c>
      <c r="B161" s="4">
        <v>46006</v>
      </c>
      <c r="C161" s="5">
        <v>0.6224305555555556</v>
      </c>
      <c r="D161" s="8" t="s">
        <v>158</v>
      </c>
      <c r="E161" s="8" t="s">
        <v>86</v>
      </c>
      <c r="F161" s="8" t="s">
        <v>528</v>
      </c>
      <c r="G161">
        <v>1</v>
      </c>
      <c r="H161" s="8" t="s">
        <v>3075</v>
      </c>
      <c r="I161" s="8" t="s">
        <v>6300</v>
      </c>
      <c r="J161" s="8" t="s">
        <v>2989</v>
      </c>
      <c r="K161" t="s">
        <v>6301</v>
      </c>
      <c r="L161" t="s">
        <v>6302</v>
      </c>
      <c r="M161" s="3" t="str">
        <f>HYPERLINK(склад2въезд14[[#This Row],[RelativePath]])</f>
        <v>2 Пилорама поката\E33149364_7_20251215T145618Z.jpg</v>
      </c>
    </row>
    <row r="162" spans="1:13" x14ac:dyDescent="0.25">
      <c r="A162" s="2" t="s">
        <v>13</v>
      </c>
      <c r="B162" s="4">
        <v>46006</v>
      </c>
      <c r="C162" s="5">
        <v>0.62848379629629625</v>
      </c>
      <c r="D162" s="8" t="s">
        <v>158</v>
      </c>
      <c r="E162" s="8" t="s">
        <v>86</v>
      </c>
      <c r="F162" s="8" t="s">
        <v>528</v>
      </c>
      <c r="G162">
        <v>1</v>
      </c>
      <c r="H162" s="8" t="s">
        <v>3075</v>
      </c>
      <c r="I162" s="8" t="s">
        <v>6303</v>
      </c>
      <c r="J162" s="8" t="s">
        <v>2989</v>
      </c>
      <c r="K162" t="s">
        <v>6304</v>
      </c>
      <c r="L162" t="s">
        <v>6305</v>
      </c>
      <c r="M162" s="3" t="str">
        <f>HYPERLINK(склад2въезд14[[#This Row],[RelativePath]])</f>
        <v>2 Пилорама поката\E33149364_7_20251215T150501Z.jpg</v>
      </c>
    </row>
    <row r="163" spans="1:13" x14ac:dyDescent="0.25">
      <c r="A163" s="2" t="s">
        <v>13</v>
      </c>
      <c r="B163" s="4">
        <v>46006</v>
      </c>
      <c r="C163" s="5">
        <v>0.63356481481481486</v>
      </c>
      <c r="D163" s="8" t="s">
        <v>158</v>
      </c>
      <c r="E163" s="8" t="s">
        <v>86</v>
      </c>
      <c r="F163" s="8" t="s">
        <v>200</v>
      </c>
      <c r="G163">
        <v>1</v>
      </c>
      <c r="H163" s="8" t="s">
        <v>3075</v>
      </c>
      <c r="I163" s="8" t="s">
        <v>6306</v>
      </c>
      <c r="J163" s="8" t="s">
        <v>2989</v>
      </c>
      <c r="K163" t="s">
        <v>6307</v>
      </c>
      <c r="L163" t="s">
        <v>6308</v>
      </c>
      <c r="M163" s="3" t="str">
        <f>HYPERLINK(склад2въезд14[[#This Row],[RelativePath]])</f>
        <v>2 Пилорама поката\E33149364_7_20251215T151220Z.jpg</v>
      </c>
    </row>
    <row r="164" spans="1:13" x14ac:dyDescent="0.25">
      <c r="A164" s="2" t="s">
        <v>14</v>
      </c>
      <c r="B164" s="4">
        <v>46007</v>
      </c>
      <c r="C164" s="5">
        <v>0.49843749999999998</v>
      </c>
      <c r="D164" s="8" t="s">
        <v>6171</v>
      </c>
      <c r="E164" s="8" t="s">
        <v>4193</v>
      </c>
      <c r="F164" s="8" t="s">
        <v>5076</v>
      </c>
      <c r="H164" s="8" t="s">
        <v>5474</v>
      </c>
      <c r="I164" s="8" t="s">
        <v>6551</v>
      </c>
      <c r="J164" s="8" t="s">
        <v>2989</v>
      </c>
      <c r="K164" t="s">
        <v>6552</v>
      </c>
      <c r="L164" t="s">
        <v>6553</v>
      </c>
      <c r="M164" s="3" t="str">
        <f>HYPERLINK(склад2въезд14[[#This Row],[RelativePath]])</f>
        <v>2 Пилорама поката\E33149364_7_20251216T115745Z.jpg</v>
      </c>
    </row>
    <row r="165" spans="1:13" x14ac:dyDescent="0.25">
      <c r="A165" s="2" t="s">
        <v>14</v>
      </c>
      <c r="B165" s="4">
        <v>46007</v>
      </c>
      <c r="C165" s="5">
        <v>0.58371527777777776</v>
      </c>
      <c r="D165" s="8" t="s">
        <v>650</v>
      </c>
      <c r="E165" s="8" t="s">
        <v>4193</v>
      </c>
      <c r="F165" s="8" t="s">
        <v>5076</v>
      </c>
      <c r="H165" s="8"/>
      <c r="I165" s="8" t="s">
        <v>6554</v>
      </c>
      <c r="J165" s="8" t="s">
        <v>2989</v>
      </c>
      <c r="K165" t="s">
        <v>6555</v>
      </c>
      <c r="L165" t="s">
        <v>6556</v>
      </c>
      <c r="M165" s="3" t="str">
        <f>HYPERLINK(склад2въезд14[[#This Row],[RelativePath]])</f>
        <v>2 Пилорама поката\E33149364_7_20251216T140033Z.jpg</v>
      </c>
    </row>
    <row r="166" spans="1:13" x14ac:dyDescent="0.25">
      <c r="A166" s="2" t="s">
        <v>15</v>
      </c>
      <c r="B166" s="4">
        <v>46008</v>
      </c>
      <c r="C166" s="5">
        <v>0.47833333333333333</v>
      </c>
      <c r="D166" s="8" t="s">
        <v>533</v>
      </c>
      <c r="E166" s="8" t="s">
        <v>1607</v>
      </c>
      <c r="F166" s="8" t="s">
        <v>1099</v>
      </c>
      <c r="H166" s="8" t="s">
        <v>1620</v>
      </c>
      <c r="I166" s="8" t="s">
        <v>6682</v>
      </c>
      <c r="J166" s="8" t="s">
        <v>2989</v>
      </c>
      <c r="K166" t="s">
        <v>6683</v>
      </c>
      <c r="L166" t="s">
        <v>6684</v>
      </c>
      <c r="M166" s="3" t="str">
        <f>HYPERLINK(склад2въезд14[[#This Row],[RelativePath]])</f>
        <v>2 Пилорама поката\E33149364_7_20251217T112848Z.jpg</v>
      </c>
    </row>
    <row r="167" spans="1:13" x14ac:dyDescent="0.25">
      <c r="A167" s="2" t="s">
        <v>16</v>
      </c>
      <c r="B167" s="4">
        <v>46009</v>
      </c>
      <c r="C167" s="5">
        <v>0.4130787037037037</v>
      </c>
      <c r="D167" s="8" t="s">
        <v>4221</v>
      </c>
      <c r="E167" s="8" t="s">
        <v>86</v>
      </c>
      <c r="F167" s="8" t="s">
        <v>2944</v>
      </c>
      <c r="H167" s="8" t="s">
        <v>1620</v>
      </c>
      <c r="I167" s="8" t="s">
        <v>6685</v>
      </c>
      <c r="J167" s="8" t="s">
        <v>2989</v>
      </c>
      <c r="K167" t="s">
        <v>6686</v>
      </c>
      <c r="L167" t="s">
        <v>6687</v>
      </c>
      <c r="M167" s="3" t="str">
        <f>HYPERLINK(склад2въезд14[[#This Row],[RelativePath]])</f>
        <v>2 Пилорама поката\E33149364_7_20251218T095450Z.jpg</v>
      </c>
    </row>
    <row r="168" spans="1:13" x14ac:dyDescent="0.25">
      <c r="A168" s="2" t="s">
        <v>16</v>
      </c>
      <c r="B168" s="4">
        <v>46009</v>
      </c>
      <c r="C168" s="5">
        <v>0.41344907407407405</v>
      </c>
      <c r="D168" s="8" t="s">
        <v>4221</v>
      </c>
      <c r="E168" s="8" t="s">
        <v>86</v>
      </c>
      <c r="F168" s="8" t="s">
        <v>2944</v>
      </c>
      <c r="H168" s="8" t="s">
        <v>2936</v>
      </c>
      <c r="I168" s="8" t="s">
        <v>6688</v>
      </c>
      <c r="J168" s="8" t="s">
        <v>2989</v>
      </c>
      <c r="K168" t="s">
        <v>6689</v>
      </c>
      <c r="L168" t="s">
        <v>6690</v>
      </c>
      <c r="M168" s="3" t="str">
        <f>HYPERLINK(склад2въезд14[[#This Row],[RelativePath]])</f>
        <v>2 Пилорама поката\E33149364_7_20251218T095522Z.jpg</v>
      </c>
    </row>
    <row r="169" spans="1:13" x14ac:dyDescent="0.25">
      <c r="A169" s="2" t="s">
        <v>16</v>
      </c>
      <c r="B169" s="4">
        <v>46009</v>
      </c>
      <c r="C169" s="5">
        <v>0.42593750000000002</v>
      </c>
      <c r="D169" s="8" t="s">
        <v>158</v>
      </c>
      <c r="E169" s="8" t="s">
        <v>86</v>
      </c>
      <c r="F169" s="8" t="s">
        <v>528</v>
      </c>
      <c r="G169">
        <v>1</v>
      </c>
      <c r="H169" s="8" t="s">
        <v>3075</v>
      </c>
      <c r="I169" s="8" t="s">
        <v>6691</v>
      </c>
      <c r="J169" s="8" t="s">
        <v>2989</v>
      </c>
      <c r="K169" t="s">
        <v>6692</v>
      </c>
      <c r="L169" t="s">
        <v>6693</v>
      </c>
      <c r="M169" s="3" t="str">
        <f>HYPERLINK(склад2въезд14[[#This Row],[RelativePath]])</f>
        <v>2 Пилорама поката\E33149364_7_20251218T101321Z.jpg</v>
      </c>
    </row>
    <row r="170" spans="1:13" x14ac:dyDescent="0.25">
      <c r="A170" s="2" t="s">
        <v>16</v>
      </c>
      <c r="B170" s="4">
        <v>46009</v>
      </c>
      <c r="C170" s="5">
        <v>0.51219907407407406</v>
      </c>
      <c r="D170" s="8" t="s">
        <v>1606</v>
      </c>
      <c r="E170" s="8" t="s">
        <v>4193</v>
      </c>
      <c r="F170" s="8" t="s">
        <v>5076</v>
      </c>
      <c r="H170" s="8"/>
      <c r="I170" s="8" t="s">
        <v>6694</v>
      </c>
      <c r="J170" s="8" t="s">
        <v>2989</v>
      </c>
      <c r="K170" t="s">
        <v>6695</v>
      </c>
      <c r="L170" t="s">
        <v>6696</v>
      </c>
      <c r="M170" s="3" t="str">
        <f>HYPERLINK(склад2въезд14[[#This Row],[RelativePath]])</f>
        <v>2 Пилорама поката\E33149364_7_20251218T121734Z.jpg</v>
      </c>
    </row>
    <row r="171" spans="1:13" x14ac:dyDescent="0.25">
      <c r="A171" s="2" t="s">
        <v>16</v>
      </c>
      <c r="B171" s="4">
        <v>46009</v>
      </c>
      <c r="C171" s="5">
        <v>0.51600694444444439</v>
      </c>
      <c r="D171" s="8" t="s">
        <v>6171</v>
      </c>
      <c r="E171" s="8" t="s">
        <v>4193</v>
      </c>
      <c r="F171" s="8" t="s">
        <v>5076</v>
      </c>
      <c r="H171" s="8" t="s">
        <v>5474</v>
      </c>
      <c r="I171" s="8" t="s">
        <v>6697</v>
      </c>
      <c r="J171" s="8" t="s">
        <v>2989</v>
      </c>
      <c r="K171" t="s">
        <v>6698</v>
      </c>
      <c r="L171" t="s">
        <v>6699</v>
      </c>
      <c r="M171" s="3" t="str">
        <f>HYPERLINK(склад2въезд14[[#This Row],[RelativePath]])</f>
        <v>2 Пилорама поката\E33149364_7_20251218T122303Z.jpg</v>
      </c>
    </row>
    <row r="172" spans="1:13" x14ac:dyDescent="0.25">
      <c r="A172" s="2" t="s">
        <v>16</v>
      </c>
      <c r="B172" s="4">
        <v>46009</v>
      </c>
      <c r="C172" s="5">
        <v>0.61460648148148145</v>
      </c>
      <c r="D172" s="8" t="s">
        <v>650</v>
      </c>
      <c r="E172" s="8" t="s">
        <v>4193</v>
      </c>
      <c r="F172" s="8" t="s">
        <v>5076</v>
      </c>
      <c r="H172" s="8"/>
      <c r="I172" s="8" t="s">
        <v>6700</v>
      </c>
      <c r="J172" s="8" t="s">
        <v>2989</v>
      </c>
      <c r="K172" t="s">
        <v>6701</v>
      </c>
      <c r="L172" t="s">
        <v>6702</v>
      </c>
      <c r="M172" s="3" t="str">
        <f>HYPERLINK(склад2въезд14[[#This Row],[RelativePath]])</f>
        <v>2 Пилорама поката\E33149364_7_20251218T144502Z.jpg</v>
      </c>
    </row>
    <row r="173" spans="1:13" x14ac:dyDescent="0.25">
      <c r="A173" s="2" t="s">
        <v>17</v>
      </c>
      <c r="B173" s="4">
        <v>46010</v>
      </c>
      <c r="C173" s="5">
        <v>0.46439814814814817</v>
      </c>
      <c r="D173" s="8" t="s">
        <v>4221</v>
      </c>
      <c r="E173" s="8" t="s">
        <v>86</v>
      </c>
      <c r="F173" s="8" t="s">
        <v>1099</v>
      </c>
      <c r="H173" s="8" t="s">
        <v>4236</v>
      </c>
      <c r="I173" s="8" t="s">
        <v>6878</v>
      </c>
      <c r="J173" s="8" t="s">
        <v>2989</v>
      </c>
      <c r="K173" t="s">
        <v>6879</v>
      </c>
      <c r="L173" t="s">
        <v>6880</v>
      </c>
      <c r="M173" s="3" t="str">
        <f>HYPERLINK(склад2въезд14[[#This Row],[RelativePath]])</f>
        <v>2 Пилорама поката\E33149364_7_20251219T110844Z.jpg</v>
      </c>
    </row>
    <row r="174" spans="1:13" x14ac:dyDescent="0.25">
      <c r="A174" s="2" t="s">
        <v>17</v>
      </c>
      <c r="B174" s="4">
        <v>46010</v>
      </c>
      <c r="C174" s="5">
        <v>0.46481481481481479</v>
      </c>
      <c r="D174" s="8" t="s">
        <v>4221</v>
      </c>
      <c r="E174" s="8" t="s">
        <v>86</v>
      </c>
      <c r="F174" s="8" t="s">
        <v>1099</v>
      </c>
      <c r="H174" s="8" t="s">
        <v>4236</v>
      </c>
      <c r="I174" s="8" t="s">
        <v>6881</v>
      </c>
      <c r="J174" s="8" t="s">
        <v>2989</v>
      </c>
      <c r="K174" t="s">
        <v>6882</v>
      </c>
      <c r="L174" t="s">
        <v>6883</v>
      </c>
      <c r="M174" s="3" t="str">
        <f>HYPERLINK(склад2въезд14[[#This Row],[RelativePath]])</f>
        <v>2 Пилорама поката\E33149364_7_20251219T110920Z.jpg</v>
      </c>
    </row>
    <row r="175" spans="1:13" x14ac:dyDescent="0.25">
      <c r="A175" s="2" t="s">
        <v>17</v>
      </c>
      <c r="B175" s="4">
        <v>46010</v>
      </c>
      <c r="C175" s="5">
        <v>0.4649652777777778</v>
      </c>
      <c r="D175" s="8" t="s">
        <v>4221</v>
      </c>
      <c r="E175" s="8" t="s">
        <v>86</v>
      </c>
      <c r="F175" s="8" t="s">
        <v>1099</v>
      </c>
      <c r="H175" s="8" t="s">
        <v>4236</v>
      </c>
      <c r="I175" s="8" t="s">
        <v>6884</v>
      </c>
      <c r="J175" s="8" t="s">
        <v>2989</v>
      </c>
      <c r="K175" t="s">
        <v>6885</v>
      </c>
      <c r="L175" t="s">
        <v>6886</v>
      </c>
      <c r="M175" s="3" t="str">
        <f>HYPERLINK(склад2въезд14[[#This Row],[RelativePath]])</f>
        <v>2 Пилорама поката\E33149364_7_20251219T110933Z.jpg</v>
      </c>
    </row>
    <row r="176" spans="1:13" x14ac:dyDescent="0.25">
      <c r="A176" s="2" t="s">
        <v>17</v>
      </c>
      <c r="B176" s="4">
        <v>46010</v>
      </c>
      <c r="C176" s="5">
        <v>0.46814814814814815</v>
      </c>
      <c r="D176" s="8" t="s">
        <v>4221</v>
      </c>
      <c r="E176" s="8" t="s">
        <v>86</v>
      </c>
      <c r="F176" s="8" t="s">
        <v>1099</v>
      </c>
      <c r="H176" s="8" t="s">
        <v>4236</v>
      </c>
      <c r="I176" s="8" t="s">
        <v>6887</v>
      </c>
      <c r="J176" s="8" t="s">
        <v>2989</v>
      </c>
      <c r="K176" t="s">
        <v>6888</v>
      </c>
      <c r="L176" t="s">
        <v>6889</v>
      </c>
      <c r="M176" s="3" t="str">
        <f>HYPERLINK(склад2въезд14[[#This Row],[RelativePath]])</f>
        <v>2 Пилорама поката\E33149364_7_20251219T111408Z.jpg</v>
      </c>
    </row>
    <row r="177" spans="1:13" x14ac:dyDescent="0.25">
      <c r="A177" s="2" t="s">
        <v>17</v>
      </c>
      <c r="B177" s="4">
        <v>46010</v>
      </c>
      <c r="C177" s="5">
        <v>0.4723148148148148</v>
      </c>
      <c r="D177" s="8" t="s">
        <v>4221</v>
      </c>
      <c r="E177" s="8" t="s">
        <v>86</v>
      </c>
      <c r="F177" s="8" t="s">
        <v>1099</v>
      </c>
      <c r="H177" s="8" t="s">
        <v>4236</v>
      </c>
      <c r="I177" s="8" t="s">
        <v>6890</v>
      </c>
      <c r="J177" s="8" t="s">
        <v>2989</v>
      </c>
      <c r="K177" t="s">
        <v>6891</v>
      </c>
      <c r="L177" t="s">
        <v>6892</v>
      </c>
      <c r="M177" s="3" t="str">
        <f>HYPERLINK(склад2въезд14[[#This Row],[RelativePath]])</f>
        <v>2 Пилорама поката\E33149364_7_20251219T112008Z.jpg</v>
      </c>
    </row>
    <row r="178" spans="1:13" x14ac:dyDescent="0.25">
      <c r="A178" s="2" t="s">
        <v>17</v>
      </c>
      <c r="B178" s="4">
        <v>46010</v>
      </c>
      <c r="C178" s="5">
        <v>0.47408564814814813</v>
      </c>
      <c r="D178" s="8" t="s">
        <v>4221</v>
      </c>
      <c r="E178" s="8" t="s">
        <v>86</v>
      </c>
      <c r="F178" s="8" t="s">
        <v>1099</v>
      </c>
      <c r="H178" s="8" t="s">
        <v>4236</v>
      </c>
      <c r="I178" s="8" t="s">
        <v>6893</v>
      </c>
      <c r="J178" s="8" t="s">
        <v>2989</v>
      </c>
      <c r="K178" t="s">
        <v>6894</v>
      </c>
      <c r="L178" t="s">
        <v>6895</v>
      </c>
      <c r="M178" s="3" t="str">
        <f>HYPERLINK(склад2въезд14[[#This Row],[RelativePath]])</f>
        <v>2 Пилорама поката\E33149364_7_20251219T112241Z.jpg</v>
      </c>
    </row>
    <row r="179" spans="1:13" x14ac:dyDescent="0.25">
      <c r="A179" s="2" t="s">
        <v>18</v>
      </c>
      <c r="B179" s="4">
        <v>46011</v>
      </c>
      <c r="C179" s="5">
        <v>0.658599537037037</v>
      </c>
      <c r="D179" s="8" t="s">
        <v>2004</v>
      </c>
      <c r="E179" s="8" t="s">
        <v>8</v>
      </c>
      <c r="F179" s="8"/>
      <c r="H179" s="8"/>
      <c r="I179" s="8" t="s">
        <v>6896</v>
      </c>
      <c r="J179" s="8" t="s">
        <v>2989</v>
      </c>
      <c r="K179" t="s">
        <v>6897</v>
      </c>
      <c r="L179" t="s">
        <v>6898</v>
      </c>
      <c r="M179" s="3" t="str">
        <f>HYPERLINK(склад2въезд14[[#This Row],[RelativePath]])</f>
        <v>2 Пилорама поката\E33149364_7_20251220T154823Z.jpg</v>
      </c>
    </row>
    <row r="180" spans="1:13" x14ac:dyDescent="0.25">
      <c r="A180" s="2" t="s">
        <v>22</v>
      </c>
      <c r="B180" s="4">
        <v>46012</v>
      </c>
      <c r="C180" s="5">
        <v>0.73824074074074075</v>
      </c>
      <c r="D180" s="8" t="s">
        <v>2004</v>
      </c>
      <c r="E180" s="8" t="s">
        <v>8</v>
      </c>
      <c r="F180" s="8"/>
      <c r="H180" s="8"/>
      <c r="I180" s="8" t="s">
        <v>7178</v>
      </c>
      <c r="J180" s="8" t="s">
        <v>2989</v>
      </c>
      <c r="K180" t="s">
        <v>7179</v>
      </c>
      <c r="L180" t="s">
        <v>7180</v>
      </c>
      <c r="M180" s="3" t="str">
        <f>HYPERLINK(склад2въезд14[[#This Row],[RelativePath]])</f>
        <v>2 Пилорама поката\E33149364_7_20251221T174304Z.jpg</v>
      </c>
    </row>
    <row r="181" spans="1:13" x14ac:dyDescent="0.25">
      <c r="A181" s="2" t="s">
        <v>13</v>
      </c>
      <c r="B181" s="4">
        <v>46013</v>
      </c>
      <c r="C181" s="5">
        <v>0.46530092592592592</v>
      </c>
      <c r="D181" s="8" t="s">
        <v>1606</v>
      </c>
      <c r="E181" s="8" t="s">
        <v>4193</v>
      </c>
      <c r="F181" s="8" t="s">
        <v>5076</v>
      </c>
      <c r="H181" s="8"/>
      <c r="I181" s="8" t="s">
        <v>7218</v>
      </c>
      <c r="J181" s="8" t="s">
        <v>2989</v>
      </c>
      <c r="K181" t="s">
        <v>7219</v>
      </c>
      <c r="L181" t="s">
        <v>7220</v>
      </c>
      <c r="M181" s="3" t="str">
        <f>HYPERLINK(склад2въезд14[[#This Row],[RelativePath]])</f>
        <v>2 Пилорама поката\E33149364_7_20251222T111002Z.jpg</v>
      </c>
    </row>
    <row r="182" spans="1:13" x14ac:dyDescent="0.25">
      <c r="A182" s="2" t="s">
        <v>13</v>
      </c>
      <c r="B182" s="4">
        <v>46013</v>
      </c>
      <c r="C182" s="5">
        <v>0.54984953703703698</v>
      </c>
      <c r="D182" s="8" t="s">
        <v>650</v>
      </c>
      <c r="E182" s="8" t="s">
        <v>4193</v>
      </c>
      <c r="F182" s="8" t="s">
        <v>5076</v>
      </c>
      <c r="H182" s="8"/>
      <c r="I182" s="8" t="s">
        <v>7221</v>
      </c>
      <c r="J182" s="8" t="s">
        <v>2989</v>
      </c>
      <c r="K182" t="s">
        <v>7222</v>
      </c>
      <c r="L182" t="s">
        <v>7223</v>
      </c>
      <c r="M182" s="3" t="str">
        <f>HYPERLINK(склад2въезд14[[#This Row],[RelativePath]])</f>
        <v>2 Пилорама поката\E33149364_7_20251222T131147Z.jpg</v>
      </c>
    </row>
    <row r="183" spans="1:13" x14ac:dyDescent="0.25">
      <c r="A183" s="2" t="s">
        <v>14</v>
      </c>
      <c r="B183" s="4">
        <v>46014</v>
      </c>
      <c r="C183" s="5">
        <v>0.74086805555555557</v>
      </c>
      <c r="D183" s="8" t="s">
        <v>2004</v>
      </c>
      <c r="E183" s="8" t="s">
        <v>8</v>
      </c>
      <c r="F183" s="8"/>
      <c r="H183" s="8"/>
      <c r="I183" s="8" t="s">
        <v>7224</v>
      </c>
      <c r="J183" s="8" t="s">
        <v>2989</v>
      </c>
      <c r="K183" t="s">
        <v>7225</v>
      </c>
      <c r="L183" t="s">
        <v>7226</v>
      </c>
      <c r="M183" s="3" t="str">
        <f>HYPERLINK(склад2въезд14[[#This Row],[RelativePath]])</f>
        <v>2 Пилорама поката\E33149364_7_20251223T174651Z.jpg</v>
      </c>
    </row>
    <row r="184" spans="1:13" x14ac:dyDescent="0.25">
      <c r="A184" s="2" t="s">
        <v>15</v>
      </c>
      <c r="B184" s="4">
        <v>46015</v>
      </c>
      <c r="C184" s="5">
        <v>0.69908564814814811</v>
      </c>
      <c r="D184" s="8" t="s">
        <v>2004</v>
      </c>
      <c r="E184" s="8" t="s">
        <v>8</v>
      </c>
      <c r="F184" s="8"/>
      <c r="H184" s="8"/>
      <c r="I184" s="8" t="s">
        <v>7439</v>
      </c>
      <c r="J184" s="8" t="s">
        <v>2989</v>
      </c>
      <c r="K184" t="s">
        <v>7440</v>
      </c>
      <c r="L184" t="s">
        <v>7441</v>
      </c>
      <c r="M184" s="3" t="str">
        <f>HYPERLINK(склад2въезд14[[#This Row],[RelativePath]])</f>
        <v>2 Пилорама поката\E33149364_7_20251224T164641Z.jpg</v>
      </c>
    </row>
    <row r="185" spans="1:13" x14ac:dyDescent="0.25">
      <c r="A185" s="2" t="s">
        <v>16</v>
      </c>
      <c r="B185" s="4">
        <v>46016</v>
      </c>
      <c r="C185" s="5">
        <v>0.74168981481481477</v>
      </c>
      <c r="D185" s="8" t="s">
        <v>2004</v>
      </c>
      <c r="E185" s="8" t="s">
        <v>8</v>
      </c>
      <c r="F185" s="8"/>
      <c r="H185" s="8"/>
      <c r="I185" s="8" t="s">
        <v>7442</v>
      </c>
      <c r="J185" s="8" t="s">
        <v>2989</v>
      </c>
      <c r="K185" t="s">
        <v>7443</v>
      </c>
      <c r="L185" t="s">
        <v>7444</v>
      </c>
      <c r="M185" s="3" t="str">
        <f>HYPERLINK(склад2въезд14[[#This Row],[RelativePath]])</f>
        <v>2 Пилорама поката\E33149364_7_20251225T174802Z.jpg</v>
      </c>
    </row>
    <row r="186" spans="1:13" x14ac:dyDescent="0.25">
      <c r="A186" s="2" t="s">
        <v>17</v>
      </c>
      <c r="B186" s="4">
        <v>46017</v>
      </c>
      <c r="C186" s="5">
        <v>0.74050925925925926</v>
      </c>
      <c r="D186" s="8" t="s">
        <v>2004</v>
      </c>
      <c r="E186" s="8" t="s">
        <v>8</v>
      </c>
      <c r="F186" s="8"/>
      <c r="H186" s="8"/>
      <c r="I186" s="8" t="s">
        <v>7720</v>
      </c>
      <c r="J186" s="8" t="s">
        <v>2989</v>
      </c>
      <c r="K186" t="s">
        <v>7721</v>
      </c>
      <c r="L186" t="s">
        <v>7722</v>
      </c>
      <c r="M186" s="3" t="str">
        <f>HYPERLINK(склад2въезд14[[#This Row],[RelativePath]])</f>
        <v>2 Пилорама поката\E33149364_7_20251226T174620Z.jpg</v>
      </c>
    </row>
    <row r="187" spans="1:13" x14ac:dyDescent="0.25">
      <c r="A187" s="2" t="s">
        <v>18</v>
      </c>
      <c r="B187" s="4">
        <v>46018</v>
      </c>
      <c r="C187" s="5">
        <v>0.43297453703703703</v>
      </c>
      <c r="D187" s="8" t="s">
        <v>1606</v>
      </c>
      <c r="E187" s="8" t="s">
        <v>4193</v>
      </c>
      <c r="F187" s="8" t="s">
        <v>5076</v>
      </c>
      <c r="H187" s="8"/>
      <c r="I187" s="8" t="s">
        <v>7872</v>
      </c>
      <c r="J187" s="8" t="s">
        <v>2989</v>
      </c>
      <c r="K187" t="s">
        <v>7873</v>
      </c>
      <c r="L187" t="s">
        <v>7874</v>
      </c>
      <c r="M187" s="3" t="str">
        <f>HYPERLINK(склад2въезд14[[#This Row],[RelativePath]])</f>
        <v>2 Пилорама поката\E33149364_7_20251227T102329Z.jpg</v>
      </c>
    </row>
    <row r="188" spans="1:13" x14ac:dyDescent="0.25">
      <c r="A188" s="2" t="s">
        <v>18</v>
      </c>
      <c r="B188" s="4">
        <v>46018</v>
      </c>
      <c r="C188" s="5">
        <v>0.44199074074074074</v>
      </c>
      <c r="D188" s="8" t="s">
        <v>6171</v>
      </c>
      <c r="E188" s="8" t="s">
        <v>4193</v>
      </c>
      <c r="F188" s="8" t="s">
        <v>5076</v>
      </c>
      <c r="H188" s="8" t="s">
        <v>5474</v>
      </c>
      <c r="I188" s="8" t="s">
        <v>7875</v>
      </c>
      <c r="J188" s="8" t="s">
        <v>2989</v>
      </c>
      <c r="K188" t="s">
        <v>7876</v>
      </c>
      <c r="L188" t="s">
        <v>7877</v>
      </c>
      <c r="M188" s="3" t="str">
        <f>HYPERLINK(склад2въезд14[[#This Row],[RelativePath]])</f>
        <v>2 Пилорама поката\E33149364_7_20251227T103628Z.jpg</v>
      </c>
    </row>
    <row r="189" spans="1:13" x14ac:dyDescent="0.25">
      <c r="A189" s="2" t="s">
        <v>18</v>
      </c>
      <c r="B189" s="4">
        <v>46018</v>
      </c>
      <c r="C189" s="5">
        <v>0.5803356481481482</v>
      </c>
      <c r="D189" s="8" t="s">
        <v>650</v>
      </c>
      <c r="E189" s="8" t="s">
        <v>4193</v>
      </c>
      <c r="F189" s="8" t="s">
        <v>5076</v>
      </c>
      <c r="H189" s="8"/>
      <c r="I189" s="8" t="s">
        <v>7878</v>
      </c>
      <c r="J189" s="8" t="s">
        <v>2989</v>
      </c>
      <c r="K189" t="s">
        <v>7879</v>
      </c>
      <c r="L189" t="s">
        <v>7880</v>
      </c>
      <c r="M189" s="3" t="str">
        <f>HYPERLINK(склад2въезд14[[#This Row],[RelativePath]])</f>
        <v>2 Пилорама поката\E33149364_7_20251227T135541Z.jpg</v>
      </c>
    </row>
    <row r="190" spans="1:13" x14ac:dyDescent="0.25">
      <c r="A190" s="2" t="s">
        <v>18</v>
      </c>
      <c r="B190" s="4">
        <v>46018</v>
      </c>
      <c r="C190" s="5">
        <v>0.60796296296296293</v>
      </c>
      <c r="D190" s="8" t="s">
        <v>8042</v>
      </c>
      <c r="E190" s="8" t="s">
        <v>6329</v>
      </c>
      <c r="F190" s="8" t="s">
        <v>5076</v>
      </c>
      <c r="H190" s="8"/>
      <c r="I190" s="8" t="s">
        <v>7881</v>
      </c>
      <c r="J190" s="8" t="s">
        <v>2989</v>
      </c>
      <c r="K190" t="s">
        <v>7882</v>
      </c>
      <c r="L190" t="s">
        <v>7883</v>
      </c>
      <c r="M190" s="3" t="str">
        <f>HYPERLINK(склад2въезд14[[#This Row],[RelativePath]])</f>
        <v>2 Пилорама поката\E33149364_7_20251227T143528Z.jpg</v>
      </c>
    </row>
    <row r="191" spans="1:13" x14ac:dyDescent="0.25">
      <c r="A191" s="2" t="s">
        <v>22</v>
      </c>
      <c r="B191" s="4">
        <v>46019</v>
      </c>
      <c r="C191" s="5">
        <v>0.59177083333333336</v>
      </c>
      <c r="D191" s="8" t="s">
        <v>1606</v>
      </c>
      <c r="E191" s="8" t="s">
        <v>4193</v>
      </c>
      <c r="F191" s="8" t="s">
        <v>5076</v>
      </c>
      <c r="H191" s="8"/>
      <c r="I191" s="8" t="s">
        <v>7884</v>
      </c>
      <c r="J191" s="8" t="s">
        <v>2989</v>
      </c>
      <c r="K191" t="s">
        <v>7885</v>
      </c>
      <c r="L191" t="s">
        <v>7886</v>
      </c>
      <c r="M191" s="3" t="str">
        <f>HYPERLINK(склад2въезд14[[#This Row],[RelativePath]])</f>
        <v>2 Пилорама поката\E33149364_7_20251228T141209Z.jpg</v>
      </c>
    </row>
    <row r="192" spans="1:13" x14ac:dyDescent="0.25">
      <c r="A192" s="2" t="s">
        <v>22</v>
      </c>
      <c r="B192" s="4">
        <v>46019</v>
      </c>
      <c r="C192" s="5">
        <v>0.64005787037037032</v>
      </c>
      <c r="D192" s="8" t="s">
        <v>650</v>
      </c>
      <c r="E192" s="8" t="s">
        <v>4193</v>
      </c>
      <c r="F192" s="8" t="s">
        <v>5076</v>
      </c>
      <c r="H192" s="8"/>
      <c r="I192" s="8" t="s">
        <v>7887</v>
      </c>
      <c r="J192" s="8" t="s">
        <v>2989</v>
      </c>
      <c r="K192" t="s">
        <v>7888</v>
      </c>
      <c r="L192" t="s">
        <v>7889</v>
      </c>
      <c r="M192" s="3" t="str">
        <f>HYPERLINK(склад2въезд14[[#This Row],[RelativePath]])</f>
        <v>2 Пилорама поката\E33149364_7_20251228T152141Z.jpg</v>
      </c>
    </row>
    <row r="193" spans="1:13" x14ac:dyDescent="0.25">
      <c r="A193" s="2" t="s">
        <v>13</v>
      </c>
      <c r="B193" s="4">
        <v>46020</v>
      </c>
      <c r="C193" s="5">
        <v>0.64398148148148149</v>
      </c>
      <c r="D193" s="8" t="s">
        <v>533</v>
      </c>
      <c r="E193" s="8" t="s">
        <v>531</v>
      </c>
      <c r="F193" s="8" t="s">
        <v>1621</v>
      </c>
      <c r="H193" s="8" t="s">
        <v>1620</v>
      </c>
      <c r="I193" s="8" t="s">
        <v>8078</v>
      </c>
      <c r="J193" s="8" t="s">
        <v>2989</v>
      </c>
      <c r="K193" t="s">
        <v>8079</v>
      </c>
      <c r="L193" t="s">
        <v>8080</v>
      </c>
      <c r="M193" s="3" t="str">
        <f>HYPERLINK(склад2въезд14[[#This Row],[RelativePath]])</f>
        <v>2 Пилорама поката\E33149364_7_20251229T152720Z.jpg</v>
      </c>
    </row>
    <row r="194" spans="1:13" x14ac:dyDescent="0.25">
      <c r="A194" s="2" t="s">
        <v>14</v>
      </c>
      <c r="B194" s="4">
        <v>46021</v>
      </c>
      <c r="C194" s="5">
        <v>0.74420138888888887</v>
      </c>
      <c r="D194" s="8" t="s">
        <v>2004</v>
      </c>
      <c r="E194" s="8" t="s">
        <v>8</v>
      </c>
      <c r="F194" s="8"/>
      <c r="H194" s="8"/>
      <c r="I194" s="8" t="s">
        <v>8081</v>
      </c>
      <c r="J194" s="8" t="s">
        <v>2989</v>
      </c>
      <c r="K194" t="s">
        <v>8082</v>
      </c>
      <c r="L194" t="s">
        <v>8083</v>
      </c>
      <c r="M194" s="3" t="str">
        <f>HYPERLINK(склад2въезд14[[#This Row],[RelativePath]])</f>
        <v>2 Пилорама поката\E33149364_7_20251230T175139Z.jpg</v>
      </c>
    </row>
    <row r="195" spans="1:13" x14ac:dyDescent="0.25">
      <c r="A195" s="2" t="s">
        <v>15</v>
      </c>
      <c r="B195" s="4">
        <v>46022</v>
      </c>
      <c r="C195" s="5">
        <v>0.69723379629629634</v>
      </c>
      <c r="D195" s="8" t="s">
        <v>2004</v>
      </c>
      <c r="E195" s="8" t="s">
        <v>8</v>
      </c>
      <c r="F195" s="8"/>
      <c r="H195" s="8"/>
      <c r="I195" s="8" t="s">
        <v>8084</v>
      </c>
      <c r="J195" s="8" t="s">
        <v>2989</v>
      </c>
      <c r="K195" t="s">
        <v>8085</v>
      </c>
      <c r="L195" t="s">
        <v>8086</v>
      </c>
      <c r="M195" s="3" t="str">
        <f>HYPERLINK(склад2въезд14[[#This Row],[RelativePath]])</f>
        <v>2 Пилорама поката\E33149364_7_20251231T164401Z.jpg</v>
      </c>
    </row>
    <row r="196" spans="1:13" x14ac:dyDescent="0.25">
      <c r="A196" s="2" t="s">
        <v>16</v>
      </c>
      <c r="B196" s="4">
        <v>46023</v>
      </c>
      <c r="C196" s="5">
        <v>0.74738425925925922</v>
      </c>
      <c r="D196" s="8" t="s">
        <v>2004</v>
      </c>
      <c r="E196" s="8" t="s">
        <v>8</v>
      </c>
      <c r="F196" s="8"/>
      <c r="H196" s="8"/>
      <c r="I196" s="8" t="s">
        <v>8087</v>
      </c>
      <c r="J196" s="8" t="s">
        <v>2989</v>
      </c>
      <c r="K196" t="s">
        <v>8088</v>
      </c>
      <c r="L196" t="s">
        <v>8089</v>
      </c>
      <c r="M196" s="3" t="str">
        <f>HYPERLINK(склад2въезд14[[#This Row],[RelativePath]])</f>
        <v>2 Пилорама поката\E33149364_7_20260101T175614Z.jpg</v>
      </c>
    </row>
    <row r="197" spans="1:13" x14ac:dyDescent="0.25">
      <c r="A197" s="2" t="s">
        <v>17</v>
      </c>
      <c r="B197" s="4">
        <v>46024</v>
      </c>
      <c r="C197" s="5">
        <v>0.74721064814814819</v>
      </c>
      <c r="D197" s="8" t="s">
        <v>2004</v>
      </c>
      <c r="E197" s="8" t="s">
        <v>8</v>
      </c>
      <c r="F197" s="8"/>
      <c r="H197" s="8"/>
      <c r="I197" s="8" t="s">
        <v>8363</v>
      </c>
      <c r="J197" s="8" t="s">
        <v>2989</v>
      </c>
      <c r="K197" t="s">
        <v>8364</v>
      </c>
      <c r="L197" t="s">
        <v>8365</v>
      </c>
      <c r="M197" s="3" t="str">
        <f>HYPERLINK(склад2въезд14[[#This Row],[RelativePath]])</f>
        <v>2 Пилорама поката\E33149364_7_20260102T175559Z.jpg</v>
      </c>
    </row>
    <row r="198" spans="1:13" x14ac:dyDescent="0.25">
      <c r="A198" s="2" t="s">
        <v>18</v>
      </c>
      <c r="B198" s="4">
        <v>46025</v>
      </c>
      <c r="C198" s="5">
        <v>0.74724537037037042</v>
      </c>
      <c r="D198" s="8" t="s">
        <v>2004</v>
      </c>
      <c r="E198" s="8" t="s">
        <v>8</v>
      </c>
      <c r="F198" s="8"/>
      <c r="H198" s="8"/>
      <c r="I198" s="8" t="s">
        <v>8366</v>
      </c>
      <c r="J198" s="8" t="s">
        <v>2989</v>
      </c>
      <c r="K198" t="s">
        <v>8367</v>
      </c>
      <c r="L198" t="s">
        <v>8368</v>
      </c>
      <c r="M198" s="3" t="str">
        <f>HYPERLINK(склад2въезд14[[#This Row],[RelativePath]])</f>
        <v>2 Пилорама поката\E33149364_7_20260103T175602Z.jpg</v>
      </c>
    </row>
    <row r="199" spans="1:13" x14ac:dyDescent="0.25">
      <c r="A199" s="2" t="s">
        <v>22</v>
      </c>
      <c r="B199" s="4">
        <v>46026</v>
      </c>
      <c r="C199" s="5">
        <v>0.48228009259259258</v>
      </c>
      <c r="D199" s="8" t="s">
        <v>2004</v>
      </c>
      <c r="E199" s="8" t="s">
        <v>8</v>
      </c>
      <c r="F199" s="8"/>
      <c r="H199" s="8"/>
      <c r="I199" s="8" t="s">
        <v>8369</v>
      </c>
      <c r="J199" s="8" t="s">
        <v>2989</v>
      </c>
      <c r="K199" t="s">
        <v>8370</v>
      </c>
      <c r="L199" t="s">
        <v>8371</v>
      </c>
      <c r="M199" s="3" t="str">
        <f>HYPERLINK(склад2въезд14[[#This Row],[RelativePath]])</f>
        <v>2 Пилорама поката\E33149364_7_20260104T113429Z.jpg</v>
      </c>
    </row>
    <row r="200" spans="1:13" x14ac:dyDescent="0.25">
      <c r="A200" s="2" t="s">
        <v>13</v>
      </c>
      <c r="B200" s="4">
        <v>46027</v>
      </c>
      <c r="C200" s="5">
        <v>0.68752314814814819</v>
      </c>
      <c r="D200" s="8" t="s">
        <v>2004</v>
      </c>
      <c r="E200" s="8" t="s">
        <v>8</v>
      </c>
      <c r="F200" s="8"/>
      <c r="H200" s="8"/>
      <c r="I200" s="8" t="s">
        <v>8484</v>
      </c>
      <c r="J200" s="8" t="s">
        <v>2989</v>
      </c>
      <c r="K200" t="s">
        <v>8485</v>
      </c>
      <c r="L200" t="s">
        <v>8486</v>
      </c>
      <c r="M200" s="3" t="str">
        <f>HYPERLINK(склад2въезд14[[#This Row],[RelativePath]])</f>
        <v>2 Пилорама поката\E33149364_7_20260105T163002Z.jpg</v>
      </c>
    </row>
    <row r="201" spans="1:13" x14ac:dyDescent="0.25">
      <c r="A201" s="2" t="s">
        <v>14</v>
      </c>
      <c r="B201" s="4">
        <v>46028</v>
      </c>
      <c r="C201" s="5">
        <v>0.7502199074074074</v>
      </c>
      <c r="D201" s="8" t="s">
        <v>2004</v>
      </c>
      <c r="E201" s="8" t="s">
        <v>8</v>
      </c>
      <c r="F201" s="8"/>
      <c r="H201" s="8"/>
      <c r="I201" s="8" t="s">
        <v>8487</v>
      </c>
      <c r="J201" s="8" t="s">
        <v>2989</v>
      </c>
      <c r="K201" t="s">
        <v>8488</v>
      </c>
      <c r="L201" t="s">
        <v>8489</v>
      </c>
      <c r="M201" s="3" t="str">
        <f>HYPERLINK(склад2въезд14[[#This Row],[RelativePath]])</f>
        <v>2 Пилорама поката\E33149364_7_20260106T180019Z.jpg</v>
      </c>
    </row>
    <row r="202" spans="1:13" x14ac:dyDescent="0.25">
      <c r="A202" s="2" t="s">
        <v>15</v>
      </c>
      <c r="B202" s="4">
        <v>46029</v>
      </c>
      <c r="C202" s="5">
        <v>0.74949074074074074</v>
      </c>
      <c r="D202" s="8" t="s">
        <v>2004</v>
      </c>
      <c r="E202" s="8" t="s">
        <v>8</v>
      </c>
      <c r="F202" s="8"/>
      <c r="H202" s="8"/>
      <c r="I202" s="8" t="s">
        <v>8490</v>
      </c>
      <c r="J202" s="8" t="s">
        <v>2989</v>
      </c>
      <c r="K202" t="s">
        <v>8491</v>
      </c>
      <c r="L202" t="s">
        <v>8492</v>
      </c>
      <c r="M202" s="3" t="str">
        <f>HYPERLINK(склад2въезд14[[#This Row],[RelativePath]])</f>
        <v>2 Пилорама поката\E33149364_7_20260107T175916Z.jpg</v>
      </c>
    </row>
    <row r="203" spans="1:13" x14ac:dyDescent="0.25">
      <c r="A203" s="2" t="s">
        <v>16</v>
      </c>
      <c r="B203" s="4">
        <v>46030</v>
      </c>
      <c r="C203" s="5">
        <v>0.74802083333333336</v>
      </c>
      <c r="D203" s="8" t="s">
        <v>2004</v>
      </c>
      <c r="E203" s="8" t="s">
        <v>8</v>
      </c>
      <c r="F203" s="8"/>
      <c r="H203" s="8"/>
      <c r="I203" s="8" t="s">
        <v>8493</v>
      </c>
      <c r="J203" s="8" t="s">
        <v>2989</v>
      </c>
      <c r="K203" t="s">
        <v>8494</v>
      </c>
      <c r="L203" t="s">
        <v>8495</v>
      </c>
      <c r="M203" s="3" t="str">
        <f>HYPERLINK(склад2въезд14[[#This Row],[RelativePath]])</f>
        <v>2 Пилорама поката\E33149364_7_20260108T175709Z.jpg</v>
      </c>
    </row>
    <row r="204" spans="1:13" x14ac:dyDescent="0.25">
      <c r="A204" s="2" t="s">
        <v>17</v>
      </c>
      <c r="B204" s="4">
        <v>46031</v>
      </c>
      <c r="C204" s="5">
        <v>0.75283564814814818</v>
      </c>
      <c r="D204" s="8" t="s">
        <v>2004</v>
      </c>
      <c r="E204" s="8" t="s">
        <v>8</v>
      </c>
      <c r="F204" s="8"/>
      <c r="H204" s="8"/>
      <c r="I204" s="8" t="s">
        <v>8496</v>
      </c>
      <c r="J204" s="8" t="s">
        <v>2989</v>
      </c>
      <c r="K204" t="s">
        <v>8497</v>
      </c>
      <c r="L204" t="s">
        <v>8498</v>
      </c>
      <c r="M204" s="3" t="str">
        <f>HYPERLINK(склад2въезд14[[#This Row],[RelativePath]])</f>
        <v>2 Пилорама поката\E33149364_7_20260109T180405Z.jpg</v>
      </c>
    </row>
    <row r="205" spans="1:13" x14ac:dyDescent="0.25">
      <c r="A205" s="2" t="s">
        <v>18</v>
      </c>
      <c r="B205" s="4">
        <v>46032</v>
      </c>
      <c r="C205" s="5">
        <v>0.75362268518518516</v>
      </c>
      <c r="D205" s="8" t="s">
        <v>2004</v>
      </c>
      <c r="E205" s="8" t="s">
        <v>8</v>
      </c>
      <c r="F205" s="8"/>
      <c r="H205" s="8"/>
      <c r="I205" s="8" t="s">
        <v>8499</v>
      </c>
      <c r="J205" s="8" t="s">
        <v>2989</v>
      </c>
      <c r="K205" t="s">
        <v>8500</v>
      </c>
      <c r="L205" t="s">
        <v>8501</v>
      </c>
      <c r="M205" s="3" t="str">
        <f>HYPERLINK(склад2въезд14[[#This Row],[RelativePath]])</f>
        <v>2 Пилорама поката\E33149364_7_20260110T180513Z.jpg</v>
      </c>
    </row>
    <row r="206" spans="1:13" x14ac:dyDescent="0.25">
      <c r="A206" s="2" t="s">
        <v>22</v>
      </c>
      <c r="B206" s="4">
        <v>46033</v>
      </c>
      <c r="C206" s="5">
        <v>0.63422453703703707</v>
      </c>
      <c r="D206" s="8" t="s">
        <v>2004</v>
      </c>
      <c r="E206" s="8" t="s">
        <v>8</v>
      </c>
      <c r="F206" s="8"/>
      <c r="H206" s="8"/>
      <c r="I206" s="8" t="s">
        <v>8502</v>
      </c>
      <c r="J206" s="8" t="s">
        <v>2989</v>
      </c>
      <c r="K206" t="s">
        <v>8503</v>
      </c>
      <c r="L206" t="s">
        <v>8504</v>
      </c>
      <c r="M206" s="3" t="str">
        <f>HYPERLINK(склад2въезд14[[#This Row],[RelativePath]])</f>
        <v>2 Пилорама поката\E33149364_7_20260111T151317Z.jpg</v>
      </c>
    </row>
  </sheetData>
  <conditionalFormatting sqref="D207:D217 E207:E220 G2:H206 D2:E206">
    <cfRule type="containsText" dxfId="719" priority="14" operator="containsText" text="Выезд с территории">
      <formula>NOT(ISERROR(SEARCH("Выезд с территории",D2)))</formula>
    </cfRule>
  </conditionalFormatting>
  <conditionalFormatting sqref="F2:F206">
    <cfRule type="notContainsText" dxfId="718" priority="13" operator="notContains" text="порожний">
      <formula>ISERROR(SEARCH("порожний",F2))</formula>
    </cfRule>
  </conditionalFormatting>
  <conditionalFormatting sqref="E2:E220">
    <cfRule type="containsText" dxfId="717" priority="11" operator="containsText" text="Газель базы">
      <formula>NOT(ISERROR(SEARCH("Газель базы",E2)))</formula>
    </cfRule>
    <cfRule type="containsText" dxfId="716" priority="12" operator="containsText" text="Погрузчик базы">
      <formula>NOT(ISERROR(SEARCH("Погрузчик базы",E2)))</formula>
    </cfRule>
  </conditionalFormatting>
  <conditionalFormatting sqref="E2:E220">
    <cfRule type="containsText" dxfId="715" priority="10" operator="containsText" text="Трактор базы">
      <formula>NOT(ISERROR(SEARCH("Трактор базы",E2)))</formula>
    </cfRule>
  </conditionalFormatting>
  <conditionalFormatting sqref="A2:C206">
    <cfRule type="expression" dxfId="714" priority="9">
      <formula>$A2="пн"</formula>
    </cfRule>
  </conditionalFormatting>
  <conditionalFormatting sqref="A2:C208">
    <cfRule type="expression" dxfId="713" priority="3">
      <formula>$A2="вс"</formula>
    </cfRule>
    <cfRule type="expression" dxfId="712" priority="4">
      <formula>$A2="сб"</formula>
    </cfRule>
    <cfRule type="expression" dxfId="711" priority="5">
      <formula>$A2="пт"</formula>
    </cfRule>
    <cfRule type="expression" dxfId="710" priority="6">
      <formula>$A2="чт"</formula>
    </cfRule>
    <cfRule type="expression" dxfId="709" priority="7">
      <formula>$A2="ср"</formula>
    </cfRule>
    <cfRule type="expression" dxfId="708" priority="8">
      <formula>$A2="вт"</formula>
    </cfRule>
  </conditionalFormatting>
  <conditionalFormatting sqref="D2:D217">
    <cfRule type="containsText" dxfId="70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7">
    <cfRule type="containsText" dxfId="70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120"/>
  <sheetViews>
    <sheetView zoomScale="90" zoomScaleNormal="90" workbookViewId="0">
      <pane ySplit="1" topLeftCell="A95" activePane="bottomLeft" state="frozen"/>
      <selection pane="bottomLeft" activeCell="I114" sqref="I114:I120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s="8" t="s">
        <v>4</v>
      </c>
      <c r="E2" s="8" t="s">
        <v>8</v>
      </c>
      <c r="F2" s="8"/>
      <c r="H2" s="8"/>
      <c r="I2" s="8" t="s">
        <v>203</v>
      </c>
      <c r="J2" s="8" t="s">
        <v>2990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s="8" t="s">
        <v>4</v>
      </c>
      <c r="E3" s="8" t="s">
        <v>8</v>
      </c>
      <c r="F3" s="8"/>
      <c r="H3" s="8"/>
      <c r="I3" s="8" t="s">
        <v>207</v>
      </c>
      <c r="J3" s="8" t="s">
        <v>2990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s="8" t="s">
        <v>4</v>
      </c>
      <c r="E4" s="8" t="s">
        <v>8</v>
      </c>
      <c r="F4" s="8"/>
      <c r="H4" s="8"/>
      <c r="I4" s="8" t="s">
        <v>210</v>
      </c>
      <c r="J4" s="8" t="s">
        <v>2990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s="8" t="s">
        <v>4</v>
      </c>
      <c r="E5" s="8" t="s">
        <v>8</v>
      </c>
      <c r="F5" s="8"/>
      <c r="H5" s="8"/>
      <c r="I5" s="8" t="s">
        <v>213</v>
      </c>
      <c r="J5" s="8" t="s">
        <v>2990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s="8" t="s">
        <v>4</v>
      </c>
      <c r="E6" s="8" t="s">
        <v>8</v>
      </c>
      <c r="F6" s="8"/>
      <c r="H6" s="8"/>
      <c r="I6" s="8" t="s">
        <v>216</v>
      </c>
      <c r="J6" s="8" t="s">
        <v>2990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s="8" t="s">
        <v>4</v>
      </c>
      <c r="E7" s="8" t="s">
        <v>8</v>
      </c>
      <c r="F7" s="8"/>
      <c r="H7" s="8"/>
      <c r="I7" s="8" t="s">
        <v>219</v>
      </c>
      <c r="J7" s="8" t="s">
        <v>2990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s="8" t="s">
        <v>4</v>
      </c>
      <c r="E8" s="8" t="s">
        <v>8</v>
      </c>
      <c r="F8" s="8"/>
      <c r="H8" s="8"/>
      <c r="I8" s="8" t="s">
        <v>222</v>
      </c>
      <c r="J8" s="8" t="s">
        <v>2990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s="8" t="s">
        <v>4</v>
      </c>
      <c r="E9" s="8" t="s">
        <v>8</v>
      </c>
      <c r="F9" s="8"/>
      <c r="H9" s="8"/>
      <c r="I9" s="8" t="s">
        <v>225</v>
      </c>
      <c r="J9" s="8" t="s">
        <v>2990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s="8" t="s">
        <v>4</v>
      </c>
      <c r="E10" s="8" t="s">
        <v>8</v>
      </c>
      <c r="F10" s="8"/>
      <c r="H10" s="8"/>
      <c r="I10" s="8" t="s">
        <v>228</v>
      </c>
      <c r="J10" s="8" t="s">
        <v>2990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s="8" t="s">
        <v>4</v>
      </c>
      <c r="E11" s="8" t="s">
        <v>8</v>
      </c>
      <c r="F11" s="8"/>
      <c r="H11" s="8"/>
      <c r="I11" s="8" t="s">
        <v>231</v>
      </c>
      <c r="J11" s="8" t="s">
        <v>2990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s="8" t="s">
        <v>4</v>
      </c>
      <c r="E12" s="8" t="s">
        <v>8</v>
      </c>
      <c r="F12" s="8"/>
      <c r="H12" s="8"/>
      <c r="I12" s="8" t="s">
        <v>234</v>
      </c>
      <c r="J12" s="8" t="s">
        <v>2990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s="8" t="s">
        <v>4</v>
      </c>
      <c r="E13" s="8" t="s">
        <v>8</v>
      </c>
      <c r="F13" s="8"/>
      <c r="H13" s="8"/>
      <c r="I13" s="8" t="s">
        <v>237</v>
      </c>
      <c r="J13" s="8" t="s">
        <v>2990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s="8" t="s">
        <v>4</v>
      </c>
      <c r="E14" s="8" t="s">
        <v>8</v>
      </c>
      <c r="F14" s="8"/>
      <c r="H14" s="8"/>
      <c r="I14" s="8" t="s">
        <v>240</v>
      </c>
      <c r="J14" s="8" t="s">
        <v>2990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s="8" t="s">
        <v>4</v>
      </c>
      <c r="E15" s="8" t="s">
        <v>8</v>
      </c>
      <c r="F15" s="8"/>
      <c r="H15" s="8"/>
      <c r="I15" s="8" t="s">
        <v>243</v>
      </c>
      <c r="J15" s="8" t="s">
        <v>2990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s="8" t="s">
        <v>4</v>
      </c>
      <c r="E16" s="8" t="s">
        <v>8</v>
      </c>
      <c r="F16" s="8"/>
      <c r="H16" s="8"/>
      <c r="I16" s="8" t="s">
        <v>246</v>
      </c>
      <c r="J16" s="8" t="s">
        <v>2990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s="8" t="s">
        <v>289</v>
      </c>
      <c r="E17" s="8" t="s">
        <v>66</v>
      </c>
      <c r="F17" s="8" t="s">
        <v>288</v>
      </c>
      <c r="H17" s="8"/>
      <c r="I17" s="8" t="s">
        <v>249</v>
      </c>
      <c r="J17" s="8" t="s">
        <v>2990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s="8" t="s">
        <v>4</v>
      </c>
      <c r="E18" s="8" t="s">
        <v>8</v>
      </c>
      <c r="F18" s="8"/>
      <c r="H18" s="8"/>
      <c r="I18" s="8" t="s">
        <v>252</v>
      </c>
      <c r="J18" s="8" t="s">
        <v>2990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s="8" t="s">
        <v>4</v>
      </c>
      <c r="E19" s="8" t="s">
        <v>8</v>
      </c>
      <c r="F19" s="8"/>
      <c r="H19" s="8"/>
      <c r="I19" s="8" t="s">
        <v>255</v>
      </c>
      <c r="J19" s="8" t="s">
        <v>2990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s="8" t="s">
        <v>4</v>
      </c>
      <c r="E20" s="8" t="s">
        <v>8</v>
      </c>
      <c r="F20" s="8"/>
      <c r="H20" s="8"/>
      <c r="I20" s="8" t="s">
        <v>258</v>
      </c>
      <c r="J20" s="8" t="s">
        <v>2990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s="8" t="s">
        <v>4</v>
      </c>
      <c r="E21" s="8" t="s">
        <v>8</v>
      </c>
      <c r="F21" s="8"/>
      <c r="H21" s="8"/>
      <c r="I21" s="8" t="s">
        <v>261</v>
      </c>
      <c r="J21" s="8" t="s">
        <v>2990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s="8" t="s">
        <v>4</v>
      </c>
      <c r="E22" s="8" t="s">
        <v>8</v>
      </c>
      <c r="F22" s="8"/>
      <c r="H22" s="8"/>
      <c r="I22" s="8" t="s">
        <v>264</v>
      </c>
      <c r="J22" s="8" t="s">
        <v>2990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s="8" t="s">
        <v>4</v>
      </c>
      <c r="E23" s="8" t="s">
        <v>8</v>
      </c>
      <c r="F23" s="8"/>
      <c r="H23" s="8"/>
      <c r="I23" s="8" t="s">
        <v>267</v>
      </c>
      <c r="J23" s="8" t="s">
        <v>2990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s="8" t="s">
        <v>4</v>
      </c>
      <c r="E24" s="8" t="s">
        <v>8</v>
      </c>
      <c r="F24" s="8"/>
      <c r="H24" s="8"/>
      <c r="I24" s="8" t="s">
        <v>270</v>
      </c>
      <c r="J24" s="8" t="s">
        <v>2990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s="8" t="s">
        <v>4</v>
      </c>
      <c r="E25" s="8" t="s">
        <v>8</v>
      </c>
      <c r="F25" s="8"/>
      <c r="H25" s="8"/>
      <c r="I25" s="8" t="s">
        <v>273</v>
      </c>
      <c r="J25" s="8" t="s">
        <v>2990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s="8" t="s">
        <v>4</v>
      </c>
      <c r="E26" s="8" t="s">
        <v>8</v>
      </c>
      <c r="F26" s="8"/>
      <c r="H26" s="8"/>
      <c r="I26" s="8" t="s">
        <v>276</v>
      </c>
      <c r="J26" s="8" t="s">
        <v>2990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s="8" t="s">
        <v>290</v>
      </c>
      <c r="E27" s="8" t="s">
        <v>66</v>
      </c>
      <c r="F27" s="8" t="s">
        <v>88</v>
      </c>
      <c r="H27" s="8"/>
      <c r="I27" s="8" t="s">
        <v>279</v>
      </c>
      <c r="J27" s="8" t="s">
        <v>2990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s="8" t="s">
        <v>4</v>
      </c>
      <c r="E28" s="8" t="s">
        <v>8</v>
      </c>
      <c r="F28" s="8"/>
      <c r="H28" s="8"/>
      <c r="I28" s="8" t="s">
        <v>282</v>
      </c>
      <c r="J28" s="8" t="s">
        <v>2990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s="8" t="s">
        <v>4</v>
      </c>
      <c r="E29" s="8" t="s">
        <v>8</v>
      </c>
      <c r="F29" s="8"/>
      <c r="H29" s="8"/>
      <c r="I29" s="8" t="s">
        <v>285</v>
      </c>
      <c r="J29" s="8" t="s">
        <v>2990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s="8" t="s">
        <v>4</v>
      </c>
      <c r="E30" s="8" t="s">
        <v>8</v>
      </c>
      <c r="F30" s="8"/>
      <c r="H30" s="8"/>
      <c r="I30" s="8" t="s">
        <v>1211</v>
      </c>
      <c r="J30" s="8" t="s">
        <v>2990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s="8" t="s">
        <v>4</v>
      </c>
      <c r="E31" s="8" t="s">
        <v>2005</v>
      </c>
      <c r="F31" s="8"/>
      <c r="H31" s="8" t="s">
        <v>2006</v>
      </c>
      <c r="I31" s="8" t="s">
        <v>1214</v>
      </c>
      <c r="J31" s="8" t="s">
        <v>2990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s="8" t="s">
        <v>4</v>
      </c>
      <c r="E32" s="8" t="s">
        <v>2005</v>
      </c>
      <c r="F32" s="8"/>
      <c r="H32" s="8" t="s">
        <v>2007</v>
      </c>
      <c r="I32" s="8" t="s">
        <v>1217</v>
      </c>
      <c r="J32" s="8" t="s">
        <v>2990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s="8" t="s">
        <v>4</v>
      </c>
      <c r="E33" s="8" t="s">
        <v>56</v>
      </c>
      <c r="F33" s="8"/>
      <c r="H33" s="8" t="s">
        <v>2008</v>
      </c>
      <c r="I33" s="8" t="s">
        <v>1220</v>
      </c>
      <c r="J33" s="8" t="s">
        <v>2990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s="8" t="s">
        <v>4</v>
      </c>
      <c r="E34" s="8" t="s">
        <v>8</v>
      </c>
      <c r="F34" s="8"/>
      <c r="H34" s="8"/>
      <c r="I34" s="8" t="s">
        <v>1223</v>
      </c>
      <c r="J34" s="8" t="s">
        <v>2990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s="8" t="s">
        <v>4</v>
      </c>
      <c r="E35" s="8" t="s">
        <v>8</v>
      </c>
      <c r="F35" s="8"/>
      <c r="H35" s="8" t="s">
        <v>1625</v>
      </c>
      <c r="I35" s="8" t="s">
        <v>1226</v>
      </c>
      <c r="J35" s="8" t="s">
        <v>2990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s="8" t="s">
        <v>4</v>
      </c>
      <c r="E36" s="8" t="s">
        <v>8</v>
      </c>
      <c r="F36" s="8"/>
      <c r="H36" s="8" t="s">
        <v>2009</v>
      </c>
      <c r="I36" s="8" t="s">
        <v>1229</v>
      </c>
      <c r="J36" s="8" t="s">
        <v>2990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s="8" t="s">
        <v>4</v>
      </c>
      <c r="E37" s="8" t="s">
        <v>8</v>
      </c>
      <c r="F37" s="8"/>
      <c r="H37" s="8" t="s">
        <v>2004</v>
      </c>
      <c r="I37" s="8" t="s">
        <v>1232</v>
      </c>
      <c r="J37" s="8" t="s">
        <v>2990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s="8" t="s">
        <v>4</v>
      </c>
      <c r="E38" s="8" t="s">
        <v>8</v>
      </c>
      <c r="F38" s="8"/>
      <c r="H38" s="8" t="s">
        <v>1625</v>
      </c>
      <c r="I38" s="8" t="s">
        <v>1235</v>
      </c>
      <c r="J38" s="8" t="s">
        <v>2990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s="8" t="s">
        <v>2004</v>
      </c>
      <c r="E39" s="8"/>
      <c r="F39" s="8"/>
      <c r="H39" s="8"/>
      <c r="I39" s="8" t="s">
        <v>2064</v>
      </c>
      <c r="J39" s="8" t="s">
        <v>2990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s="8" t="s">
        <v>4</v>
      </c>
      <c r="E40" s="8" t="s">
        <v>8</v>
      </c>
      <c r="F40" s="8"/>
      <c r="H40" s="8"/>
      <c r="I40" s="8" t="s">
        <v>2067</v>
      </c>
      <c r="J40" s="8" t="s">
        <v>2990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s="8" t="s">
        <v>289</v>
      </c>
      <c r="E41" s="8" t="s">
        <v>2927</v>
      </c>
      <c r="F41" s="8" t="s">
        <v>58</v>
      </c>
      <c r="H41" s="8" t="s">
        <v>2928</v>
      </c>
      <c r="I41" s="8" t="s">
        <v>2070</v>
      </c>
      <c r="J41" s="8" t="s">
        <v>2990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s="8" t="s">
        <v>4</v>
      </c>
      <c r="E42" s="8" t="s">
        <v>8</v>
      </c>
      <c r="F42" s="8"/>
      <c r="H42" s="8"/>
      <c r="I42" s="8" t="s">
        <v>2073</v>
      </c>
      <c r="J42" s="8" t="s">
        <v>2990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s="8" t="s">
        <v>4</v>
      </c>
      <c r="E43" s="8" t="s">
        <v>8</v>
      </c>
      <c r="F43" s="8"/>
      <c r="H43" s="8"/>
      <c r="I43" s="8" t="s">
        <v>2076</v>
      </c>
      <c r="J43" s="8" t="s">
        <v>2990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s="8" t="s">
        <v>4</v>
      </c>
      <c r="E44" s="8" t="s">
        <v>8</v>
      </c>
      <c r="F44" s="8"/>
      <c r="H44" s="8"/>
      <c r="I44" s="8" t="s">
        <v>2079</v>
      </c>
      <c r="J44" s="8" t="s">
        <v>2990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s="8" t="s">
        <v>289</v>
      </c>
      <c r="E45" s="8" t="s">
        <v>2927</v>
      </c>
      <c r="F45" s="8" t="s">
        <v>2929</v>
      </c>
      <c r="H45" s="8" t="s">
        <v>4203</v>
      </c>
      <c r="I45" s="8" t="s">
        <v>2082</v>
      </c>
      <c r="J45" s="8" t="s">
        <v>2990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s="8" t="s">
        <v>4</v>
      </c>
      <c r="E46" s="8" t="s">
        <v>8</v>
      </c>
      <c r="F46" s="8"/>
      <c r="H46" s="8"/>
      <c r="I46" s="8" t="s">
        <v>2085</v>
      </c>
      <c r="J46" s="8" t="s">
        <v>2990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s="8" t="s">
        <v>2004</v>
      </c>
      <c r="E47" s="8"/>
      <c r="F47" s="8"/>
      <c r="H47" s="8"/>
      <c r="I47" s="8" t="s">
        <v>2088</v>
      </c>
      <c r="J47" s="8" t="s">
        <v>2990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s="8" t="s">
        <v>2004</v>
      </c>
      <c r="E48" s="8"/>
      <c r="F48" s="8"/>
      <c r="H48" s="8"/>
      <c r="I48" s="8" t="s">
        <v>2091</v>
      </c>
      <c r="J48" s="8" t="s">
        <v>2990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s="8" t="s">
        <v>4</v>
      </c>
      <c r="E49" s="8" t="s">
        <v>8</v>
      </c>
      <c r="F49" s="8"/>
      <c r="H49" s="8"/>
      <c r="I49" s="8" t="s">
        <v>3336</v>
      </c>
      <c r="J49" s="8" t="s">
        <v>2990</v>
      </c>
      <c r="K49" t="s">
        <v>3337</v>
      </c>
      <c r="L49" t="s">
        <v>3338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s="8" t="s">
        <v>4</v>
      </c>
      <c r="E50" s="8" t="s">
        <v>8</v>
      </c>
      <c r="F50" s="8"/>
      <c r="H50" s="8"/>
      <c r="I50" s="8" t="s">
        <v>3339</v>
      </c>
      <c r="J50" s="8" t="s">
        <v>2990</v>
      </c>
      <c r="K50" t="s">
        <v>3340</v>
      </c>
      <c r="L50" t="s">
        <v>3341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s="8" t="s">
        <v>4</v>
      </c>
      <c r="E51" s="8" t="s">
        <v>70</v>
      </c>
      <c r="F51" s="8" t="s">
        <v>58</v>
      </c>
      <c r="H51" s="8"/>
      <c r="I51" s="8" t="s">
        <v>3342</v>
      </c>
      <c r="J51" s="8" t="s">
        <v>2990</v>
      </c>
      <c r="K51" t="s">
        <v>3343</v>
      </c>
      <c r="L51" t="s">
        <v>3344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s="8" t="s">
        <v>4</v>
      </c>
      <c r="E52" s="8" t="s">
        <v>70</v>
      </c>
      <c r="F52" s="8" t="s">
        <v>51</v>
      </c>
      <c r="H52" s="8" t="s">
        <v>4204</v>
      </c>
      <c r="I52" s="8" t="s">
        <v>3345</v>
      </c>
      <c r="J52" s="8" t="s">
        <v>2990</v>
      </c>
      <c r="K52" t="s">
        <v>3346</v>
      </c>
      <c r="L52" t="s">
        <v>3347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s="8" t="s">
        <v>4</v>
      </c>
      <c r="E53" s="8" t="s">
        <v>8</v>
      </c>
      <c r="F53" s="8"/>
      <c r="H53" s="8"/>
      <c r="I53" s="8" t="s">
        <v>3348</v>
      </c>
      <c r="J53" s="8" t="s">
        <v>2990</v>
      </c>
      <c r="K53" t="s">
        <v>3349</v>
      </c>
      <c r="L53" t="s">
        <v>3350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s="8" t="s">
        <v>2004</v>
      </c>
      <c r="E54" s="8"/>
      <c r="F54" s="8"/>
      <c r="H54" s="8"/>
      <c r="I54" s="8" t="s">
        <v>3351</v>
      </c>
      <c r="J54" s="8" t="s">
        <v>2990</v>
      </c>
      <c r="K54" t="s">
        <v>3352</v>
      </c>
      <c r="L54" t="s">
        <v>3353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s="8" t="s">
        <v>4</v>
      </c>
      <c r="E55" s="8" t="s">
        <v>4192</v>
      </c>
      <c r="F55" s="8" t="s">
        <v>58</v>
      </c>
      <c r="H55" s="8"/>
      <c r="I55" s="8" t="s">
        <v>3354</v>
      </c>
      <c r="J55" s="8" t="s">
        <v>2990</v>
      </c>
      <c r="K55" t="s">
        <v>3355</v>
      </c>
      <c r="L55" t="s">
        <v>3356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s="8" t="s">
        <v>4</v>
      </c>
      <c r="E56" s="8" t="s">
        <v>8</v>
      </c>
      <c r="F56" s="8"/>
      <c r="H56" s="8"/>
      <c r="I56" s="8" t="s">
        <v>3357</v>
      </c>
      <c r="J56" s="8" t="s">
        <v>2990</v>
      </c>
      <c r="K56" t="s">
        <v>3358</v>
      </c>
      <c r="L56" t="s">
        <v>3359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s="8" t="s">
        <v>4</v>
      </c>
      <c r="E57" s="8" t="s">
        <v>8</v>
      </c>
      <c r="F57" s="8"/>
      <c r="H57" s="8"/>
      <c r="I57" s="8" t="s">
        <v>3360</v>
      </c>
      <c r="J57" s="8" t="s">
        <v>2990</v>
      </c>
      <c r="K57" t="s">
        <v>3361</v>
      </c>
      <c r="L57" t="s">
        <v>3362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s="8" t="s">
        <v>2004</v>
      </c>
      <c r="E58" s="8"/>
      <c r="F58" s="8"/>
      <c r="H58" s="8"/>
      <c r="I58" s="8" t="s">
        <v>3363</v>
      </c>
      <c r="J58" s="8" t="s">
        <v>2990</v>
      </c>
      <c r="K58" t="s">
        <v>3364</v>
      </c>
      <c r="L58" t="s">
        <v>3365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s="8" t="s">
        <v>4</v>
      </c>
      <c r="E59" s="8" t="s">
        <v>8</v>
      </c>
      <c r="F59" s="8"/>
      <c r="H59" s="8"/>
      <c r="I59" s="8" t="s">
        <v>3366</v>
      </c>
      <c r="J59" s="8" t="s">
        <v>2990</v>
      </c>
      <c r="K59" t="s">
        <v>3367</v>
      </c>
      <c r="L59" t="s">
        <v>3368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s="8" t="s">
        <v>2004</v>
      </c>
      <c r="E60" s="8"/>
      <c r="F60" s="8"/>
      <c r="H60" s="8"/>
      <c r="I60" s="8" t="s">
        <v>3369</v>
      </c>
      <c r="J60" s="8" t="s">
        <v>2990</v>
      </c>
      <c r="K60" t="s">
        <v>3370</v>
      </c>
      <c r="L60" t="s">
        <v>3371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s="8" t="s">
        <v>4</v>
      </c>
      <c r="E61" s="8" t="s">
        <v>8</v>
      </c>
      <c r="F61" s="8"/>
      <c r="H61" s="8"/>
      <c r="I61" s="8" t="s">
        <v>3372</v>
      </c>
      <c r="J61" s="8" t="s">
        <v>2990</v>
      </c>
      <c r="K61" t="s">
        <v>3373</v>
      </c>
      <c r="L61" t="s">
        <v>3374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s="8" t="s">
        <v>289</v>
      </c>
      <c r="E62" s="8" t="s">
        <v>2927</v>
      </c>
      <c r="F62" s="8" t="s">
        <v>53</v>
      </c>
      <c r="G62">
        <v>4</v>
      </c>
      <c r="H62" s="8"/>
      <c r="I62" s="8" t="s">
        <v>3375</v>
      </c>
      <c r="J62" s="8" t="s">
        <v>2990</v>
      </c>
      <c r="K62" t="s">
        <v>3376</v>
      </c>
      <c r="L62" t="s">
        <v>3377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s="8" t="s">
        <v>4</v>
      </c>
      <c r="E63" s="8" t="s">
        <v>4194</v>
      </c>
      <c r="F63" s="8" t="s">
        <v>4196</v>
      </c>
      <c r="H63" s="8"/>
      <c r="I63" s="8" t="s">
        <v>3378</v>
      </c>
      <c r="J63" s="8" t="s">
        <v>2990</v>
      </c>
      <c r="K63" t="s">
        <v>3379</v>
      </c>
      <c r="L63" t="s">
        <v>3380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s="8" t="s">
        <v>2004</v>
      </c>
      <c r="E64" s="8"/>
      <c r="F64" s="8"/>
      <c r="H64" s="8"/>
      <c r="I64" s="8" t="s">
        <v>4261</v>
      </c>
      <c r="J64" s="8" t="s">
        <v>2990</v>
      </c>
      <c r="K64" t="s">
        <v>4262</v>
      </c>
      <c r="L64" t="s">
        <v>4263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s="8" t="s">
        <v>4</v>
      </c>
      <c r="E65" s="8" t="s">
        <v>8</v>
      </c>
      <c r="F65" s="8"/>
      <c r="H65" s="8"/>
      <c r="I65" s="8" t="s">
        <v>4558</v>
      </c>
      <c r="J65" s="8" t="s">
        <v>2990</v>
      </c>
      <c r="K65" t="s">
        <v>4559</v>
      </c>
      <c r="L65" t="s">
        <v>4560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s="8" t="s">
        <v>4</v>
      </c>
      <c r="E66" s="8" t="s">
        <v>4194</v>
      </c>
      <c r="F66" s="8"/>
      <c r="H66" s="8" t="s">
        <v>5089</v>
      </c>
      <c r="I66" s="8" t="s">
        <v>4561</v>
      </c>
      <c r="J66" s="8" t="s">
        <v>2990</v>
      </c>
      <c r="K66" t="s">
        <v>4562</v>
      </c>
      <c r="L66" t="s">
        <v>4563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s="8" t="s">
        <v>4</v>
      </c>
      <c r="E67" s="8" t="s">
        <v>8</v>
      </c>
      <c r="F67" s="8"/>
      <c r="H67" s="8"/>
      <c r="I67" s="8" t="s">
        <v>4564</v>
      </c>
      <c r="J67" s="8" t="s">
        <v>2990</v>
      </c>
      <c r="K67" t="s">
        <v>4565</v>
      </c>
      <c r="L67" t="s">
        <v>4566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s="8" t="s">
        <v>4</v>
      </c>
      <c r="E68" s="8" t="s">
        <v>8</v>
      </c>
      <c r="F68" s="8"/>
      <c r="H68" s="8"/>
      <c r="I68" s="8" t="s">
        <v>4567</v>
      </c>
      <c r="J68" s="8" t="s">
        <v>2990</v>
      </c>
      <c r="K68" t="s">
        <v>4568</v>
      </c>
      <c r="L68" t="s">
        <v>4569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s="8" t="s">
        <v>289</v>
      </c>
      <c r="E69" s="8" t="s">
        <v>2927</v>
      </c>
      <c r="F69" s="8" t="s">
        <v>53</v>
      </c>
      <c r="G69">
        <v>3</v>
      </c>
      <c r="H69" s="8"/>
      <c r="I69" s="8" t="s">
        <v>5086</v>
      </c>
      <c r="J69" s="8" t="s">
        <v>2990</v>
      </c>
      <c r="K69" t="s">
        <v>5087</v>
      </c>
      <c r="L69" t="s">
        <v>5088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s="8" t="s">
        <v>4</v>
      </c>
      <c r="E70" s="8" t="s">
        <v>8</v>
      </c>
      <c r="F70" s="8"/>
      <c r="H70" s="8"/>
      <c r="I70" s="8" t="s">
        <v>4570</v>
      </c>
      <c r="J70" s="8" t="s">
        <v>2990</v>
      </c>
      <c r="K70" t="s">
        <v>4571</v>
      </c>
      <c r="L70" t="s">
        <v>4572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s="8" t="s">
        <v>2004</v>
      </c>
      <c r="E71" s="8"/>
      <c r="F71" s="8"/>
      <c r="H71" s="8"/>
      <c r="I71" s="8" t="s">
        <v>4573</v>
      </c>
      <c r="J71" s="8" t="s">
        <v>2990</v>
      </c>
      <c r="K71" t="s">
        <v>4574</v>
      </c>
      <c r="L71" t="s">
        <v>4575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s="8" t="s">
        <v>4</v>
      </c>
      <c r="E72" s="8" t="s">
        <v>5262</v>
      </c>
      <c r="F72" s="8" t="s">
        <v>1609</v>
      </c>
      <c r="H72" s="8"/>
      <c r="I72" s="8" t="s">
        <v>5141</v>
      </c>
      <c r="J72" s="8" t="s">
        <v>2990</v>
      </c>
      <c r="K72" t="s">
        <v>5142</v>
      </c>
      <c r="L72" t="s">
        <v>5143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D73" s="8" t="s">
        <v>4</v>
      </c>
      <c r="E73" s="8" t="s">
        <v>8</v>
      </c>
      <c r="F73" s="8"/>
      <c r="H73" s="8"/>
      <c r="I73" s="8" t="s">
        <v>5276</v>
      </c>
      <c r="J73" s="8" t="s">
        <v>2990</v>
      </c>
      <c r="K73" t="s">
        <v>5277</v>
      </c>
      <c r="L73" t="s">
        <v>5278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D74" s="8" t="s">
        <v>2004</v>
      </c>
      <c r="E74" s="8"/>
      <c r="F74" s="8"/>
      <c r="H74" s="8"/>
      <c r="I74" s="8" t="s">
        <v>5279</v>
      </c>
      <c r="J74" s="8" t="s">
        <v>2990</v>
      </c>
      <c r="K74" t="s">
        <v>5280</v>
      </c>
      <c r="L74" t="s">
        <v>5281</v>
      </c>
      <c r="M74" s="3" t="str">
        <f>HYPERLINK(склад2въезд18[[#This Row],[RelativePath]])</f>
        <v>3 Въезд на базу\E33149364_8_20251208T163559Z.jpg</v>
      </c>
    </row>
    <row r="75" spans="1:13" x14ac:dyDescent="0.25">
      <c r="A75" s="2" t="s">
        <v>14</v>
      </c>
      <c r="B75" s="4">
        <v>46000</v>
      </c>
      <c r="C75" s="5">
        <v>0.51105324074074077</v>
      </c>
      <c r="D75" s="8" t="s">
        <v>4</v>
      </c>
      <c r="E75" s="8" t="s">
        <v>8</v>
      </c>
      <c r="F75" s="8"/>
      <c r="H75" s="8"/>
      <c r="I75" s="8" t="s">
        <v>5684</v>
      </c>
      <c r="J75" s="8" t="s">
        <v>2990</v>
      </c>
      <c r="K75" t="s">
        <v>5685</v>
      </c>
      <c r="L75" t="s">
        <v>5686</v>
      </c>
      <c r="M75" s="3" t="str">
        <f>HYPERLINK(склад2въезд18[[#This Row],[RelativePath]])</f>
        <v>3 Въезд на базу\E33149364_8_20251209T121555Z.jpg</v>
      </c>
    </row>
    <row r="76" spans="1:13" x14ac:dyDescent="0.25">
      <c r="A76" s="2" t="s">
        <v>14</v>
      </c>
      <c r="B76" s="4">
        <v>46000</v>
      </c>
      <c r="C76" s="5">
        <v>0.54031249999999997</v>
      </c>
      <c r="D76" s="8" t="s">
        <v>4</v>
      </c>
      <c r="E76" s="8" t="s">
        <v>8</v>
      </c>
      <c r="F76" s="8"/>
      <c r="H76" s="8"/>
      <c r="I76" s="8" t="s">
        <v>5687</v>
      </c>
      <c r="J76" s="8" t="s">
        <v>2990</v>
      </c>
      <c r="K76" t="s">
        <v>5688</v>
      </c>
      <c r="L76" t="s">
        <v>5689</v>
      </c>
      <c r="M76" s="3" t="str">
        <f>HYPERLINK(склад2въезд18[[#This Row],[RelativePath]])</f>
        <v>3 Въезд на базу\E33149364_8_20251209T125803Z.jpg</v>
      </c>
    </row>
    <row r="77" spans="1:13" x14ac:dyDescent="0.25">
      <c r="A77" s="2" t="s">
        <v>14</v>
      </c>
      <c r="B77" s="4">
        <v>46000</v>
      </c>
      <c r="C77" s="5">
        <v>0.71246527777777779</v>
      </c>
      <c r="D77" s="8" t="s">
        <v>4</v>
      </c>
      <c r="E77" s="8" t="s">
        <v>8</v>
      </c>
      <c r="F77" s="8"/>
      <c r="H77" s="8"/>
      <c r="I77" s="8" t="s">
        <v>5690</v>
      </c>
      <c r="J77" s="8" t="s">
        <v>2990</v>
      </c>
      <c r="K77" t="s">
        <v>5691</v>
      </c>
      <c r="L77" t="s">
        <v>5692</v>
      </c>
      <c r="M77" s="3" t="str">
        <f>HYPERLINK(склад2въезд18[[#This Row],[RelativePath]])</f>
        <v>3 Въезд на базу\E33149364_8_20251209T170557Z.jpg</v>
      </c>
    </row>
    <row r="78" spans="1:13" x14ac:dyDescent="0.25">
      <c r="A78" s="2" t="s">
        <v>15</v>
      </c>
      <c r="B78" s="4">
        <v>46001</v>
      </c>
      <c r="C78" s="5">
        <v>0.63738425925925923</v>
      </c>
      <c r="D78" s="8" t="s">
        <v>2004</v>
      </c>
      <c r="E78" s="8" t="s">
        <v>8</v>
      </c>
      <c r="F78" s="8"/>
      <c r="H78" s="8"/>
      <c r="I78" s="8" t="s">
        <v>5693</v>
      </c>
      <c r="J78" s="8" t="s">
        <v>2990</v>
      </c>
      <c r="K78" t="s">
        <v>5694</v>
      </c>
      <c r="L78" t="s">
        <v>5695</v>
      </c>
      <c r="M78" s="3" t="str">
        <f>HYPERLINK(склад2въезд18[[#This Row],[RelativePath]])</f>
        <v>3 Въезд на базу\E33149364_8_20251210T151750Z.jpg</v>
      </c>
    </row>
    <row r="79" spans="1:13" x14ac:dyDescent="0.25">
      <c r="A79" s="2" t="s">
        <v>16</v>
      </c>
      <c r="B79" s="4">
        <v>46002</v>
      </c>
      <c r="C79" s="5">
        <v>0.56204861111111115</v>
      </c>
      <c r="D79" s="8" t="s">
        <v>4</v>
      </c>
      <c r="E79" s="8" t="s">
        <v>8</v>
      </c>
      <c r="F79" s="8"/>
      <c r="H79" s="8"/>
      <c r="I79" s="8" t="s">
        <v>5846</v>
      </c>
      <c r="J79" s="8" t="s">
        <v>2990</v>
      </c>
      <c r="K79" t="s">
        <v>5847</v>
      </c>
      <c r="L79" t="s">
        <v>5848</v>
      </c>
      <c r="M79" s="3" t="str">
        <f>HYPERLINK(склад2въезд18[[#This Row],[RelativePath]])</f>
        <v>3 Въезд на базу\E33149364_8_20251211T132921Z.jpg</v>
      </c>
    </row>
    <row r="80" spans="1:13" x14ac:dyDescent="0.25">
      <c r="A80" s="2" t="s">
        <v>16</v>
      </c>
      <c r="B80" s="4">
        <v>46002</v>
      </c>
      <c r="C80" s="5">
        <v>0.67108796296296291</v>
      </c>
      <c r="D80" s="8" t="s">
        <v>2004</v>
      </c>
      <c r="E80" s="8" t="s">
        <v>8</v>
      </c>
      <c r="F80" s="8"/>
      <c r="H80" s="8"/>
      <c r="I80" s="8" t="s">
        <v>5849</v>
      </c>
      <c r="J80" s="8" t="s">
        <v>2990</v>
      </c>
      <c r="K80" t="s">
        <v>5850</v>
      </c>
      <c r="L80" t="s">
        <v>5851</v>
      </c>
      <c r="M80" s="3" t="str">
        <f>HYPERLINK(склад2въезд18[[#This Row],[RelativePath]])</f>
        <v>3 Въезд на базу\E33149364_8_20251211T160622Z.jpg</v>
      </c>
    </row>
    <row r="81" spans="1:13" x14ac:dyDescent="0.25">
      <c r="A81" s="2" t="s">
        <v>17</v>
      </c>
      <c r="B81" s="4">
        <v>46003</v>
      </c>
      <c r="C81" s="5">
        <v>0.48292824074074076</v>
      </c>
      <c r="D81" s="8" t="s">
        <v>2004</v>
      </c>
      <c r="E81" s="8" t="s">
        <v>8</v>
      </c>
      <c r="F81" s="8"/>
      <c r="H81" s="8"/>
      <c r="I81" s="8" t="s">
        <v>5852</v>
      </c>
      <c r="J81" s="8" t="s">
        <v>2990</v>
      </c>
      <c r="K81" t="s">
        <v>5853</v>
      </c>
      <c r="L81" t="s">
        <v>5854</v>
      </c>
      <c r="M81" s="3" t="str">
        <f>HYPERLINK(склад2въезд18[[#This Row],[RelativePath]])</f>
        <v>3 Въезд на базу\E33149364_8_20251212T113525Z.jpg</v>
      </c>
    </row>
    <row r="82" spans="1:13" x14ac:dyDescent="0.25">
      <c r="A82" s="2" t="s">
        <v>18</v>
      </c>
      <c r="B82" s="4">
        <v>46004</v>
      </c>
      <c r="C82" s="5">
        <v>0.40824074074074074</v>
      </c>
      <c r="D82" s="8" t="s">
        <v>4</v>
      </c>
      <c r="E82" s="8" t="s">
        <v>8</v>
      </c>
      <c r="F82" s="8"/>
      <c r="H82" s="8"/>
      <c r="I82" s="8" t="s">
        <v>6065</v>
      </c>
      <c r="J82" s="8" t="s">
        <v>2990</v>
      </c>
      <c r="K82" t="s">
        <v>6066</v>
      </c>
      <c r="L82" t="s">
        <v>6067</v>
      </c>
      <c r="M82" s="3" t="str">
        <f>HYPERLINK(склад2въезд18[[#This Row],[RelativePath]])</f>
        <v>3 Въезд на базу\E33149364_8_20251213T094752Z.jpg</v>
      </c>
    </row>
    <row r="83" spans="1:13" x14ac:dyDescent="0.25">
      <c r="A83" s="2" t="s">
        <v>18</v>
      </c>
      <c r="B83" s="4">
        <v>46004</v>
      </c>
      <c r="C83" s="5">
        <v>0.53307870370370369</v>
      </c>
      <c r="D83" s="8" t="s">
        <v>4</v>
      </c>
      <c r="E83" s="8" t="s">
        <v>8</v>
      </c>
      <c r="F83" s="8"/>
      <c r="H83" s="8"/>
      <c r="I83" s="8" t="s">
        <v>6068</v>
      </c>
      <c r="J83" s="8" t="s">
        <v>2990</v>
      </c>
      <c r="K83" t="s">
        <v>6069</v>
      </c>
      <c r="L83" t="s">
        <v>6070</v>
      </c>
      <c r="M83" s="3" t="str">
        <f>HYPERLINK(склад2въезд18[[#This Row],[RelativePath]])</f>
        <v>3 Въезд на базу\E33149364_8_20251213T124738Z.jpg</v>
      </c>
    </row>
    <row r="84" spans="1:13" x14ac:dyDescent="0.25">
      <c r="A84" s="2" t="s">
        <v>18</v>
      </c>
      <c r="B84" s="4">
        <v>46004</v>
      </c>
      <c r="C84" s="5">
        <v>0.71127314814814813</v>
      </c>
      <c r="D84" s="8" t="s">
        <v>4</v>
      </c>
      <c r="E84" s="8" t="s">
        <v>8</v>
      </c>
      <c r="F84" s="8"/>
      <c r="H84" s="8"/>
      <c r="I84" s="8" t="s">
        <v>6071</v>
      </c>
      <c r="J84" s="8" t="s">
        <v>2990</v>
      </c>
      <c r="K84" t="s">
        <v>6072</v>
      </c>
      <c r="L84" t="s">
        <v>6073</v>
      </c>
      <c r="M84" s="3" t="str">
        <f>HYPERLINK(склад2въезд18[[#This Row],[RelativePath]])</f>
        <v>3 Въезд на базу\E33149364_8_20251213T170414Z.jpg</v>
      </c>
    </row>
    <row r="85" spans="1:13" x14ac:dyDescent="0.25">
      <c r="A85" s="2" t="s">
        <v>22</v>
      </c>
      <c r="B85" s="4">
        <v>46005</v>
      </c>
      <c r="C85" s="5">
        <v>0.6847685185185185</v>
      </c>
      <c r="D85" s="8" t="s">
        <v>2004</v>
      </c>
      <c r="E85" s="8" t="s">
        <v>8</v>
      </c>
      <c r="F85" s="8"/>
      <c r="H85" s="8"/>
      <c r="I85" s="8" t="s">
        <v>6195</v>
      </c>
      <c r="J85" s="8" t="s">
        <v>2990</v>
      </c>
      <c r="K85" t="s">
        <v>6196</v>
      </c>
      <c r="L85" t="s">
        <v>6197</v>
      </c>
      <c r="M85" s="3" t="str">
        <f>HYPERLINK(склад2въезд18[[#This Row],[RelativePath]])</f>
        <v>3 Въезд на базу\E33149364_8_20251214T162604Z.jpg</v>
      </c>
    </row>
    <row r="86" spans="1:13" x14ac:dyDescent="0.25">
      <c r="A86" s="2" t="s">
        <v>13</v>
      </c>
      <c r="B86" s="4">
        <v>46006</v>
      </c>
      <c r="C86" s="5">
        <v>0.51256944444444441</v>
      </c>
      <c r="D86" s="8" t="s">
        <v>4</v>
      </c>
      <c r="E86" s="8" t="s">
        <v>8</v>
      </c>
      <c r="F86" s="8"/>
      <c r="H86" s="8"/>
      <c r="I86" s="8" t="s">
        <v>6323</v>
      </c>
      <c r="J86" s="8" t="s">
        <v>2990</v>
      </c>
      <c r="K86" t="s">
        <v>6324</v>
      </c>
      <c r="L86" t="s">
        <v>6325</v>
      </c>
      <c r="M86" s="3" t="str">
        <f>HYPERLINK(склад2въезд18[[#This Row],[RelativePath]])</f>
        <v>3 Въезд на базу\E33149364_8_20251215T121806Z.jpg</v>
      </c>
    </row>
    <row r="87" spans="1:13" x14ac:dyDescent="0.25">
      <c r="A87" s="2" t="s">
        <v>14</v>
      </c>
      <c r="B87" s="4">
        <v>46007</v>
      </c>
      <c r="C87" s="5">
        <v>0.46141203703703704</v>
      </c>
      <c r="D87" s="8" t="s">
        <v>4</v>
      </c>
      <c r="E87" s="8" t="s">
        <v>8</v>
      </c>
      <c r="F87" s="8"/>
      <c r="H87" s="8"/>
      <c r="I87" s="8" t="s">
        <v>6557</v>
      </c>
      <c r="J87" s="8" t="s">
        <v>2990</v>
      </c>
      <c r="K87" t="s">
        <v>6558</v>
      </c>
      <c r="L87" t="s">
        <v>6559</v>
      </c>
      <c r="M87" s="3" t="str">
        <f>HYPERLINK(склад2въезд18[[#This Row],[RelativePath]])</f>
        <v>3 Въезд на базу\E33149364_8_20251216T110426Z.jpg</v>
      </c>
    </row>
    <row r="88" spans="1:13" x14ac:dyDescent="0.25">
      <c r="A88" s="2" t="s">
        <v>15</v>
      </c>
      <c r="B88" s="4">
        <v>46008</v>
      </c>
      <c r="C88" s="5">
        <v>0.62752314814814814</v>
      </c>
      <c r="D88" s="8" t="s">
        <v>2004</v>
      </c>
      <c r="E88" s="8" t="s">
        <v>8</v>
      </c>
      <c r="F88" s="8"/>
      <c r="H88" s="8"/>
      <c r="I88" s="8" t="s">
        <v>6658</v>
      </c>
      <c r="J88" s="8" t="s">
        <v>2990</v>
      </c>
      <c r="K88" t="s">
        <v>6659</v>
      </c>
      <c r="L88" t="s">
        <v>6660</v>
      </c>
      <c r="M88" s="3" t="str">
        <f>HYPERLINK(склад2въезд18[[#This Row],[RelativePath]])</f>
        <v>3 Въезд на базу\E33149364_8_20251217T150338Z.jpg</v>
      </c>
    </row>
    <row r="89" spans="1:13" x14ac:dyDescent="0.25">
      <c r="A89" s="2" t="s">
        <v>16</v>
      </c>
      <c r="B89" s="4">
        <v>46009</v>
      </c>
      <c r="C89" s="5">
        <v>0.60905092592592591</v>
      </c>
      <c r="D89" s="8" t="s">
        <v>2004</v>
      </c>
      <c r="E89" s="8" t="s">
        <v>8</v>
      </c>
      <c r="F89" s="8"/>
      <c r="H89" s="8"/>
      <c r="I89" s="8" t="s">
        <v>6661</v>
      </c>
      <c r="J89" s="8" t="s">
        <v>2990</v>
      </c>
      <c r="K89" t="s">
        <v>6662</v>
      </c>
      <c r="L89" t="s">
        <v>6663</v>
      </c>
      <c r="M89" s="3" t="str">
        <f>HYPERLINK(склад2въезд18[[#This Row],[RelativePath]])</f>
        <v>3 Въезд на базу\E33149364_8_20251218T143702Z.jpg</v>
      </c>
    </row>
    <row r="90" spans="1:13" x14ac:dyDescent="0.25">
      <c r="A90" s="2" t="s">
        <v>17</v>
      </c>
      <c r="B90" s="4">
        <v>46010</v>
      </c>
      <c r="C90" s="5">
        <v>0.67592592592592593</v>
      </c>
      <c r="D90" s="8" t="s">
        <v>2004</v>
      </c>
      <c r="E90" s="8" t="s">
        <v>8</v>
      </c>
      <c r="F90" s="8"/>
      <c r="H90" s="8"/>
      <c r="I90" s="8" t="s">
        <v>6911</v>
      </c>
      <c r="J90" s="8" t="s">
        <v>2990</v>
      </c>
      <c r="K90" t="s">
        <v>6912</v>
      </c>
      <c r="L90" t="s">
        <v>6913</v>
      </c>
      <c r="M90" s="3" t="str">
        <f>HYPERLINK(склад2въезд18[[#This Row],[RelativePath]])</f>
        <v>3 Въезд на базу\E33149364_8_20251219T161320Z.jpg</v>
      </c>
    </row>
    <row r="91" spans="1:13" x14ac:dyDescent="0.25">
      <c r="A91" s="2" t="s">
        <v>18</v>
      </c>
      <c r="B91" s="4">
        <v>46011</v>
      </c>
      <c r="C91" s="5">
        <v>0.68274305555555559</v>
      </c>
      <c r="D91" s="8" t="s">
        <v>2004</v>
      </c>
      <c r="E91" s="8" t="s">
        <v>8</v>
      </c>
      <c r="F91" s="8"/>
      <c r="H91" s="8"/>
      <c r="I91" s="8" t="s">
        <v>6914</v>
      </c>
      <c r="J91" s="8" t="s">
        <v>2990</v>
      </c>
      <c r="K91" t="s">
        <v>6915</v>
      </c>
      <c r="L91" t="s">
        <v>6916</v>
      </c>
      <c r="M91" s="3" t="str">
        <f>HYPERLINK(склад2въезд18[[#This Row],[RelativePath]])</f>
        <v>3 Въезд на базу\E33149364_8_20251220T162309Z.jpg</v>
      </c>
    </row>
    <row r="92" spans="1:13" x14ac:dyDescent="0.25">
      <c r="A92" s="2" t="s">
        <v>22</v>
      </c>
      <c r="B92" s="4">
        <v>46012</v>
      </c>
      <c r="C92" s="5">
        <v>0.70972222222222225</v>
      </c>
      <c r="D92" s="8" t="s">
        <v>2004</v>
      </c>
      <c r="E92" s="8" t="s">
        <v>8</v>
      </c>
      <c r="F92" s="8"/>
      <c r="H92" s="8"/>
      <c r="I92" s="8" t="s">
        <v>7181</v>
      </c>
      <c r="J92" s="8" t="s">
        <v>2990</v>
      </c>
      <c r="K92" t="s">
        <v>7182</v>
      </c>
      <c r="L92" t="s">
        <v>7183</v>
      </c>
      <c r="M92" s="3" t="str">
        <f>HYPERLINK(склад2въезд18[[#This Row],[RelativePath]])</f>
        <v>3 Въезд на базу\E33149364_8_20251221T170200Z.jpg</v>
      </c>
    </row>
    <row r="93" spans="1:13" x14ac:dyDescent="0.25">
      <c r="A93" s="2" t="s">
        <v>13</v>
      </c>
      <c r="B93" s="4">
        <v>46013</v>
      </c>
      <c r="C93" s="5">
        <v>0.68888888888888888</v>
      </c>
      <c r="D93" s="8" t="s">
        <v>2004</v>
      </c>
      <c r="E93" s="8" t="s">
        <v>8</v>
      </c>
      <c r="F93" s="8"/>
      <c r="H93" s="8"/>
      <c r="I93" s="8" t="s">
        <v>7260</v>
      </c>
      <c r="J93" s="8" t="s">
        <v>2990</v>
      </c>
      <c r="K93" t="s">
        <v>7261</v>
      </c>
      <c r="L93" t="s">
        <v>7262</v>
      </c>
      <c r="M93" s="3" t="str">
        <f>HYPERLINK(склад2въезд18[[#This Row],[RelativePath]])</f>
        <v>3 Въезд на базу\E33149364_8_20251222T163200Z.jpg</v>
      </c>
    </row>
    <row r="94" spans="1:13" x14ac:dyDescent="0.25">
      <c r="A94" s="2" t="s">
        <v>14</v>
      </c>
      <c r="B94" s="4">
        <v>46014</v>
      </c>
      <c r="C94" s="5">
        <v>0.71491898148148147</v>
      </c>
      <c r="D94" s="8" t="s">
        <v>4</v>
      </c>
      <c r="E94" s="8" t="s">
        <v>8</v>
      </c>
      <c r="F94" s="8"/>
      <c r="H94" s="8"/>
      <c r="I94" s="8" t="s">
        <v>7263</v>
      </c>
      <c r="J94" s="8" t="s">
        <v>2990</v>
      </c>
      <c r="K94" t="s">
        <v>7264</v>
      </c>
      <c r="L94" t="s">
        <v>7265</v>
      </c>
      <c r="M94" s="3" t="str">
        <f>HYPERLINK(склад2въезд18[[#This Row],[RelativePath]])</f>
        <v>3 Въезд на базу\E33149364_8_20251223T170929Z.jpg</v>
      </c>
    </row>
    <row r="95" spans="1:13" x14ac:dyDescent="0.25">
      <c r="A95" s="2" t="s">
        <v>14</v>
      </c>
      <c r="B95" s="4">
        <v>46014</v>
      </c>
      <c r="C95" s="5">
        <v>0.81587962962962968</v>
      </c>
      <c r="D95" s="8" t="s">
        <v>4</v>
      </c>
      <c r="E95" s="8" t="s">
        <v>7410</v>
      </c>
      <c r="F95" s="8" t="s">
        <v>51</v>
      </c>
      <c r="H95" s="8"/>
      <c r="I95" s="8" t="s">
        <v>7266</v>
      </c>
      <c r="J95" s="8" t="s">
        <v>2990</v>
      </c>
      <c r="K95" t="s">
        <v>7267</v>
      </c>
      <c r="L95" t="s">
        <v>7268</v>
      </c>
      <c r="M95" s="3" t="str">
        <f>HYPERLINK(склад2въезд18[[#This Row],[RelativePath]])</f>
        <v>3 Въезд на базу\E33149364_8_20251223T193452Z.jpg</v>
      </c>
    </row>
    <row r="96" spans="1:13" x14ac:dyDescent="0.25">
      <c r="A96" s="2" t="s">
        <v>15</v>
      </c>
      <c r="B96" s="4">
        <v>46015</v>
      </c>
      <c r="C96" s="5">
        <v>0.50621527777777775</v>
      </c>
      <c r="D96" s="8" t="s">
        <v>2004</v>
      </c>
      <c r="E96" s="8" t="s">
        <v>8</v>
      </c>
      <c r="F96" s="8"/>
      <c r="H96" s="8"/>
      <c r="I96" s="8" t="s">
        <v>7478</v>
      </c>
      <c r="J96" s="8" t="s">
        <v>2990</v>
      </c>
      <c r="K96" t="s">
        <v>7479</v>
      </c>
      <c r="L96" t="s">
        <v>7480</v>
      </c>
      <c r="M96" s="3" t="str">
        <f>HYPERLINK(склад2въезд18[[#This Row],[RelativePath]])</f>
        <v>3 Въезд на базу\E33149364_8_20251224T120857Z.jpg</v>
      </c>
    </row>
    <row r="97" spans="1:13" x14ac:dyDescent="0.25">
      <c r="A97" s="2" t="s">
        <v>16</v>
      </c>
      <c r="B97" s="4">
        <v>46016</v>
      </c>
      <c r="C97" s="5">
        <v>0.38068287037037035</v>
      </c>
      <c r="D97" s="8" t="s">
        <v>4</v>
      </c>
      <c r="E97" s="8" t="s">
        <v>7706</v>
      </c>
      <c r="F97" s="8" t="s">
        <v>60</v>
      </c>
      <c r="H97" s="8"/>
      <c r="I97" s="8" t="s">
        <v>7481</v>
      </c>
      <c r="J97" s="8" t="s">
        <v>2990</v>
      </c>
      <c r="K97" t="s">
        <v>7482</v>
      </c>
      <c r="L97" t="s">
        <v>7483</v>
      </c>
      <c r="M97" s="3" t="str">
        <f>HYPERLINK(склад2въезд18[[#This Row],[RelativePath]])</f>
        <v>3 Въезд на базу\E33149364_8_20251225T090811Z.jpg</v>
      </c>
    </row>
    <row r="98" spans="1:13" x14ac:dyDescent="0.25">
      <c r="A98" s="2" t="s">
        <v>16</v>
      </c>
      <c r="B98" s="4">
        <v>46016</v>
      </c>
      <c r="C98" s="5">
        <v>0.4659490740740741</v>
      </c>
      <c r="D98" s="8" t="s">
        <v>4</v>
      </c>
      <c r="E98" s="8" t="s">
        <v>7706</v>
      </c>
      <c r="F98" s="8" t="s">
        <v>51</v>
      </c>
      <c r="H98" s="8"/>
      <c r="I98" s="8" t="s">
        <v>7484</v>
      </c>
      <c r="J98" s="8" t="s">
        <v>2990</v>
      </c>
      <c r="K98" t="s">
        <v>7485</v>
      </c>
      <c r="L98" t="s">
        <v>7486</v>
      </c>
      <c r="M98" s="3" t="str">
        <f>HYPERLINK(склад2въезд18[[#This Row],[RelativePath]])</f>
        <v>3 Въезд на базу\E33149364_8_20251225T111058Z.jpg</v>
      </c>
    </row>
    <row r="99" spans="1:13" x14ac:dyDescent="0.25">
      <c r="A99" s="2" t="s">
        <v>16</v>
      </c>
      <c r="B99" s="4">
        <v>46016</v>
      </c>
      <c r="C99" s="5">
        <v>0.68556712962962962</v>
      </c>
      <c r="D99" s="8" t="s">
        <v>2004</v>
      </c>
      <c r="E99" s="8" t="s">
        <v>8</v>
      </c>
      <c r="F99" s="8"/>
      <c r="H99" s="8"/>
      <c r="I99" s="8" t="s">
        <v>7487</v>
      </c>
      <c r="J99" s="8" t="s">
        <v>2990</v>
      </c>
      <c r="K99" t="s">
        <v>7488</v>
      </c>
      <c r="L99" t="s">
        <v>7489</v>
      </c>
      <c r="M99" s="3" t="str">
        <f>HYPERLINK(склад2въезд18[[#This Row],[RelativePath]])</f>
        <v>3 Въезд на базу\E33149364_8_20251225T162713Z.jpg</v>
      </c>
    </row>
    <row r="100" spans="1:13" x14ac:dyDescent="0.25">
      <c r="A100" s="2" t="s">
        <v>17</v>
      </c>
      <c r="B100" s="4">
        <v>46017</v>
      </c>
      <c r="C100" s="5">
        <v>0.40710648148148149</v>
      </c>
      <c r="D100" s="8" t="s">
        <v>289</v>
      </c>
      <c r="E100" s="8" t="s">
        <v>2927</v>
      </c>
      <c r="F100" s="8" t="s">
        <v>7169</v>
      </c>
      <c r="H100" s="8"/>
      <c r="I100" s="8" t="s">
        <v>7819</v>
      </c>
      <c r="J100" s="8" t="s">
        <v>2990</v>
      </c>
      <c r="K100" t="s">
        <v>7820</v>
      </c>
      <c r="L100" t="s">
        <v>7821</v>
      </c>
      <c r="M100" s="3" t="str">
        <f>HYPERLINK(склад2въезд18[[#This Row],[RelativePath]])</f>
        <v>3 Въезд на базу\E33149364_8_20251226T094614Z.jpg</v>
      </c>
    </row>
    <row r="101" spans="1:13" x14ac:dyDescent="0.25">
      <c r="A101" s="2" t="s">
        <v>17</v>
      </c>
      <c r="B101" s="4">
        <v>46017</v>
      </c>
      <c r="C101" s="5">
        <v>0.40766203703703702</v>
      </c>
      <c r="D101" s="8" t="s">
        <v>289</v>
      </c>
      <c r="E101" s="8" t="s">
        <v>2927</v>
      </c>
      <c r="F101" s="8" t="s">
        <v>7169</v>
      </c>
      <c r="H101" s="8" t="s">
        <v>2936</v>
      </c>
      <c r="I101" s="8" t="s">
        <v>7822</v>
      </c>
      <c r="J101" s="8" t="s">
        <v>2990</v>
      </c>
      <c r="K101" t="s">
        <v>7823</v>
      </c>
      <c r="L101" t="s">
        <v>7824</v>
      </c>
      <c r="M101" s="3" t="str">
        <f>HYPERLINK(склад2въезд18[[#This Row],[RelativePath]])</f>
        <v>3 Въезд на базу\E33149364_8_20251226T094702Z.jpg</v>
      </c>
    </row>
    <row r="102" spans="1:13" x14ac:dyDescent="0.25">
      <c r="A102" s="2" t="s">
        <v>17</v>
      </c>
      <c r="B102" s="4">
        <v>46017</v>
      </c>
      <c r="C102" s="5">
        <v>0.40768518518518521</v>
      </c>
      <c r="D102" s="8" t="s">
        <v>289</v>
      </c>
      <c r="E102" s="8" t="s">
        <v>2927</v>
      </c>
      <c r="F102" s="8" t="s">
        <v>7169</v>
      </c>
      <c r="H102" s="8" t="s">
        <v>2936</v>
      </c>
      <c r="I102" s="8" t="s">
        <v>7825</v>
      </c>
      <c r="J102" s="8" t="s">
        <v>2990</v>
      </c>
      <c r="K102" t="s">
        <v>7826</v>
      </c>
      <c r="L102" t="s">
        <v>7827</v>
      </c>
      <c r="M102" s="3" t="str">
        <f>HYPERLINK(склад2въезд18[[#This Row],[RelativePath]])</f>
        <v>3 Въезд на базу\E33149364_8_20251226T094704Z.jpg</v>
      </c>
    </row>
    <row r="103" spans="1:13" x14ac:dyDescent="0.25">
      <c r="A103" s="2" t="s">
        <v>18</v>
      </c>
      <c r="B103" s="4">
        <v>46018</v>
      </c>
      <c r="C103" s="5">
        <v>0.4912037037037037</v>
      </c>
      <c r="D103" s="8" t="s">
        <v>2004</v>
      </c>
      <c r="E103" s="8" t="s">
        <v>8</v>
      </c>
      <c r="F103" s="8"/>
      <c r="H103" s="8"/>
      <c r="I103" s="8" t="s">
        <v>7944</v>
      </c>
      <c r="J103" s="8" t="s">
        <v>2990</v>
      </c>
      <c r="K103" t="s">
        <v>7945</v>
      </c>
      <c r="L103" t="s">
        <v>7946</v>
      </c>
      <c r="M103" s="3" t="str">
        <f>HYPERLINK(склад2въезд18[[#This Row],[RelativePath]])</f>
        <v>3 Въезд на базу\E33149364_8_20251227T114720Z.jpg</v>
      </c>
    </row>
    <row r="104" spans="1:13" x14ac:dyDescent="0.25">
      <c r="A104" s="2" t="s">
        <v>18</v>
      </c>
      <c r="B104" s="4">
        <v>46018</v>
      </c>
      <c r="C104" s="5">
        <v>0.57578703703703704</v>
      </c>
      <c r="D104" s="8" t="s">
        <v>2004</v>
      </c>
      <c r="E104" s="8" t="s">
        <v>8</v>
      </c>
      <c r="F104" s="8"/>
      <c r="H104" s="8"/>
      <c r="I104" s="8" t="s">
        <v>7947</v>
      </c>
      <c r="J104" s="8" t="s">
        <v>2990</v>
      </c>
      <c r="K104" t="s">
        <v>7948</v>
      </c>
      <c r="L104" t="s">
        <v>7949</v>
      </c>
      <c r="M104" s="3" t="str">
        <f>HYPERLINK(склад2въезд18[[#This Row],[RelativePath]])</f>
        <v>3 Въезд на базу\E33149364_8_20251227T134908Z.jpg</v>
      </c>
    </row>
    <row r="105" spans="1:13" x14ac:dyDescent="0.25">
      <c r="A105" s="2" t="s">
        <v>22</v>
      </c>
      <c r="B105" s="4">
        <v>46019</v>
      </c>
      <c r="C105" s="5">
        <v>0.53828703703703706</v>
      </c>
      <c r="D105" s="8" t="s">
        <v>4</v>
      </c>
      <c r="E105" s="8" t="s">
        <v>531</v>
      </c>
      <c r="F105" s="8"/>
      <c r="H105" s="8"/>
      <c r="I105" s="8" t="s">
        <v>7950</v>
      </c>
      <c r="J105" s="8" t="s">
        <v>2990</v>
      </c>
      <c r="K105" t="s">
        <v>7951</v>
      </c>
      <c r="L105" t="s">
        <v>7952</v>
      </c>
      <c r="M105" s="3" t="str">
        <f>HYPERLINK(склад2въезд18[[#This Row],[RelativePath]])</f>
        <v>3 Въезд на базу\E33149364_8_20251228T125508Z.jpg</v>
      </c>
    </row>
    <row r="106" spans="1:13" x14ac:dyDescent="0.25">
      <c r="A106" s="2" t="s">
        <v>22</v>
      </c>
      <c r="B106" s="4">
        <v>46019</v>
      </c>
      <c r="C106" s="5">
        <v>0.70148148148148148</v>
      </c>
      <c r="D106" s="8" t="s">
        <v>2004</v>
      </c>
      <c r="E106" s="8" t="s">
        <v>8</v>
      </c>
      <c r="F106" s="8"/>
      <c r="H106" s="8"/>
      <c r="I106" s="8" t="s">
        <v>7953</v>
      </c>
      <c r="J106" s="8" t="s">
        <v>2990</v>
      </c>
      <c r="K106" t="s">
        <v>7954</v>
      </c>
      <c r="L106" t="s">
        <v>7955</v>
      </c>
      <c r="M106" s="3" t="str">
        <f>HYPERLINK(склад2въезд18[[#This Row],[RelativePath]])</f>
        <v>3 Въезд на базу\E33149364_8_20251228T165008Z.jpg</v>
      </c>
    </row>
    <row r="107" spans="1:13" x14ac:dyDescent="0.25">
      <c r="A107" s="2" t="s">
        <v>13</v>
      </c>
      <c r="B107" s="4">
        <v>46020</v>
      </c>
      <c r="C107" s="5">
        <v>0.65512731481481479</v>
      </c>
      <c r="D107" s="8" t="s">
        <v>2004</v>
      </c>
      <c r="E107" s="8" t="s">
        <v>8</v>
      </c>
      <c r="F107" s="8"/>
      <c r="H107" s="8"/>
      <c r="I107" s="8" t="s">
        <v>8108</v>
      </c>
      <c r="J107" s="8" t="s">
        <v>2990</v>
      </c>
      <c r="K107" t="s">
        <v>8109</v>
      </c>
      <c r="L107" t="s">
        <v>8110</v>
      </c>
      <c r="M107" s="3" t="str">
        <f>HYPERLINK(склад2въезд18[[#This Row],[RelativePath]])</f>
        <v>3 Въезд на базу\E33149364_8_20251229T154323Z.jpg</v>
      </c>
    </row>
    <row r="108" spans="1:13" x14ac:dyDescent="0.25">
      <c r="A108" s="2" t="s">
        <v>14</v>
      </c>
      <c r="B108" s="4">
        <v>46021</v>
      </c>
      <c r="C108" s="5">
        <v>0.71135416666666662</v>
      </c>
      <c r="D108" s="8" t="s">
        <v>2004</v>
      </c>
      <c r="E108" s="8" t="s">
        <v>8</v>
      </c>
      <c r="F108" s="8"/>
      <c r="H108" s="8"/>
      <c r="I108" s="8" t="s">
        <v>8111</v>
      </c>
      <c r="J108" s="8" t="s">
        <v>2990</v>
      </c>
      <c r="K108" t="s">
        <v>8112</v>
      </c>
      <c r="L108" t="s">
        <v>8113</v>
      </c>
      <c r="M108" s="3" t="str">
        <f>HYPERLINK(склад2въезд18[[#This Row],[RelativePath]])</f>
        <v>3 Въезд на базу\E33149364_8_20251230T170421Z.jpg</v>
      </c>
    </row>
    <row r="109" spans="1:13" x14ac:dyDescent="0.25">
      <c r="A109" s="2" t="s">
        <v>15</v>
      </c>
      <c r="B109" s="4">
        <v>46022</v>
      </c>
      <c r="C109" s="5">
        <v>0.69041666666666668</v>
      </c>
      <c r="D109" s="8" t="s">
        <v>2004</v>
      </c>
      <c r="E109" s="8" t="s">
        <v>8</v>
      </c>
      <c r="F109" s="8"/>
      <c r="H109" s="8"/>
      <c r="I109" s="8" t="s">
        <v>8114</v>
      </c>
      <c r="J109" s="8" t="s">
        <v>2990</v>
      </c>
      <c r="K109" t="s">
        <v>8115</v>
      </c>
      <c r="L109" t="s">
        <v>8116</v>
      </c>
      <c r="M109" s="3" t="str">
        <f>HYPERLINK(склад2въезд18[[#This Row],[RelativePath]])</f>
        <v>3 Въезд на базу\E33149364_8_20251231T163412Z.jpg</v>
      </c>
    </row>
    <row r="110" spans="1:13" x14ac:dyDescent="0.25">
      <c r="A110" s="2" t="s">
        <v>16</v>
      </c>
      <c r="B110" s="4">
        <v>46023</v>
      </c>
      <c r="C110" s="5">
        <v>0.7181481481481482</v>
      </c>
      <c r="D110" s="8" t="s">
        <v>2004</v>
      </c>
      <c r="E110" s="8" t="s">
        <v>8</v>
      </c>
      <c r="F110" s="8"/>
      <c r="H110" s="8"/>
      <c r="I110" s="8" t="s">
        <v>8117</v>
      </c>
      <c r="J110" s="8" t="s">
        <v>2990</v>
      </c>
      <c r="K110" t="s">
        <v>8118</v>
      </c>
      <c r="L110" t="s">
        <v>8119</v>
      </c>
      <c r="M110" s="3" t="str">
        <f>HYPERLINK(склад2въезд18[[#This Row],[RelativePath]])</f>
        <v>3 Въезд на базу\E33149364_8_20260101T171408Z.jpg</v>
      </c>
    </row>
    <row r="111" spans="1:13" x14ac:dyDescent="0.25">
      <c r="A111" s="2" t="s">
        <v>17</v>
      </c>
      <c r="B111" s="4">
        <v>46024</v>
      </c>
      <c r="C111" s="5">
        <v>0.58773148148148147</v>
      </c>
      <c r="D111" s="8" t="s">
        <v>2004</v>
      </c>
      <c r="E111" s="8" t="s">
        <v>8</v>
      </c>
      <c r="F111" s="8"/>
      <c r="H111" s="8"/>
      <c r="I111" s="8" t="s">
        <v>8384</v>
      </c>
      <c r="J111" s="8" t="s">
        <v>2990</v>
      </c>
      <c r="K111" t="s">
        <v>8385</v>
      </c>
      <c r="L111" t="s">
        <v>8386</v>
      </c>
      <c r="M111" s="3" t="str">
        <f>HYPERLINK(склад2въезд18[[#This Row],[RelativePath]])</f>
        <v>3 Въезд на базу\E33149364_8_20260102T140620Z.jpg</v>
      </c>
    </row>
    <row r="112" spans="1:13" x14ac:dyDescent="0.25">
      <c r="A112" s="2" t="s">
        <v>18</v>
      </c>
      <c r="B112" s="4">
        <v>46025</v>
      </c>
      <c r="C112" s="5">
        <v>0.67395833333333333</v>
      </c>
      <c r="D112" s="8" t="s">
        <v>2004</v>
      </c>
      <c r="E112" s="8" t="s">
        <v>8</v>
      </c>
      <c r="F112" s="8"/>
      <c r="H112" s="8"/>
      <c r="I112" s="8" t="s">
        <v>8387</v>
      </c>
      <c r="J112" s="8" t="s">
        <v>2990</v>
      </c>
      <c r="K112" t="s">
        <v>8388</v>
      </c>
      <c r="L112" t="s">
        <v>8389</v>
      </c>
      <c r="M112" s="3" t="str">
        <f>HYPERLINK(склад2въезд18[[#This Row],[RelativePath]])</f>
        <v>3 Въезд на базу\E33149364_8_20260103T161030Z.jpg</v>
      </c>
    </row>
    <row r="113" spans="1:13" x14ac:dyDescent="0.25">
      <c r="A113" s="2" t="s">
        <v>22</v>
      </c>
      <c r="B113" s="4">
        <v>46026</v>
      </c>
      <c r="C113" s="5">
        <v>0.66596064814814815</v>
      </c>
      <c r="D113" s="8" t="s">
        <v>2004</v>
      </c>
      <c r="E113" s="8" t="s">
        <v>8</v>
      </c>
      <c r="F113" s="8"/>
      <c r="H113" s="8"/>
      <c r="I113" s="8" t="s">
        <v>8390</v>
      </c>
      <c r="J113" s="8" t="s">
        <v>2990</v>
      </c>
      <c r="K113" t="s">
        <v>8391</v>
      </c>
      <c r="L113" t="s">
        <v>8392</v>
      </c>
      <c r="M113" s="3" t="str">
        <f>HYPERLINK(склад2въезд18[[#This Row],[RelativePath]])</f>
        <v>3 Въезд на базу\E33149364_8_20260104T155859Z.jpg</v>
      </c>
    </row>
    <row r="114" spans="1:13" x14ac:dyDescent="0.25">
      <c r="A114" s="2" t="s">
        <v>13</v>
      </c>
      <c r="B114" s="4">
        <v>46027</v>
      </c>
      <c r="C114" s="5">
        <v>0.68270833333333336</v>
      </c>
      <c r="D114" s="8" t="s">
        <v>2004</v>
      </c>
      <c r="E114" s="8" t="s">
        <v>8</v>
      </c>
      <c r="F114" s="8"/>
      <c r="H114" s="8"/>
      <c r="I114" s="8" t="s">
        <v>8619</v>
      </c>
      <c r="J114" s="8" t="s">
        <v>2990</v>
      </c>
      <c r="K114" t="s">
        <v>8620</v>
      </c>
      <c r="L114" t="s">
        <v>8621</v>
      </c>
      <c r="M114" s="3" t="str">
        <f>HYPERLINK(склад2въезд18[[#This Row],[RelativePath]])</f>
        <v>3 Въезд на базу\E33149364_8_20260105T162306Z.jpg</v>
      </c>
    </row>
    <row r="115" spans="1:13" x14ac:dyDescent="0.25">
      <c r="A115" s="2" t="s">
        <v>14</v>
      </c>
      <c r="B115" s="4">
        <v>46028</v>
      </c>
      <c r="C115" s="5">
        <v>0.5844907407407407</v>
      </c>
      <c r="D115" s="8" t="s">
        <v>4</v>
      </c>
      <c r="E115" s="8" t="s">
        <v>8803</v>
      </c>
      <c r="F115" s="8"/>
      <c r="H115" s="8"/>
      <c r="I115" s="8" t="s">
        <v>8622</v>
      </c>
      <c r="J115" s="8" t="s">
        <v>2990</v>
      </c>
      <c r="K115" t="s">
        <v>8623</v>
      </c>
      <c r="L115" t="s">
        <v>8624</v>
      </c>
      <c r="M115" s="3" t="str">
        <f>HYPERLINK(склад2въезд18[[#This Row],[RelativePath]])</f>
        <v>3 Въезд на базу\E33149364_8_20260106T140140Z.jpg</v>
      </c>
    </row>
    <row r="116" spans="1:13" x14ac:dyDescent="0.25">
      <c r="A116" s="2" t="s">
        <v>15</v>
      </c>
      <c r="B116" s="4">
        <v>46029</v>
      </c>
      <c r="C116" s="5">
        <v>0.55185185185185182</v>
      </c>
      <c r="D116" s="8" t="s">
        <v>4</v>
      </c>
      <c r="E116" s="8" t="s">
        <v>8803</v>
      </c>
      <c r="F116" s="8"/>
      <c r="H116" s="8"/>
      <c r="I116" s="8" t="s">
        <v>8625</v>
      </c>
      <c r="J116" s="8" t="s">
        <v>2990</v>
      </c>
      <c r="K116" t="s">
        <v>8626</v>
      </c>
      <c r="L116" t="s">
        <v>8627</v>
      </c>
      <c r="M116" s="3" t="str">
        <f>HYPERLINK(склад2въезд18[[#This Row],[RelativePath]])</f>
        <v>3 Въезд на базу\E33149364_8_20260107T131440Z.jpg</v>
      </c>
    </row>
    <row r="117" spans="1:13" x14ac:dyDescent="0.25">
      <c r="A117" s="2" t="s">
        <v>16</v>
      </c>
      <c r="B117" s="4">
        <v>46030</v>
      </c>
      <c r="C117" s="5">
        <v>0.5615162037037037</v>
      </c>
      <c r="D117" s="8" t="s">
        <v>4</v>
      </c>
      <c r="E117" s="8" t="s">
        <v>8803</v>
      </c>
      <c r="F117" s="8"/>
      <c r="H117" s="8"/>
      <c r="I117" s="8" t="s">
        <v>8628</v>
      </c>
      <c r="J117" s="8" t="s">
        <v>2990</v>
      </c>
      <c r="K117" t="s">
        <v>8629</v>
      </c>
      <c r="L117" t="s">
        <v>8630</v>
      </c>
      <c r="M117" s="3" t="str">
        <f>HYPERLINK(склад2въезд18[[#This Row],[RelativePath]])</f>
        <v>3 Въезд на базу\E33149364_8_20260108T132835Z.jpg</v>
      </c>
    </row>
    <row r="118" spans="1:13" x14ac:dyDescent="0.25">
      <c r="A118" s="2" t="s">
        <v>17</v>
      </c>
      <c r="B118" s="4">
        <v>46031</v>
      </c>
      <c r="C118" s="5">
        <v>0.66920138888888892</v>
      </c>
      <c r="D118" s="8" t="s">
        <v>4</v>
      </c>
      <c r="E118" s="8" t="s">
        <v>8803</v>
      </c>
      <c r="F118" s="8"/>
      <c r="H118" s="8"/>
      <c r="I118" s="8" t="s">
        <v>8631</v>
      </c>
      <c r="J118" s="8" t="s">
        <v>2990</v>
      </c>
      <c r="K118" t="s">
        <v>8632</v>
      </c>
      <c r="L118" t="s">
        <v>8633</v>
      </c>
      <c r="M118" s="3" t="str">
        <f>HYPERLINK(склад2въезд18[[#This Row],[RelativePath]])</f>
        <v>3 Въезд на базу\E33149364_8_20260109T160339Z.jpg</v>
      </c>
    </row>
    <row r="119" spans="1:13" x14ac:dyDescent="0.25">
      <c r="A119" s="2" t="s">
        <v>18</v>
      </c>
      <c r="B119" s="4">
        <v>46032</v>
      </c>
      <c r="C119" s="5">
        <v>0.54787037037037034</v>
      </c>
      <c r="D119" s="8" t="s">
        <v>4</v>
      </c>
      <c r="E119" s="8" t="s">
        <v>8803</v>
      </c>
      <c r="F119" s="8"/>
      <c r="H119" s="8"/>
      <c r="I119" s="8" t="s">
        <v>8634</v>
      </c>
      <c r="J119" s="8" t="s">
        <v>2990</v>
      </c>
      <c r="K119" t="s">
        <v>8635</v>
      </c>
      <c r="L119" t="s">
        <v>8636</v>
      </c>
      <c r="M119" s="3" t="str">
        <f>HYPERLINK(склад2въезд18[[#This Row],[RelativePath]])</f>
        <v>3 Въезд на базу\E33149364_8_20260110T130856Z.jpg</v>
      </c>
    </row>
    <row r="120" spans="1:13" x14ac:dyDescent="0.25">
      <c r="A120" s="2" t="s">
        <v>22</v>
      </c>
      <c r="B120" s="4">
        <v>46033</v>
      </c>
      <c r="C120" s="5">
        <v>0.69499999999999995</v>
      </c>
      <c r="D120" s="8" t="s">
        <v>2004</v>
      </c>
      <c r="E120" s="8" t="s">
        <v>8</v>
      </c>
      <c r="F120" s="8"/>
      <c r="H120" s="8"/>
      <c r="I120" s="8" t="s">
        <v>8637</v>
      </c>
      <c r="J120" s="8" t="s">
        <v>2990</v>
      </c>
      <c r="K120" t="s">
        <v>8638</v>
      </c>
      <c r="L120" t="s">
        <v>8639</v>
      </c>
      <c r="M120" s="3" t="str">
        <f>HYPERLINK(склад2въезд18[[#This Row],[RelativePath]])</f>
        <v>3 Въезд на базу\E33149364_8_20260111T164048Z.jpg</v>
      </c>
    </row>
  </sheetData>
  <conditionalFormatting sqref="D121:D131 E121:E134 G2:H120 D2:E120">
    <cfRule type="containsText" dxfId="705" priority="14" operator="containsText" text="Выезд с территории">
      <formula>NOT(ISERROR(SEARCH("Выезд с территории",D2)))</formula>
    </cfRule>
  </conditionalFormatting>
  <conditionalFormatting sqref="F2:F120">
    <cfRule type="notContainsText" dxfId="704" priority="13" operator="notContains" text="порожний">
      <formula>ISERROR(SEARCH("порожний",F2))</formula>
    </cfRule>
  </conditionalFormatting>
  <conditionalFormatting sqref="E2:E134">
    <cfRule type="containsText" dxfId="703" priority="11" operator="containsText" text="Газель базы">
      <formula>NOT(ISERROR(SEARCH("Газель базы",E2)))</formula>
    </cfRule>
    <cfRule type="containsText" dxfId="702" priority="12" operator="containsText" text="Погрузчик базы">
      <formula>NOT(ISERROR(SEARCH("Погрузчик базы",E2)))</formula>
    </cfRule>
  </conditionalFormatting>
  <conditionalFormatting sqref="E2:E134">
    <cfRule type="containsText" dxfId="701" priority="10" operator="containsText" text="Трактор базы">
      <formula>NOT(ISERROR(SEARCH("Трактор базы",E2)))</formula>
    </cfRule>
  </conditionalFormatting>
  <conditionalFormatting sqref="A2:C120">
    <cfRule type="expression" dxfId="700" priority="9">
      <formula>$A2="пн"</formula>
    </cfRule>
  </conditionalFormatting>
  <conditionalFormatting sqref="A2:C122">
    <cfRule type="expression" dxfId="699" priority="3">
      <formula>$A2="вс"</formula>
    </cfRule>
    <cfRule type="expression" dxfId="698" priority="4">
      <formula>$A2="сб"</formula>
    </cfRule>
    <cfRule type="expression" dxfId="697" priority="5">
      <formula>$A2="пт"</formula>
    </cfRule>
    <cfRule type="expression" dxfId="696" priority="6">
      <formula>$A2="чт"</formula>
    </cfRule>
    <cfRule type="expression" dxfId="695" priority="7">
      <formula>$A2="ср"</formula>
    </cfRule>
    <cfRule type="expression" dxfId="694" priority="8">
      <formula>$A2="вт"</formula>
    </cfRule>
  </conditionalFormatting>
  <conditionalFormatting sqref="D2:D131">
    <cfRule type="containsText" dxfId="69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1">
    <cfRule type="containsText" dxfId="69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136"/>
  <sheetViews>
    <sheetView zoomScale="90" zoomScaleNormal="90" workbookViewId="0">
      <pane ySplit="1" topLeftCell="A113" activePane="bottomLeft" state="frozen"/>
      <selection pane="bottomLeft" activeCell="I122" sqref="I122:I13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.42578125" bestFit="1" customWidth="1"/>
    <col min="5" max="5" width="41" bestFit="1" customWidth="1"/>
    <col min="6" max="6" width="20.140625" bestFit="1" customWidth="1"/>
    <col min="7" max="7" width="7.28515625" bestFit="1" customWidth="1"/>
    <col min="8" max="8" width="41.85546875" bestFit="1" customWidth="1"/>
    <col min="9" max="9" width="36.7109375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s="8" t="s">
        <v>4</v>
      </c>
      <c r="E2" s="8" t="s">
        <v>8</v>
      </c>
      <c r="F2" s="8"/>
      <c r="H2" s="8" t="s">
        <v>5</v>
      </c>
      <c r="I2" s="8" t="s">
        <v>291</v>
      </c>
      <c r="J2" s="8" t="s">
        <v>2991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s="8" t="s">
        <v>4</v>
      </c>
      <c r="E3" s="8" t="s">
        <v>8</v>
      </c>
      <c r="F3" s="8"/>
      <c r="H3" s="8" t="s">
        <v>6</v>
      </c>
      <c r="I3" s="8" t="s">
        <v>295</v>
      </c>
      <c r="J3" s="8" t="s">
        <v>2991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s="8" t="s">
        <v>4</v>
      </c>
      <c r="E4" s="8" t="s">
        <v>8</v>
      </c>
      <c r="F4" s="8"/>
      <c r="H4" s="8" t="s">
        <v>5</v>
      </c>
      <c r="I4" s="8" t="s">
        <v>298</v>
      </c>
      <c r="J4" s="8" t="s">
        <v>2991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s="8" t="s">
        <v>4</v>
      </c>
      <c r="E5" s="8" t="s">
        <v>8</v>
      </c>
      <c r="F5" s="8"/>
      <c r="H5" s="8" t="s">
        <v>6</v>
      </c>
      <c r="I5" s="8" t="s">
        <v>301</v>
      </c>
      <c r="J5" s="8" t="s">
        <v>2991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s="8" t="s">
        <v>4</v>
      </c>
      <c r="E6" s="8" t="s">
        <v>8</v>
      </c>
      <c r="F6" s="8"/>
      <c r="H6" s="8" t="s">
        <v>331</v>
      </c>
      <c r="I6" s="8" t="s">
        <v>304</v>
      </c>
      <c r="J6" s="8" t="s">
        <v>2991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s="8" t="s">
        <v>4</v>
      </c>
      <c r="E7" s="8" t="s">
        <v>8</v>
      </c>
      <c r="F7" s="8"/>
      <c r="H7" s="8" t="s">
        <v>331</v>
      </c>
      <c r="I7" s="8" t="s">
        <v>307</v>
      </c>
      <c r="J7" s="8" t="s">
        <v>2991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s="8" t="s">
        <v>4</v>
      </c>
      <c r="E8" s="8" t="s">
        <v>8</v>
      </c>
      <c r="F8" s="8"/>
      <c r="H8" s="8" t="s">
        <v>332</v>
      </c>
      <c r="I8" s="8" t="s">
        <v>310</v>
      </c>
      <c r="J8" s="8" t="s">
        <v>2991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s="8" t="s">
        <v>4</v>
      </c>
      <c r="E9" s="8" t="s">
        <v>8</v>
      </c>
      <c r="F9" s="8"/>
      <c r="H9" s="8" t="s">
        <v>6</v>
      </c>
      <c r="I9" s="8" t="s">
        <v>313</v>
      </c>
      <c r="J9" s="8" t="s">
        <v>2991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s="8" t="s">
        <v>4</v>
      </c>
      <c r="E10" s="8" t="s">
        <v>8</v>
      </c>
      <c r="F10" s="8"/>
      <c r="H10" s="8" t="s">
        <v>5</v>
      </c>
      <c r="I10" s="8" t="s">
        <v>316</v>
      </c>
      <c r="J10" s="8" t="s">
        <v>2991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s="8" t="s">
        <v>4</v>
      </c>
      <c r="E11" s="8" t="s">
        <v>8</v>
      </c>
      <c r="F11" s="8"/>
      <c r="H11" s="8" t="s">
        <v>331</v>
      </c>
      <c r="I11" s="8" t="s">
        <v>319</v>
      </c>
      <c r="J11" s="8" t="s">
        <v>2991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s="8" t="s">
        <v>4</v>
      </c>
      <c r="E12" s="8" t="s">
        <v>8</v>
      </c>
      <c r="F12" s="8"/>
      <c r="H12" s="8" t="s">
        <v>6</v>
      </c>
      <c r="I12" s="8" t="s">
        <v>322</v>
      </c>
      <c r="J12" s="8" t="s">
        <v>2991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s="8" t="s">
        <v>4</v>
      </c>
      <c r="E13" s="8" t="s">
        <v>8</v>
      </c>
      <c r="F13" s="8"/>
      <c r="H13" s="8" t="s">
        <v>5</v>
      </c>
      <c r="I13" s="8" t="s">
        <v>325</v>
      </c>
      <c r="J13" s="8" t="s">
        <v>2991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s="8" t="s">
        <v>4</v>
      </c>
      <c r="E14" s="8" t="s">
        <v>8</v>
      </c>
      <c r="F14" s="8"/>
      <c r="H14" s="8" t="s">
        <v>6</v>
      </c>
      <c r="I14" s="8" t="s">
        <v>328</v>
      </c>
      <c r="J14" s="8" t="s">
        <v>2991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s="8" t="s">
        <v>4</v>
      </c>
      <c r="E15" s="8" t="s">
        <v>8</v>
      </c>
      <c r="F15" s="8"/>
      <c r="H15" s="8" t="s">
        <v>2009</v>
      </c>
      <c r="I15" s="8" t="s">
        <v>1238</v>
      </c>
      <c r="J15" s="8" t="s">
        <v>2991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s="8" t="s">
        <v>1606</v>
      </c>
      <c r="E16" s="8" t="s">
        <v>56</v>
      </c>
      <c r="F16" s="8" t="s">
        <v>2010</v>
      </c>
      <c r="G16">
        <v>1</v>
      </c>
      <c r="H16" s="8"/>
      <c r="I16" s="8" t="s">
        <v>1241</v>
      </c>
      <c r="J16" s="8" t="s">
        <v>2991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s="8" t="s">
        <v>1094</v>
      </c>
      <c r="E17" s="8" t="s">
        <v>70</v>
      </c>
      <c r="F17" s="8" t="s">
        <v>2010</v>
      </c>
      <c r="H17" s="8" t="s">
        <v>2011</v>
      </c>
      <c r="I17" s="8" t="s">
        <v>1244</v>
      </c>
      <c r="J17" s="8" t="s">
        <v>2991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s="8" t="s">
        <v>2012</v>
      </c>
      <c r="E18" s="8" t="s">
        <v>70</v>
      </c>
      <c r="F18" s="8" t="s">
        <v>2010</v>
      </c>
      <c r="H18" s="8" t="s">
        <v>2011</v>
      </c>
      <c r="I18" s="8" t="s">
        <v>1247</v>
      </c>
      <c r="J18" s="8" t="s">
        <v>2991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s="8" t="s">
        <v>650</v>
      </c>
      <c r="E19" s="8" t="s">
        <v>70</v>
      </c>
      <c r="F19" s="8" t="s">
        <v>2010</v>
      </c>
      <c r="H19" s="8"/>
      <c r="I19" s="8" t="s">
        <v>1250</v>
      </c>
      <c r="J19" s="8" t="s">
        <v>2991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s="8" t="s">
        <v>1606</v>
      </c>
      <c r="E20" s="8" t="s">
        <v>2001</v>
      </c>
      <c r="F20" s="8"/>
      <c r="H20" s="8"/>
      <c r="I20" s="8" t="s">
        <v>1253</v>
      </c>
      <c r="J20" s="8" t="s">
        <v>2991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s="8" t="s">
        <v>650</v>
      </c>
      <c r="E21" s="8" t="s">
        <v>2001</v>
      </c>
      <c r="F21" s="8"/>
      <c r="H21" s="8"/>
      <c r="I21" s="8" t="s">
        <v>1256</v>
      </c>
      <c r="J21" s="8" t="s">
        <v>2991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s="8" t="s">
        <v>1606</v>
      </c>
      <c r="E22" s="8" t="s">
        <v>2002</v>
      </c>
      <c r="F22" s="8"/>
      <c r="H22" s="8"/>
      <c r="I22" s="8" t="s">
        <v>1259</v>
      </c>
      <c r="J22" s="8" t="s">
        <v>2991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s="8" t="s">
        <v>1606</v>
      </c>
      <c r="E23" s="8" t="s">
        <v>70</v>
      </c>
      <c r="F23" s="8" t="s">
        <v>2010</v>
      </c>
      <c r="H23" s="8"/>
      <c r="I23" s="8" t="s">
        <v>1262</v>
      </c>
      <c r="J23" s="8" t="s">
        <v>2991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s="8" t="s">
        <v>4</v>
      </c>
      <c r="E24" s="8" t="s">
        <v>8</v>
      </c>
      <c r="F24" s="8"/>
      <c r="H24" s="8"/>
      <c r="I24" s="8" t="s">
        <v>1265</v>
      </c>
      <c r="J24" s="8" t="s">
        <v>2991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s="8" t="s">
        <v>2013</v>
      </c>
      <c r="E25" s="8" t="s">
        <v>56</v>
      </c>
      <c r="F25" s="8"/>
      <c r="H25" s="8"/>
      <c r="I25" s="8" t="s">
        <v>1268</v>
      </c>
      <c r="J25" s="8" t="s">
        <v>2991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s="8" t="s">
        <v>289</v>
      </c>
      <c r="E26" s="8" t="s">
        <v>56</v>
      </c>
      <c r="F26" s="8" t="s">
        <v>200</v>
      </c>
      <c r="H26" s="8"/>
      <c r="I26" s="8" t="s">
        <v>1271</v>
      </c>
      <c r="J26" s="8" t="s">
        <v>2991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s="8" t="s">
        <v>650</v>
      </c>
      <c r="E27" s="8" t="s">
        <v>2002</v>
      </c>
      <c r="F27" s="8"/>
      <c r="H27" s="8"/>
      <c r="I27" s="8" t="s">
        <v>1274</v>
      </c>
      <c r="J27" s="8" t="s">
        <v>2991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s="8" t="s">
        <v>650</v>
      </c>
      <c r="E28" s="8" t="s">
        <v>56</v>
      </c>
      <c r="F28" s="8" t="s">
        <v>200</v>
      </c>
      <c r="H28" s="8"/>
      <c r="I28" s="8" t="s">
        <v>1277</v>
      </c>
      <c r="J28" s="8" t="s">
        <v>2991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s="8" t="s">
        <v>4</v>
      </c>
      <c r="E29" s="8" t="s">
        <v>8</v>
      </c>
      <c r="F29" s="8"/>
      <c r="H29" s="8"/>
      <c r="I29" s="8" t="s">
        <v>1280</v>
      </c>
      <c r="J29" s="8" t="s">
        <v>2991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s="8" t="s">
        <v>4</v>
      </c>
      <c r="E30" s="8" t="s">
        <v>8</v>
      </c>
      <c r="F30" s="8"/>
      <c r="H30" s="8" t="s">
        <v>1625</v>
      </c>
      <c r="I30" s="8" t="s">
        <v>1283</v>
      </c>
      <c r="J30" s="8" t="s">
        <v>2991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s="8" t="s">
        <v>4</v>
      </c>
      <c r="E31" s="8" t="s">
        <v>8</v>
      </c>
      <c r="F31" s="8"/>
      <c r="H31" s="8" t="s">
        <v>2009</v>
      </c>
      <c r="I31" s="8" t="s">
        <v>1286</v>
      </c>
      <c r="J31" s="8" t="s">
        <v>2991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s="8" t="s">
        <v>4</v>
      </c>
      <c r="E32" s="8" t="s">
        <v>8</v>
      </c>
      <c r="F32" s="8"/>
      <c r="H32" s="8" t="s">
        <v>2004</v>
      </c>
      <c r="I32" s="8" t="s">
        <v>1289</v>
      </c>
      <c r="J32" s="8" t="s">
        <v>2991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s="8" t="s">
        <v>4</v>
      </c>
      <c r="E33" s="8" t="s">
        <v>8</v>
      </c>
      <c r="F33" s="8"/>
      <c r="H33" s="8" t="s">
        <v>1625</v>
      </c>
      <c r="I33" s="8" t="s">
        <v>1292</v>
      </c>
      <c r="J33" s="8" t="s">
        <v>2991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s="8" t="s">
        <v>2004</v>
      </c>
      <c r="E34" s="8"/>
      <c r="F34" s="8"/>
      <c r="H34" s="8"/>
      <c r="I34" s="8" t="s">
        <v>2133</v>
      </c>
      <c r="J34" s="8" t="s">
        <v>2991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s="8" t="s">
        <v>4</v>
      </c>
      <c r="E35" s="8" t="s">
        <v>2927</v>
      </c>
      <c r="F35" s="8" t="s">
        <v>58</v>
      </c>
      <c r="H35" s="8"/>
      <c r="I35" s="8" t="s">
        <v>2136</v>
      </c>
      <c r="J35" s="8" t="s">
        <v>2991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s="8" t="s">
        <v>4</v>
      </c>
      <c r="E36" s="8" t="s">
        <v>8</v>
      </c>
      <c r="F36" s="8"/>
      <c r="H36" s="8" t="s">
        <v>2931</v>
      </c>
      <c r="I36" s="8" t="s">
        <v>2139</v>
      </c>
      <c r="J36" s="8" t="s">
        <v>2991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s="8" t="s">
        <v>2004</v>
      </c>
      <c r="E37" s="8"/>
      <c r="F37" s="8"/>
      <c r="H37" s="8"/>
      <c r="I37" s="8" t="s">
        <v>2142</v>
      </c>
      <c r="J37" s="8" t="s">
        <v>2991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s="8" t="s">
        <v>2004</v>
      </c>
      <c r="E38" s="8"/>
      <c r="F38" s="8"/>
      <c r="H38" s="8"/>
      <c r="I38" s="8" t="s">
        <v>2145</v>
      </c>
      <c r="J38" s="8" t="s">
        <v>2991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s="8" t="s">
        <v>2004</v>
      </c>
      <c r="E39" s="8"/>
      <c r="F39" s="8"/>
      <c r="H39" s="8"/>
      <c r="I39" s="8" t="s">
        <v>2148</v>
      </c>
      <c r="J39" s="8" t="s">
        <v>2991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s="8" t="s">
        <v>2004</v>
      </c>
      <c r="E40" s="8"/>
      <c r="F40" s="8"/>
      <c r="H40" s="8"/>
      <c r="I40" s="8" t="s">
        <v>2151</v>
      </c>
      <c r="J40" s="8" t="s">
        <v>2991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s="8" t="s">
        <v>4</v>
      </c>
      <c r="E41" s="8" t="s">
        <v>8</v>
      </c>
      <c r="F41" s="8"/>
      <c r="H41" s="8"/>
      <c r="I41" s="8" t="s">
        <v>3381</v>
      </c>
      <c r="J41" s="8" t="s">
        <v>2991</v>
      </c>
      <c r="K41" t="s">
        <v>3382</v>
      </c>
      <c r="L41" t="s">
        <v>3383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s="8" t="s">
        <v>4</v>
      </c>
      <c r="E42" s="8" t="s">
        <v>70</v>
      </c>
      <c r="F42" s="8" t="s">
        <v>58</v>
      </c>
      <c r="H42" s="8"/>
      <c r="I42" s="8" t="s">
        <v>3384</v>
      </c>
      <c r="J42" s="8" t="s">
        <v>2991</v>
      </c>
      <c r="K42" t="s">
        <v>3385</v>
      </c>
      <c r="L42" t="s">
        <v>3386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s="8" t="s">
        <v>4</v>
      </c>
      <c r="E43" s="8" t="s">
        <v>70</v>
      </c>
      <c r="F43" s="8" t="s">
        <v>51</v>
      </c>
      <c r="H43" s="8"/>
      <c r="I43" s="8" t="s">
        <v>3387</v>
      </c>
      <c r="J43" s="8" t="s">
        <v>2991</v>
      </c>
      <c r="K43" t="s">
        <v>3388</v>
      </c>
      <c r="L43" t="s">
        <v>3389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s="8" t="s">
        <v>4</v>
      </c>
      <c r="E44" s="8" t="s">
        <v>8</v>
      </c>
      <c r="F44" s="8"/>
      <c r="H44" s="8"/>
      <c r="I44" s="8" t="s">
        <v>3390</v>
      </c>
      <c r="J44" s="8" t="s">
        <v>2991</v>
      </c>
      <c r="K44" t="s">
        <v>3391</v>
      </c>
      <c r="L44" t="s">
        <v>3392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s="8" t="s">
        <v>4</v>
      </c>
      <c r="E45" s="8" t="s">
        <v>8</v>
      </c>
      <c r="F45" s="8"/>
      <c r="H45" s="8"/>
      <c r="I45" s="8" t="s">
        <v>3393</v>
      </c>
      <c r="J45" s="8" t="s">
        <v>2991</v>
      </c>
      <c r="K45" t="s">
        <v>3394</v>
      </c>
      <c r="L45" t="s">
        <v>3395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s="8" t="s">
        <v>4</v>
      </c>
      <c r="E46" s="8" t="s">
        <v>8</v>
      </c>
      <c r="F46" s="8"/>
      <c r="H46" s="8"/>
      <c r="I46" s="8" t="s">
        <v>3396</v>
      </c>
      <c r="J46" s="8" t="s">
        <v>2991</v>
      </c>
      <c r="K46" t="s">
        <v>3397</v>
      </c>
      <c r="L46" t="s">
        <v>3398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s="8" t="s">
        <v>4</v>
      </c>
      <c r="E47" s="8" t="s">
        <v>8</v>
      </c>
      <c r="F47" s="8"/>
      <c r="H47" s="8"/>
      <c r="I47" s="8" t="s">
        <v>3399</v>
      </c>
      <c r="J47" s="8" t="s">
        <v>2991</v>
      </c>
      <c r="K47" t="s">
        <v>3400</v>
      </c>
      <c r="L47" t="s">
        <v>3401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s="8" t="s">
        <v>4</v>
      </c>
      <c r="E48" s="8" t="s">
        <v>4194</v>
      </c>
      <c r="F48" s="8" t="s">
        <v>4196</v>
      </c>
      <c r="H48" s="8" t="s">
        <v>4205</v>
      </c>
      <c r="I48" s="8" t="s">
        <v>3402</v>
      </c>
      <c r="J48" s="8" t="s">
        <v>2991</v>
      </c>
      <c r="K48" t="s">
        <v>3403</v>
      </c>
      <c r="L48" t="s">
        <v>3404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s="8" t="s">
        <v>650</v>
      </c>
      <c r="E49" s="8" t="s">
        <v>55</v>
      </c>
      <c r="F49" s="8" t="s">
        <v>51</v>
      </c>
      <c r="H49" s="8"/>
      <c r="I49" s="8" t="s">
        <v>4264</v>
      </c>
      <c r="J49" s="8" t="s">
        <v>2991</v>
      </c>
      <c r="K49" t="s">
        <v>4265</v>
      </c>
      <c r="L49" t="s">
        <v>4266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s="8" t="s">
        <v>1606</v>
      </c>
      <c r="E50" s="8" t="s">
        <v>55</v>
      </c>
      <c r="F50" s="8" t="s">
        <v>51</v>
      </c>
      <c r="H50" s="8"/>
      <c r="I50" s="8" t="s">
        <v>4267</v>
      </c>
      <c r="J50" s="8" t="s">
        <v>2991</v>
      </c>
      <c r="K50" t="s">
        <v>4268</v>
      </c>
      <c r="L50" t="s">
        <v>4269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s="8" t="s">
        <v>290</v>
      </c>
      <c r="E51" s="8" t="s">
        <v>4194</v>
      </c>
      <c r="F51" s="8" t="s">
        <v>5093</v>
      </c>
      <c r="H51" s="8"/>
      <c r="I51" s="8" t="s">
        <v>4450</v>
      </c>
      <c r="J51" s="8" t="s">
        <v>2991</v>
      </c>
      <c r="K51" t="s">
        <v>4451</v>
      </c>
      <c r="L51" t="s">
        <v>4452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s="8" t="s">
        <v>290</v>
      </c>
      <c r="E52" s="8" t="s">
        <v>4194</v>
      </c>
      <c r="F52" s="8" t="s">
        <v>5093</v>
      </c>
      <c r="H52" s="8"/>
      <c r="I52" s="8" t="s">
        <v>4453</v>
      </c>
      <c r="J52" s="8" t="s">
        <v>2991</v>
      </c>
      <c r="K52" t="s">
        <v>4454</v>
      </c>
      <c r="L52" t="s">
        <v>4455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s="8" t="s">
        <v>650</v>
      </c>
      <c r="E53" s="8" t="s">
        <v>4194</v>
      </c>
      <c r="F53" s="8"/>
      <c r="H53" s="8"/>
      <c r="I53" s="8" t="s">
        <v>4456</v>
      </c>
      <c r="J53" s="8" t="s">
        <v>2991</v>
      </c>
      <c r="K53" t="s">
        <v>4457</v>
      </c>
      <c r="L53" t="s">
        <v>4458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s="8" t="s">
        <v>289</v>
      </c>
      <c r="E54" s="8" t="s">
        <v>70</v>
      </c>
      <c r="F54" s="8" t="s">
        <v>5093</v>
      </c>
      <c r="H54" s="8" t="s">
        <v>5094</v>
      </c>
      <c r="I54" s="8" t="s">
        <v>4459</v>
      </c>
      <c r="J54" s="8" t="s">
        <v>2991</v>
      </c>
      <c r="K54" t="s">
        <v>4460</v>
      </c>
      <c r="L54" t="s">
        <v>4461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s="8" t="s">
        <v>290</v>
      </c>
      <c r="E55" s="8" t="s">
        <v>70</v>
      </c>
      <c r="F55" s="8" t="s">
        <v>5093</v>
      </c>
      <c r="H55" s="8" t="s">
        <v>5094</v>
      </c>
      <c r="I55" s="8" t="s">
        <v>5090</v>
      </c>
      <c r="J55" s="8" t="s">
        <v>2991</v>
      </c>
      <c r="K55" t="s">
        <v>5091</v>
      </c>
      <c r="L55" t="s">
        <v>5092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s="8" t="s">
        <v>650</v>
      </c>
      <c r="E56" s="8" t="s">
        <v>70</v>
      </c>
      <c r="F56" s="8"/>
      <c r="H56" s="8"/>
      <c r="I56" s="8" t="s">
        <v>4462</v>
      </c>
      <c r="J56" s="8" t="s">
        <v>2991</v>
      </c>
      <c r="K56" t="s">
        <v>4463</v>
      </c>
      <c r="L56" t="s">
        <v>4464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s="8" t="s">
        <v>2004</v>
      </c>
      <c r="E57" s="8" t="s">
        <v>8</v>
      </c>
      <c r="F57" s="8"/>
      <c r="H57" s="8"/>
      <c r="I57" s="8" t="s">
        <v>4465</v>
      </c>
      <c r="J57" s="8" t="s">
        <v>2991</v>
      </c>
      <c r="K57" t="s">
        <v>4466</v>
      </c>
      <c r="L57" t="s">
        <v>4467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s="8" t="s">
        <v>289</v>
      </c>
      <c r="E58" s="8" t="s">
        <v>70</v>
      </c>
      <c r="F58" s="8" t="s">
        <v>5093</v>
      </c>
      <c r="H58" s="8" t="s">
        <v>5095</v>
      </c>
      <c r="I58" s="8" t="s">
        <v>4468</v>
      </c>
      <c r="J58" s="8" t="s">
        <v>2991</v>
      </c>
      <c r="K58" t="s">
        <v>4469</v>
      </c>
      <c r="L58" t="s">
        <v>4470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s="8" t="s">
        <v>289</v>
      </c>
      <c r="E59" s="8" t="s">
        <v>70</v>
      </c>
      <c r="F59" s="8" t="s">
        <v>5093</v>
      </c>
      <c r="H59" s="8" t="s">
        <v>2936</v>
      </c>
      <c r="I59" s="8" t="s">
        <v>4471</v>
      </c>
      <c r="J59" s="8" t="s">
        <v>2991</v>
      </c>
      <c r="K59" t="s">
        <v>4472</v>
      </c>
      <c r="L59" t="s">
        <v>4473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s="8" t="s">
        <v>289</v>
      </c>
      <c r="E60" s="8" t="s">
        <v>70</v>
      </c>
      <c r="F60" s="8" t="s">
        <v>5093</v>
      </c>
      <c r="H60" s="8" t="s">
        <v>2936</v>
      </c>
      <c r="I60" s="8" t="s">
        <v>4474</v>
      </c>
      <c r="J60" s="8" t="s">
        <v>2991</v>
      </c>
      <c r="K60" t="s">
        <v>4475</v>
      </c>
      <c r="L60" t="s">
        <v>4476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s="8" t="s">
        <v>289</v>
      </c>
      <c r="E61" s="8" t="s">
        <v>70</v>
      </c>
      <c r="F61" s="8" t="s">
        <v>5093</v>
      </c>
      <c r="H61" s="8" t="s">
        <v>5096</v>
      </c>
      <c r="I61" s="8" t="s">
        <v>4477</v>
      </c>
      <c r="J61" s="8" t="s">
        <v>2991</v>
      </c>
      <c r="K61" t="s">
        <v>4478</v>
      </c>
      <c r="L61" t="s">
        <v>4479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s="8" t="s">
        <v>650</v>
      </c>
      <c r="E62" s="8" t="s">
        <v>70</v>
      </c>
      <c r="F62" s="8"/>
      <c r="H62" s="8"/>
      <c r="I62" s="8" t="s">
        <v>4480</v>
      </c>
      <c r="J62" s="8" t="s">
        <v>2991</v>
      </c>
      <c r="K62" t="s">
        <v>4481</v>
      </c>
      <c r="L62" t="s">
        <v>4482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s="8" t="s">
        <v>4</v>
      </c>
      <c r="E63" s="8" t="s">
        <v>8</v>
      </c>
      <c r="F63" s="8"/>
      <c r="H63" s="8"/>
      <c r="I63" s="8" t="s">
        <v>4483</v>
      </c>
      <c r="J63" s="8" t="s">
        <v>2991</v>
      </c>
      <c r="K63" t="s">
        <v>4484</v>
      </c>
      <c r="L63" t="s">
        <v>4485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s="8" t="s">
        <v>2004</v>
      </c>
      <c r="E64" s="8" t="s">
        <v>8</v>
      </c>
      <c r="F64" s="8"/>
      <c r="H64" s="8"/>
      <c r="I64" s="8" t="s">
        <v>4486</v>
      </c>
      <c r="J64" s="8" t="s">
        <v>2991</v>
      </c>
      <c r="K64" t="s">
        <v>4487</v>
      </c>
      <c r="L64" t="s">
        <v>4488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s="8" t="s">
        <v>4</v>
      </c>
      <c r="E65" s="8" t="s">
        <v>8</v>
      </c>
      <c r="F65" s="8"/>
      <c r="H65" s="8"/>
      <c r="I65" s="8" t="s">
        <v>5226</v>
      </c>
      <c r="J65" s="8" t="s">
        <v>2991</v>
      </c>
      <c r="K65" t="s">
        <v>5227</v>
      </c>
      <c r="L65" t="s">
        <v>5228</v>
      </c>
      <c r="M65" s="3" t="str">
        <f>HYPERLINK(склад2въезд13[[#This Row],[RelativePath]])</f>
        <v>4 Крыльцо офиса\K07156189_21_20251207T151441Z.jpg</v>
      </c>
    </row>
    <row r="66" spans="1:13" x14ac:dyDescent="0.25">
      <c r="A66" s="2" t="s">
        <v>13</v>
      </c>
      <c r="B66" s="4">
        <v>45999</v>
      </c>
      <c r="C66" s="5">
        <v>0.70417824074074076</v>
      </c>
      <c r="D66" s="8" t="s">
        <v>2004</v>
      </c>
      <c r="E66" s="8" t="s">
        <v>8</v>
      </c>
      <c r="F66" s="8"/>
      <c r="H66" s="8"/>
      <c r="I66" s="8" t="s">
        <v>5297</v>
      </c>
      <c r="J66" s="8" t="s">
        <v>2991</v>
      </c>
      <c r="K66" t="s">
        <v>5298</v>
      </c>
      <c r="L66" t="s">
        <v>5299</v>
      </c>
      <c r="M66" s="3" t="str">
        <f>HYPERLINK(склад2въезд13[[#This Row],[RelativePath]])</f>
        <v>4 Крыльцо офиса\K07156189_21_20251208T165401Z.jpg</v>
      </c>
    </row>
    <row r="67" spans="1:13" x14ac:dyDescent="0.25">
      <c r="A67" s="2" t="s">
        <v>14</v>
      </c>
      <c r="B67" s="4">
        <v>46000</v>
      </c>
      <c r="C67" s="5">
        <v>0.51223379629629628</v>
      </c>
      <c r="D67" s="8" t="s">
        <v>290</v>
      </c>
      <c r="E67" s="8" t="s">
        <v>5505</v>
      </c>
      <c r="F67" s="8" t="s">
        <v>6173</v>
      </c>
      <c r="H67" s="8"/>
      <c r="I67" s="8" t="s">
        <v>5696</v>
      </c>
      <c r="J67" s="8" t="s">
        <v>2991</v>
      </c>
      <c r="K67" t="s">
        <v>5697</v>
      </c>
      <c r="L67" t="s">
        <v>5698</v>
      </c>
      <c r="M67" s="3" t="str">
        <f>HYPERLINK(склад2въезд13[[#This Row],[RelativePath]])</f>
        <v>4 Крыльцо офиса\K07156189_21_20251209T121737Z.jpg</v>
      </c>
    </row>
    <row r="68" spans="1:13" x14ac:dyDescent="0.25">
      <c r="A68" s="2" t="s">
        <v>14</v>
      </c>
      <c r="B68" s="4">
        <v>46000</v>
      </c>
      <c r="C68" s="5">
        <v>0.51232638888888893</v>
      </c>
      <c r="D68" s="8" t="s">
        <v>290</v>
      </c>
      <c r="E68" s="8" t="s">
        <v>5505</v>
      </c>
      <c r="F68" s="8" t="s">
        <v>6173</v>
      </c>
      <c r="H68" s="8" t="s">
        <v>2936</v>
      </c>
      <c r="I68" s="8" t="s">
        <v>5699</v>
      </c>
      <c r="J68" s="8" t="s">
        <v>2991</v>
      </c>
      <c r="K68" t="s">
        <v>5700</v>
      </c>
      <c r="L68" t="s">
        <v>5701</v>
      </c>
      <c r="M68" s="3" t="str">
        <f>HYPERLINK(склад2въезд13[[#This Row],[RelativePath]])</f>
        <v>4 Крыльцо офиса\K07156189_21_20251209T121745Z.jpg</v>
      </c>
    </row>
    <row r="69" spans="1:13" x14ac:dyDescent="0.25">
      <c r="A69" s="2" t="s">
        <v>14</v>
      </c>
      <c r="B69" s="4">
        <v>46000</v>
      </c>
      <c r="C69" s="5">
        <v>0.51336805555555554</v>
      </c>
      <c r="D69" s="8" t="s">
        <v>290</v>
      </c>
      <c r="E69" s="8" t="s">
        <v>5505</v>
      </c>
      <c r="F69" s="8" t="s">
        <v>6173</v>
      </c>
      <c r="H69" s="8" t="s">
        <v>2936</v>
      </c>
      <c r="I69" s="8" t="s">
        <v>5702</v>
      </c>
      <c r="J69" s="8" t="s">
        <v>2991</v>
      </c>
      <c r="K69" t="s">
        <v>5703</v>
      </c>
      <c r="L69" t="s">
        <v>5704</v>
      </c>
      <c r="M69" s="3" t="str">
        <f>HYPERLINK(склад2въезд13[[#This Row],[RelativePath]])</f>
        <v>4 Крыльцо офиса\K07156189_21_20251209T121915Z.jpg</v>
      </c>
    </row>
    <row r="70" spans="1:13" x14ac:dyDescent="0.25">
      <c r="A70" s="2" t="s">
        <v>15</v>
      </c>
      <c r="B70" s="4">
        <v>46001</v>
      </c>
      <c r="C70" s="5">
        <v>0.63115740740740744</v>
      </c>
      <c r="D70" s="8" t="s">
        <v>2004</v>
      </c>
      <c r="E70" s="8" t="s">
        <v>8</v>
      </c>
      <c r="F70" s="8"/>
      <c r="H70" s="8"/>
      <c r="I70" s="8" t="s">
        <v>5705</v>
      </c>
      <c r="J70" s="8" t="s">
        <v>2991</v>
      </c>
      <c r="K70" t="s">
        <v>5706</v>
      </c>
      <c r="L70" t="s">
        <v>5707</v>
      </c>
      <c r="M70" s="3" t="str">
        <f>HYPERLINK(склад2въезд13[[#This Row],[RelativePath]])</f>
        <v>4 Крыльцо офиса\K07156189_21_20251210T150852Z.jpg</v>
      </c>
    </row>
    <row r="71" spans="1:13" x14ac:dyDescent="0.25">
      <c r="A71" s="2" t="s">
        <v>16</v>
      </c>
      <c r="B71" s="4">
        <v>46002</v>
      </c>
      <c r="C71" s="5">
        <v>0.48119212962962965</v>
      </c>
      <c r="D71" s="8" t="s">
        <v>4</v>
      </c>
      <c r="E71" s="8" t="s">
        <v>8</v>
      </c>
      <c r="F71" s="8"/>
      <c r="H71" s="8"/>
      <c r="I71" s="8" t="s">
        <v>5828</v>
      </c>
      <c r="J71" s="8" t="s">
        <v>2991</v>
      </c>
      <c r="K71" t="s">
        <v>5829</v>
      </c>
      <c r="L71" t="s">
        <v>5830</v>
      </c>
      <c r="M71" s="3" t="str">
        <f>HYPERLINK(склад2въезд13[[#This Row],[RelativePath]])</f>
        <v>4 Крыльцо офиса\K07156189_21_20251211T113255Z.jpg</v>
      </c>
    </row>
    <row r="72" spans="1:13" x14ac:dyDescent="0.25">
      <c r="A72" s="2" t="s">
        <v>16</v>
      </c>
      <c r="B72" s="4">
        <v>46002</v>
      </c>
      <c r="C72" s="5">
        <v>0.67466435185185181</v>
      </c>
      <c r="D72" s="8" t="s">
        <v>4</v>
      </c>
      <c r="E72" s="8" t="s">
        <v>8</v>
      </c>
      <c r="F72" s="8"/>
      <c r="H72" s="8"/>
      <c r="I72" s="8" t="s">
        <v>5831</v>
      </c>
      <c r="J72" s="8" t="s">
        <v>2991</v>
      </c>
      <c r="K72" t="s">
        <v>5832</v>
      </c>
      <c r="L72" t="s">
        <v>5833</v>
      </c>
      <c r="M72" s="3" t="str">
        <f>HYPERLINK(склад2въезд13[[#This Row],[RelativePath]])</f>
        <v>4 Крыльцо офиса\K07156189_21_20251211T161131Z.jpg</v>
      </c>
    </row>
    <row r="73" spans="1:13" x14ac:dyDescent="0.25">
      <c r="A73" s="2" t="s">
        <v>17</v>
      </c>
      <c r="B73" s="4">
        <v>46003</v>
      </c>
      <c r="C73" s="5">
        <v>0.63393518518518521</v>
      </c>
      <c r="D73" s="8" t="s">
        <v>4</v>
      </c>
      <c r="E73" s="8" t="s">
        <v>8</v>
      </c>
      <c r="F73" s="8"/>
      <c r="H73" s="8"/>
      <c r="I73" s="8" t="s">
        <v>5834</v>
      </c>
      <c r="J73" s="8" t="s">
        <v>2991</v>
      </c>
      <c r="K73" t="s">
        <v>5835</v>
      </c>
      <c r="L73" t="s">
        <v>5836</v>
      </c>
      <c r="M73" s="3" t="str">
        <f>HYPERLINK(склад2въезд13[[#This Row],[RelativePath]])</f>
        <v>4 Крыльцо офиса\K07156189_21_20251212T151252Z.jpg</v>
      </c>
    </row>
    <row r="74" spans="1:13" x14ac:dyDescent="0.25">
      <c r="A74" s="2" t="s">
        <v>17</v>
      </c>
      <c r="B74" s="4">
        <v>46003</v>
      </c>
      <c r="C74" s="5">
        <v>0.73780092592592594</v>
      </c>
      <c r="D74" s="8" t="s">
        <v>1606</v>
      </c>
      <c r="E74" s="8" t="s">
        <v>55</v>
      </c>
      <c r="F74" s="8" t="s">
        <v>51</v>
      </c>
      <c r="H74" s="8"/>
      <c r="I74" s="8" t="s">
        <v>5837</v>
      </c>
      <c r="J74" s="8" t="s">
        <v>2991</v>
      </c>
      <c r="K74" t="s">
        <v>5838</v>
      </c>
      <c r="L74" t="s">
        <v>5839</v>
      </c>
      <c r="M74" s="3" t="str">
        <f>HYPERLINK(склад2въезд13[[#This Row],[RelativePath]])</f>
        <v>4 Крыльцо офиса\K07156189_21_20251212T174226Z.jpg</v>
      </c>
    </row>
    <row r="75" spans="1:13" x14ac:dyDescent="0.25">
      <c r="A75" s="2" t="s">
        <v>18</v>
      </c>
      <c r="B75" s="4">
        <v>46004</v>
      </c>
      <c r="C75" s="5">
        <v>0.40708333333333335</v>
      </c>
      <c r="D75" s="8" t="s">
        <v>4</v>
      </c>
      <c r="E75" s="8" t="s">
        <v>6167</v>
      </c>
      <c r="F75" s="8" t="s">
        <v>58</v>
      </c>
      <c r="H75" s="8"/>
      <c r="I75" s="8" t="s">
        <v>6044</v>
      </c>
      <c r="J75" s="8" t="s">
        <v>2991</v>
      </c>
      <c r="K75" t="s">
        <v>6045</v>
      </c>
      <c r="L75" t="s">
        <v>6046</v>
      </c>
      <c r="M75" s="3" t="str">
        <f>HYPERLINK(склад2въезд13[[#This Row],[RelativePath]])</f>
        <v>4 Крыльцо офиса\K07156189_21_20251213T094612Z.jpg</v>
      </c>
    </row>
    <row r="76" spans="1:13" x14ac:dyDescent="0.25">
      <c r="A76" s="2" t="s">
        <v>18</v>
      </c>
      <c r="B76" s="4">
        <v>46004</v>
      </c>
      <c r="C76" s="5">
        <v>0.40886574074074072</v>
      </c>
      <c r="D76" s="8" t="s">
        <v>4</v>
      </c>
      <c r="E76" s="8" t="s">
        <v>6167</v>
      </c>
      <c r="F76" s="8" t="s">
        <v>58</v>
      </c>
      <c r="H76" s="8" t="s">
        <v>4205</v>
      </c>
      <c r="I76" s="8" t="s">
        <v>6047</v>
      </c>
      <c r="J76" s="8" t="s">
        <v>2991</v>
      </c>
      <c r="K76" t="s">
        <v>6048</v>
      </c>
      <c r="L76" t="s">
        <v>6049</v>
      </c>
      <c r="M76" s="3" t="str">
        <f>HYPERLINK(склад2въезд13[[#This Row],[RelativePath]])</f>
        <v>4 Крыльцо офиса\K07156189_21_20251213T094846Z.jpg</v>
      </c>
    </row>
    <row r="77" spans="1:13" x14ac:dyDescent="0.25">
      <c r="A77" s="2" t="s">
        <v>18</v>
      </c>
      <c r="B77" s="4">
        <v>46004</v>
      </c>
      <c r="C77" s="5">
        <v>0.52965277777777775</v>
      </c>
      <c r="D77" s="8" t="s">
        <v>1606</v>
      </c>
      <c r="E77" s="8" t="s">
        <v>6166</v>
      </c>
      <c r="F77" s="8" t="s">
        <v>51</v>
      </c>
      <c r="H77" s="8"/>
      <c r="I77" s="8" t="s">
        <v>6050</v>
      </c>
      <c r="J77" s="8" t="s">
        <v>2991</v>
      </c>
      <c r="K77" t="s">
        <v>6051</v>
      </c>
      <c r="L77" t="s">
        <v>6052</v>
      </c>
      <c r="M77" s="3" t="str">
        <f>HYPERLINK(склад2въезд13[[#This Row],[RelativePath]])</f>
        <v>4 Крыльцо офиса\K07156189_21_20251213T124242Z.jpg</v>
      </c>
    </row>
    <row r="78" spans="1:13" x14ac:dyDescent="0.25">
      <c r="A78" s="2" t="s">
        <v>18</v>
      </c>
      <c r="B78" s="4">
        <v>46004</v>
      </c>
      <c r="C78" s="5">
        <v>0.52991898148148153</v>
      </c>
      <c r="D78" s="8" t="s">
        <v>1606</v>
      </c>
      <c r="E78" s="8" t="s">
        <v>6165</v>
      </c>
      <c r="F78" s="8" t="s">
        <v>51</v>
      </c>
      <c r="H78" s="8"/>
      <c r="I78" s="8" t="s">
        <v>6053</v>
      </c>
      <c r="J78" s="8" t="s">
        <v>2991</v>
      </c>
      <c r="K78" t="s">
        <v>6054</v>
      </c>
      <c r="L78" t="s">
        <v>6055</v>
      </c>
      <c r="M78" s="3" t="str">
        <f>HYPERLINK(склад2въезд13[[#This Row],[RelativePath]])</f>
        <v>4 Крыльцо офиса\K07156189_21_20251213T124305Z.jpg</v>
      </c>
    </row>
    <row r="79" spans="1:13" x14ac:dyDescent="0.25">
      <c r="A79" s="2" t="s">
        <v>18</v>
      </c>
      <c r="B79" s="4">
        <v>46004</v>
      </c>
      <c r="C79" s="5">
        <v>0.53687499999999999</v>
      </c>
      <c r="D79" s="8" t="s">
        <v>650</v>
      </c>
      <c r="E79" s="8" t="s">
        <v>6166</v>
      </c>
      <c r="F79" s="8" t="s">
        <v>51</v>
      </c>
      <c r="H79" s="8"/>
      <c r="I79" s="8" t="s">
        <v>6056</v>
      </c>
      <c r="J79" s="8" t="s">
        <v>2991</v>
      </c>
      <c r="K79" t="s">
        <v>6057</v>
      </c>
      <c r="L79" t="s">
        <v>6058</v>
      </c>
      <c r="M79" s="3" t="str">
        <f>HYPERLINK(склад2въезд13[[#This Row],[RelativePath]])</f>
        <v>4 Крыльцо офиса\K07156189_21_20251213T125306Z.jpg</v>
      </c>
    </row>
    <row r="80" spans="1:13" x14ac:dyDescent="0.25">
      <c r="A80" s="2" t="s">
        <v>18</v>
      </c>
      <c r="B80" s="4">
        <v>46004</v>
      </c>
      <c r="C80" s="5">
        <v>0.5370949074074074</v>
      </c>
      <c r="D80" s="8" t="s">
        <v>650</v>
      </c>
      <c r="E80" s="8" t="s">
        <v>6165</v>
      </c>
      <c r="F80" s="8" t="s">
        <v>51</v>
      </c>
      <c r="H80" s="8"/>
      <c r="I80" s="8" t="s">
        <v>6059</v>
      </c>
      <c r="J80" s="8" t="s">
        <v>2991</v>
      </c>
      <c r="K80" t="s">
        <v>6060</v>
      </c>
      <c r="L80" t="s">
        <v>6061</v>
      </c>
      <c r="M80" s="3" t="str">
        <f>HYPERLINK(склад2въезд13[[#This Row],[RelativePath]])</f>
        <v>4 Крыльцо офиса\K07156189_21_20251213T125325Z.jpg</v>
      </c>
    </row>
    <row r="81" spans="1:13" x14ac:dyDescent="0.25">
      <c r="A81" s="2" t="s">
        <v>18</v>
      </c>
      <c r="B81" s="4">
        <v>46004</v>
      </c>
      <c r="C81" s="5">
        <v>0.5397453703703704</v>
      </c>
      <c r="D81" s="8" t="s">
        <v>1606</v>
      </c>
      <c r="E81" s="8" t="s">
        <v>6167</v>
      </c>
      <c r="F81" s="8" t="s">
        <v>58</v>
      </c>
      <c r="H81" s="8"/>
      <c r="I81" s="8" t="s">
        <v>6062</v>
      </c>
      <c r="J81" s="8" t="s">
        <v>2991</v>
      </c>
      <c r="K81" t="s">
        <v>6063</v>
      </c>
      <c r="L81" t="s">
        <v>6064</v>
      </c>
      <c r="M81" s="3" t="str">
        <f>HYPERLINK(склад2въезд13[[#This Row],[RelativePath]])</f>
        <v>4 Крыльцо офиса\K07156189_21_20251213T125714Z.jpg</v>
      </c>
    </row>
    <row r="82" spans="1:13" x14ac:dyDescent="0.25">
      <c r="A82" s="2" t="s">
        <v>18</v>
      </c>
      <c r="B82" s="4">
        <v>46004</v>
      </c>
      <c r="C82" s="5">
        <v>0.54593749999999996</v>
      </c>
      <c r="D82" s="8" t="s">
        <v>6174</v>
      </c>
      <c r="E82" s="8" t="s">
        <v>6167</v>
      </c>
      <c r="F82" s="8" t="s">
        <v>58</v>
      </c>
      <c r="H82" s="8"/>
      <c r="I82" s="8" t="s">
        <v>6161</v>
      </c>
      <c r="J82" s="8" t="s">
        <v>2991</v>
      </c>
      <c r="K82" t="s">
        <v>6162</v>
      </c>
      <c r="L82" t="s">
        <v>6163</v>
      </c>
      <c r="M82" s="3" t="str">
        <f>HYPERLINK(склад2въезд13[[#This Row],[RelativePath]])</f>
        <v>4 Крыльцо офиса\K07156189_21_20251213T130609Z.jpg</v>
      </c>
    </row>
    <row r="83" spans="1:13" x14ac:dyDescent="0.25">
      <c r="A83" s="2" t="s">
        <v>22</v>
      </c>
      <c r="B83" s="4">
        <v>46005</v>
      </c>
      <c r="C83" s="5">
        <v>0.69658564814814816</v>
      </c>
      <c r="D83" s="8" t="s">
        <v>2004</v>
      </c>
      <c r="E83" s="8" t="s">
        <v>8</v>
      </c>
      <c r="F83" s="8"/>
      <c r="H83" s="8"/>
      <c r="I83" s="8" t="s">
        <v>6201</v>
      </c>
      <c r="J83" s="8" t="s">
        <v>2991</v>
      </c>
      <c r="K83" t="s">
        <v>6202</v>
      </c>
      <c r="L83" t="s">
        <v>6203</v>
      </c>
      <c r="M83" s="3" t="str">
        <f>HYPERLINK(склад2въезд13[[#This Row],[RelativePath]])</f>
        <v>4 Крыльцо офиса\K07156189_21_20251214T164305Z.jpg</v>
      </c>
    </row>
    <row r="84" spans="1:13" x14ac:dyDescent="0.25">
      <c r="A84" s="2" t="s">
        <v>13</v>
      </c>
      <c r="B84" s="4">
        <v>46006</v>
      </c>
      <c r="C84" s="5">
        <v>0.46166666666666667</v>
      </c>
      <c r="D84" s="8" t="s">
        <v>4</v>
      </c>
      <c r="E84" s="8" t="s">
        <v>8</v>
      </c>
      <c r="F84" s="8"/>
      <c r="H84" s="8"/>
      <c r="I84" s="8" t="s">
        <v>6346</v>
      </c>
      <c r="J84" s="8" t="s">
        <v>2991</v>
      </c>
      <c r="K84" t="s">
        <v>6347</v>
      </c>
      <c r="L84" t="s">
        <v>6348</v>
      </c>
      <c r="M84" s="3" t="str">
        <f>HYPERLINK(склад2въезд13[[#This Row],[RelativePath]])</f>
        <v>4 Крыльцо офиса\K07156189_21_20251215T110448Z.jpg</v>
      </c>
    </row>
    <row r="85" spans="1:13" x14ac:dyDescent="0.25">
      <c r="A85" s="2" t="s">
        <v>13</v>
      </c>
      <c r="B85" s="4">
        <v>46006</v>
      </c>
      <c r="C85" s="5">
        <v>0.51274305555555555</v>
      </c>
      <c r="D85" s="8" t="s">
        <v>289</v>
      </c>
      <c r="E85" s="8" t="s">
        <v>70</v>
      </c>
      <c r="F85" s="8" t="s">
        <v>6342</v>
      </c>
      <c r="H85" s="8"/>
      <c r="I85" s="8" t="s">
        <v>6310</v>
      </c>
      <c r="J85" s="8" t="s">
        <v>2991</v>
      </c>
      <c r="K85" t="s">
        <v>6311</v>
      </c>
      <c r="L85" t="s">
        <v>6312</v>
      </c>
      <c r="M85" s="3" t="str">
        <f>HYPERLINK(склад2въезд13[[#This Row],[RelativePath]])</f>
        <v>4 Крыльцо офиса\K07156189_21_20251215T121821Z.jpg</v>
      </c>
    </row>
    <row r="86" spans="1:13" x14ac:dyDescent="0.25">
      <c r="A86" s="2" t="s">
        <v>14</v>
      </c>
      <c r="B86" s="4">
        <v>46007</v>
      </c>
      <c r="C86" s="5">
        <v>0.448125</v>
      </c>
      <c r="D86" s="8" t="s">
        <v>1606</v>
      </c>
      <c r="E86" s="8" t="s">
        <v>6656</v>
      </c>
      <c r="F86" s="8" t="s">
        <v>51</v>
      </c>
      <c r="H86" s="8"/>
      <c r="I86" s="8" t="s">
        <v>6545</v>
      </c>
      <c r="J86" s="8" t="s">
        <v>2991</v>
      </c>
      <c r="K86" t="s">
        <v>6546</v>
      </c>
      <c r="L86" t="s">
        <v>6547</v>
      </c>
      <c r="M86" s="3" t="str">
        <f>HYPERLINK(склад2въезд13[[#This Row],[RelativePath]])</f>
        <v>4 Крыльцо офиса\K07156189_21_20251216T104518Z.jpg</v>
      </c>
    </row>
    <row r="87" spans="1:13" x14ac:dyDescent="0.25">
      <c r="A87" s="2" t="s">
        <v>14</v>
      </c>
      <c r="B87" s="4">
        <v>46007</v>
      </c>
      <c r="C87" s="5">
        <v>0.45142361111111112</v>
      </c>
      <c r="D87" s="8" t="s">
        <v>289</v>
      </c>
      <c r="E87" s="8" t="s">
        <v>6656</v>
      </c>
      <c r="F87" s="8" t="s">
        <v>6657</v>
      </c>
      <c r="H87" s="8"/>
      <c r="I87" s="8" t="s">
        <v>6548</v>
      </c>
      <c r="J87" s="8" t="s">
        <v>2991</v>
      </c>
      <c r="K87" t="s">
        <v>6549</v>
      </c>
      <c r="L87" t="s">
        <v>6550</v>
      </c>
      <c r="M87" s="3" t="str">
        <f>HYPERLINK(склад2въезд13[[#This Row],[RelativePath]])</f>
        <v>4 Крыльцо офиса\K07156189_21_20251216T105003Z.jpg</v>
      </c>
    </row>
    <row r="88" spans="1:13" x14ac:dyDescent="0.25">
      <c r="A88" s="2" t="s">
        <v>15</v>
      </c>
      <c r="B88" s="4">
        <v>46008</v>
      </c>
      <c r="C88" s="5">
        <v>0.71788194444444442</v>
      </c>
      <c r="D88" s="8" t="s">
        <v>4</v>
      </c>
      <c r="E88" s="8" t="s">
        <v>6867</v>
      </c>
      <c r="F88" s="8"/>
      <c r="H88" s="8"/>
      <c r="I88" s="8" t="s">
        <v>6703</v>
      </c>
      <c r="J88" s="8" t="s">
        <v>2991</v>
      </c>
      <c r="K88" t="s">
        <v>6704</v>
      </c>
      <c r="L88" t="s">
        <v>6705</v>
      </c>
      <c r="M88" s="3" t="str">
        <f>HYPERLINK(склад2въезд13[[#This Row],[RelativePath]])</f>
        <v>4 Крыльцо офиса\K07156189_21_20251217T171345Z.jpg</v>
      </c>
    </row>
    <row r="89" spans="1:13" x14ac:dyDescent="0.25">
      <c r="A89" s="2" t="s">
        <v>16</v>
      </c>
      <c r="B89" s="4">
        <v>46009</v>
      </c>
      <c r="C89" s="5">
        <v>0.36964120370370368</v>
      </c>
      <c r="D89" s="8" t="s">
        <v>650</v>
      </c>
      <c r="E89" s="8" t="s">
        <v>6190</v>
      </c>
      <c r="F89" s="8" t="s">
        <v>51</v>
      </c>
      <c r="H89" s="8"/>
      <c r="I89" s="8" t="s">
        <v>6706</v>
      </c>
      <c r="J89" s="8" t="s">
        <v>2991</v>
      </c>
      <c r="K89" t="s">
        <v>6707</v>
      </c>
      <c r="L89" t="s">
        <v>6708</v>
      </c>
      <c r="M89" s="3" t="str">
        <f>HYPERLINK(склад2въезд13[[#This Row],[RelativePath]])</f>
        <v>4 Крыльцо офиса\K07156189_21_20251218T085217Z.jpg</v>
      </c>
    </row>
    <row r="90" spans="1:13" x14ac:dyDescent="0.25">
      <c r="A90" s="2" t="s">
        <v>16</v>
      </c>
      <c r="B90" s="4">
        <v>46009</v>
      </c>
      <c r="C90" s="5">
        <v>0.5503703703703704</v>
      </c>
      <c r="D90" s="8" t="s">
        <v>1606</v>
      </c>
      <c r="E90" s="8" t="s">
        <v>6190</v>
      </c>
      <c r="F90" s="8" t="s">
        <v>51</v>
      </c>
      <c r="H90" s="8"/>
      <c r="I90" s="8" t="s">
        <v>6709</v>
      </c>
      <c r="J90" s="8" t="s">
        <v>2991</v>
      </c>
      <c r="K90" t="s">
        <v>6710</v>
      </c>
      <c r="L90" t="s">
        <v>6711</v>
      </c>
      <c r="M90" s="3" t="str">
        <f>HYPERLINK(склад2въезд13[[#This Row],[RelativePath]])</f>
        <v>4 Крыльцо офиса\K07156189_21_20251218T131232Z.jpg</v>
      </c>
    </row>
    <row r="91" spans="1:13" x14ac:dyDescent="0.25">
      <c r="A91" s="2" t="s">
        <v>17</v>
      </c>
      <c r="B91" s="4">
        <v>46010</v>
      </c>
      <c r="C91" s="5">
        <v>0.7173842592592593</v>
      </c>
      <c r="D91" s="8" t="s">
        <v>2004</v>
      </c>
      <c r="E91" s="8" t="s">
        <v>8</v>
      </c>
      <c r="F91" s="8"/>
      <c r="H91" s="8"/>
      <c r="I91" s="8" t="s">
        <v>6905</v>
      </c>
      <c r="J91" s="8" t="s">
        <v>2991</v>
      </c>
      <c r="K91" t="s">
        <v>6906</v>
      </c>
      <c r="L91" t="s">
        <v>6907</v>
      </c>
      <c r="M91" s="3" t="str">
        <f>HYPERLINK(склад2въезд13[[#This Row],[RelativePath]])</f>
        <v>4 Крыльцо офиса\K07156189_21_20251219T171302Z.jpg</v>
      </c>
    </row>
    <row r="92" spans="1:13" x14ac:dyDescent="0.25">
      <c r="A92" s="2" t="s">
        <v>18</v>
      </c>
      <c r="B92" s="4">
        <v>46011</v>
      </c>
      <c r="C92" s="5">
        <v>0.5659143518518519</v>
      </c>
      <c r="D92" s="8" t="s">
        <v>2004</v>
      </c>
      <c r="E92" s="8" t="s">
        <v>8</v>
      </c>
      <c r="F92" s="8"/>
      <c r="H92" s="8"/>
      <c r="I92" s="8" t="s">
        <v>6908</v>
      </c>
      <c r="J92" s="8" t="s">
        <v>2991</v>
      </c>
      <c r="K92" t="s">
        <v>6909</v>
      </c>
      <c r="L92" t="s">
        <v>6910</v>
      </c>
      <c r="M92" s="3" t="str">
        <f>HYPERLINK(склад2въезд13[[#This Row],[RelativePath]])</f>
        <v>4 Крыльцо офиса\K07156189_21_20251220T133455Z.jpg</v>
      </c>
    </row>
    <row r="93" spans="1:13" x14ac:dyDescent="0.25">
      <c r="A93" s="2" t="s">
        <v>22</v>
      </c>
      <c r="B93" s="4">
        <v>46012</v>
      </c>
      <c r="C93" s="5">
        <v>0.71121527777777782</v>
      </c>
      <c r="D93" s="8" t="s">
        <v>2004</v>
      </c>
      <c r="E93" s="8" t="s">
        <v>8</v>
      </c>
      <c r="F93" s="8"/>
      <c r="H93" s="8"/>
      <c r="I93" s="8" t="s">
        <v>7184</v>
      </c>
      <c r="J93" s="8" t="s">
        <v>2991</v>
      </c>
      <c r="K93" t="s">
        <v>7185</v>
      </c>
      <c r="L93" t="s">
        <v>7186</v>
      </c>
      <c r="M93" s="3" t="str">
        <f>HYPERLINK(склад2въезд13[[#This Row],[RelativePath]])</f>
        <v>4 Крыльцо офиса\K07156189_21_20251221T170409Z.jpg</v>
      </c>
    </row>
    <row r="94" spans="1:13" x14ac:dyDescent="0.25">
      <c r="A94" s="2" t="s">
        <v>13</v>
      </c>
      <c r="B94" s="4">
        <v>46013</v>
      </c>
      <c r="C94" s="5">
        <v>0.6779398148148148</v>
      </c>
      <c r="D94" s="8" t="s">
        <v>2004</v>
      </c>
      <c r="E94" s="8" t="s">
        <v>8</v>
      </c>
      <c r="F94" s="8"/>
      <c r="H94" s="8"/>
      <c r="I94" s="8" t="s">
        <v>7227</v>
      </c>
      <c r="J94" s="8" t="s">
        <v>2991</v>
      </c>
      <c r="K94" t="s">
        <v>7228</v>
      </c>
      <c r="L94" t="s">
        <v>7229</v>
      </c>
      <c r="M94" s="3" t="str">
        <f>HYPERLINK(склад2въезд13[[#This Row],[RelativePath]])</f>
        <v>4 Крыльцо офиса\K07156189_21_20251222T161614Z.jpg</v>
      </c>
    </row>
    <row r="95" spans="1:13" x14ac:dyDescent="0.25">
      <c r="A95" s="2" t="s">
        <v>14</v>
      </c>
      <c r="B95" s="4">
        <v>46014</v>
      </c>
      <c r="C95" s="5">
        <v>0.7591782407407407</v>
      </c>
      <c r="D95" s="8" t="s">
        <v>1606</v>
      </c>
      <c r="E95" s="8" t="s">
        <v>7410</v>
      </c>
      <c r="F95" s="8" t="s">
        <v>60</v>
      </c>
      <c r="H95" s="8"/>
      <c r="I95" s="8" t="s">
        <v>7230</v>
      </c>
      <c r="J95" s="8" t="s">
        <v>2991</v>
      </c>
      <c r="K95" t="s">
        <v>7231</v>
      </c>
      <c r="L95" t="s">
        <v>7232</v>
      </c>
      <c r="M95" s="3" t="str">
        <f>HYPERLINK(склад2въезд13[[#This Row],[RelativePath]])</f>
        <v>4 Крыльцо офиса\K07156189_21_20251223T181313Z.jpg</v>
      </c>
    </row>
    <row r="96" spans="1:13" x14ac:dyDescent="0.25">
      <c r="A96" s="2" t="s">
        <v>14</v>
      </c>
      <c r="B96" s="4">
        <v>46014</v>
      </c>
      <c r="C96" s="5">
        <v>0.77853009259259254</v>
      </c>
      <c r="D96" s="8" t="s">
        <v>4216</v>
      </c>
      <c r="E96" s="8" t="s">
        <v>7410</v>
      </c>
      <c r="F96" s="8" t="s">
        <v>60</v>
      </c>
      <c r="H96" s="8"/>
      <c r="I96" s="8" t="s">
        <v>7233</v>
      </c>
      <c r="J96" s="8" t="s">
        <v>2991</v>
      </c>
      <c r="K96" t="s">
        <v>7234</v>
      </c>
      <c r="L96" t="s">
        <v>7235</v>
      </c>
      <c r="M96" s="3" t="str">
        <f>HYPERLINK(склад2въезд13[[#This Row],[RelativePath]])</f>
        <v>4 Крыльцо офиса\K07156189_21_20251223T184105Z.jpg</v>
      </c>
    </row>
    <row r="97" spans="1:13" x14ac:dyDescent="0.25">
      <c r="A97" s="2" t="s">
        <v>14</v>
      </c>
      <c r="B97" s="4">
        <v>46014</v>
      </c>
      <c r="C97" s="5">
        <v>0.79300925925925925</v>
      </c>
      <c r="D97" s="8" t="s">
        <v>290</v>
      </c>
      <c r="E97" s="8" t="s">
        <v>7410</v>
      </c>
      <c r="F97" s="8" t="s">
        <v>60</v>
      </c>
      <c r="H97" s="8"/>
      <c r="I97" s="8" t="s">
        <v>7236</v>
      </c>
      <c r="J97" s="8" t="s">
        <v>2991</v>
      </c>
      <c r="K97" t="s">
        <v>7237</v>
      </c>
      <c r="L97" t="s">
        <v>7238</v>
      </c>
      <c r="M97" s="3" t="str">
        <f>HYPERLINK(склад2въезд13[[#This Row],[RelativePath]])</f>
        <v>4 Крыльцо офиса\K07156189_21_20251223T190156Z.jpg</v>
      </c>
    </row>
    <row r="98" spans="1:13" x14ac:dyDescent="0.25">
      <c r="A98" s="2" t="s">
        <v>14</v>
      </c>
      <c r="B98" s="4">
        <v>46014</v>
      </c>
      <c r="C98" s="5">
        <v>0.81364583333333329</v>
      </c>
      <c r="D98" s="8" t="s">
        <v>650</v>
      </c>
      <c r="E98" s="8" t="s">
        <v>7410</v>
      </c>
      <c r="F98" s="8" t="s">
        <v>51</v>
      </c>
      <c r="H98" s="8"/>
      <c r="I98" s="8" t="s">
        <v>7239</v>
      </c>
      <c r="J98" s="8" t="s">
        <v>2991</v>
      </c>
      <c r="K98" t="s">
        <v>7240</v>
      </c>
      <c r="L98" t="s">
        <v>7241</v>
      </c>
      <c r="M98" s="3" t="str">
        <f>HYPERLINK(склад2въезд13[[#This Row],[RelativePath]])</f>
        <v>4 Крыльцо офиса\K07156189_21_20251223T193139Z.jpg</v>
      </c>
    </row>
    <row r="99" spans="1:13" x14ac:dyDescent="0.25">
      <c r="A99" s="2" t="s">
        <v>15</v>
      </c>
      <c r="B99" s="4">
        <v>46015</v>
      </c>
      <c r="C99" s="5">
        <v>0.6859143518518519</v>
      </c>
      <c r="D99" s="8" t="s">
        <v>2004</v>
      </c>
      <c r="E99" s="8" t="s">
        <v>8</v>
      </c>
      <c r="F99" s="8"/>
      <c r="H99" s="8"/>
      <c r="I99" s="8" t="s">
        <v>7568</v>
      </c>
      <c r="J99" s="8" t="s">
        <v>2991</v>
      </c>
      <c r="K99" t="s">
        <v>7569</v>
      </c>
      <c r="L99" t="s">
        <v>7570</v>
      </c>
      <c r="M99" s="3" t="str">
        <f>HYPERLINK(склад2въезд13[[#This Row],[RelativePath]])</f>
        <v>4 Крыльцо офиса\K07156189_21_20251224T162743Z.jpg</v>
      </c>
    </row>
    <row r="100" spans="1:13" x14ac:dyDescent="0.25">
      <c r="A100" s="2" t="s">
        <v>15</v>
      </c>
      <c r="B100" s="4">
        <v>46015</v>
      </c>
      <c r="C100" s="5">
        <v>0.88596064814814812</v>
      </c>
      <c r="D100" s="8" t="s">
        <v>1606</v>
      </c>
      <c r="E100" s="8" t="s">
        <v>7706</v>
      </c>
      <c r="F100" s="8" t="s">
        <v>60</v>
      </c>
      <c r="H100" s="8"/>
      <c r="I100" s="8" t="s">
        <v>7571</v>
      </c>
      <c r="J100" s="8" t="s">
        <v>2991</v>
      </c>
      <c r="K100" t="s">
        <v>7572</v>
      </c>
      <c r="L100" t="s">
        <v>7573</v>
      </c>
      <c r="M100" s="3" t="str">
        <f>HYPERLINK(склад2въезд13[[#This Row],[RelativePath]])</f>
        <v>4 Крыльцо офиса\K07156189_21_20251224T211547Z.jpg</v>
      </c>
    </row>
    <row r="101" spans="1:13" x14ac:dyDescent="0.25">
      <c r="A101" s="2" t="s">
        <v>15</v>
      </c>
      <c r="B101" s="4">
        <v>46015</v>
      </c>
      <c r="C101" s="5">
        <v>0.90452546296296299</v>
      </c>
      <c r="D101" s="8" t="s">
        <v>6171</v>
      </c>
      <c r="E101" s="8" t="s">
        <v>7706</v>
      </c>
      <c r="F101" s="8" t="s">
        <v>60</v>
      </c>
      <c r="H101" s="8"/>
      <c r="I101" s="8" t="s">
        <v>7574</v>
      </c>
      <c r="J101" s="8" t="s">
        <v>2991</v>
      </c>
      <c r="K101" t="s">
        <v>7575</v>
      </c>
      <c r="L101" t="s">
        <v>7576</v>
      </c>
      <c r="M101" s="3" t="str">
        <f>HYPERLINK(склад2въезд13[[#This Row],[RelativePath]])</f>
        <v>4 Крыльцо офиса\K07156189_21_20251224T214231Z.jpg</v>
      </c>
    </row>
    <row r="102" spans="1:13" x14ac:dyDescent="0.25">
      <c r="A102" s="2" t="s">
        <v>16</v>
      </c>
      <c r="B102" s="4">
        <v>46016</v>
      </c>
      <c r="C102" s="5">
        <v>0.49098379629629629</v>
      </c>
      <c r="D102" s="8" t="s">
        <v>650</v>
      </c>
      <c r="E102" s="8" t="s">
        <v>7706</v>
      </c>
      <c r="F102" s="8" t="s">
        <v>51</v>
      </c>
      <c r="H102" s="8"/>
      <c r="I102" s="8" t="s">
        <v>7577</v>
      </c>
      <c r="J102" s="8" t="s">
        <v>2991</v>
      </c>
      <c r="K102" t="s">
        <v>7578</v>
      </c>
      <c r="L102" t="s">
        <v>7579</v>
      </c>
      <c r="M102" s="3" t="str">
        <f>HYPERLINK(склад2въезд13[[#This Row],[RelativePath]])</f>
        <v>4 Крыльцо офиса\K07156189_21_20251225T114701Z.jpg</v>
      </c>
    </row>
    <row r="103" spans="1:13" x14ac:dyDescent="0.25">
      <c r="A103" s="2" t="s">
        <v>16</v>
      </c>
      <c r="B103" s="4">
        <v>46016</v>
      </c>
      <c r="C103" s="5">
        <v>0.70902777777777781</v>
      </c>
      <c r="D103" s="8" t="s">
        <v>2004</v>
      </c>
      <c r="E103" s="8" t="s">
        <v>8</v>
      </c>
      <c r="F103" s="8"/>
      <c r="H103" s="8"/>
      <c r="I103" s="8" t="s">
        <v>7580</v>
      </c>
      <c r="J103" s="8" t="s">
        <v>2991</v>
      </c>
      <c r="K103" t="s">
        <v>7581</v>
      </c>
      <c r="L103" t="s">
        <v>7582</v>
      </c>
      <c r="M103" s="3" t="str">
        <f>HYPERLINK(склад2въезд13[[#This Row],[RelativePath]])</f>
        <v>4 Крыльцо офиса\K07156189_21_20251225T170100Z.jpg</v>
      </c>
    </row>
    <row r="104" spans="1:13" x14ac:dyDescent="0.25">
      <c r="A104" s="2" t="s">
        <v>17</v>
      </c>
      <c r="B104" s="4">
        <v>46017</v>
      </c>
      <c r="C104" s="5">
        <v>0.69949074074074069</v>
      </c>
      <c r="D104" s="8" t="s">
        <v>2004</v>
      </c>
      <c r="E104" s="8" t="s">
        <v>8</v>
      </c>
      <c r="F104" s="8"/>
      <c r="H104" s="8"/>
      <c r="I104" s="8" t="s">
        <v>7828</v>
      </c>
      <c r="J104" s="8" t="s">
        <v>2991</v>
      </c>
      <c r="K104" t="s">
        <v>7829</v>
      </c>
      <c r="L104" t="s">
        <v>7830</v>
      </c>
      <c r="M104" s="3" t="str">
        <f>HYPERLINK(склад2въезд13[[#This Row],[RelativePath]])</f>
        <v>4 Крыльцо офиса\K07156189_21_20251226T164716Z.jpg</v>
      </c>
    </row>
    <row r="105" spans="1:13" x14ac:dyDescent="0.25">
      <c r="A105" s="2" t="s">
        <v>18</v>
      </c>
      <c r="B105" s="4">
        <v>46018</v>
      </c>
      <c r="C105" s="5">
        <v>0.5920023148148148</v>
      </c>
      <c r="D105" s="8" t="s">
        <v>8042</v>
      </c>
      <c r="E105" s="8" t="s">
        <v>6656</v>
      </c>
      <c r="F105" s="8" t="s">
        <v>5076</v>
      </c>
      <c r="H105" s="8"/>
      <c r="I105" s="8" t="s">
        <v>7992</v>
      </c>
      <c r="J105" s="8" t="s">
        <v>2991</v>
      </c>
      <c r="K105" t="s">
        <v>7993</v>
      </c>
      <c r="L105" t="s">
        <v>7994</v>
      </c>
      <c r="M105" s="3" t="str">
        <f>HYPERLINK(склад2въезд13[[#This Row],[RelativePath]])</f>
        <v>4 Крыльцо офиса\K07156189_21_20251227T141229Z.jpg</v>
      </c>
    </row>
    <row r="106" spans="1:13" x14ac:dyDescent="0.25">
      <c r="A106" s="2" t="s">
        <v>18</v>
      </c>
      <c r="B106" s="4">
        <v>46018</v>
      </c>
      <c r="C106" s="5">
        <v>0.60925925925925928</v>
      </c>
      <c r="D106" s="8" t="s">
        <v>4</v>
      </c>
      <c r="E106" s="8" t="s">
        <v>6656</v>
      </c>
      <c r="F106" s="8" t="s">
        <v>5076</v>
      </c>
      <c r="H106" s="8" t="s">
        <v>8043</v>
      </c>
      <c r="I106" s="8" t="s">
        <v>7995</v>
      </c>
      <c r="J106" s="8" t="s">
        <v>2991</v>
      </c>
      <c r="K106" t="s">
        <v>7996</v>
      </c>
      <c r="L106" t="s">
        <v>7997</v>
      </c>
      <c r="M106" s="3" t="str">
        <f>HYPERLINK(склад2въезд13[[#This Row],[RelativePath]])</f>
        <v>4 Крыльцо офиса\K07156189_21_20251227T143720Z.jpg</v>
      </c>
    </row>
    <row r="107" spans="1:13" x14ac:dyDescent="0.25">
      <c r="A107" s="2" t="s">
        <v>22</v>
      </c>
      <c r="B107" s="4">
        <v>46019</v>
      </c>
      <c r="C107" s="5">
        <v>0.50564814814814818</v>
      </c>
      <c r="D107" s="8" t="s">
        <v>4</v>
      </c>
      <c r="E107" s="8" t="s">
        <v>4193</v>
      </c>
      <c r="F107" s="8" t="s">
        <v>5076</v>
      </c>
      <c r="H107" s="8"/>
      <c r="I107" s="8" t="s">
        <v>7998</v>
      </c>
      <c r="J107" s="8" t="s">
        <v>2991</v>
      </c>
      <c r="K107" t="s">
        <v>7999</v>
      </c>
      <c r="L107" t="s">
        <v>8000</v>
      </c>
      <c r="M107" s="3" t="str">
        <f>HYPERLINK(склад2въезд13[[#This Row],[RelativePath]])</f>
        <v>4 Крыльцо офиса\K07156189_21_20251228T120808Z.jpg</v>
      </c>
    </row>
    <row r="108" spans="1:13" x14ac:dyDescent="0.25">
      <c r="A108" s="2" t="s">
        <v>22</v>
      </c>
      <c r="B108" s="4">
        <v>46019</v>
      </c>
      <c r="C108" s="5">
        <v>0.54252314814814817</v>
      </c>
      <c r="D108" s="8" t="s">
        <v>4</v>
      </c>
      <c r="E108" s="8" t="s">
        <v>8</v>
      </c>
      <c r="F108" s="8"/>
      <c r="H108" s="8" t="s">
        <v>8044</v>
      </c>
      <c r="I108" s="8" t="s">
        <v>8001</v>
      </c>
      <c r="J108" s="8" t="s">
        <v>2991</v>
      </c>
      <c r="K108" t="s">
        <v>8002</v>
      </c>
      <c r="L108" t="s">
        <v>8003</v>
      </c>
      <c r="M108" s="3" t="str">
        <f>HYPERLINK(склад2въезд13[[#This Row],[RelativePath]])</f>
        <v>4 Крыльцо офиса\K07156189_21_20251228T130114Z.jpg</v>
      </c>
    </row>
    <row r="109" spans="1:13" x14ac:dyDescent="0.25">
      <c r="A109" s="2" t="s">
        <v>22</v>
      </c>
      <c r="B109" s="4">
        <v>46019</v>
      </c>
      <c r="C109" s="5">
        <v>0.55581018518518521</v>
      </c>
      <c r="D109" s="8" t="s">
        <v>650</v>
      </c>
      <c r="E109" s="8" t="s">
        <v>6190</v>
      </c>
      <c r="F109" s="8" t="s">
        <v>51</v>
      </c>
      <c r="H109" s="8"/>
      <c r="I109" s="8" t="s">
        <v>8004</v>
      </c>
      <c r="J109" s="8" t="s">
        <v>2991</v>
      </c>
      <c r="K109" t="s">
        <v>8005</v>
      </c>
      <c r="L109" t="s">
        <v>8006</v>
      </c>
      <c r="M109" s="3" t="str">
        <f>HYPERLINK(склад2въезд13[[#This Row],[RelativePath]])</f>
        <v>4 Крыльцо офиса\K07156189_21_20251228T132022Z.jpg</v>
      </c>
    </row>
    <row r="110" spans="1:13" x14ac:dyDescent="0.25">
      <c r="A110" s="2" t="s">
        <v>22</v>
      </c>
      <c r="B110" s="4">
        <v>46019</v>
      </c>
      <c r="C110" s="5">
        <v>0.66861111111111116</v>
      </c>
      <c r="D110" s="8" t="s">
        <v>1606</v>
      </c>
      <c r="E110" s="8" t="s">
        <v>8041</v>
      </c>
      <c r="F110" s="8"/>
      <c r="H110" s="8"/>
      <c r="I110" s="8" t="s">
        <v>8007</v>
      </c>
      <c r="J110" s="8" t="s">
        <v>2991</v>
      </c>
      <c r="K110" t="s">
        <v>8008</v>
      </c>
      <c r="L110" t="s">
        <v>8009</v>
      </c>
      <c r="M110" s="3" t="str">
        <f>HYPERLINK(склад2въезд13[[#This Row],[RelativePath]])</f>
        <v>4 Крыльцо офиса\K07156189_21_20251228T160248Z.jpg</v>
      </c>
    </row>
    <row r="111" spans="1:13" x14ac:dyDescent="0.25">
      <c r="A111" s="2" t="s">
        <v>22</v>
      </c>
      <c r="B111" s="4">
        <v>46019</v>
      </c>
      <c r="C111" s="5">
        <v>0.66954861111111108</v>
      </c>
      <c r="D111" s="8" t="s">
        <v>650</v>
      </c>
      <c r="E111" s="8" t="s">
        <v>8041</v>
      </c>
      <c r="F111" s="8"/>
      <c r="H111" s="8"/>
      <c r="I111" s="8" t="s">
        <v>8010</v>
      </c>
      <c r="J111" s="8" t="s">
        <v>2991</v>
      </c>
      <c r="K111" t="s">
        <v>8011</v>
      </c>
      <c r="L111" t="s">
        <v>8012</v>
      </c>
      <c r="M111" s="3" t="str">
        <f>HYPERLINK(склад2въезд13[[#This Row],[RelativePath]])</f>
        <v>4 Крыльцо офиса\K07156189_21_20251228T160409Z.jpg</v>
      </c>
    </row>
    <row r="112" spans="1:13" x14ac:dyDescent="0.25">
      <c r="A112" s="2" t="s">
        <v>22</v>
      </c>
      <c r="B112" s="4">
        <v>46019</v>
      </c>
      <c r="C112" s="5">
        <v>0.8888773148148148</v>
      </c>
      <c r="D112" s="8" t="s">
        <v>1606</v>
      </c>
      <c r="E112" s="8" t="s">
        <v>6190</v>
      </c>
      <c r="F112" s="8"/>
      <c r="H112" s="8"/>
      <c r="I112" s="8" t="s">
        <v>8013</v>
      </c>
      <c r="J112" s="8" t="s">
        <v>2991</v>
      </c>
      <c r="K112" t="s">
        <v>8014</v>
      </c>
      <c r="L112" t="s">
        <v>8015</v>
      </c>
      <c r="M112" s="3" t="str">
        <f>HYPERLINK(склад2въезд13[[#This Row],[RelativePath]])</f>
        <v>4 Крыльцо офиса\K07156189_21_20251228T211959Z.jpg</v>
      </c>
    </row>
    <row r="113" spans="1:13" x14ac:dyDescent="0.25">
      <c r="A113" s="2" t="s">
        <v>13</v>
      </c>
      <c r="B113" s="4">
        <v>46020</v>
      </c>
      <c r="C113" s="5">
        <v>0.61657407407407405</v>
      </c>
      <c r="D113" s="8" t="s">
        <v>4</v>
      </c>
      <c r="E113" s="8" t="s">
        <v>1607</v>
      </c>
      <c r="F113" s="8" t="s">
        <v>8330</v>
      </c>
      <c r="H113" s="8"/>
      <c r="I113" s="8" t="s">
        <v>8090</v>
      </c>
      <c r="J113" s="8" t="s">
        <v>2991</v>
      </c>
      <c r="K113" t="s">
        <v>8091</v>
      </c>
      <c r="L113" t="s">
        <v>8092</v>
      </c>
      <c r="M113" s="3" t="str">
        <f>HYPERLINK(склад2въезд13[[#This Row],[RelativePath]])</f>
        <v>4 Крыльцо офиса\K07156189_21_20251229T144752Z.jpg</v>
      </c>
    </row>
    <row r="114" spans="1:13" x14ac:dyDescent="0.25">
      <c r="A114" s="2" t="s">
        <v>13</v>
      </c>
      <c r="B114" s="4">
        <v>46020</v>
      </c>
      <c r="C114" s="5">
        <v>0.68255787037037041</v>
      </c>
      <c r="D114" s="8" t="s">
        <v>4</v>
      </c>
      <c r="E114" s="8" t="s">
        <v>8</v>
      </c>
      <c r="F114" s="8"/>
      <c r="H114" s="8"/>
      <c r="I114" s="8" t="s">
        <v>8093</v>
      </c>
      <c r="J114" s="8" t="s">
        <v>2991</v>
      </c>
      <c r="K114" t="s">
        <v>8094</v>
      </c>
      <c r="L114" t="s">
        <v>8095</v>
      </c>
      <c r="M114" s="3" t="str">
        <f>HYPERLINK(склад2въезд13[[#This Row],[RelativePath]])</f>
        <v>4 Крыльцо офиса\K07156189_21_20251229T162253Z.jpg</v>
      </c>
    </row>
    <row r="115" spans="1:13" x14ac:dyDescent="0.25">
      <c r="A115" s="2" t="s">
        <v>14</v>
      </c>
      <c r="B115" s="4">
        <v>46021</v>
      </c>
      <c r="C115" s="5">
        <v>0.52613425925925927</v>
      </c>
      <c r="D115" s="8" t="s">
        <v>2004</v>
      </c>
      <c r="E115" s="8" t="s">
        <v>8</v>
      </c>
      <c r="F115" s="8"/>
      <c r="H115" s="8"/>
      <c r="I115" s="8" t="s">
        <v>8096</v>
      </c>
      <c r="J115" s="8" t="s">
        <v>2991</v>
      </c>
      <c r="K115" t="s">
        <v>8097</v>
      </c>
      <c r="L115" t="s">
        <v>8098</v>
      </c>
      <c r="M115" s="3" t="str">
        <f>HYPERLINK(склад2въезд13[[#This Row],[RelativePath]])</f>
        <v>4 Крыльцо офиса\K07156189_21_20251230T123738Z.jpg</v>
      </c>
    </row>
    <row r="116" spans="1:13" x14ac:dyDescent="0.25">
      <c r="A116" s="2" t="s">
        <v>14</v>
      </c>
      <c r="B116" s="4">
        <v>46021</v>
      </c>
      <c r="C116" s="5">
        <v>0.7348958333333333</v>
      </c>
      <c r="D116" s="8" t="s">
        <v>2004</v>
      </c>
      <c r="E116" s="8" t="s">
        <v>8</v>
      </c>
      <c r="F116" s="8"/>
      <c r="H116" s="8"/>
      <c r="I116" s="8" t="s">
        <v>8099</v>
      </c>
      <c r="J116" s="8" t="s">
        <v>2991</v>
      </c>
      <c r="K116" t="s">
        <v>8100</v>
      </c>
      <c r="L116" t="s">
        <v>8101</v>
      </c>
      <c r="M116" s="3" t="str">
        <f>HYPERLINK(склад2въезд13[[#This Row],[RelativePath]])</f>
        <v>4 Крыльцо офиса\K07156189_21_20251230T173815Z.jpg</v>
      </c>
    </row>
    <row r="117" spans="1:13" x14ac:dyDescent="0.25">
      <c r="A117" s="2" t="s">
        <v>15</v>
      </c>
      <c r="B117" s="4">
        <v>46022</v>
      </c>
      <c r="C117" s="5">
        <v>0.71327546296296296</v>
      </c>
      <c r="D117" s="8" t="s">
        <v>2004</v>
      </c>
      <c r="E117" s="8" t="s">
        <v>8</v>
      </c>
      <c r="F117" s="8"/>
      <c r="H117" s="8"/>
      <c r="I117" s="8" t="s">
        <v>8102</v>
      </c>
      <c r="J117" s="8" t="s">
        <v>2991</v>
      </c>
      <c r="K117" t="s">
        <v>8103</v>
      </c>
      <c r="L117" t="s">
        <v>8104</v>
      </c>
      <c r="M117" s="3" t="str">
        <f>HYPERLINK(склад2въезд13[[#This Row],[RelativePath]])</f>
        <v>4 Крыльцо офиса\K07156189_21_20251231T170707Z.jpg</v>
      </c>
    </row>
    <row r="118" spans="1:13" x14ac:dyDescent="0.25">
      <c r="A118" s="2" t="s">
        <v>16</v>
      </c>
      <c r="B118" s="4">
        <v>46023</v>
      </c>
      <c r="C118" s="5">
        <v>0.71423611111111107</v>
      </c>
      <c r="D118" s="8" t="s">
        <v>2004</v>
      </c>
      <c r="E118" s="8" t="s">
        <v>8</v>
      </c>
      <c r="F118" s="8"/>
      <c r="H118" s="8"/>
      <c r="I118" s="8" t="s">
        <v>8105</v>
      </c>
      <c r="J118" s="8" t="s">
        <v>2991</v>
      </c>
      <c r="K118" t="s">
        <v>8106</v>
      </c>
      <c r="L118" t="s">
        <v>8107</v>
      </c>
      <c r="M118" s="3" t="str">
        <f>HYPERLINK(склад2въезд13[[#This Row],[RelativePath]])</f>
        <v>4 Крыльцо офиса\K07156189_21_20260101T170830Z.jpg</v>
      </c>
    </row>
    <row r="119" spans="1:13" x14ac:dyDescent="0.25">
      <c r="A119" s="2" t="s">
        <v>17</v>
      </c>
      <c r="B119" s="4">
        <v>46024</v>
      </c>
      <c r="C119" s="5">
        <v>0.51469907407407411</v>
      </c>
      <c r="D119" s="8" t="s">
        <v>2004</v>
      </c>
      <c r="E119" s="8" t="s">
        <v>8</v>
      </c>
      <c r="F119" s="8"/>
      <c r="H119" s="8"/>
      <c r="I119" s="8" t="s">
        <v>8402</v>
      </c>
      <c r="J119" s="8" t="s">
        <v>2991</v>
      </c>
      <c r="K119" t="s">
        <v>8403</v>
      </c>
      <c r="L119" t="s">
        <v>8404</v>
      </c>
      <c r="M119" s="3" t="str">
        <f>HYPERLINK(склад2въезд13[[#This Row],[RelativePath]])</f>
        <v>4 Крыльцо офиса\K07156189_21_20260102T122110Z.jpg</v>
      </c>
    </row>
    <row r="120" spans="1:13" x14ac:dyDescent="0.25">
      <c r="A120" s="2" t="s">
        <v>18</v>
      </c>
      <c r="B120" s="4">
        <v>46025</v>
      </c>
      <c r="C120" s="5">
        <v>0.67857638888888894</v>
      </c>
      <c r="D120" s="8" t="s">
        <v>2004</v>
      </c>
      <c r="E120" s="8" t="s">
        <v>8</v>
      </c>
      <c r="F120" s="8"/>
      <c r="H120" s="8"/>
      <c r="I120" s="8" t="s">
        <v>8405</v>
      </c>
      <c r="J120" s="8" t="s">
        <v>2991</v>
      </c>
      <c r="K120" t="s">
        <v>8406</v>
      </c>
      <c r="L120" t="s">
        <v>8407</v>
      </c>
      <c r="M120" s="3" t="str">
        <f>HYPERLINK(склад2въезд13[[#This Row],[RelativePath]])</f>
        <v>4 Крыльцо офиса\K07156189_21_20260103T161709Z.jpg</v>
      </c>
    </row>
    <row r="121" spans="1:13" x14ac:dyDescent="0.25">
      <c r="A121" s="2" t="s">
        <v>22</v>
      </c>
      <c r="B121" s="4">
        <v>46026</v>
      </c>
      <c r="C121" s="5">
        <v>0.67975694444444446</v>
      </c>
      <c r="D121" s="8" t="s">
        <v>2004</v>
      </c>
      <c r="E121" s="8" t="s">
        <v>8</v>
      </c>
      <c r="F121" s="8"/>
      <c r="H121" s="8"/>
      <c r="I121" s="8" t="s">
        <v>8408</v>
      </c>
      <c r="J121" s="8" t="s">
        <v>2991</v>
      </c>
      <c r="K121" t="s">
        <v>8409</v>
      </c>
      <c r="L121" t="s">
        <v>8410</v>
      </c>
      <c r="M121" s="3" t="str">
        <f>HYPERLINK(склад2въезд13[[#This Row],[RelativePath]])</f>
        <v>4 Крыльцо офиса\K07156189_21_20260104T161851Z.jpg</v>
      </c>
    </row>
    <row r="122" spans="1:13" x14ac:dyDescent="0.25">
      <c r="A122" s="2" t="s">
        <v>13</v>
      </c>
      <c r="B122" s="4">
        <v>46027</v>
      </c>
      <c r="C122" s="5">
        <v>0.67423611111111115</v>
      </c>
      <c r="D122" s="8" t="s">
        <v>2004</v>
      </c>
      <c r="E122" s="8" t="s">
        <v>8</v>
      </c>
      <c r="F122" s="8"/>
      <c r="H122" s="8"/>
      <c r="I122" s="8" t="s">
        <v>8640</v>
      </c>
      <c r="J122" s="8" t="s">
        <v>2991</v>
      </c>
      <c r="K122" t="s">
        <v>8641</v>
      </c>
      <c r="L122" t="s">
        <v>8642</v>
      </c>
      <c r="M122" s="3" t="str">
        <f>HYPERLINK(склад2въезд13[[#This Row],[RelativePath]])</f>
        <v>4 Крыльцо офиса\K07156189_21_20260105T161054Z.jpg</v>
      </c>
    </row>
    <row r="123" spans="1:13" x14ac:dyDescent="0.25">
      <c r="A123" s="2" t="s">
        <v>14</v>
      </c>
      <c r="B123" s="4">
        <v>46028</v>
      </c>
      <c r="C123" s="5">
        <v>0.58508101851851857</v>
      </c>
      <c r="D123" s="8" t="s">
        <v>4</v>
      </c>
      <c r="E123" s="8" t="s">
        <v>8</v>
      </c>
      <c r="F123" s="8"/>
      <c r="H123" s="8"/>
      <c r="I123" s="8" t="s">
        <v>8643</v>
      </c>
      <c r="J123" s="8" t="s">
        <v>2991</v>
      </c>
      <c r="K123" t="s">
        <v>8644</v>
      </c>
      <c r="L123" t="s">
        <v>8645</v>
      </c>
      <c r="M123" s="3" t="str">
        <f>HYPERLINK(склад2въезд13[[#This Row],[RelativePath]])</f>
        <v>4 Крыльцо офиса\K07156189_21_20260106T140231Z.jpg</v>
      </c>
    </row>
    <row r="124" spans="1:13" x14ac:dyDescent="0.25">
      <c r="A124" s="2" t="s">
        <v>15</v>
      </c>
      <c r="B124" s="4">
        <v>46029</v>
      </c>
      <c r="C124" s="5">
        <v>0.52965277777777775</v>
      </c>
      <c r="D124" s="8" t="s">
        <v>4</v>
      </c>
      <c r="E124" s="8" t="s">
        <v>8</v>
      </c>
      <c r="F124" s="8"/>
      <c r="H124" s="8"/>
      <c r="I124" s="8" t="s">
        <v>8646</v>
      </c>
      <c r="J124" s="8" t="s">
        <v>2991</v>
      </c>
      <c r="K124" t="s">
        <v>8647</v>
      </c>
      <c r="L124" t="s">
        <v>8648</v>
      </c>
      <c r="M124" s="3" t="str">
        <f>HYPERLINK(склад2въезд13[[#This Row],[RelativePath]])</f>
        <v>4 Крыльцо офиса\K07156189_21_20260107T124242Z.jpg</v>
      </c>
    </row>
    <row r="125" spans="1:13" x14ac:dyDescent="0.25">
      <c r="A125" s="2" t="s">
        <v>16</v>
      </c>
      <c r="B125" s="4">
        <v>46030</v>
      </c>
      <c r="C125" s="5">
        <v>0.56579861111111107</v>
      </c>
      <c r="D125" s="8" t="s">
        <v>4</v>
      </c>
      <c r="E125" s="8" t="s">
        <v>8</v>
      </c>
      <c r="F125" s="8"/>
      <c r="H125" s="8"/>
      <c r="I125" s="8" t="s">
        <v>8649</v>
      </c>
      <c r="J125" s="8" t="s">
        <v>2991</v>
      </c>
      <c r="K125" t="s">
        <v>8650</v>
      </c>
      <c r="L125" t="s">
        <v>8651</v>
      </c>
      <c r="M125" s="3" t="str">
        <f>HYPERLINK(склад2въезд13[[#This Row],[RelativePath]])</f>
        <v>4 Крыльцо офиса\K07156189_21_20260108T133445Z.jpg</v>
      </c>
    </row>
    <row r="126" spans="1:13" x14ac:dyDescent="0.25">
      <c r="A126" s="2" t="s">
        <v>16</v>
      </c>
      <c r="B126" s="4">
        <v>46030</v>
      </c>
      <c r="C126" s="5">
        <v>0.74836805555555552</v>
      </c>
      <c r="D126" s="8" t="s">
        <v>4</v>
      </c>
      <c r="E126" s="8" t="s">
        <v>1607</v>
      </c>
      <c r="F126" s="8"/>
      <c r="H126" s="8"/>
      <c r="I126" s="8" t="s">
        <v>8652</v>
      </c>
      <c r="J126" s="8" t="s">
        <v>2991</v>
      </c>
      <c r="K126" t="s">
        <v>8653</v>
      </c>
      <c r="L126" t="s">
        <v>8654</v>
      </c>
      <c r="M126" s="3" t="str">
        <f>HYPERLINK(склад2въезд13[[#This Row],[RelativePath]])</f>
        <v>4 Крыльцо офиса\K07156189_21_20260108T175739Z.jpg</v>
      </c>
    </row>
    <row r="127" spans="1:13" x14ac:dyDescent="0.25">
      <c r="A127" s="2" t="s">
        <v>17</v>
      </c>
      <c r="B127" s="4">
        <v>46031</v>
      </c>
      <c r="C127" s="5">
        <v>0.66954861111111108</v>
      </c>
      <c r="D127" s="8" t="s">
        <v>4</v>
      </c>
      <c r="E127" s="8" t="s">
        <v>8803</v>
      </c>
      <c r="F127" s="8"/>
      <c r="H127" s="8"/>
      <c r="I127" s="8" t="s">
        <v>8655</v>
      </c>
      <c r="J127" s="8" t="s">
        <v>2991</v>
      </c>
      <c r="K127" t="s">
        <v>8656</v>
      </c>
      <c r="L127" t="s">
        <v>8657</v>
      </c>
      <c r="M127" s="3" t="str">
        <f>HYPERLINK(склад2въезд13[[#This Row],[RelativePath]])</f>
        <v>4 Крыльцо офиса\K07156189_21_20260109T160409Z.jpg</v>
      </c>
    </row>
    <row r="128" spans="1:13" x14ac:dyDescent="0.25">
      <c r="A128" s="2" t="s">
        <v>17</v>
      </c>
      <c r="B128" s="4">
        <v>46031</v>
      </c>
      <c r="C128" s="5">
        <v>0.67434027777777783</v>
      </c>
      <c r="D128" s="8" t="s">
        <v>4</v>
      </c>
      <c r="E128" s="8" t="s">
        <v>8803</v>
      </c>
      <c r="F128" s="8"/>
      <c r="H128" s="8"/>
      <c r="I128" s="8" t="s">
        <v>8658</v>
      </c>
      <c r="J128" s="8" t="s">
        <v>2991</v>
      </c>
      <c r="K128" t="s">
        <v>8659</v>
      </c>
      <c r="L128" t="s">
        <v>8660</v>
      </c>
      <c r="M128" s="3" t="str">
        <f>HYPERLINK(склад2въезд13[[#This Row],[RelativePath]])</f>
        <v>4 Крыльцо офиса\K07156189_21_20260109T161103Z.jpg</v>
      </c>
    </row>
    <row r="129" spans="1:13" x14ac:dyDescent="0.25">
      <c r="A129" s="2" t="s">
        <v>18</v>
      </c>
      <c r="B129" s="4">
        <v>46032</v>
      </c>
      <c r="C129" s="5">
        <v>0.52968749999999998</v>
      </c>
      <c r="D129" s="8" t="s">
        <v>1606</v>
      </c>
      <c r="E129" s="8" t="s">
        <v>8801</v>
      </c>
      <c r="F129" s="8"/>
      <c r="H129" s="8"/>
      <c r="I129" s="8" t="s">
        <v>8661</v>
      </c>
      <c r="J129" s="8" t="s">
        <v>2991</v>
      </c>
      <c r="K129" t="s">
        <v>8662</v>
      </c>
      <c r="L129" t="s">
        <v>8663</v>
      </c>
      <c r="M129" s="3" t="str">
        <f>HYPERLINK(склад2въезд13[[#This Row],[RelativePath]])</f>
        <v>4 Крыльцо офиса\K07156189_21_20260110T124245Z.jpg</v>
      </c>
    </row>
    <row r="130" spans="1:13" x14ac:dyDescent="0.25">
      <c r="A130" s="2" t="s">
        <v>18</v>
      </c>
      <c r="B130" s="4">
        <v>46032</v>
      </c>
      <c r="C130" s="5">
        <v>0.54754629629629625</v>
      </c>
      <c r="D130" s="8" t="s">
        <v>1606</v>
      </c>
      <c r="E130" s="8" t="s">
        <v>8802</v>
      </c>
      <c r="F130" s="8"/>
      <c r="H130" s="8"/>
      <c r="I130" s="8" t="s">
        <v>8664</v>
      </c>
      <c r="J130" s="8" t="s">
        <v>2991</v>
      </c>
      <c r="K130" t="s">
        <v>8665</v>
      </c>
      <c r="L130" t="s">
        <v>8666</v>
      </c>
      <c r="M130" s="3" t="str">
        <f>HYPERLINK(склад2въезд13[[#This Row],[RelativePath]])</f>
        <v>4 Крыльцо офиса\K07156189_21_20260110T130828Z.jpg</v>
      </c>
    </row>
    <row r="131" spans="1:13" x14ac:dyDescent="0.25">
      <c r="A131" s="2" t="s">
        <v>18</v>
      </c>
      <c r="B131" s="4">
        <v>46032</v>
      </c>
      <c r="C131" s="5">
        <v>0.68979166666666669</v>
      </c>
      <c r="D131" s="8" t="s">
        <v>650</v>
      </c>
      <c r="E131" s="8" t="s">
        <v>8802</v>
      </c>
      <c r="F131" s="8"/>
      <c r="H131" s="8"/>
      <c r="I131" s="8" t="s">
        <v>8667</v>
      </c>
      <c r="J131" s="8" t="s">
        <v>2991</v>
      </c>
      <c r="K131" t="s">
        <v>8668</v>
      </c>
      <c r="L131" t="s">
        <v>8669</v>
      </c>
      <c r="M131" s="3" t="str">
        <f>HYPERLINK(склад2въезд13[[#This Row],[RelativePath]])</f>
        <v>4 Крыльцо офиса\K07156189_21_20260110T163318Z.jpg</v>
      </c>
    </row>
    <row r="132" spans="1:13" x14ac:dyDescent="0.25">
      <c r="A132" s="2" t="s">
        <v>18</v>
      </c>
      <c r="B132" s="4">
        <v>46032</v>
      </c>
      <c r="C132" s="5">
        <v>0.71287037037037038</v>
      </c>
      <c r="D132" s="8" t="s">
        <v>650</v>
      </c>
      <c r="E132" s="8" t="s">
        <v>8801</v>
      </c>
      <c r="F132" s="8"/>
      <c r="H132" s="8"/>
      <c r="I132" s="8" t="s">
        <v>8670</v>
      </c>
      <c r="J132" s="8" t="s">
        <v>2991</v>
      </c>
      <c r="K132" t="s">
        <v>8671</v>
      </c>
      <c r="L132" t="s">
        <v>8672</v>
      </c>
      <c r="M132" s="3" t="str">
        <f>HYPERLINK(склад2въезд13[[#This Row],[RelativePath]])</f>
        <v>4 Крыльцо офиса\K07156189_21_20260110T170632Z.jpg</v>
      </c>
    </row>
    <row r="133" spans="1:13" x14ac:dyDescent="0.25">
      <c r="A133" s="2" t="s">
        <v>22</v>
      </c>
      <c r="B133" s="4">
        <v>46033</v>
      </c>
      <c r="C133" s="5">
        <v>0.67136574074074074</v>
      </c>
      <c r="D133" s="8" t="s">
        <v>2004</v>
      </c>
      <c r="E133" s="8" t="s">
        <v>8</v>
      </c>
      <c r="F133" s="8"/>
      <c r="H133" s="8"/>
      <c r="I133" s="8" t="s">
        <v>8673</v>
      </c>
      <c r="J133" s="8" t="s">
        <v>2991</v>
      </c>
      <c r="K133" t="s">
        <v>8674</v>
      </c>
      <c r="L133" t="s">
        <v>8675</v>
      </c>
      <c r="M133" s="3" t="str">
        <f>HYPERLINK(склад2въезд13[[#This Row],[RelativePath]])</f>
        <v>4 Крыльцо офиса\K07156189_21_20260111T160646Z.jpg</v>
      </c>
    </row>
    <row r="134" spans="1:13" x14ac:dyDescent="0.25">
      <c r="A134" s="2" t="s">
        <v>22</v>
      </c>
      <c r="B134" s="4">
        <v>46033</v>
      </c>
      <c r="C134" s="5">
        <v>0.78637731481481477</v>
      </c>
      <c r="D134" s="8" t="s">
        <v>4</v>
      </c>
      <c r="E134" s="8" t="s">
        <v>8804</v>
      </c>
      <c r="F134" s="8"/>
      <c r="H134" s="8"/>
      <c r="I134" s="8" t="s">
        <v>8676</v>
      </c>
      <c r="J134" s="8" t="s">
        <v>2991</v>
      </c>
      <c r="K134" t="s">
        <v>8677</v>
      </c>
      <c r="L134" t="s">
        <v>8678</v>
      </c>
      <c r="M134" s="3" t="str">
        <f>HYPERLINK(склад2въезд13[[#This Row],[RelativePath]])</f>
        <v>4 Крыльцо офиса\K07156189_21_20260111T185223Z.jpg</v>
      </c>
    </row>
    <row r="135" spans="1:13" x14ac:dyDescent="0.25">
      <c r="A135" s="2" t="s">
        <v>18</v>
      </c>
      <c r="B135" s="4">
        <v>46004</v>
      </c>
      <c r="C135" s="5">
        <v>0.54593749999999996</v>
      </c>
      <c r="D135" s="8" t="s">
        <v>2004</v>
      </c>
      <c r="E135" s="8" t="s">
        <v>8</v>
      </c>
      <c r="F135" s="8"/>
      <c r="H135" s="8"/>
      <c r="I135" s="8" t="s">
        <v>6161</v>
      </c>
      <c r="J135" s="8" t="s">
        <v>2991</v>
      </c>
      <c r="K135" t="s">
        <v>6162</v>
      </c>
      <c r="L135" t="s">
        <v>6163</v>
      </c>
      <c r="M135" s="3" t="str">
        <f>HYPERLINK(склад2въезд13[[#This Row],[RelativePath]])</f>
        <v>4 Крыльцо офиса\K07156189_21_20251213T130609Z.jpg</v>
      </c>
    </row>
    <row r="136" spans="1:13" x14ac:dyDescent="0.25">
      <c r="A136" s="2" t="s">
        <v>22</v>
      </c>
      <c r="B136" s="4">
        <v>46019</v>
      </c>
      <c r="C136" s="5">
        <v>0.50564814814814818</v>
      </c>
      <c r="D136" s="8" t="s">
        <v>2004</v>
      </c>
      <c r="E136" s="8" t="s">
        <v>8</v>
      </c>
      <c r="F136" s="8"/>
      <c r="H136" s="8"/>
      <c r="I136" s="8" t="s">
        <v>7998</v>
      </c>
      <c r="J136" s="8" t="s">
        <v>2991</v>
      </c>
      <c r="K136" t="s">
        <v>7999</v>
      </c>
      <c r="L136" t="s">
        <v>8000</v>
      </c>
      <c r="M136" s="3" t="str">
        <f>HYPERLINK(склад2въезд13[[#This Row],[RelativePath]])</f>
        <v>4 Крыльцо офиса\K07156189_21_20251228T120808Z.jpg</v>
      </c>
    </row>
  </sheetData>
  <conditionalFormatting sqref="D137:D147 E137:E150 G2:H136 D2:E136">
    <cfRule type="containsText" dxfId="691" priority="14" operator="containsText" text="Выезд с территории">
      <formula>NOT(ISERROR(SEARCH("Выезд с территории",D2)))</formula>
    </cfRule>
  </conditionalFormatting>
  <conditionalFormatting sqref="F2:F136">
    <cfRule type="notContainsText" dxfId="690" priority="13" operator="notContains" text="порожний">
      <formula>ISERROR(SEARCH("порожний",F2))</formula>
    </cfRule>
  </conditionalFormatting>
  <conditionalFormatting sqref="E2:E150">
    <cfRule type="containsText" dxfId="689" priority="11" operator="containsText" text="Газель базы">
      <formula>NOT(ISERROR(SEARCH("Газель базы",E2)))</formula>
    </cfRule>
    <cfRule type="containsText" dxfId="688" priority="12" operator="containsText" text="Погрузчик базы">
      <formula>NOT(ISERROR(SEARCH("Погрузчик базы",E2)))</formula>
    </cfRule>
  </conditionalFormatting>
  <conditionalFormatting sqref="E2:E150">
    <cfRule type="containsText" dxfId="687" priority="10" operator="containsText" text="Трактор базы">
      <formula>NOT(ISERROR(SEARCH("Трактор базы",E2)))</formula>
    </cfRule>
  </conditionalFormatting>
  <conditionalFormatting sqref="A2:C136">
    <cfRule type="expression" dxfId="686" priority="9">
      <formula>$A2="пн"</formula>
    </cfRule>
  </conditionalFormatting>
  <conditionalFormatting sqref="A2:C138">
    <cfRule type="expression" dxfId="685" priority="3">
      <formula>$A2="вс"</formula>
    </cfRule>
    <cfRule type="expression" dxfId="684" priority="4">
      <formula>$A2="сб"</formula>
    </cfRule>
    <cfRule type="expression" dxfId="683" priority="5">
      <formula>$A2="пт"</formula>
    </cfRule>
    <cfRule type="expression" dxfId="682" priority="6">
      <formula>$A2="чт"</formula>
    </cfRule>
    <cfRule type="expression" dxfId="681" priority="7">
      <formula>$A2="ср"</formula>
    </cfRule>
    <cfRule type="expression" dxfId="680" priority="8">
      <formula>$A2="вт"</formula>
    </cfRule>
  </conditionalFormatting>
  <conditionalFormatting sqref="D2:D147">
    <cfRule type="containsText" dxfId="67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47">
    <cfRule type="containsText" dxfId="67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206"/>
  <sheetViews>
    <sheetView zoomScale="90" zoomScaleNormal="90" workbookViewId="0">
      <pane ySplit="1" topLeftCell="A187" activePane="bottomLeft" state="frozen"/>
      <selection pane="bottomLeft" activeCell="I195" sqref="I195:I201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2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39.7109375" bestFit="1" customWidth="1"/>
    <col min="9" max="9" width="36.7109375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s="8" t="s">
        <v>4</v>
      </c>
      <c r="E2" s="8" t="s">
        <v>8</v>
      </c>
      <c r="F2" s="8"/>
      <c r="H2" s="8" t="s">
        <v>5</v>
      </c>
      <c r="I2" s="8" t="s">
        <v>333</v>
      </c>
      <c r="J2" s="8" t="s">
        <v>2982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s="8" t="s">
        <v>460</v>
      </c>
      <c r="E3" s="8" t="s">
        <v>461</v>
      </c>
      <c r="F3" s="8"/>
      <c r="H3" s="8"/>
      <c r="I3" s="8" t="s">
        <v>337</v>
      </c>
      <c r="J3" s="8" t="s">
        <v>2982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s="8" t="s">
        <v>7</v>
      </c>
      <c r="E4" s="8" t="s">
        <v>461</v>
      </c>
      <c r="F4" s="8"/>
      <c r="H4" s="8"/>
      <c r="I4" s="8" t="s">
        <v>340</v>
      </c>
      <c r="J4" s="8" t="s">
        <v>2982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s="8" t="s">
        <v>4</v>
      </c>
      <c r="E5" s="8" t="s">
        <v>463</v>
      </c>
      <c r="F5" s="8"/>
      <c r="H5" s="8"/>
      <c r="I5" s="8" t="s">
        <v>343</v>
      </c>
      <c r="J5" s="8" t="s">
        <v>2982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s="8" t="s">
        <v>4</v>
      </c>
      <c r="E6" s="8" t="s">
        <v>462</v>
      </c>
      <c r="F6" s="8"/>
      <c r="H6" s="8"/>
      <c r="I6" s="8" t="s">
        <v>346</v>
      </c>
      <c r="J6" s="8" t="s">
        <v>2982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s="8" t="s">
        <v>4</v>
      </c>
      <c r="E7" s="8" t="s">
        <v>462</v>
      </c>
      <c r="F7" s="8"/>
      <c r="H7" s="8"/>
      <c r="I7" s="8" t="s">
        <v>349</v>
      </c>
      <c r="J7" s="8" t="s">
        <v>2982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s="8" t="s">
        <v>4</v>
      </c>
      <c r="E8" s="8" t="s">
        <v>463</v>
      </c>
      <c r="F8" s="8"/>
      <c r="H8" s="8"/>
      <c r="I8" s="8" t="s">
        <v>352</v>
      </c>
      <c r="J8" s="8" t="s">
        <v>2982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s="8" t="s">
        <v>4</v>
      </c>
      <c r="E9" s="8" t="s">
        <v>464</v>
      </c>
      <c r="F9" s="8"/>
      <c r="H9" s="8"/>
      <c r="I9" s="8" t="s">
        <v>355</v>
      </c>
      <c r="J9" s="8" t="s">
        <v>2982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s="8" t="s">
        <v>4</v>
      </c>
      <c r="E10" s="8" t="s">
        <v>8</v>
      </c>
      <c r="F10" s="8"/>
      <c r="H10" s="8" t="s">
        <v>5</v>
      </c>
      <c r="I10" s="8" t="s">
        <v>358</v>
      </c>
      <c r="J10" s="8" t="s">
        <v>2982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s="8" t="s">
        <v>4</v>
      </c>
      <c r="E11" s="8" t="s">
        <v>465</v>
      </c>
      <c r="F11" s="8"/>
      <c r="H11" s="8"/>
      <c r="I11" s="8" t="s">
        <v>361</v>
      </c>
      <c r="J11" s="8" t="s">
        <v>2982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s="8" t="s">
        <v>467</v>
      </c>
      <c r="E12" s="8" t="s">
        <v>67</v>
      </c>
      <c r="F12" s="8"/>
      <c r="H12" s="8"/>
      <c r="I12" s="8" t="s">
        <v>364</v>
      </c>
      <c r="J12" s="8" t="s">
        <v>2982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s="8" t="s">
        <v>289</v>
      </c>
      <c r="E13" s="8" t="s">
        <v>67</v>
      </c>
      <c r="F13" s="8" t="s">
        <v>468</v>
      </c>
      <c r="H13" s="8"/>
      <c r="I13" s="8" t="s">
        <v>367</v>
      </c>
      <c r="J13" s="8" t="s">
        <v>2982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s="8" t="s">
        <v>289</v>
      </c>
      <c r="E14" s="8" t="s">
        <v>67</v>
      </c>
      <c r="F14" s="8" t="s">
        <v>468</v>
      </c>
      <c r="H14" s="8"/>
      <c r="I14" s="8" t="s">
        <v>370</v>
      </c>
      <c r="J14" s="8" t="s">
        <v>2982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s="8" t="s">
        <v>289</v>
      </c>
      <c r="E15" s="8" t="s">
        <v>67</v>
      </c>
      <c r="F15" s="8" t="s">
        <v>468</v>
      </c>
      <c r="H15" s="8"/>
      <c r="I15" s="8" t="s">
        <v>373</v>
      </c>
      <c r="J15" s="8" t="s">
        <v>2982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s="8" t="s">
        <v>289</v>
      </c>
      <c r="E16" s="8" t="s">
        <v>67</v>
      </c>
      <c r="F16" s="8" t="s">
        <v>468</v>
      </c>
      <c r="H16" s="8"/>
      <c r="I16" s="8" t="s">
        <v>376</v>
      </c>
      <c r="J16" s="8" t="s">
        <v>2982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s="8" t="s">
        <v>289</v>
      </c>
      <c r="E17" s="8" t="s">
        <v>67</v>
      </c>
      <c r="F17" s="8" t="s">
        <v>468</v>
      </c>
      <c r="H17" s="8"/>
      <c r="I17" s="8" t="s">
        <v>379</v>
      </c>
      <c r="J17" s="8" t="s">
        <v>2982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s="8" t="s">
        <v>289</v>
      </c>
      <c r="E18" s="8" t="s">
        <v>67</v>
      </c>
      <c r="F18" s="8" t="s">
        <v>468</v>
      </c>
      <c r="H18" s="8"/>
      <c r="I18" s="8" t="s">
        <v>382</v>
      </c>
      <c r="J18" s="8" t="s">
        <v>2982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s="8" t="s">
        <v>289</v>
      </c>
      <c r="E19" s="8" t="s">
        <v>67</v>
      </c>
      <c r="F19" s="8" t="s">
        <v>468</v>
      </c>
      <c r="H19" s="8"/>
      <c r="I19" s="8" t="s">
        <v>385</v>
      </c>
      <c r="J19" s="8" t="s">
        <v>2982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s="8" t="s">
        <v>289</v>
      </c>
      <c r="E20" s="8" t="s">
        <v>67</v>
      </c>
      <c r="F20" s="8" t="s">
        <v>468</v>
      </c>
      <c r="H20" s="8"/>
      <c r="I20" s="8" t="s">
        <v>388</v>
      </c>
      <c r="J20" s="8" t="s">
        <v>2982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s="8" t="s">
        <v>289</v>
      </c>
      <c r="E21" s="8" t="s">
        <v>67</v>
      </c>
      <c r="F21" s="8" t="s">
        <v>468</v>
      </c>
      <c r="H21" s="8"/>
      <c r="I21" s="8" t="s">
        <v>391</v>
      </c>
      <c r="J21" s="8" t="s">
        <v>2982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s="8" t="s">
        <v>289</v>
      </c>
      <c r="E22" s="8" t="s">
        <v>67</v>
      </c>
      <c r="F22" s="8" t="s">
        <v>468</v>
      </c>
      <c r="H22" s="8"/>
      <c r="I22" s="8" t="s">
        <v>394</v>
      </c>
      <c r="J22" s="8" t="s">
        <v>2982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s="8" t="s">
        <v>289</v>
      </c>
      <c r="E23" s="8" t="s">
        <v>67</v>
      </c>
      <c r="F23" s="8" t="s">
        <v>468</v>
      </c>
      <c r="H23" s="8"/>
      <c r="I23" s="8" t="s">
        <v>397</v>
      </c>
      <c r="J23" s="8" t="s">
        <v>2982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s="8" t="s">
        <v>289</v>
      </c>
      <c r="E24" s="8" t="s">
        <v>67</v>
      </c>
      <c r="F24" s="8" t="s">
        <v>468</v>
      </c>
      <c r="H24" s="8"/>
      <c r="I24" s="8" t="s">
        <v>400</v>
      </c>
      <c r="J24" s="8" t="s">
        <v>2982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s="8" t="s">
        <v>289</v>
      </c>
      <c r="E25" s="8" t="s">
        <v>67</v>
      </c>
      <c r="F25" s="8" t="s">
        <v>468</v>
      </c>
      <c r="H25" s="8"/>
      <c r="I25" s="8" t="s">
        <v>403</v>
      </c>
      <c r="J25" s="8" t="s">
        <v>2982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s="8" t="s">
        <v>289</v>
      </c>
      <c r="E26" s="8" t="s">
        <v>67</v>
      </c>
      <c r="F26" s="8" t="s">
        <v>468</v>
      </c>
      <c r="H26" s="8"/>
      <c r="I26" s="8" t="s">
        <v>406</v>
      </c>
      <c r="J26" s="8" t="s">
        <v>2982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s="8" t="s">
        <v>289</v>
      </c>
      <c r="E27" s="8" t="s">
        <v>67</v>
      </c>
      <c r="F27" s="8" t="s">
        <v>469</v>
      </c>
      <c r="H27" s="8" t="s">
        <v>470</v>
      </c>
      <c r="I27" s="8" t="s">
        <v>409</v>
      </c>
      <c r="J27" s="8" t="s">
        <v>2982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s="8" t="s">
        <v>471</v>
      </c>
      <c r="E28" s="8" t="s">
        <v>67</v>
      </c>
      <c r="F28" s="8" t="s">
        <v>468</v>
      </c>
      <c r="H28" s="8"/>
      <c r="I28" s="8" t="s">
        <v>412</v>
      </c>
      <c r="J28" s="8" t="s">
        <v>2982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s="8" t="s">
        <v>472</v>
      </c>
      <c r="E29" s="8" t="s">
        <v>67</v>
      </c>
      <c r="F29" s="8" t="s">
        <v>468</v>
      </c>
      <c r="H29" s="8"/>
      <c r="I29" s="8" t="s">
        <v>415</v>
      </c>
      <c r="J29" s="8" t="s">
        <v>2982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s="8" t="s">
        <v>4</v>
      </c>
      <c r="E30" s="8" t="s">
        <v>473</v>
      </c>
      <c r="F30" s="8"/>
      <c r="H30" s="8"/>
      <c r="I30" s="8" t="s">
        <v>418</v>
      </c>
      <c r="J30" s="8" t="s">
        <v>2982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s="8" t="s">
        <v>4</v>
      </c>
      <c r="E31" s="8" t="s">
        <v>8</v>
      </c>
      <c r="F31" s="8"/>
      <c r="H31" s="8" t="s">
        <v>5</v>
      </c>
      <c r="I31" s="8" t="s">
        <v>421</v>
      </c>
      <c r="J31" s="8" t="s">
        <v>2982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s="8" t="s">
        <v>4</v>
      </c>
      <c r="E32" s="8" t="s">
        <v>8</v>
      </c>
      <c r="F32" s="8"/>
      <c r="H32" s="8"/>
      <c r="I32" s="8" t="s">
        <v>424</v>
      </c>
      <c r="J32" s="8" t="s">
        <v>2982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s="8" t="s">
        <v>4</v>
      </c>
      <c r="E33" s="8" t="s">
        <v>477</v>
      </c>
      <c r="F33" s="8"/>
      <c r="H33" s="8" t="s">
        <v>478</v>
      </c>
      <c r="I33" s="8" t="s">
        <v>427</v>
      </c>
      <c r="J33" s="8" t="s">
        <v>2982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s="8" t="s">
        <v>4</v>
      </c>
      <c r="E34" s="8" t="s">
        <v>8</v>
      </c>
      <c r="F34" s="8"/>
      <c r="H34" s="8" t="s">
        <v>5</v>
      </c>
      <c r="I34" s="8" t="s">
        <v>430</v>
      </c>
      <c r="J34" s="8" t="s">
        <v>2982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s="8" t="s">
        <v>4</v>
      </c>
      <c r="E35" s="8" t="s">
        <v>8</v>
      </c>
      <c r="F35" s="8"/>
      <c r="H35" s="8" t="s">
        <v>474</v>
      </c>
      <c r="I35" s="8" t="s">
        <v>433</v>
      </c>
      <c r="J35" s="8" t="s">
        <v>2982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s="8" t="s">
        <v>4</v>
      </c>
      <c r="E36" s="8" t="s">
        <v>8</v>
      </c>
      <c r="F36" s="8"/>
      <c r="H36" s="8"/>
      <c r="I36" s="8" t="s">
        <v>436</v>
      </c>
      <c r="J36" s="8" t="s">
        <v>2982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s="8" t="s">
        <v>4</v>
      </c>
      <c r="E37" s="8" t="s">
        <v>8</v>
      </c>
      <c r="F37" s="8"/>
      <c r="H37" s="8" t="s">
        <v>6</v>
      </c>
      <c r="I37" s="8" t="s">
        <v>439</v>
      </c>
      <c r="J37" s="8" t="s">
        <v>2982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s="8" t="s">
        <v>4</v>
      </c>
      <c r="E38" s="8" t="s">
        <v>8</v>
      </c>
      <c r="F38" s="8"/>
      <c r="H38" s="8" t="s">
        <v>5</v>
      </c>
      <c r="I38" s="8" t="s">
        <v>442</v>
      </c>
      <c r="J38" s="8" t="s">
        <v>2982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s="8" t="s">
        <v>4</v>
      </c>
      <c r="E39" s="8" t="s">
        <v>475</v>
      </c>
      <c r="F39" s="8"/>
      <c r="H39" s="8"/>
      <c r="I39" s="8" t="s">
        <v>445</v>
      </c>
      <c r="J39" s="8" t="s">
        <v>2982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s="8" t="s">
        <v>4</v>
      </c>
      <c r="E40" s="8" t="s">
        <v>475</v>
      </c>
      <c r="F40" s="8"/>
      <c r="H40" s="8"/>
      <c r="I40" s="8" t="s">
        <v>448</v>
      </c>
      <c r="J40" s="8" t="s">
        <v>2982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s="8" t="s">
        <v>4</v>
      </c>
      <c r="E41" s="8" t="s">
        <v>479</v>
      </c>
      <c r="F41" s="8"/>
      <c r="H41" s="8" t="s">
        <v>476</v>
      </c>
      <c r="I41" s="8" t="s">
        <v>451</v>
      </c>
      <c r="J41" s="8" t="s">
        <v>2982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s="8" t="s">
        <v>4</v>
      </c>
      <c r="E42" s="8" t="s">
        <v>8</v>
      </c>
      <c r="F42" s="8"/>
      <c r="H42" s="8"/>
      <c r="I42" s="8" t="s">
        <v>454</v>
      </c>
      <c r="J42" s="8" t="s">
        <v>2982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s="8" t="s">
        <v>4</v>
      </c>
      <c r="E43" s="8" t="s">
        <v>8</v>
      </c>
      <c r="F43" s="8"/>
      <c r="H43" s="8" t="s">
        <v>6</v>
      </c>
      <c r="I43" s="8" t="s">
        <v>457</v>
      </c>
      <c r="J43" s="8" t="s">
        <v>2982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s="8" t="s">
        <v>4</v>
      </c>
      <c r="E44" s="8" t="s">
        <v>8</v>
      </c>
      <c r="F44" s="8"/>
      <c r="H44" s="8" t="s">
        <v>1625</v>
      </c>
      <c r="I44" s="8" t="s">
        <v>1295</v>
      </c>
      <c r="J44" s="8" t="s">
        <v>2982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s="8" t="s">
        <v>4</v>
      </c>
      <c r="E45" s="8" t="s">
        <v>8</v>
      </c>
      <c r="F45" s="8"/>
      <c r="H45" s="8" t="s">
        <v>2009</v>
      </c>
      <c r="I45" s="8" t="s">
        <v>1298</v>
      </c>
      <c r="J45" s="8" t="s">
        <v>2982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s="8" t="s">
        <v>4</v>
      </c>
      <c r="E46" s="8" t="s">
        <v>2014</v>
      </c>
      <c r="F46" s="8"/>
      <c r="H46" s="8" t="s">
        <v>1625</v>
      </c>
      <c r="I46" s="8" t="s">
        <v>1301</v>
      </c>
      <c r="J46" s="8" t="s">
        <v>2982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s="8" t="s">
        <v>4</v>
      </c>
      <c r="E47" s="8" t="s">
        <v>8</v>
      </c>
      <c r="F47" s="8"/>
      <c r="H47" s="8"/>
      <c r="I47" s="8" t="s">
        <v>2094</v>
      </c>
      <c r="J47" s="8" t="s">
        <v>2982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s="8" t="s">
        <v>4</v>
      </c>
      <c r="E48" s="8" t="s">
        <v>8</v>
      </c>
      <c r="F48" s="8"/>
      <c r="H48" s="8"/>
      <c r="I48" s="8" t="s">
        <v>2097</v>
      </c>
      <c r="J48" s="8" t="s">
        <v>2982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s="8" t="s">
        <v>4</v>
      </c>
      <c r="E49" s="8" t="s">
        <v>8</v>
      </c>
      <c r="F49" s="8"/>
      <c r="H49" s="8"/>
      <c r="I49" s="8" t="s">
        <v>2100</v>
      </c>
      <c r="J49" s="8" t="s">
        <v>2982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s="8" t="s">
        <v>4</v>
      </c>
      <c r="E50" s="8" t="s">
        <v>8</v>
      </c>
      <c r="F50" s="8"/>
      <c r="H50" s="8"/>
      <c r="I50" s="8" t="s">
        <v>2103</v>
      </c>
      <c r="J50" s="8" t="s">
        <v>2982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s="8" t="s">
        <v>4</v>
      </c>
      <c r="E51" s="8" t="s">
        <v>8</v>
      </c>
      <c r="F51" s="8"/>
      <c r="H51" s="8"/>
      <c r="I51" s="8" t="s">
        <v>2106</v>
      </c>
      <c r="J51" s="8" t="s">
        <v>2982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s="8" t="s">
        <v>4</v>
      </c>
      <c r="E52" s="8" t="s">
        <v>8</v>
      </c>
      <c r="F52" s="8"/>
      <c r="H52" s="8"/>
      <c r="I52" s="8" t="s">
        <v>2109</v>
      </c>
      <c r="J52" s="8" t="s">
        <v>2982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s="8" t="s">
        <v>4</v>
      </c>
      <c r="E53" s="8" t="s">
        <v>8</v>
      </c>
      <c r="F53" s="8"/>
      <c r="H53" s="8"/>
      <c r="I53" s="8" t="s">
        <v>2112</v>
      </c>
      <c r="J53" s="8" t="s">
        <v>2982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s="8" t="s">
        <v>4</v>
      </c>
      <c r="E54" s="8" t="s">
        <v>8</v>
      </c>
      <c r="F54" s="8"/>
      <c r="H54" s="8"/>
      <c r="I54" s="8" t="s">
        <v>3079</v>
      </c>
      <c r="J54" s="8" t="s">
        <v>2982</v>
      </c>
      <c r="K54" t="s">
        <v>3080</v>
      </c>
      <c r="L54" t="s">
        <v>3081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s="8" t="s">
        <v>4</v>
      </c>
      <c r="E55" s="8" t="s">
        <v>8</v>
      </c>
      <c r="F55" s="8"/>
      <c r="H55" s="8"/>
      <c r="I55" s="8" t="s">
        <v>3082</v>
      </c>
      <c r="J55" s="8" t="s">
        <v>2982</v>
      </c>
      <c r="K55" t="s">
        <v>3083</v>
      </c>
      <c r="L55" t="s">
        <v>3084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s="8" t="s">
        <v>4</v>
      </c>
      <c r="E56" s="8" t="s">
        <v>8</v>
      </c>
      <c r="F56" s="8"/>
      <c r="H56" s="8"/>
      <c r="I56" s="8" t="s">
        <v>3085</v>
      </c>
      <c r="J56" s="8" t="s">
        <v>2982</v>
      </c>
      <c r="K56" t="s">
        <v>3086</v>
      </c>
      <c r="L56" t="s">
        <v>3087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s="8" t="s">
        <v>4</v>
      </c>
      <c r="E57" s="8" t="s">
        <v>8</v>
      </c>
      <c r="F57" s="8"/>
      <c r="H57" s="8"/>
      <c r="I57" s="8" t="s">
        <v>3088</v>
      </c>
      <c r="J57" s="8" t="s">
        <v>2982</v>
      </c>
      <c r="K57" t="s">
        <v>3089</v>
      </c>
      <c r="L57" t="s">
        <v>3090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s="8" t="s">
        <v>4</v>
      </c>
      <c r="E58" s="8" t="s">
        <v>8</v>
      </c>
      <c r="F58" s="8"/>
      <c r="H58" s="8"/>
      <c r="I58" s="8" t="s">
        <v>3091</v>
      </c>
      <c r="J58" s="8" t="s">
        <v>2982</v>
      </c>
      <c r="K58" t="s">
        <v>3092</v>
      </c>
      <c r="L58" t="s">
        <v>3093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s="8" t="s">
        <v>4</v>
      </c>
      <c r="E59" s="8" t="s">
        <v>8</v>
      </c>
      <c r="F59" s="8"/>
      <c r="H59" s="8"/>
      <c r="I59" s="8" t="s">
        <v>3094</v>
      </c>
      <c r="J59" s="8" t="s">
        <v>2982</v>
      </c>
      <c r="K59" t="s">
        <v>3095</v>
      </c>
      <c r="L59" t="s">
        <v>3096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s="8" t="s">
        <v>4</v>
      </c>
      <c r="E60" s="8" t="s">
        <v>8</v>
      </c>
      <c r="F60" s="8"/>
      <c r="H60" s="8"/>
      <c r="I60" s="8" t="s">
        <v>3097</v>
      </c>
      <c r="J60" s="8" t="s">
        <v>2982</v>
      </c>
      <c r="K60" t="s">
        <v>3098</v>
      </c>
      <c r="L60" t="s">
        <v>3099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s="8" t="s">
        <v>4</v>
      </c>
      <c r="E61" s="8" t="s">
        <v>8</v>
      </c>
      <c r="F61" s="8"/>
      <c r="H61" s="8"/>
      <c r="I61" s="8" t="s">
        <v>3100</v>
      </c>
      <c r="J61" s="8" t="s">
        <v>2982</v>
      </c>
      <c r="K61" t="s">
        <v>3101</v>
      </c>
      <c r="L61" t="s">
        <v>3102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s="8" t="s">
        <v>2004</v>
      </c>
      <c r="E62" s="8"/>
      <c r="F62" s="8"/>
      <c r="H62" s="8"/>
      <c r="I62" s="8" t="s">
        <v>4270</v>
      </c>
      <c r="J62" s="8" t="s">
        <v>2982</v>
      </c>
      <c r="K62" t="s">
        <v>4271</v>
      </c>
      <c r="L62" t="s">
        <v>4272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s="8" t="s">
        <v>1094</v>
      </c>
      <c r="E63" s="8" t="s">
        <v>4247</v>
      </c>
      <c r="F63" s="8" t="s">
        <v>58</v>
      </c>
      <c r="H63" s="8" t="s">
        <v>5102</v>
      </c>
      <c r="I63" s="8" t="s">
        <v>5097</v>
      </c>
      <c r="J63" s="8" t="s">
        <v>2982</v>
      </c>
      <c r="K63" t="s">
        <v>5098</v>
      </c>
      <c r="L63" t="s">
        <v>4317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s="8" t="s">
        <v>4</v>
      </c>
      <c r="E64" s="8" t="s">
        <v>8</v>
      </c>
      <c r="F64" s="8"/>
      <c r="H64" s="8"/>
      <c r="I64" s="8" t="s">
        <v>4489</v>
      </c>
      <c r="J64" s="8" t="s">
        <v>2982</v>
      </c>
      <c r="K64" t="s">
        <v>4490</v>
      </c>
      <c r="L64" t="s">
        <v>4491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s="8" t="s">
        <v>1615</v>
      </c>
      <c r="E65" s="8" t="s">
        <v>86</v>
      </c>
      <c r="F65" s="8" t="s">
        <v>200</v>
      </c>
      <c r="H65" s="8"/>
      <c r="I65" s="8" t="s">
        <v>4492</v>
      </c>
      <c r="J65" s="8" t="s">
        <v>2982</v>
      </c>
      <c r="K65" t="s">
        <v>4493</v>
      </c>
      <c r="L65" t="s">
        <v>4494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s="8" t="s">
        <v>4</v>
      </c>
      <c r="E66" s="8" t="s">
        <v>8</v>
      </c>
      <c r="F66" s="8"/>
      <c r="H66" s="8"/>
      <c r="I66" s="8" t="s">
        <v>4495</v>
      </c>
      <c r="J66" s="8" t="s">
        <v>2982</v>
      </c>
      <c r="K66" t="s">
        <v>4496</v>
      </c>
      <c r="L66" t="s">
        <v>4497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s="8" t="s">
        <v>1615</v>
      </c>
      <c r="E67" s="8" t="s">
        <v>86</v>
      </c>
      <c r="F67" s="8" t="s">
        <v>200</v>
      </c>
      <c r="H67" s="8"/>
      <c r="I67" s="8" t="s">
        <v>4498</v>
      </c>
      <c r="J67" s="8" t="s">
        <v>2982</v>
      </c>
      <c r="K67" t="s">
        <v>4499</v>
      </c>
      <c r="L67" t="s">
        <v>4500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s="8" t="s">
        <v>1615</v>
      </c>
      <c r="E68" s="8" t="s">
        <v>86</v>
      </c>
      <c r="F68" s="8" t="s">
        <v>5103</v>
      </c>
      <c r="H68" s="8" t="s">
        <v>5104</v>
      </c>
      <c r="I68" s="8" t="s">
        <v>4501</v>
      </c>
      <c r="J68" s="8" t="s">
        <v>2982</v>
      </c>
      <c r="K68" t="s">
        <v>4502</v>
      </c>
      <c r="L68" t="s">
        <v>4503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s="8" t="s">
        <v>1615</v>
      </c>
      <c r="E69" s="8" t="s">
        <v>86</v>
      </c>
      <c r="F69" s="8" t="s">
        <v>200</v>
      </c>
      <c r="H69" s="8"/>
      <c r="I69" s="8" t="s">
        <v>4504</v>
      </c>
      <c r="J69" s="8" t="s">
        <v>2982</v>
      </c>
      <c r="K69" t="s">
        <v>4505</v>
      </c>
      <c r="L69" t="s">
        <v>4506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s="8" t="s">
        <v>1094</v>
      </c>
      <c r="E70" s="8" t="s">
        <v>4247</v>
      </c>
      <c r="F70" s="8" t="s">
        <v>60</v>
      </c>
      <c r="H70" s="8" t="s">
        <v>5102</v>
      </c>
      <c r="I70" s="8" t="s">
        <v>4507</v>
      </c>
      <c r="J70" s="8" t="s">
        <v>2982</v>
      </c>
      <c r="K70" t="s">
        <v>4508</v>
      </c>
      <c r="L70" t="s">
        <v>4509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s="8" t="s">
        <v>1094</v>
      </c>
      <c r="E71" s="8" t="s">
        <v>4247</v>
      </c>
      <c r="F71" s="8" t="s">
        <v>60</v>
      </c>
      <c r="H71" s="8" t="s">
        <v>2936</v>
      </c>
      <c r="I71" s="8" t="s">
        <v>4510</v>
      </c>
      <c r="J71" s="8" t="s">
        <v>2982</v>
      </c>
      <c r="K71" t="s">
        <v>4511</v>
      </c>
      <c r="L71" t="s">
        <v>4512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s="8" t="s">
        <v>4</v>
      </c>
      <c r="E72" s="8" t="s">
        <v>8</v>
      </c>
      <c r="F72" s="8"/>
      <c r="H72" s="8" t="s">
        <v>2936</v>
      </c>
      <c r="I72" s="8" t="s">
        <v>4513</v>
      </c>
      <c r="J72" s="8" t="s">
        <v>2982</v>
      </c>
      <c r="K72" t="s">
        <v>4514</v>
      </c>
      <c r="L72" t="s">
        <v>4515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s="8" t="s">
        <v>4</v>
      </c>
      <c r="E73" s="8" t="s">
        <v>8</v>
      </c>
      <c r="F73" s="8"/>
      <c r="H73" s="8" t="s">
        <v>2936</v>
      </c>
      <c r="I73" s="8" t="s">
        <v>4516</v>
      </c>
      <c r="J73" s="8" t="s">
        <v>2982</v>
      </c>
      <c r="K73" t="s">
        <v>4517</v>
      </c>
      <c r="L73" t="s">
        <v>4518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s="8" t="s">
        <v>4</v>
      </c>
      <c r="E74" s="8" t="s">
        <v>8</v>
      </c>
      <c r="F74" s="8"/>
      <c r="H74" s="8" t="s">
        <v>2936</v>
      </c>
      <c r="I74" s="8" t="s">
        <v>4519</v>
      </c>
      <c r="J74" s="8" t="s">
        <v>2982</v>
      </c>
      <c r="K74" t="s">
        <v>4520</v>
      </c>
      <c r="L74" t="s">
        <v>4521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s="8" t="s">
        <v>1606</v>
      </c>
      <c r="E75" s="8" t="s">
        <v>70</v>
      </c>
      <c r="F75" s="8"/>
      <c r="H75" s="8"/>
      <c r="I75" s="8" t="s">
        <v>4522</v>
      </c>
      <c r="J75" s="8" t="s">
        <v>2982</v>
      </c>
      <c r="K75" t="s">
        <v>4523</v>
      </c>
      <c r="L75" t="s">
        <v>4524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s="8" t="s">
        <v>290</v>
      </c>
      <c r="E76" s="8" t="s">
        <v>70</v>
      </c>
      <c r="F76" s="8" t="s">
        <v>5093</v>
      </c>
      <c r="H76" s="8"/>
      <c r="I76" s="8" t="s">
        <v>4525</v>
      </c>
      <c r="J76" s="8" t="s">
        <v>2982</v>
      </c>
      <c r="K76" t="s">
        <v>4526</v>
      </c>
      <c r="L76" t="s">
        <v>4527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s="8" t="s">
        <v>466</v>
      </c>
      <c r="E77" s="8" t="s">
        <v>86</v>
      </c>
      <c r="F77" s="8" t="s">
        <v>5093</v>
      </c>
      <c r="H77" s="8"/>
      <c r="I77" s="8" t="s">
        <v>4528</v>
      </c>
      <c r="J77" s="8" t="s">
        <v>2982</v>
      </c>
      <c r="K77" t="s">
        <v>4529</v>
      </c>
      <c r="L77" t="s">
        <v>4530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s="8" t="s">
        <v>1615</v>
      </c>
      <c r="E78" s="8" t="s">
        <v>86</v>
      </c>
      <c r="F78" s="8" t="s">
        <v>5093</v>
      </c>
      <c r="H78" s="8"/>
      <c r="I78" s="8" t="s">
        <v>4531</v>
      </c>
      <c r="J78" s="8" t="s">
        <v>2982</v>
      </c>
      <c r="K78" t="s">
        <v>4532</v>
      </c>
      <c r="L78" t="s">
        <v>4533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s="8" t="s">
        <v>466</v>
      </c>
      <c r="E79" s="8" t="s">
        <v>86</v>
      </c>
      <c r="F79" s="8" t="s">
        <v>5093</v>
      </c>
      <c r="H79" s="8"/>
      <c r="I79" s="8" t="s">
        <v>5099</v>
      </c>
      <c r="J79" s="8" t="s">
        <v>2982</v>
      </c>
      <c r="K79" t="s">
        <v>5100</v>
      </c>
      <c r="L79" t="s">
        <v>5101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s="8" t="s">
        <v>5105</v>
      </c>
      <c r="E80" s="8"/>
      <c r="F80" s="8"/>
      <c r="H80" s="8"/>
      <c r="I80" s="8" t="s">
        <v>4534</v>
      </c>
      <c r="J80" s="8" t="s">
        <v>2982</v>
      </c>
      <c r="K80" t="s">
        <v>4535</v>
      </c>
      <c r="L80" t="s">
        <v>4536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s="8" t="s">
        <v>1615</v>
      </c>
      <c r="E81" s="8" t="s">
        <v>86</v>
      </c>
      <c r="F81" s="8" t="s">
        <v>5093</v>
      </c>
      <c r="H81" s="8"/>
      <c r="I81" s="8" t="s">
        <v>4537</v>
      </c>
      <c r="J81" s="8" t="s">
        <v>2982</v>
      </c>
      <c r="K81" t="s">
        <v>4538</v>
      </c>
      <c r="L81" t="s">
        <v>4539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s="8" t="s">
        <v>4</v>
      </c>
      <c r="E82" s="8" t="s">
        <v>8</v>
      </c>
      <c r="F82" s="8"/>
      <c r="H82" s="8"/>
      <c r="I82" s="8" t="s">
        <v>4540</v>
      </c>
      <c r="J82" s="8" t="s">
        <v>2982</v>
      </c>
      <c r="K82" t="s">
        <v>4541</v>
      </c>
      <c r="L82" t="s">
        <v>4542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s="8" t="s">
        <v>1606</v>
      </c>
      <c r="E83" s="8" t="s">
        <v>70</v>
      </c>
      <c r="F83" s="8"/>
      <c r="H83" s="8"/>
      <c r="I83" s="8" t="s">
        <v>4543</v>
      </c>
      <c r="J83" s="8" t="s">
        <v>2982</v>
      </c>
      <c r="K83" t="s">
        <v>4544</v>
      </c>
      <c r="L83" t="s">
        <v>4545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s="8" t="s">
        <v>1606</v>
      </c>
      <c r="E84" s="8" t="s">
        <v>55</v>
      </c>
      <c r="F84" s="8"/>
      <c r="H84" s="8"/>
      <c r="I84" s="8" t="s">
        <v>4546</v>
      </c>
      <c r="J84" s="8" t="s">
        <v>2982</v>
      </c>
      <c r="K84" t="s">
        <v>4547</v>
      </c>
      <c r="L84" t="s">
        <v>4548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s="8" t="s">
        <v>290</v>
      </c>
      <c r="E85" s="8" t="s">
        <v>70</v>
      </c>
      <c r="F85" s="8" t="s">
        <v>5093</v>
      </c>
      <c r="H85" s="8"/>
      <c r="I85" s="8" t="s">
        <v>4549</v>
      </c>
      <c r="J85" s="8" t="s">
        <v>2982</v>
      </c>
      <c r="K85" t="s">
        <v>4550</v>
      </c>
      <c r="L85" t="s">
        <v>4551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s="8" t="s">
        <v>4</v>
      </c>
      <c r="E86" s="8" t="s">
        <v>8</v>
      </c>
      <c r="F86" s="8"/>
      <c r="H86" s="8"/>
      <c r="I86" s="8" t="s">
        <v>4552</v>
      </c>
      <c r="J86" s="8" t="s">
        <v>2982</v>
      </c>
      <c r="K86" t="s">
        <v>4553</v>
      </c>
      <c r="L86" t="s">
        <v>4554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s="8" t="s">
        <v>2004</v>
      </c>
      <c r="E87" s="8"/>
      <c r="F87" s="8"/>
      <c r="H87" s="8"/>
      <c r="I87" s="8" t="s">
        <v>4555</v>
      </c>
      <c r="J87" s="8" t="s">
        <v>2982</v>
      </c>
      <c r="K87" t="s">
        <v>4556</v>
      </c>
      <c r="L87" t="s">
        <v>4557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s="8" t="s">
        <v>1606</v>
      </c>
      <c r="E88" s="8" t="s">
        <v>5263</v>
      </c>
      <c r="F88" s="8" t="s">
        <v>4233</v>
      </c>
      <c r="H88" s="8"/>
      <c r="I88" s="8" t="s">
        <v>5148</v>
      </c>
      <c r="J88" s="8" t="s">
        <v>2982</v>
      </c>
      <c r="K88" t="s">
        <v>5149</v>
      </c>
      <c r="L88" t="s">
        <v>5150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s="8" t="s">
        <v>289</v>
      </c>
      <c r="E89" s="8" t="s">
        <v>5263</v>
      </c>
      <c r="F89" s="8" t="s">
        <v>5093</v>
      </c>
      <c r="H89" s="8"/>
      <c r="I89" s="8" t="s">
        <v>5151</v>
      </c>
      <c r="J89" s="8" t="s">
        <v>2982</v>
      </c>
      <c r="K89" t="s">
        <v>5152</v>
      </c>
      <c r="L89" t="s">
        <v>5153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s="8" t="s">
        <v>289</v>
      </c>
      <c r="E90" s="8" t="s">
        <v>5263</v>
      </c>
      <c r="F90" s="8" t="s">
        <v>5093</v>
      </c>
      <c r="H90" s="8" t="s">
        <v>2936</v>
      </c>
      <c r="I90" s="8" t="s">
        <v>5154</v>
      </c>
      <c r="J90" s="8" t="s">
        <v>2982</v>
      </c>
      <c r="K90" t="s">
        <v>5155</v>
      </c>
      <c r="L90" t="s">
        <v>5156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s="8" t="s">
        <v>289</v>
      </c>
      <c r="E91" s="8" t="s">
        <v>5263</v>
      </c>
      <c r="F91" s="8" t="s">
        <v>5093</v>
      </c>
      <c r="H91" s="8" t="s">
        <v>2936</v>
      </c>
      <c r="I91" s="8" t="s">
        <v>5157</v>
      </c>
      <c r="J91" s="8" t="s">
        <v>2982</v>
      </c>
      <c r="K91" t="s">
        <v>5158</v>
      </c>
      <c r="L91" t="s">
        <v>5159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s="8" t="s">
        <v>289</v>
      </c>
      <c r="E92" s="8" t="s">
        <v>5263</v>
      </c>
      <c r="F92" s="8" t="s">
        <v>5093</v>
      </c>
      <c r="H92" s="8" t="s">
        <v>2936</v>
      </c>
      <c r="I92" s="8" t="s">
        <v>5160</v>
      </c>
      <c r="J92" s="8" t="s">
        <v>2982</v>
      </c>
      <c r="K92" t="s">
        <v>5161</v>
      </c>
      <c r="L92" t="s">
        <v>5162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s="8" t="s">
        <v>289</v>
      </c>
      <c r="E93" s="8" t="s">
        <v>5263</v>
      </c>
      <c r="F93" s="8" t="s">
        <v>5093</v>
      </c>
      <c r="H93" s="8" t="s">
        <v>2936</v>
      </c>
      <c r="I93" s="8" t="s">
        <v>5163</v>
      </c>
      <c r="J93" s="8" t="s">
        <v>2982</v>
      </c>
      <c r="K93" t="s">
        <v>5164</v>
      </c>
      <c r="L93" t="s">
        <v>5165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s="8" t="s">
        <v>289</v>
      </c>
      <c r="E94" s="8" t="s">
        <v>5263</v>
      </c>
      <c r="F94" s="8" t="s">
        <v>5093</v>
      </c>
      <c r="H94" s="8" t="s">
        <v>2936</v>
      </c>
      <c r="I94" s="8" t="s">
        <v>5166</v>
      </c>
      <c r="J94" s="8" t="s">
        <v>2982</v>
      </c>
      <c r="K94" t="s">
        <v>5167</v>
      </c>
      <c r="L94" t="s">
        <v>5168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s="8" t="s">
        <v>4232</v>
      </c>
      <c r="E95" s="8" t="s">
        <v>5263</v>
      </c>
      <c r="F95" s="8" t="s">
        <v>1609</v>
      </c>
      <c r="H95" s="8"/>
      <c r="I95" s="8" t="s">
        <v>5169</v>
      </c>
      <c r="J95" s="8" t="s">
        <v>2982</v>
      </c>
      <c r="K95" t="s">
        <v>5170</v>
      </c>
      <c r="L95" t="s">
        <v>5171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s="8" t="s">
        <v>650</v>
      </c>
      <c r="E96" s="8" t="s">
        <v>5263</v>
      </c>
      <c r="F96" s="8" t="s">
        <v>1609</v>
      </c>
      <c r="H96" s="8"/>
      <c r="I96" s="8" t="s">
        <v>5172</v>
      </c>
      <c r="J96" s="8" t="s">
        <v>2982</v>
      </c>
      <c r="K96" t="s">
        <v>5173</v>
      </c>
      <c r="L96" t="s">
        <v>5174</v>
      </c>
      <c r="M96" s="3" t="str">
        <f>HYPERLINK(склад2въезд1319[[#This Row],[RelativePath]])</f>
        <v>5 Крыльцо общага\K07156189_22_20251207T160838Z.jpg</v>
      </c>
    </row>
    <row r="97" spans="1:13" x14ac:dyDescent="0.25">
      <c r="A97" s="2" t="s">
        <v>13</v>
      </c>
      <c r="B97" s="4">
        <v>45999</v>
      </c>
      <c r="C97" s="5">
        <v>0.55046296296296293</v>
      </c>
      <c r="D97" s="8" t="s">
        <v>4</v>
      </c>
      <c r="E97" s="8" t="s">
        <v>8</v>
      </c>
      <c r="F97" s="8"/>
      <c r="H97" s="8"/>
      <c r="I97" s="8" t="s">
        <v>5304</v>
      </c>
      <c r="J97" s="8" t="s">
        <v>2982</v>
      </c>
      <c r="K97" t="s">
        <v>5305</v>
      </c>
      <c r="L97" t="s">
        <v>5306</v>
      </c>
      <c r="M97" s="3" t="str">
        <f>HYPERLINK(склад2въезд1319[[#This Row],[RelativePath]])</f>
        <v>5 Крыльцо общага\K07156189_22_20251208T131240Z.jpg</v>
      </c>
    </row>
    <row r="98" spans="1:13" x14ac:dyDescent="0.25">
      <c r="A98" s="2" t="s">
        <v>13</v>
      </c>
      <c r="B98" s="4">
        <v>45999</v>
      </c>
      <c r="C98" s="5">
        <v>0.73291666666666666</v>
      </c>
      <c r="D98" s="8" t="s">
        <v>2004</v>
      </c>
      <c r="E98" s="8" t="s">
        <v>8</v>
      </c>
      <c r="F98" s="8"/>
      <c r="H98" s="8"/>
      <c r="I98" s="8" t="s">
        <v>5307</v>
      </c>
      <c r="J98" s="8" t="s">
        <v>2982</v>
      </c>
      <c r="K98" t="s">
        <v>5308</v>
      </c>
      <c r="L98" t="s">
        <v>5309</v>
      </c>
      <c r="M98" s="3" t="str">
        <f>HYPERLINK(склад2въезд1319[[#This Row],[RelativePath]])</f>
        <v>5 Крыльцо общага\K07156189_22_20251208T173524Z.jpg</v>
      </c>
    </row>
    <row r="99" spans="1:13" x14ac:dyDescent="0.25">
      <c r="A99" s="2" t="s">
        <v>14</v>
      </c>
      <c r="B99" s="4">
        <v>46000</v>
      </c>
      <c r="C99" s="5">
        <v>0.67679398148148151</v>
      </c>
      <c r="D99" s="8" t="s">
        <v>2004</v>
      </c>
      <c r="E99" s="8" t="s">
        <v>8</v>
      </c>
      <c r="F99" s="8"/>
      <c r="H99" s="8"/>
      <c r="I99" s="8" t="s">
        <v>5708</v>
      </c>
      <c r="J99" s="8" t="s">
        <v>2982</v>
      </c>
      <c r="K99" t="s">
        <v>5709</v>
      </c>
      <c r="L99" t="s">
        <v>5710</v>
      </c>
      <c r="M99" s="3" t="str">
        <f>HYPERLINK(склад2въезд1319[[#This Row],[RelativePath]])</f>
        <v>5 Крыльцо общага\K07156189_22_20251209T161435Z.jpg</v>
      </c>
    </row>
    <row r="100" spans="1:13" x14ac:dyDescent="0.25">
      <c r="A100" s="2" t="s">
        <v>15</v>
      </c>
      <c r="B100" s="4">
        <v>46001</v>
      </c>
      <c r="C100" s="5">
        <v>0.46962962962962962</v>
      </c>
      <c r="D100" s="8" t="s">
        <v>4</v>
      </c>
      <c r="E100" s="8" t="s">
        <v>1607</v>
      </c>
      <c r="F100" s="8" t="s">
        <v>6175</v>
      </c>
      <c r="H100" s="8"/>
      <c r="I100" s="8" t="s">
        <v>5711</v>
      </c>
      <c r="J100" s="8" t="s">
        <v>2982</v>
      </c>
      <c r="K100" t="s">
        <v>5712</v>
      </c>
      <c r="L100" t="s">
        <v>5713</v>
      </c>
      <c r="M100" s="3" t="str">
        <f>HYPERLINK(склад2въезд1319[[#This Row],[RelativePath]])</f>
        <v>5 Крыльцо общага\K07156189_22_20251210T111616Z.jpg</v>
      </c>
    </row>
    <row r="101" spans="1:13" x14ac:dyDescent="0.25">
      <c r="A101" s="2" t="s">
        <v>15</v>
      </c>
      <c r="B101" s="4">
        <v>46001</v>
      </c>
      <c r="C101" s="5">
        <v>0.67755787037037041</v>
      </c>
      <c r="D101" s="8" t="s">
        <v>2004</v>
      </c>
      <c r="E101" s="8" t="s">
        <v>8</v>
      </c>
      <c r="F101" s="8"/>
      <c r="H101" s="8"/>
      <c r="I101" s="8" t="s">
        <v>5714</v>
      </c>
      <c r="J101" s="8" t="s">
        <v>2982</v>
      </c>
      <c r="K101" t="s">
        <v>5715</v>
      </c>
      <c r="L101" t="s">
        <v>5716</v>
      </c>
      <c r="M101" s="3" t="str">
        <f>HYPERLINK(склад2въезд1319[[#This Row],[RelativePath]])</f>
        <v>5 Крыльцо общага\K07156189_22_20251210T161541Z.jpg</v>
      </c>
    </row>
    <row r="102" spans="1:13" x14ac:dyDescent="0.25">
      <c r="A102" s="2" t="s">
        <v>16</v>
      </c>
      <c r="B102" s="4">
        <v>46002</v>
      </c>
      <c r="C102" s="5">
        <v>0.71579861111111109</v>
      </c>
      <c r="D102" s="8" t="s">
        <v>2004</v>
      </c>
      <c r="E102" s="8" t="s">
        <v>8</v>
      </c>
      <c r="F102" s="8"/>
      <c r="H102" s="8"/>
      <c r="I102" s="8" t="s">
        <v>5855</v>
      </c>
      <c r="J102" s="8" t="s">
        <v>2982</v>
      </c>
      <c r="K102" t="s">
        <v>5856</v>
      </c>
      <c r="L102" t="s">
        <v>5857</v>
      </c>
      <c r="M102" s="3" t="str">
        <f>HYPERLINK(склад2въезд1319[[#This Row],[RelativePath]])</f>
        <v>5 Крыльцо общага\K07156189_22_20251211T171045Z.jpg</v>
      </c>
    </row>
    <row r="103" spans="1:13" x14ac:dyDescent="0.25">
      <c r="A103" s="2" t="s">
        <v>17</v>
      </c>
      <c r="B103" s="4">
        <v>46003</v>
      </c>
      <c r="C103" s="5">
        <v>0.42681712962962964</v>
      </c>
      <c r="D103" s="8" t="s">
        <v>4</v>
      </c>
      <c r="E103" s="8" t="s">
        <v>55</v>
      </c>
      <c r="F103" s="8" t="s">
        <v>51</v>
      </c>
      <c r="H103" s="8"/>
      <c r="I103" s="8" t="s">
        <v>5858</v>
      </c>
      <c r="J103" s="8" t="s">
        <v>2982</v>
      </c>
      <c r="K103" t="s">
        <v>5859</v>
      </c>
      <c r="L103" t="s">
        <v>5860</v>
      </c>
      <c r="M103" s="3" t="str">
        <f>HYPERLINK(склад2въезд1319[[#This Row],[RelativePath]])</f>
        <v>5 Крыльцо общага\K07156189_22_20251212T101437Z.jpg</v>
      </c>
    </row>
    <row r="104" spans="1:13" x14ac:dyDescent="0.25">
      <c r="A104" s="2" t="s">
        <v>17</v>
      </c>
      <c r="B104" s="4">
        <v>46003</v>
      </c>
      <c r="C104" s="5">
        <v>0.44232638888888887</v>
      </c>
      <c r="D104" s="8" t="s">
        <v>650</v>
      </c>
      <c r="E104" s="8" t="s">
        <v>55</v>
      </c>
      <c r="F104" s="8" t="s">
        <v>51</v>
      </c>
      <c r="H104" s="8" t="s">
        <v>6176</v>
      </c>
      <c r="I104" s="8" t="s">
        <v>5861</v>
      </c>
      <c r="J104" s="8" t="s">
        <v>2982</v>
      </c>
      <c r="K104" t="s">
        <v>5862</v>
      </c>
      <c r="L104" t="s">
        <v>5863</v>
      </c>
      <c r="M104" s="3" t="str">
        <f>HYPERLINK(склад2въезд1319[[#This Row],[RelativePath]])</f>
        <v>5 Крыльцо общага\K07156189_22_20251212T103657Z.jpg</v>
      </c>
    </row>
    <row r="105" spans="1:13" x14ac:dyDescent="0.25">
      <c r="A105" s="2" t="s">
        <v>17</v>
      </c>
      <c r="B105" s="4">
        <v>46003</v>
      </c>
      <c r="C105" s="5">
        <v>0.70789351851851856</v>
      </c>
      <c r="D105" s="8" t="s">
        <v>4</v>
      </c>
      <c r="E105" s="8" t="s">
        <v>8</v>
      </c>
      <c r="F105" s="8"/>
      <c r="H105" s="8"/>
      <c r="I105" s="8" t="s">
        <v>5864</v>
      </c>
      <c r="J105" s="8" t="s">
        <v>2982</v>
      </c>
      <c r="K105" t="s">
        <v>5865</v>
      </c>
      <c r="L105" t="s">
        <v>5866</v>
      </c>
      <c r="M105" s="3" t="str">
        <f>HYPERLINK(склад2въезд1319[[#This Row],[RelativePath]])</f>
        <v>5 Крыльцо общага\K07156189_22_20251212T165922Z.jpg</v>
      </c>
    </row>
    <row r="106" spans="1:13" x14ac:dyDescent="0.25">
      <c r="A106" s="2" t="s">
        <v>18</v>
      </c>
      <c r="B106" s="4">
        <v>46004</v>
      </c>
      <c r="C106" s="5">
        <v>0.72607638888888892</v>
      </c>
      <c r="D106" s="8" t="s">
        <v>2004</v>
      </c>
      <c r="E106" s="8" t="s">
        <v>8</v>
      </c>
      <c r="F106" s="8"/>
      <c r="H106" s="8"/>
      <c r="I106" s="8" t="s">
        <v>6074</v>
      </c>
      <c r="J106" s="8" t="s">
        <v>2982</v>
      </c>
      <c r="K106" t="s">
        <v>6075</v>
      </c>
      <c r="L106" t="s">
        <v>6076</v>
      </c>
      <c r="M106" s="3" t="str">
        <f>HYPERLINK(склад2въезд1319[[#This Row],[RelativePath]])</f>
        <v>5 Крыльцо общага\K07156189_22_20251213T172533Z.jpg</v>
      </c>
    </row>
    <row r="107" spans="1:13" x14ac:dyDescent="0.25">
      <c r="A107" s="2" t="s">
        <v>22</v>
      </c>
      <c r="B107" s="4">
        <v>46005</v>
      </c>
      <c r="C107" s="5">
        <v>0.69568287037037035</v>
      </c>
      <c r="D107" s="8" t="s">
        <v>2004</v>
      </c>
      <c r="E107" s="8" t="s">
        <v>8</v>
      </c>
      <c r="F107" s="8"/>
      <c r="H107" s="8"/>
      <c r="I107" s="8" t="s">
        <v>6204</v>
      </c>
      <c r="J107" s="8" t="s">
        <v>2982</v>
      </c>
      <c r="K107" t="s">
        <v>6205</v>
      </c>
      <c r="L107" t="s">
        <v>6206</v>
      </c>
      <c r="M107" s="3" t="str">
        <f>HYPERLINK(склад2въезд1319[[#This Row],[RelativePath]])</f>
        <v>5 Крыльцо общага\K07156189_22_20251214T164147Z.jpg</v>
      </c>
    </row>
    <row r="108" spans="1:13" x14ac:dyDescent="0.25">
      <c r="A108" s="2" t="s">
        <v>13</v>
      </c>
      <c r="B108" s="4">
        <v>46006</v>
      </c>
      <c r="C108" s="5">
        <v>0.53778935185185184</v>
      </c>
      <c r="D108" s="8" t="s">
        <v>1606</v>
      </c>
      <c r="E108" s="8" t="s">
        <v>70</v>
      </c>
      <c r="F108" s="8"/>
      <c r="H108" s="8"/>
      <c r="I108" s="8" t="s">
        <v>6313</v>
      </c>
      <c r="J108" s="8" t="s">
        <v>2982</v>
      </c>
      <c r="K108" t="s">
        <v>6314</v>
      </c>
      <c r="L108" t="s">
        <v>6315</v>
      </c>
      <c r="M108" s="3" t="str">
        <f>HYPERLINK(склад2въезд1319[[#This Row],[RelativePath]])</f>
        <v>5 Крыльцо общага\K07156189_22_20251215T125425Z.jpg</v>
      </c>
    </row>
    <row r="109" spans="1:13" x14ac:dyDescent="0.25">
      <c r="A109" s="2" t="s">
        <v>13</v>
      </c>
      <c r="B109" s="4">
        <v>46006</v>
      </c>
      <c r="C109" s="5">
        <v>0.54005787037037034</v>
      </c>
      <c r="D109" s="8" t="s">
        <v>4</v>
      </c>
      <c r="E109" s="8" t="s">
        <v>6341</v>
      </c>
      <c r="F109" s="8"/>
      <c r="H109" s="8"/>
      <c r="I109" s="8" t="s">
        <v>6316</v>
      </c>
      <c r="J109" s="8" t="s">
        <v>2982</v>
      </c>
      <c r="K109" t="s">
        <v>6317</v>
      </c>
      <c r="L109" t="s">
        <v>6318</v>
      </c>
      <c r="M109" s="3" t="str">
        <f>HYPERLINK(склад2въезд1319[[#This Row],[RelativePath]])</f>
        <v>5 Крыльцо общага\K07156189_22_20251215T125741Z.jpg</v>
      </c>
    </row>
    <row r="110" spans="1:13" x14ac:dyDescent="0.25">
      <c r="A110" s="2" t="s">
        <v>14</v>
      </c>
      <c r="B110" s="4">
        <v>46007</v>
      </c>
      <c r="C110" s="5">
        <v>0.73010416666666667</v>
      </c>
      <c r="D110" s="8" t="s">
        <v>2004</v>
      </c>
      <c r="E110" s="8" t="s">
        <v>8</v>
      </c>
      <c r="F110" s="8"/>
      <c r="H110" s="8"/>
      <c r="I110" s="8" t="s">
        <v>6563</v>
      </c>
      <c r="J110" s="8" t="s">
        <v>2982</v>
      </c>
      <c r="K110" t="s">
        <v>6564</v>
      </c>
      <c r="L110" t="s">
        <v>6565</v>
      </c>
      <c r="M110" s="3" t="str">
        <f>HYPERLINK(склад2въезд1319[[#This Row],[RelativePath]])</f>
        <v>5 Крыльцо общага\K07156189_22_20251216T173121Z.jpg</v>
      </c>
    </row>
    <row r="111" spans="1:13" x14ac:dyDescent="0.25">
      <c r="A111" s="2" t="s">
        <v>15</v>
      </c>
      <c r="B111" s="4">
        <v>46008</v>
      </c>
      <c r="C111" s="5">
        <v>0.67895833333333333</v>
      </c>
      <c r="D111" s="8" t="s">
        <v>2004</v>
      </c>
      <c r="E111" s="8" t="s">
        <v>8</v>
      </c>
      <c r="F111" s="8"/>
      <c r="H111" s="8"/>
      <c r="I111" s="8" t="s">
        <v>6712</v>
      </c>
      <c r="J111" s="8" t="s">
        <v>2982</v>
      </c>
      <c r="K111" t="s">
        <v>6713</v>
      </c>
      <c r="L111" t="s">
        <v>6714</v>
      </c>
      <c r="M111" s="3" t="str">
        <f>HYPERLINK(склад2въезд1319[[#This Row],[RelativePath]])</f>
        <v>5 Крыльцо общага\K07156189_22_20251217T161742Z.jpg</v>
      </c>
    </row>
    <row r="112" spans="1:13" x14ac:dyDescent="0.25">
      <c r="A112" s="2" t="s">
        <v>16</v>
      </c>
      <c r="B112" s="4">
        <v>46009</v>
      </c>
      <c r="C112" s="5">
        <v>0.4611574074074074</v>
      </c>
      <c r="D112" s="8" t="s">
        <v>4</v>
      </c>
      <c r="E112" s="8" t="s">
        <v>8</v>
      </c>
      <c r="F112" s="8"/>
      <c r="H112" s="8"/>
      <c r="I112" s="8" t="s">
        <v>7139</v>
      </c>
      <c r="J112" s="8" t="s">
        <v>2982</v>
      </c>
      <c r="K112" t="s">
        <v>7140</v>
      </c>
      <c r="L112" t="s">
        <v>7141</v>
      </c>
      <c r="M112" s="3" t="str">
        <f>HYPERLINK(склад2въезд1319[[#This Row],[RelativePath]])</f>
        <v>5 Крыльцо общага\K07156189_22_20251218T110404Z.jpg</v>
      </c>
    </row>
    <row r="113" spans="1:13" x14ac:dyDescent="0.25">
      <c r="A113" s="2" t="s">
        <v>16</v>
      </c>
      <c r="B113" s="4">
        <v>46009</v>
      </c>
      <c r="C113" s="5">
        <v>0.57344907407407408</v>
      </c>
      <c r="D113" s="8" t="s">
        <v>651</v>
      </c>
      <c r="E113" s="8" t="s">
        <v>4247</v>
      </c>
      <c r="F113" s="8"/>
      <c r="H113" s="8"/>
      <c r="I113" s="8" t="s">
        <v>7142</v>
      </c>
      <c r="J113" s="8" t="s">
        <v>2982</v>
      </c>
      <c r="K113" t="s">
        <v>7143</v>
      </c>
      <c r="L113" t="s">
        <v>7144</v>
      </c>
      <c r="M113" s="3" t="str">
        <f>HYPERLINK(склад2въезд1319[[#This Row],[RelativePath]])</f>
        <v>5 Крыльцо общага\K07156189_22_20251218T134546Z.jpg</v>
      </c>
    </row>
    <row r="114" spans="1:13" x14ac:dyDescent="0.25">
      <c r="A114" s="2" t="s">
        <v>16</v>
      </c>
      <c r="B114" s="4">
        <v>46009</v>
      </c>
      <c r="C114" s="5">
        <v>0.63399305555555552</v>
      </c>
      <c r="D114" s="8" t="s">
        <v>12</v>
      </c>
      <c r="E114" s="8" t="s">
        <v>1607</v>
      </c>
      <c r="F114" s="8"/>
      <c r="H114" s="8"/>
      <c r="I114" s="8" t="s">
        <v>7145</v>
      </c>
      <c r="J114" s="8" t="s">
        <v>2982</v>
      </c>
      <c r="K114" t="s">
        <v>7146</v>
      </c>
      <c r="L114" t="s">
        <v>7147</v>
      </c>
      <c r="M114" s="3" t="str">
        <f>HYPERLINK(склад2въезд1319[[#This Row],[RelativePath]])</f>
        <v>5 Крыльцо общага\K07156189_22_20251218T151257Z.jpg</v>
      </c>
    </row>
    <row r="115" spans="1:13" x14ac:dyDescent="0.25">
      <c r="A115" s="2" t="s">
        <v>16</v>
      </c>
      <c r="B115" s="4">
        <v>46009</v>
      </c>
      <c r="C115" s="5">
        <v>0.70430555555555552</v>
      </c>
      <c r="D115" s="8" t="s">
        <v>4</v>
      </c>
      <c r="E115" s="8" t="s">
        <v>8</v>
      </c>
      <c r="F115" s="8"/>
      <c r="H115" s="8"/>
      <c r="I115" s="8" t="s">
        <v>7148</v>
      </c>
      <c r="J115" s="8" t="s">
        <v>2982</v>
      </c>
      <c r="K115" t="s">
        <v>7149</v>
      </c>
      <c r="L115" t="s">
        <v>7150</v>
      </c>
      <c r="M115" s="3" t="str">
        <f>HYPERLINK(склад2въезд1319[[#This Row],[RelativePath]])</f>
        <v>5 Крыльцо общага\K07156189_22_20251218T165412Z.jpg</v>
      </c>
    </row>
    <row r="116" spans="1:13" x14ac:dyDescent="0.25">
      <c r="A116" s="2" t="s">
        <v>17</v>
      </c>
      <c r="B116" s="4">
        <v>46010</v>
      </c>
      <c r="C116" s="5">
        <v>0.74128472222222219</v>
      </c>
      <c r="D116" s="8" t="s">
        <v>2004</v>
      </c>
      <c r="E116" s="8" t="s">
        <v>8</v>
      </c>
      <c r="F116" s="8"/>
      <c r="H116" s="8"/>
      <c r="I116" s="8" t="s">
        <v>7151</v>
      </c>
      <c r="J116" s="8" t="s">
        <v>2982</v>
      </c>
      <c r="K116" t="s">
        <v>7152</v>
      </c>
      <c r="L116" t="s">
        <v>7153</v>
      </c>
      <c r="M116" s="3" t="str">
        <f>HYPERLINK(склад2въезд1319[[#This Row],[RelativePath]])</f>
        <v>5 Крыльцо общага\K07156189_22_20251219T174727Z.jpg</v>
      </c>
    </row>
    <row r="117" spans="1:13" x14ac:dyDescent="0.25">
      <c r="A117" s="2" t="s">
        <v>18</v>
      </c>
      <c r="B117" s="4">
        <v>46011</v>
      </c>
      <c r="C117" s="5">
        <v>0.61216435185185181</v>
      </c>
      <c r="D117" s="8" t="s">
        <v>2004</v>
      </c>
      <c r="E117" s="8" t="s">
        <v>8</v>
      </c>
      <c r="F117" s="8"/>
      <c r="H117" s="8"/>
      <c r="I117" s="8" t="s">
        <v>7154</v>
      </c>
      <c r="J117" s="8" t="s">
        <v>2982</v>
      </c>
      <c r="K117" t="s">
        <v>7155</v>
      </c>
      <c r="L117" t="s">
        <v>7156</v>
      </c>
      <c r="M117" s="3" t="str">
        <f>HYPERLINK(склад2въезд1319[[#This Row],[RelativePath]])</f>
        <v>5 Крыльцо общага\K07156189_22_20251220T144131Z.jpg</v>
      </c>
    </row>
    <row r="118" spans="1:13" x14ac:dyDescent="0.25">
      <c r="A118" s="2" t="s">
        <v>22</v>
      </c>
      <c r="B118" s="4">
        <v>46012</v>
      </c>
      <c r="C118" s="5">
        <v>0.72064814814814815</v>
      </c>
      <c r="D118" s="8" t="s">
        <v>2004</v>
      </c>
      <c r="E118" s="8" t="s">
        <v>8</v>
      </c>
      <c r="F118" s="8"/>
      <c r="H118" s="8"/>
      <c r="I118" s="8" t="s">
        <v>7172</v>
      </c>
      <c r="J118" s="8" t="s">
        <v>2982</v>
      </c>
      <c r="K118" t="s">
        <v>7173</v>
      </c>
      <c r="L118" t="s">
        <v>7174</v>
      </c>
      <c r="M118" s="3" t="str">
        <f>HYPERLINK(склад2въезд1319[[#This Row],[RelativePath]])</f>
        <v>5 Крыльцо общага\K07156189_22_20251221T171744Z.jpg</v>
      </c>
    </row>
    <row r="119" spans="1:13" x14ac:dyDescent="0.25">
      <c r="A119" s="2" t="s">
        <v>13</v>
      </c>
      <c r="B119" s="4">
        <v>46013</v>
      </c>
      <c r="C119" s="5">
        <v>0.56562500000000004</v>
      </c>
      <c r="D119" s="8" t="s">
        <v>12</v>
      </c>
      <c r="E119" s="8" t="s">
        <v>1607</v>
      </c>
      <c r="F119" s="8"/>
      <c r="H119" s="8"/>
      <c r="I119" s="8" t="s">
        <v>7317</v>
      </c>
      <c r="J119" s="8" t="s">
        <v>2982</v>
      </c>
      <c r="K119" t="s">
        <v>7318</v>
      </c>
      <c r="L119" t="s">
        <v>7319</v>
      </c>
      <c r="M119" s="3" t="str">
        <f>HYPERLINK(склад2въезд1319[[#This Row],[RelativePath]])</f>
        <v>5 Крыльцо общага\K07156189_22_20251222T133430Z.jpg</v>
      </c>
    </row>
    <row r="120" spans="1:13" x14ac:dyDescent="0.25">
      <c r="A120" s="2" t="s">
        <v>13</v>
      </c>
      <c r="B120" s="4">
        <v>46013</v>
      </c>
      <c r="C120" s="5">
        <v>0.73623842592592592</v>
      </c>
      <c r="D120" s="8" t="s">
        <v>2004</v>
      </c>
      <c r="E120" s="8" t="s">
        <v>8</v>
      </c>
      <c r="F120" s="8"/>
      <c r="H120" s="8"/>
      <c r="I120" s="8" t="s">
        <v>7320</v>
      </c>
      <c r="J120" s="8" t="s">
        <v>2982</v>
      </c>
      <c r="K120" t="s">
        <v>7321</v>
      </c>
      <c r="L120" t="s">
        <v>7322</v>
      </c>
      <c r="M120" s="3" t="str">
        <f>HYPERLINK(склад2въезд1319[[#This Row],[RelativePath]])</f>
        <v>5 Крыльцо общага\K07156189_22_20251222T174011Z.jpg</v>
      </c>
    </row>
    <row r="121" spans="1:13" x14ac:dyDescent="0.25">
      <c r="A121" s="2" t="s">
        <v>14</v>
      </c>
      <c r="B121" s="4">
        <v>46014</v>
      </c>
      <c r="C121" s="5">
        <v>0.71311342592592597</v>
      </c>
      <c r="D121" s="8" t="s">
        <v>2004</v>
      </c>
      <c r="E121" s="8" t="s">
        <v>8</v>
      </c>
      <c r="F121" s="8"/>
      <c r="H121" s="8"/>
      <c r="I121" s="8" t="s">
        <v>7323</v>
      </c>
      <c r="J121" s="8" t="s">
        <v>2982</v>
      </c>
      <c r="K121" t="s">
        <v>7324</v>
      </c>
      <c r="L121" t="s">
        <v>7325</v>
      </c>
      <c r="M121" s="3" t="str">
        <f>HYPERLINK(склад2въезд1319[[#This Row],[RelativePath]])</f>
        <v>5 Крыльцо общага\K07156189_22_20251223T170653Z.jpg</v>
      </c>
    </row>
    <row r="122" spans="1:13" x14ac:dyDescent="0.25">
      <c r="A122" s="2" t="s">
        <v>14</v>
      </c>
      <c r="B122" s="4">
        <v>46014</v>
      </c>
      <c r="C122" s="5">
        <v>0.76155092592592588</v>
      </c>
      <c r="D122" s="8" t="s">
        <v>4216</v>
      </c>
      <c r="E122" s="8" t="s">
        <v>7410</v>
      </c>
      <c r="F122" s="8" t="s">
        <v>60</v>
      </c>
      <c r="H122" s="8"/>
      <c r="I122" s="8" t="s">
        <v>7326</v>
      </c>
      <c r="J122" s="8" t="s">
        <v>2982</v>
      </c>
      <c r="K122" t="s">
        <v>7327</v>
      </c>
      <c r="L122" t="s">
        <v>7328</v>
      </c>
      <c r="M122" s="3" t="str">
        <f>HYPERLINK(склад2въезд1319[[#This Row],[RelativePath]])</f>
        <v>5 Крыльцо общага\K07156189_22_20251223T181638Z.jpg</v>
      </c>
    </row>
    <row r="123" spans="1:13" x14ac:dyDescent="0.25">
      <c r="A123" s="2" t="s">
        <v>14</v>
      </c>
      <c r="B123" s="4">
        <v>46014</v>
      </c>
      <c r="C123" s="5">
        <v>0.7619097222222222</v>
      </c>
      <c r="D123" s="8" t="s">
        <v>4216</v>
      </c>
      <c r="E123" s="8" t="s">
        <v>7410</v>
      </c>
      <c r="F123" s="8" t="s">
        <v>60</v>
      </c>
      <c r="H123" s="8"/>
      <c r="I123" s="8" t="s">
        <v>7329</v>
      </c>
      <c r="J123" s="8" t="s">
        <v>2982</v>
      </c>
      <c r="K123" t="s">
        <v>7330</v>
      </c>
      <c r="L123" t="s">
        <v>7331</v>
      </c>
      <c r="M123" s="3" t="str">
        <f>HYPERLINK(склад2въезд1319[[#This Row],[RelativePath]])</f>
        <v>5 Крыльцо общага\K07156189_22_20251223T181709Z.jpg</v>
      </c>
    </row>
    <row r="124" spans="1:13" x14ac:dyDescent="0.25">
      <c r="A124" s="2" t="s">
        <v>14</v>
      </c>
      <c r="B124" s="4">
        <v>46014</v>
      </c>
      <c r="C124" s="5">
        <v>0.77127314814814818</v>
      </c>
      <c r="D124" s="8" t="s">
        <v>290</v>
      </c>
      <c r="E124" s="8" t="s">
        <v>86</v>
      </c>
      <c r="F124" s="8" t="s">
        <v>60</v>
      </c>
      <c r="G124">
        <v>4</v>
      </c>
      <c r="H124" s="8"/>
      <c r="I124" s="8" t="s">
        <v>7332</v>
      </c>
      <c r="J124" s="8" t="s">
        <v>2982</v>
      </c>
      <c r="K124" t="s">
        <v>7333</v>
      </c>
      <c r="L124" t="s">
        <v>7334</v>
      </c>
      <c r="M124" s="3" t="str">
        <f>HYPERLINK(склад2въезд1319[[#This Row],[RelativePath]])</f>
        <v>5 Крыльцо общага\K07156189_22_20251223T183038Z.jpg</v>
      </c>
    </row>
    <row r="125" spans="1:13" x14ac:dyDescent="0.25">
      <c r="A125" s="2" t="s">
        <v>14</v>
      </c>
      <c r="B125" s="4">
        <v>46014</v>
      </c>
      <c r="C125" s="5">
        <v>0.77180555555555552</v>
      </c>
      <c r="D125" s="8" t="s">
        <v>1094</v>
      </c>
      <c r="E125" s="8" t="s">
        <v>86</v>
      </c>
      <c r="F125" s="8" t="s">
        <v>60</v>
      </c>
      <c r="H125" s="8" t="s">
        <v>476</v>
      </c>
      <c r="I125" s="8" t="s">
        <v>7335</v>
      </c>
      <c r="J125" s="8" t="s">
        <v>2982</v>
      </c>
      <c r="K125" t="s">
        <v>7336</v>
      </c>
      <c r="L125" t="s">
        <v>7337</v>
      </c>
      <c r="M125" s="3" t="str">
        <f>HYPERLINK(склад2въезд1319[[#This Row],[RelativePath]])</f>
        <v>5 Крыльцо общага\K07156189_22_20251223T183124Z.jpg</v>
      </c>
    </row>
    <row r="126" spans="1:13" x14ac:dyDescent="0.25">
      <c r="A126" s="2" t="s">
        <v>14</v>
      </c>
      <c r="B126" s="4">
        <v>46014</v>
      </c>
      <c r="C126" s="5">
        <v>0.77366898148148144</v>
      </c>
      <c r="D126" s="8" t="s">
        <v>290</v>
      </c>
      <c r="E126" s="8" t="s">
        <v>86</v>
      </c>
      <c r="F126" s="8" t="s">
        <v>60</v>
      </c>
      <c r="G126">
        <v>1</v>
      </c>
      <c r="H126" s="8"/>
      <c r="I126" s="8" t="s">
        <v>7338</v>
      </c>
      <c r="J126" s="8" t="s">
        <v>2982</v>
      </c>
      <c r="K126" t="s">
        <v>7339</v>
      </c>
      <c r="L126" t="s">
        <v>7340</v>
      </c>
      <c r="M126" s="3" t="str">
        <f>HYPERLINK(склад2въезд1319[[#This Row],[RelativePath]])</f>
        <v>5 Крыльцо общага\K07156189_22_20251223T183405Z.jpg</v>
      </c>
    </row>
    <row r="127" spans="1:13" x14ac:dyDescent="0.25">
      <c r="A127" s="2" t="s">
        <v>14</v>
      </c>
      <c r="B127" s="4">
        <v>46014</v>
      </c>
      <c r="C127" s="5">
        <v>0.77568287037037043</v>
      </c>
      <c r="D127" s="8" t="s">
        <v>290</v>
      </c>
      <c r="E127" s="8" t="s">
        <v>86</v>
      </c>
      <c r="F127" s="8" t="s">
        <v>60</v>
      </c>
      <c r="G127">
        <v>4</v>
      </c>
      <c r="H127" s="8"/>
      <c r="I127" s="8" t="s">
        <v>7341</v>
      </c>
      <c r="J127" s="8" t="s">
        <v>2982</v>
      </c>
      <c r="K127" t="s">
        <v>7342</v>
      </c>
      <c r="L127" t="s">
        <v>7343</v>
      </c>
      <c r="M127" s="3" t="str">
        <f>HYPERLINK(склад2въезд1319[[#This Row],[RelativePath]])</f>
        <v>5 Крыльцо общага\K07156189_22_20251223T183659Z.jpg</v>
      </c>
    </row>
    <row r="128" spans="1:13" x14ac:dyDescent="0.25">
      <c r="A128" s="2" t="s">
        <v>14</v>
      </c>
      <c r="B128" s="4">
        <v>46014</v>
      </c>
      <c r="C128" s="5">
        <v>0.77767361111111111</v>
      </c>
      <c r="D128" s="8" t="s">
        <v>290</v>
      </c>
      <c r="E128" s="8" t="s">
        <v>86</v>
      </c>
      <c r="F128" s="8" t="s">
        <v>60</v>
      </c>
      <c r="G128">
        <v>2</v>
      </c>
      <c r="H128" s="8"/>
      <c r="I128" s="8" t="s">
        <v>7344</v>
      </c>
      <c r="J128" s="8" t="s">
        <v>2982</v>
      </c>
      <c r="K128" t="s">
        <v>7345</v>
      </c>
      <c r="L128" t="s">
        <v>7346</v>
      </c>
      <c r="M128" s="3" t="str">
        <f>HYPERLINK(склад2въезд1319[[#This Row],[RelativePath]])</f>
        <v>5 Крыльцо общага\K07156189_22_20251223T183951Z.jpg</v>
      </c>
    </row>
    <row r="129" spans="1:13" x14ac:dyDescent="0.25">
      <c r="A129" s="2" t="s">
        <v>14</v>
      </c>
      <c r="B129" s="4">
        <v>46014</v>
      </c>
      <c r="C129" s="5">
        <v>0.77987268518518515</v>
      </c>
      <c r="D129" s="8" t="s">
        <v>290</v>
      </c>
      <c r="E129" s="8" t="s">
        <v>86</v>
      </c>
      <c r="F129" s="8" t="s">
        <v>60</v>
      </c>
      <c r="G129">
        <v>3</v>
      </c>
      <c r="H129" s="8"/>
      <c r="I129" s="8" t="s">
        <v>7347</v>
      </c>
      <c r="J129" s="8" t="s">
        <v>2982</v>
      </c>
      <c r="K129" t="s">
        <v>7348</v>
      </c>
      <c r="L129" t="s">
        <v>7349</v>
      </c>
      <c r="M129" s="3" t="str">
        <f>HYPERLINK(склад2въезд1319[[#This Row],[RelativePath]])</f>
        <v>5 Крыльцо общага\K07156189_22_20251223T184301Z.jpg</v>
      </c>
    </row>
    <row r="130" spans="1:13" x14ac:dyDescent="0.25">
      <c r="A130" s="2" t="s">
        <v>14</v>
      </c>
      <c r="B130" s="4">
        <v>46014</v>
      </c>
      <c r="C130" s="5">
        <v>0.7815509259259259</v>
      </c>
      <c r="D130" s="8" t="s">
        <v>290</v>
      </c>
      <c r="E130" s="8" t="s">
        <v>86</v>
      </c>
      <c r="F130" s="8" t="s">
        <v>60</v>
      </c>
      <c r="G130">
        <v>3</v>
      </c>
      <c r="H130" s="8"/>
      <c r="I130" s="8" t="s">
        <v>7350</v>
      </c>
      <c r="J130" s="8" t="s">
        <v>2982</v>
      </c>
      <c r="K130" t="s">
        <v>7351</v>
      </c>
      <c r="L130" t="s">
        <v>7352</v>
      </c>
      <c r="M130" s="3" t="str">
        <f>HYPERLINK(склад2въезд1319[[#This Row],[RelativePath]])</f>
        <v>5 Крыльцо общага\K07156189_22_20251223T184526Z.jpg</v>
      </c>
    </row>
    <row r="131" spans="1:13" x14ac:dyDescent="0.25">
      <c r="A131" s="2" t="s">
        <v>14</v>
      </c>
      <c r="B131" s="4">
        <v>46014</v>
      </c>
      <c r="C131" s="5">
        <v>0.78365740740740741</v>
      </c>
      <c r="D131" s="8" t="s">
        <v>290</v>
      </c>
      <c r="E131" s="8" t="s">
        <v>86</v>
      </c>
      <c r="F131" s="8" t="s">
        <v>60</v>
      </c>
      <c r="G131">
        <v>2</v>
      </c>
      <c r="H131" s="8"/>
      <c r="I131" s="8" t="s">
        <v>7353</v>
      </c>
      <c r="J131" s="8" t="s">
        <v>2982</v>
      </c>
      <c r="K131" t="s">
        <v>7354</v>
      </c>
      <c r="L131" t="s">
        <v>7355</v>
      </c>
      <c r="M131" s="3" t="str">
        <f>HYPERLINK(склад2въезд1319[[#This Row],[RelativePath]])</f>
        <v>5 Крыльцо общага\K07156189_22_20251223T184828Z.jpg</v>
      </c>
    </row>
    <row r="132" spans="1:13" x14ac:dyDescent="0.25">
      <c r="A132" s="2" t="s">
        <v>14</v>
      </c>
      <c r="B132" s="4">
        <v>46014</v>
      </c>
      <c r="C132" s="5">
        <v>0.78548611111111111</v>
      </c>
      <c r="D132" s="8" t="s">
        <v>290</v>
      </c>
      <c r="E132" s="8" t="s">
        <v>86</v>
      </c>
      <c r="F132" s="8" t="s">
        <v>60</v>
      </c>
      <c r="G132">
        <v>2</v>
      </c>
      <c r="H132" s="8"/>
      <c r="I132" s="8" t="s">
        <v>7356</v>
      </c>
      <c r="J132" s="8" t="s">
        <v>2982</v>
      </c>
      <c r="K132" t="s">
        <v>7357</v>
      </c>
      <c r="L132" t="s">
        <v>7358</v>
      </c>
      <c r="M132" s="3" t="str">
        <f>HYPERLINK(склад2въезд1319[[#This Row],[RelativePath]])</f>
        <v>5 Крыльцо общага\K07156189_22_20251223T185106Z.jpg</v>
      </c>
    </row>
    <row r="133" spans="1:13" x14ac:dyDescent="0.25">
      <c r="A133" s="2" t="s">
        <v>14</v>
      </c>
      <c r="B133" s="4">
        <v>46014</v>
      </c>
      <c r="C133" s="5">
        <v>0.78778935185185184</v>
      </c>
      <c r="D133" s="8" t="s">
        <v>290</v>
      </c>
      <c r="E133" s="8" t="s">
        <v>86</v>
      </c>
      <c r="F133" s="8" t="s">
        <v>60</v>
      </c>
      <c r="G133">
        <v>2</v>
      </c>
      <c r="H133" s="8"/>
      <c r="I133" s="8" t="s">
        <v>7359</v>
      </c>
      <c r="J133" s="8" t="s">
        <v>2982</v>
      </c>
      <c r="K133" t="s">
        <v>7360</v>
      </c>
      <c r="L133" t="s">
        <v>7361</v>
      </c>
      <c r="M133" s="3" t="str">
        <f>HYPERLINK(склад2въезд1319[[#This Row],[RelativePath]])</f>
        <v>5 Крыльцо общага\K07156189_22_20251223T185425Z.jpg</v>
      </c>
    </row>
    <row r="134" spans="1:13" x14ac:dyDescent="0.25">
      <c r="A134" s="2" t="s">
        <v>14</v>
      </c>
      <c r="B134" s="4">
        <v>46014</v>
      </c>
      <c r="C134" s="5">
        <v>0.78930555555555559</v>
      </c>
      <c r="D134" s="8" t="s">
        <v>290</v>
      </c>
      <c r="E134" s="8" t="s">
        <v>86</v>
      </c>
      <c r="F134" s="8" t="s">
        <v>60</v>
      </c>
      <c r="G134">
        <v>1</v>
      </c>
      <c r="H134" s="8"/>
      <c r="I134" s="8" t="s">
        <v>7362</v>
      </c>
      <c r="J134" s="8" t="s">
        <v>2982</v>
      </c>
      <c r="K134" t="s">
        <v>7363</v>
      </c>
      <c r="L134" t="s">
        <v>7364</v>
      </c>
      <c r="M134" s="3" t="str">
        <f>HYPERLINK(склад2въезд1319[[#This Row],[RelativePath]])</f>
        <v>5 Крыльцо общага\K07156189_22_20251223T185636Z.jpg</v>
      </c>
    </row>
    <row r="135" spans="1:13" x14ac:dyDescent="0.25">
      <c r="A135" s="2" t="s">
        <v>14</v>
      </c>
      <c r="B135" s="4">
        <v>46014</v>
      </c>
      <c r="C135" s="5">
        <v>0.79090277777777773</v>
      </c>
      <c r="D135" s="8" t="s">
        <v>290</v>
      </c>
      <c r="E135" s="8" t="s">
        <v>86</v>
      </c>
      <c r="F135" s="8" t="s">
        <v>60</v>
      </c>
      <c r="G135">
        <v>2</v>
      </c>
      <c r="H135" s="8"/>
      <c r="I135" s="8" t="s">
        <v>7365</v>
      </c>
      <c r="J135" s="8" t="s">
        <v>2982</v>
      </c>
      <c r="K135" t="s">
        <v>7366</v>
      </c>
      <c r="L135" t="s">
        <v>7367</v>
      </c>
      <c r="M135" s="3" t="str">
        <f>HYPERLINK(склад2въезд1319[[#This Row],[RelativePath]])</f>
        <v>5 Крыльцо общага\K07156189_22_20251223T185854Z.jpg</v>
      </c>
    </row>
    <row r="136" spans="1:13" x14ac:dyDescent="0.25">
      <c r="A136" s="2" t="s">
        <v>14</v>
      </c>
      <c r="B136" s="4">
        <v>46014</v>
      </c>
      <c r="C136" s="5">
        <v>0.79326388888888888</v>
      </c>
      <c r="D136" s="8" t="s">
        <v>290</v>
      </c>
      <c r="E136" s="8" t="s">
        <v>86</v>
      </c>
      <c r="F136" s="8" t="s">
        <v>60</v>
      </c>
      <c r="G136">
        <v>4</v>
      </c>
      <c r="H136" s="8"/>
      <c r="I136" s="8" t="s">
        <v>7368</v>
      </c>
      <c r="J136" s="8" t="s">
        <v>2982</v>
      </c>
      <c r="K136" t="s">
        <v>7369</v>
      </c>
      <c r="L136" t="s">
        <v>7370</v>
      </c>
      <c r="M136" s="3" t="str">
        <f>HYPERLINK(склад2въезд1319[[#This Row],[RelativePath]])</f>
        <v>5 Крыльцо общага\K07156189_22_20251223T190218Z.jpg</v>
      </c>
    </row>
    <row r="137" spans="1:13" x14ac:dyDescent="0.25">
      <c r="A137" s="2" t="s">
        <v>14</v>
      </c>
      <c r="B137" s="4">
        <v>46014</v>
      </c>
      <c r="C137" s="5">
        <v>0.79494212962962962</v>
      </c>
      <c r="D137" s="8" t="s">
        <v>290</v>
      </c>
      <c r="E137" s="8" t="s">
        <v>86</v>
      </c>
      <c r="F137" s="8" t="s">
        <v>60</v>
      </c>
      <c r="G137">
        <v>2</v>
      </c>
      <c r="H137" s="8"/>
      <c r="I137" s="8" t="s">
        <v>7371</v>
      </c>
      <c r="J137" s="8" t="s">
        <v>2982</v>
      </c>
      <c r="K137" t="s">
        <v>7372</v>
      </c>
      <c r="L137" t="s">
        <v>7373</v>
      </c>
      <c r="M137" s="3" t="str">
        <f>HYPERLINK(склад2въезд1319[[#This Row],[RelativePath]])</f>
        <v>5 Крыльцо общага\K07156189_22_20251223T190443Z.jpg</v>
      </c>
    </row>
    <row r="138" spans="1:13" x14ac:dyDescent="0.25">
      <c r="A138" s="2" t="s">
        <v>14</v>
      </c>
      <c r="B138" s="4">
        <v>46014</v>
      </c>
      <c r="C138" s="5">
        <v>0.79706018518518518</v>
      </c>
      <c r="D138" s="8" t="s">
        <v>290</v>
      </c>
      <c r="E138" s="8" t="s">
        <v>86</v>
      </c>
      <c r="F138" s="8" t="s">
        <v>60</v>
      </c>
      <c r="G138">
        <v>2</v>
      </c>
      <c r="H138" s="8"/>
      <c r="I138" s="8" t="s">
        <v>7374</v>
      </c>
      <c r="J138" s="8" t="s">
        <v>2982</v>
      </c>
      <c r="K138" t="s">
        <v>7375</v>
      </c>
      <c r="L138" t="s">
        <v>7376</v>
      </c>
      <c r="M138" s="3" t="str">
        <f>HYPERLINK(склад2въезд1319[[#This Row],[RelativePath]])</f>
        <v>5 Крыльцо общага\K07156189_22_20251223T190746Z.jpg</v>
      </c>
    </row>
    <row r="139" spans="1:13" x14ac:dyDescent="0.25">
      <c r="A139" s="2" t="s">
        <v>14</v>
      </c>
      <c r="B139" s="4">
        <v>46014</v>
      </c>
      <c r="C139" s="5">
        <v>0.79859953703703701</v>
      </c>
      <c r="D139" s="8" t="s">
        <v>290</v>
      </c>
      <c r="E139" s="8" t="s">
        <v>86</v>
      </c>
      <c r="F139" s="8" t="s">
        <v>60</v>
      </c>
      <c r="G139">
        <v>3</v>
      </c>
      <c r="H139" s="8"/>
      <c r="I139" s="8" t="s">
        <v>7377</v>
      </c>
      <c r="J139" s="8" t="s">
        <v>2982</v>
      </c>
      <c r="K139" t="s">
        <v>7378</v>
      </c>
      <c r="L139" t="s">
        <v>7379</v>
      </c>
      <c r="M139" s="3" t="str">
        <f>HYPERLINK(склад2въезд1319[[#This Row],[RelativePath]])</f>
        <v>5 Крыльцо общага\K07156189_22_20251223T190959Z.jpg</v>
      </c>
    </row>
    <row r="140" spans="1:13" x14ac:dyDescent="0.25">
      <c r="A140" s="2" t="s">
        <v>14</v>
      </c>
      <c r="B140" s="4">
        <v>46014</v>
      </c>
      <c r="C140" s="5">
        <v>0.80021990740740745</v>
      </c>
      <c r="D140" s="8" t="s">
        <v>290</v>
      </c>
      <c r="E140" s="8" t="s">
        <v>86</v>
      </c>
      <c r="F140" s="8" t="s">
        <v>60</v>
      </c>
      <c r="G140">
        <v>3</v>
      </c>
      <c r="H140" s="8"/>
      <c r="I140" s="8" t="s">
        <v>7380</v>
      </c>
      <c r="J140" s="8" t="s">
        <v>2982</v>
      </c>
      <c r="K140" t="s">
        <v>7381</v>
      </c>
      <c r="L140" t="s">
        <v>7382</v>
      </c>
      <c r="M140" s="3" t="str">
        <f>HYPERLINK(склад2въезд1319[[#This Row],[RelativePath]])</f>
        <v>5 Крыльцо общага\K07156189_22_20251223T191219Z.jpg</v>
      </c>
    </row>
    <row r="141" spans="1:13" x14ac:dyDescent="0.25">
      <c r="A141" s="2" t="s">
        <v>14</v>
      </c>
      <c r="B141" s="4">
        <v>46014</v>
      </c>
      <c r="C141" s="5">
        <v>0.80193287037037042</v>
      </c>
      <c r="D141" s="8" t="s">
        <v>290</v>
      </c>
      <c r="E141" s="8" t="s">
        <v>86</v>
      </c>
      <c r="F141" s="8" t="s">
        <v>60</v>
      </c>
      <c r="G141">
        <v>2</v>
      </c>
      <c r="H141" s="8"/>
      <c r="I141" s="8" t="s">
        <v>7383</v>
      </c>
      <c r="J141" s="8" t="s">
        <v>2982</v>
      </c>
      <c r="K141" t="s">
        <v>7384</v>
      </c>
      <c r="L141" t="s">
        <v>7385</v>
      </c>
      <c r="M141" s="3" t="str">
        <f>HYPERLINK(склад2въезд1319[[#This Row],[RelativePath]])</f>
        <v>5 Крыльцо общага\K07156189_22_20251223T191447Z.jpg</v>
      </c>
    </row>
    <row r="142" spans="1:13" x14ac:dyDescent="0.25">
      <c r="A142" s="2" t="s">
        <v>14</v>
      </c>
      <c r="B142" s="4">
        <v>46014</v>
      </c>
      <c r="C142" s="5">
        <v>0.80354166666666671</v>
      </c>
      <c r="D142" s="8" t="s">
        <v>290</v>
      </c>
      <c r="E142" s="8" t="s">
        <v>86</v>
      </c>
      <c r="F142" s="8" t="s">
        <v>60</v>
      </c>
      <c r="G142">
        <v>4</v>
      </c>
      <c r="H142" s="8"/>
      <c r="I142" s="8" t="s">
        <v>7386</v>
      </c>
      <c r="J142" s="8" t="s">
        <v>2982</v>
      </c>
      <c r="K142" t="s">
        <v>7387</v>
      </c>
      <c r="L142" t="s">
        <v>7388</v>
      </c>
      <c r="M142" s="3" t="str">
        <f>HYPERLINK(склад2въезд1319[[#This Row],[RelativePath]])</f>
        <v>5 Крыльцо общага\K07156189_22_20251223T191706Z.jpg</v>
      </c>
    </row>
    <row r="143" spans="1:13" x14ac:dyDescent="0.25">
      <c r="A143" s="2" t="s">
        <v>14</v>
      </c>
      <c r="B143" s="4">
        <v>46014</v>
      </c>
      <c r="C143" s="5">
        <v>0.80531249999999999</v>
      </c>
      <c r="D143" s="8" t="s">
        <v>290</v>
      </c>
      <c r="E143" s="8" t="s">
        <v>86</v>
      </c>
      <c r="F143" s="8" t="s">
        <v>60</v>
      </c>
      <c r="G143">
        <v>3</v>
      </c>
      <c r="H143" s="8"/>
      <c r="I143" s="8" t="s">
        <v>7389</v>
      </c>
      <c r="J143" s="8" t="s">
        <v>2982</v>
      </c>
      <c r="K143" t="s">
        <v>7390</v>
      </c>
      <c r="L143" t="s">
        <v>7391</v>
      </c>
      <c r="M143" s="3" t="str">
        <f>HYPERLINK(склад2въезд1319[[#This Row],[RelativePath]])</f>
        <v>5 Крыльцо общага\K07156189_22_20251223T191939Z.jpg</v>
      </c>
    </row>
    <row r="144" spans="1:13" x14ac:dyDescent="0.25">
      <c r="A144" s="2" t="s">
        <v>14</v>
      </c>
      <c r="B144" s="4">
        <v>46014</v>
      </c>
      <c r="C144" s="5">
        <v>0.80717592592592591</v>
      </c>
      <c r="D144" s="8" t="s">
        <v>290</v>
      </c>
      <c r="E144" s="8" t="s">
        <v>86</v>
      </c>
      <c r="F144" s="8" t="s">
        <v>60</v>
      </c>
      <c r="G144">
        <v>2</v>
      </c>
      <c r="H144" s="8"/>
      <c r="I144" s="8" t="s">
        <v>7392</v>
      </c>
      <c r="J144" s="8" t="s">
        <v>2982</v>
      </c>
      <c r="K144" t="s">
        <v>7393</v>
      </c>
      <c r="L144" t="s">
        <v>7394</v>
      </c>
      <c r="M144" s="3" t="str">
        <f>HYPERLINK(склад2въезд1319[[#This Row],[RelativePath]])</f>
        <v>5 Крыльцо общага\K07156189_22_20251223T192220Z.jpg</v>
      </c>
    </row>
    <row r="145" spans="1:13" x14ac:dyDescent="0.25">
      <c r="A145" s="2" t="s">
        <v>15</v>
      </c>
      <c r="B145" s="4">
        <v>46015</v>
      </c>
      <c r="C145" s="5">
        <v>0.6544444444444445</v>
      </c>
      <c r="D145" s="8" t="s">
        <v>1615</v>
      </c>
      <c r="E145" s="8" t="s">
        <v>86</v>
      </c>
      <c r="F145" s="8" t="s">
        <v>60</v>
      </c>
      <c r="H145" s="8" t="s">
        <v>7707</v>
      </c>
      <c r="I145" s="8" t="s">
        <v>7595</v>
      </c>
      <c r="J145" s="8" t="s">
        <v>2982</v>
      </c>
      <c r="K145" t="s">
        <v>7596</v>
      </c>
      <c r="L145" t="s">
        <v>7597</v>
      </c>
      <c r="M145" s="3" t="str">
        <f>HYPERLINK(склад2въезд1319[[#This Row],[RelativePath]])</f>
        <v>5 Крыльцо общага\K07156189_22_20251224T154224Z.jpg</v>
      </c>
    </row>
    <row r="146" spans="1:13" x14ac:dyDescent="0.25">
      <c r="A146" s="2" t="s">
        <v>15</v>
      </c>
      <c r="B146" s="4">
        <v>46015</v>
      </c>
      <c r="C146" s="5">
        <v>0.69649305555555552</v>
      </c>
      <c r="D146" s="8" t="s">
        <v>1615</v>
      </c>
      <c r="E146" s="8" t="s">
        <v>86</v>
      </c>
      <c r="F146" s="8" t="s">
        <v>60</v>
      </c>
      <c r="H146" s="8" t="s">
        <v>7708</v>
      </c>
      <c r="I146" s="8" t="s">
        <v>7598</v>
      </c>
      <c r="J146" s="8" t="s">
        <v>2982</v>
      </c>
      <c r="K146" t="s">
        <v>7599</v>
      </c>
      <c r="L146" t="s">
        <v>7600</v>
      </c>
      <c r="M146" s="3" t="str">
        <f>HYPERLINK(склад2въезд1319[[#This Row],[RelativePath]])</f>
        <v>5 Крыльцо общага\K07156189_22_20251224T164257Z.jpg</v>
      </c>
    </row>
    <row r="147" spans="1:13" x14ac:dyDescent="0.25">
      <c r="A147" s="2" t="s">
        <v>15</v>
      </c>
      <c r="B147" s="4">
        <v>46015</v>
      </c>
      <c r="C147" s="5">
        <v>0.90302083333333338</v>
      </c>
      <c r="D147" s="8" t="s">
        <v>4</v>
      </c>
      <c r="E147" s="8" t="s">
        <v>7706</v>
      </c>
      <c r="F147" s="8" t="s">
        <v>60</v>
      </c>
      <c r="H147" s="8"/>
      <c r="I147" s="8" t="s">
        <v>7601</v>
      </c>
      <c r="J147" s="8" t="s">
        <v>2982</v>
      </c>
      <c r="K147" t="s">
        <v>7602</v>
      </c>
      <c r="L147" t="s">
        <v>7603</v>
      </c>
      <c r="M147" s="3" t="str">
        <f>HYPERLINK(склад2въезд1319[[#This Row],[RelativePath]])</f>
        <v>5 Крыльцо общага\K07156189_22_20251224T214021Z.jpg</v>
      </c>
    </row>
    <row r="148" spans="1:13" x14ac:dyDescent="0.25">
      <c r="A148" s="2" t="s">
        <v>16</v>
      </c>
      <c r="B148" s="4">
        <v>46016</v>
      </c>
      <c r="C148" s="5">
        <v>0.39548611111111109</v>
      </c>
      <c r="D148" s="8" t="s">
        <v>290</v>
      </c>
      <c r="E148" s="8" t="s">
        <v>86</v>
      </c>
      <c r="F148" s="8" t="s">
        <v>60</v>
      </c>
      <c r="G148">
        <v>3</v>
      </c>
      <c r="H148" s="8"/>
      <c r="I148" s="8" t="s">
        <v>7604</v>
      </c>
      <c r="J148" s="8" t="s">
        <v>2982</v>
      </c>
      <c r="K148" t="s">
        <v>7605</v>
      </c>
      <c r="L148" t="s">
        <v>7606</v>
      </c>
      <c r="M148" s="3" t="str">
        <f>HYPERLINK(склад2въезд1319[[#This Row],[RelativePath]])</f>
        <v>5 Крыльцо общага\K07156189_22_20251225T092930Z.jpg</v>
      </c>
    </row>
    <row r="149" spans="1:13" x14ac:dyDescent="0.25">
      <c r="A149" s="2" t="s">
        <v>16</v>
      </c>
      <c r="B149" s="4">
        <v>46016</v>
      </c>
      <c r="C149" s="5">
        <v>0.39778935185185182</v>
      </c>
      <c r="D149" s="8" t="s">
        <v>290</v>
      </c>
      <c r="E149" s="8" t="s">
        <v>86</v>
      </c>
      <c r="F149" s="8" t="s">
        <v>60</v>
      </c>
      <c r="G149">
        <v>2</v>
      </c>
      <c r="H149" s="8"/>
      <c r="I149" s="8" t="s">
        <v>7607</v>
      </c>
      <c r="J149" s="8" t="s">
        <v>2982</v>
      </c>
      <c r="K149" t="s">
        <v>7608</v>
      </c>
      <c r="L149" t="s">
        <v>7609</v>
      </c>
      <c r="M149" s="3" t="str">
        <f>HYPERLINK(склад2въезд1319[[#This Row],[RelativePath]])</f>
        <v>5 Крыльцо общага\K07156189_22_20251225T093249Z.jpg</v>
      </c>
    </row>
    <row r="150" spans="1:13" x14ac:dyDescent="0.25">
      <c r="A150" s="2" t="s">
        <v>16</v>
      </c>
      <c r="B150" s="4">
        <v>46016</v>
      </c>
      <c r="C150" s="5">
        <v>0.39927083333333335</v>
      </c>
      <c r="D150" s="8" t="s">
        <v>290</v>
      </c>
      <c r="E150" s="8" t="s">
        <v>86</v>
      </c>
      <c r="F150" s="8" t="s">
        <v>60</v>
      </c>
      <c r="G150">
        <v>2</v>
      </c>
      <c r="H150" s="8"/>
      <c r="I150" s="8" t="s">
        <v>7610</v>
      </c>
      <c r="J150" s="8" t="s">
        <v>2982</v>
      </c>
      <c r="K150" t="s">
        <v>7611</v>
      </c>
      <c r="L150" t="s">
        <v>7612</v>
      </c>
      <c r="M150" s="3" t="str">
        <f>HYPERLINK(склад2въезд1319[[#This Row],[RelativePath]])</f>
        <v>5 Крыльцо общага\K07156189_22_20251225T093457Z.jpg</v>
      </c>
    </row>
    <row r="151" spans="1:13" x14ac:dyDescent="0.25">
      <c r="A151" s="2" t="s">
        <v>16</v>
      </c>
      <c r="B151" s="4">
        <v>46016</v>
      </c>
      <c r="C151" s="5">
        <v>0.40122685185185186</v>
      </c>
      <c r="D151" s="8" t="s">
        <v>290</v>
      </c>
      <c r="E151" s="8" t="s">
        <v>86</v>
      </c>
      <c r="F151" s="8" t="s">
        <v>60</v>
      </c>
      <c r="G151">
        <v>3</v>
      </c>
      <c r="H151" s="8"/>
      <c r="I151" s="8" t="s">
        <v>7613</v>
      </c>
      <c r="J151" s="8" t="s">
        <v>2982</v>
      </c>
      <c r="K151" t="s">
        <v>7614</v>
      </c>
      <c r="L151" t="s">
        <v>7615</v>
      </c>
      <c r="M151" s="3" t="str">
        <f>HYPERLINK(склад2въезд1319[[#This Row],[RelativePath]])</f>
        <v>5 Крыльцо общага\K07156189_22_20251225T093746Z.jpg</v>
      </c>
    </row>
    <row r="152" spans="1:13" x14ac:dyDescent="0.25">
      <c r="A152" s="2" t="s">
        <v>16</v>
      </c>
      <c r="B152" s="4">
        <v>46016</v>
      </c>
      <c r="C152" s="5">
        <v>0.40324074074074073</v>
      </c>
      <c r="D152" s="8" t="s">
        <v>290</v>
      </c>
      <c r="E152" s="8" t="s">
        <v>86</v>
      </c>
      <c r="F152" s="8" t="s">
        <v>60</v>
      </c>
      <c r="G152">
        <v>4</v>
      </c>
      <c r="H152" s="8"/>
      <c r="I152" s="8" t="s">
        <v>7616</v>
      </c>
      <c r="J152" s="8" t="s">
        <v>2982</v>
      </c>
      <c r="K152" t="s">
        <v>7617</v>
      </c>
      <c r="L152" t="s">
        <v>7618</v>
      </c>
      <c r="M152" s="3" t="str">
        <f>HYPERLINK(склад2въезд1319[[#This Row],[RelativePath]])</f>
        <v>5 Крыльцо общага\K07156189_22_20251225T094040Z.jpg</v>
      </c>
    </row>
    <row r="153" spans="1:13" x14ac:dyDescent="0.25">
      <c r="A153" s="2" t="s">
        <v>16</v>
      </c>
      <c r="B153" s="4">
        <v>46016</v>
      </c>
      <c r="C153" s="5">
        <v>0.40547453703703706</v>
      </c>
      <c r="D153" s="8" t="s">
        <v>290</v>
      </c>
      <c r="E153" s="8" t="s">
        <v>86</v>
      </c>
      <c r="F153" s="8" t="s">
        <v>60</v>
      </c>
      <c r="G153">
        <v>3</v>
      </c>
      <c r="H153" s="8"/>
      <c r="I153" s="8" t="s">
        <v>7619</v>
      </c>
      <c r="J153" s="8" t="s">
        <v>2982</v>
      </c>
      <c r="K153" t="s">
        <v>7620</v>
      </c>
      <c r="L153" t="s">
        <v>7621</v>
      </c>
      <c r="M153" s="3" t="str">
        <f>HYPERLINK(склад2въезд1319[[#This Row],[RelativePath]])</f>
        <v>5 Крыльцо общага\K07156189_22_20251225T094353Z.jpg</v>
      </c>
    </row>
    <row r="154" spans="1:13" x14ac:dyDescent="0.25">
      <c r="A154" s="2" t="s">
        <v>16</v>
      </c>
      <c r="B154" s="4">
        <v>46016</v>
      </c>
      <c r="C154" s="5">
        <v>0.40827546296296297</v>
      </c>
      <c r="D154" s="8" t="s">
        <v>290</v>
      </c>
      <c r="E154" s="8" t="s">
        <v>86</v>
      </c>
      <c r="F154" s="8" t="s">
        <v>60</v>
      </c>
      <c r="G154">
        <v>3</v>
      </c>
      <c r="H154" s="8"/>
      <c r="I154" s="8" t="s">
        <v>7622</v>
      </c>
      <c r="J154" s="8" t="s">
        <v>2982</v>
      </c>
      <c r="K154" t="s">
        <v>7623</v>
      </c>
      <c r="L154" t="s">
        <v>7624</v>
      </c>
      <c r="M154" s="3" t="str">
        <f>HYPERLINK(склад2въезд1319[[#This Row],[RelativePath]])</f>
        <v>5 Крыльцо общага\K07156189_22_20251225T094755Z.jpg</v>
      </c>
    </row>
    <row r="155" spans="1:13" x14ac:dyDescent="0.25">
      <c r="A155" s="2" t="s">
        <v>16</v>
      </c>
      <c r="B155" s="4">
        <v>46016</v>
      </c>
      <c r="C155" s="5">
        <v>0.41019675925925925</v>
      </c>
      <c r="D155" s="8" t="s">
        <v>290</v>
      </c>
      <c r="E155" s="8" t="s">
        <v>86</v>
      </c>
      <c r="F155" s="8" t="s">
        <v>60</v>
      </c>
      <c r="G155">
        <v>2</v>
      </c>
      <c r="H155" s="8"/>
      <c r="I155" s="8" t="s">
        <v>7625</v>
      </c>
      <c r="J155" s="8" t="s">
        <v>2982</v>
      </c>
      <c r="K155" t="s">
        <v>7626</v>
      </c>
      <c r="L155" t="s">
        <v>7627</v>
      </c>
      <c r="M155" s="3" t="str">
        <f>HYPERLINK(склад2въезд1319[[#This Row],[RelativePath]])</f>
        <v>5 Крыльцо общага\K07156189_22_20251225T095041Z.jpg</v>
      </c>
    </row>
    <row r="156" spans="1:13" x14ac:dyDescent="0.25">
      <c r="A156" s="2" t="s">
        <v>16</v>
      </c>
      <c r="B156" s="4">
        <v>46016</v>
      </c>
      <c r="C156" s="5">
        <v>0.41210648148148149</v>
      </c>
      <c r="D156" s="8" t="s">
        <v>290</v>
      </c>
      <c r="E156" s="8" t="s">
        <v>86</v>
      </c>
      <c r="F156" s="8" t="s">
        <v>60</v>
      </c>
      <c r="G156">
        <v>2</v>
      </c>
      <c r="H156" s="8"/>
      <c r="I156" s="8" t="s">
        <v>7628</v>
      </c>
      <c r="J156" s="8" t="s">
        <v>2982</v>
      </c>
      <c r="K156" t="s">
        <v>7629</v>
      </c>
      <c r="L156" t="s">
        <v>7630</v>
      </c>
      <c r="M156" s="3" t="str">
        <f>HYPERLINK(склад2въезд1319[[#This Row],[RelativePath]])</f>
        <v>5 Крыльцо общага\K07156189_22_20251225T095326Z.jpg</v>
      </c>
    </row>
    <row r="157" spans="1:13" x14ac:dyDescent="0.25">
      <c r="A157" s="2" t="s">
        <v>16</v>
      </c>
      <c r="B157" s="4">
        <v>46016</v>
      </c>
      <c r="C157" s="5">
        <v>0.41430555555555554</v>
      </c>
      <c r="D157" s="8" t="s">
        <v>290</v>
      </c>
      <c r="E157" s="8" t="s">
        <v>86</v>
      </c>
      <c r="F157" s="8" t="s">
        <v>60</v>
      </c>
      <c r="G157">
        <v>3</v>
      </c>
      <c r="H157" s="8"/>
      <c r="I157" s="8" t="s">
        <v>7631</v>
      </c>
      <c r="J157" s="8" t="s">
        <v>2982</v>
      </c>
      <c r="K157" t="s">
        <v>7632</v>
      </c>
      <c r="L157" t="s">
        <v>7633</v>
      </c>
      <c r="M157" s="3" t="str">
        <f>HYPERLINK(склад2въезд1319[[#This Row],[RelativePath]])</f>
        <v>5 Крыльцо общага\K07156189_22_20251225T095636Z.jpg</v>
      </c>
    </row>
    <row r="158" spans="1:13" x14ac:dyDescent="0.25">
      <c r="A158" s="2" t="s">
        <v>16</v>
      </c>
      <c r="B158" s="4">
        <v>46016</v>
      </c>
      <c r="C158" s="5">
        <v>0.41651620370370368</v>
      </c>
      <c r="D158" s="8" t="s">
        <v>290</v>
      </c>
      <c r="E158" s="8" t="s">
        <v>86</v>
      </c>
      <c r="F158" s="8" t="s">
        <v>60</v>
      </c>
      <c r="G158">
        <v>3</v>
      </c>
      <c r="H158" s="8"/>
      <c r="I158" s="8" t="s">
        <v>7634</v>
      </c>
      <c r="J158" s="8" t="s">
        <v>2982</v>
      </c>
      <c r="K158" t="s">
        <v>7635</v>
      </c>
      <c r="L158" t="s">
        <v>7636</v>
      </c>
      <c r="M158" s="3" t="str">
        <f>HYPERLINK(склад2въезд1319[[#This Row],[RelativePath]])</f>
        <v>5 Крыльцо общага\K07156189_22_20251225T095947Z.jpg</v>
      </c>
    </row>
    <row r="159" spans="1:13" x14ac:dyDescent="0.25">
      <c r="A159" s="2" t="s">
        <v>16</v>
      </c>
      <c r="B159" s="4">
        <v>46016</v>
      </c>
      <c r="C159" s="5">
        <v>0.41837962962962966</v>
      </c>
      <c r="D159" s="8" t="s">
        <v>290</v>
      </c>
      <c r="E159" s="8" t="s">
        <v>86</v>
      </c>
      <c r="F159" s="8" t="s">
        <v>60</v>
      </c>
      <c r="G159">
        <v>2</v>
      </c>
      <c r="H159" s="8"/>
      <c r="I159" s="8" t="s">
        <v>7637</v>
      </c>
      <c r="J159" s="8" t="s">
        <v>2982</v>
      </c>
      <c r="K159" t="s">
        <v>7638</v>
      </c>
      <c r="L159" t="s">
        <v>7639</v>
      </c>
      <c r="M159" s="3" t="str">
        <f>HYPERLINK(склад2въезд1319[[#This Row],[RelativePath]])</f>
        <v>5 Крыльцо общага\K07156189_22_20251225T100228Z.jpg</v>
      </c>
    </row>
    <row r="160" spans="1:13" x14ac:dyDescent="0.25">
      <c r="A160" s="2" t="s">
        <v>16</v>
      </c>
      <c r="B160" s="4">
        <v>46016</v>
      </c>
      <c r="C160" s="5">
        <v>0.42305555555555557</v>
      </c>
      <c r="D160" s="8" t="s">
        <v>290</v>
      </c>
      <c r="E160" s="8" t="s">
        <v>86</v>
      </c>
      <c r="F160" s="8" t="s">
        <v>60</v>
      </c>
      <c r="G160">
        <v>1</v>
      </c>
      <c r="H160" s="8"/>
      <c r="I160" s="8" t="s">
        <v>7640</v>
      </c>
      <c r="J160" s="8" t="s">
        <v>2982</v>
      </c>
      <c r="K160" t="s">
        <v>7641</v>
      </c>
      <c r="L160" t="s">
        <v>7642</v>
      </c>
      <c r="M160" s="3" t="str">
        <f>HYPERLINK(склад2въезд1319[[#This Row],[RelativePath]])</f>
        <v>5 Крыльцо общага\K07156189_22_20251225T100912Z.jpg</v>
      </c>
    </row>
    <row r="161" spans="1:13" x14ac:dyDescent="0.25">
      <c r="A161" s="2" t="s">
        <v>16</v>
      </c>
      <c r="B161" s="4">
        <v>46016</v>
      </c>
      <c r="C161" s="5">
        <v>0.42482638888888891</v>
      </c>
      <c r="D161" s="8" t="s">
        <v>290</v>
      </c>
      <c r="E161" s="8" t="s">
        <v>86</v>
      </c>
      <c r="F161" s="8" t="s">
        <v>60</v>
      </c>
      <c r="G161">
        <v>4</v>
      </c>
      <c r="H161" s="8"/>
      <c r="I161" s="8" t="s">
        <v>7643</v>
      </c>
      <c r="J161" s="8" t="s">
        <v>2982</v>
      </c>
      <c r="K161" t="s">
        <v>7644</v>
      </c>
      <c r="L161" t="s">
        <v>7645</v>
      </c>
      <c r="M161" s="3" t="str">
        <f>HYPERLINK(склад2въезд1319[[#This Row],[RelativePath]])</f>
        <v>5 Крыльцо общага\K07156189_22_20251225T101145Z.jpg</v>
      </c>
    </row>
    <row r="162" spans="1:13" x14ac:dyDescent="0.25">
      <c r="A162" s="2" t="s">
        <v>16</v>
      </c>
      <c r="B162" s="4">
        <v>46016</v>
      </c>
      <c r="C162" s="5">
        <v>0.42672453703703705</v>
      </c>
      <c r="D162" s="8" t="s">
        <v>290</v>
      </c>
      <c r="E162" s="8" t="s">
        <v>86</v>
      </c>
      <c r="F162" s="8" t="s">
        <v>60</v>
      </c>
      <c r="G162">
        <v>3</v>
      </c>
      <c r="H162" s="8"/>
      <c r="I162" s="8" t="s">
        <v>7646</v>
      </c>
      <c r="J162" s="8" t="s">
        <v>2982</v>
      </c>
      <c r="K162" t="s">
        <v>7647</v>
      </c>
      <c r="L162" t="s">
        <v>7648</v>
      </c>
      <c r="M162" s="3" t="str">
        <f>HYPERLINK(склад2въезд1319[[#This Row],[RelativePath]])</f>
        <v>5 Крыльцо общага\K07156189_22_20251225T101429Z.jpg</v>
      </c>
    </row>
    <row r="163" spans="1:13" x14ac:dyDescent="0.25">
      <c r="A163" s="2" t="s">
        <v>16</v>
      </c>
      <c r="B163" s="4">
        <v>46016</v>
      </c>
      <c r="C163" s="5">
        <v>0.42837962962962961</v>
      </c>
      <c r="D163" s="8" t="s">
        <v>290</v>
      </c>
      <c r="E163" s="8" t="s">
        <v>86</v>
      </c>
      <c r="F163" s="8" t="s">
        <v>60</v>
      </c>
      <c r="G163">
        <v>3</v>
      </c>
      <c r="H163" s="8"/>
      <c r="I163" s="8" t="s">
        <v>7649</v>
      </c>
      <c r="J163" s="8" t="s">
        <v>2982</v>
      </c>
      <c r="K163" t="s">
        <v>7650</v>
      </c>
      <c r="L163" t="s">
        <v>7651</v>
      </c>
      <c r="M163" s="3" t="str">
        <f>HYPERLINK(склад2въезд1319[[#This Row],[RelativePath]])</f>
        <v>5 Крыльцо общага\K07156189_22_20251225T101652Z.jpg</v>
      </c>
    </row>
    <row r="164" spans="1:13" x14ac:dyDescent="0.25">
      <c r="A164" s="2" t="s">
        <v>16</v>
      </c>
      <c r="B164" s="4">
        <v>46016</v>
      </c>
      <c r="C164" s="5">
        <v>0.43023148148148149</v>
      </c>
      <c r="D164" s="8" t="s">
        <v>290</v>
      </c>
      <c r="E164" s="8" t="s">
        <v>86</v>
      </c>
      <c r="F164" s="8" t="s">
        <v>60</v>
      </c>
      <c r="G164">
        <v>3</v>
      </c>
      <c r="H164" s="8"/>
      <c r="I164" s="8" t="s">
        <v>7652</v>
      </c>
      <c r="J164" s="8" t="s">
        <v>2982</v>
      </c>
      <c r="K164" t="s">
        <v>7653</v>
      </c>
      <c r="L164" t="s">
        <v>7654</v>
      </c>
      <c r="M164" s="3" t="str">
        <f>HYPERLINK(склад2въезд1319[[#This Row],[RelativePath]])</f>
        <v>5 Крыльцо общага\K07156189_22_20251225T101932Z.jpg</v>
      </c>
    </row>
    <row r="165" spans="1:13" x14ac:dyDescent="0.25">
      <c r="A165" s="2" t="s">
        <v>16</v>
      </c>
      <c r="B165" s="4">
        <v>46016</v>
      </c>
      <c r="C165" s="5">
        <v>0.43208333333333332</v>
      </c>
      <c r="D165" s="8" t="s">
        <v>290</v>
      </c>
      <c r="E165" s="8" t="s">
        <v>86</v>
      </c>
      <c r="F165" s="8" t="s">
        <v>60</v>
      </c>
      <c r="G165">
        <v>2</v>
      </c>
      <c r="H165" s="8"/>
      <c r="I165" s="8" t="s">
        <v>7655</v>
      </c>
      <c r="J165" s="8" t="s">
        <v>2982</v>
      </c>
      <c r="K165" t="s">
        <v>7656</v>
      </c>
      <c r="L165" t="s">
        <v>7657</v>
      </c>
      <c r="M165" s="3" t="str">
        <f>HYPERLINK(склад2въезд1319[[#This Row],[RelativePath]])</f>
        <v>5 Крыльцо общага\K07156189_22_20251225T102212Z.jpg</v>
      </c>
    </row>
    <row r="166" spans="1:13" x14ac:dyDescent="0.25">
      <c r="A166" s="2" t="s">
        <v>16</v>
      </c>
      <c r="B166" s="4">
        <v>46016</v>
      </c>
      <c r="C166" s="5">
        <v>0.43396990740740743</v>
      </c>
      <c r="D166" s="8" t="s">
        <v>290</v>
      </c>
      <c r="E166" s="8" t="s">
        <v>86</v>
      </c>
      <c r="F166" s="8" t="s">
        <v>60</v>
      </c>
      <c r="G166">
        <v>3</v>
      </c>
      <c r="H166" s="8"/>
      <c r="I166" s="8" t="s">
        <v>7658</v>
      </c>
      <c r="J166" s="8" t="s">
        <v>2982</v>
      </c>
      <c r="K166" t="s">
        <v>7659</v>
      </c>
      <c r="L166" t="s">
        <v>7660</v>
      </c>
      <c r="M166" s="3" t="str">
        <f>HYPERLINK(склад2въезд1319[[#This Row],[RelativePath]])</f>
        <v>5 Крыльцо общага\K07156189_22_20251225T102455Z.jpg</v>
      </c>
    </row>
    <row r="167" spans="1:13" x14ac:dyDescent="0.25">
      <c r="A167" s="2" t="s">
        <v>16</v>
      </c>
      <c r="B167" s="4">
        <v>46016</v>
      </c>
      <c r="C167" s="5">
        <v>0.43603009259259257</v>
      </c>
      <c r="D167" s="8" t="s">
        <v>290</v>
      </c>
      <c r="E167" s="8" t="s">
        <v>86</v>
      </c>
      <c r="F167" s="8" t="s">
        <v>60</v>
      </c>
      <c r="G167">
        <v>3</v>
      </c>
      <c r="H167" s="8"/>
      <c r="I167" s="8" t="s">
        <v>7661</v>
      </c>
      <c r="J167" s="8" t="s">
        <v>2982</v>
      </c>
      <c r="K167" t="s">
        <v>7662</v>
      </c>
      <c r="L167" t="s">
        <v>7663</v>
      </c>
      <c r="M167" s="3" t="str">
        <f>HYPERLINK(склад2въезд1319[[#This Row],[RelativePath]])</f>
        <v>5 Крыльцо общага\K07156189_22_20251225T102753Z.jpg</v>
      </c>
    </row>
    <row r="168" spans="1:13" x14ac:dyDescent="0.25">
      <c r="A168" s="2" t="s">
        <v>16</v>
      </c>
      <c r="B168" s="4">
        <v>46016</v>
      </c>
      <c r="C168" s="5">
        <v>0.43815972222222221</v>
      </c>
      <c r="D168" s="8" t="s">
        <v>290</v>
      </c>
      <c r="E168" s="8" t="s">
        <v>86</v>
      </c>
      <c r="F168" s="8" t="s">
        <v>60</v>
      </c>
      <c r="G168">
        <v>3</v>
      </c>
      <c r="H168" s="8"/>
      <c r="I168" s="8" t="s">
        <v>7664</v>
      </c>
      <c r="J168" s="8" t="s">
        <v>2982</v>
      </c>
      <c r="K168" t="s">
        <v>7665</v>
      </c>
      <c r="L168" t="s">
        <v>7666</v>
      </c>
      <c r="M168" s="3" t="str">
        <f>HYPERLINK(склад2въезд1319[[#This Row],[RelativePath]])</f>
        <v>5 Крыльцо общага\K07156189_22_20251225T103057Z.jpg</v>
      </c>
    </row>
    <row r="169" spans="1:13" x14ac:dyDescent="0.25">
      <c r="A169" s="2" t="s">
        <v>16</v>
      </c>
      <c r="B169" s="4">
        <v>46016</v>
      </c>
      <c r="C169" s="5">
        <v>0.44004629629629627</v>
      </c>
      <c r="D169" s="8" t="s">
        <v>290</v>
      </c>
      <c r="E169" s="8" t="s">
        <v>86</v>
      </c>
      <c r="F169" s="8" t="s">
        <v>60</v>
      </c>
      <c r="G169">
        <v>4</v>
      </c>
      <c r="H169" s="8"/>
      <c r="I169" s="8" t="s">
        <v>7667</v>
      </c>
      <c r="J169" s="8" t="s">
        <v>2982</v>
      </c>
      <c r="K169" t="s">
        <v>7668</v>
      </c>
      <c r="L169" t="s">
        <v>7669</v>
      </c>
      <c r="M169" s="3" t="str">
        <f>HYPERLINK(склад2въезд1319[[#This Row],[RelativePath]])</f>
        <v>5 Крыльцо общага\K07156189_22_20251225T103340Z.jpg</v>
      </c>
    </row>
    <row r="170" spans="1:13" x14ac:dyDescent="0.25">
      <c r="A170" s="2" t="s">
        <v>16</v>
      </c>
      <c r="B170" s="4">
        <v>46016</v>
      </c>
      <c r="C170" s="5">
        <v>0.44195601851851851</v>
      </c>
      <c r="D170" s="8" t="s">
        <v>290</v>
      </c>
      <c r="E170" s="8" t="s">
        <v>86</v>
      </c>
      <c r="F170" s="8" t="s">
        <v>60</v>
      </c>
      <c r="G170">
        <v>2</v>
      </c>
      <c r="H170" s="8"/>
      <c r="I170" s="8" t="s">
        <v>7670</v>
      </c>
      <c r="J170" s="8" t="s">
        <v>2982</v>
      </c>
      <c r="K170" t="s">
        <v>7671</v>
      </c>
      <c r="L170" t="s">
        <v>7672</v>
      </c>
      <c r="M170" s="3" t="str">
        <f>HYPERLINK(склад2въезд1319[[#This Row],[RelativePath]])</f>
        <v>5 Крыльцо общага\K07156189_22_20251225T103625Z.jpg</v>
      </c>
    </row>
    <row r="171" spans="1:13" x14ac:dyDescent="0.25">
      <c r="A171" s="2" t="s">
        <v>16</v>
      </c>
      <c r="B171" s="4">
        <v>46016</v>
      </c>
      <c r="C171" s="5">
        <v>0.51192129629629635</v>
      </c>
      <c r="D171" s="8" t="s">
        <v>4</v>
      </c>
      <c r="E171" s="8" t="s">
        <v>4193</v>
      </c>
      <c r="F171" s="8"/>
      <c r="H171" s="8"/>
      <c r="I171" s="8" t="s">
        <v>7673</v>
      </c>
      <c r="J171" s="8" t="s">
        <v>2982</v>
      </c>
      <c r="K171" t="s">
        <v>7674</v>
      </c>
      <c r="L171" t="s">
        <v>7675</v>
      </c>
      <c r="M171" s="3" t="str">
        <f>HYPERLINK(склад2въезд1319[[#This Row],[RelativePath]])</f>
        <v>5 Крыльцо общага\K07156189_22_20251225T121710Z.jpg</v>
      </c>
    </row>
    <row r="172" spans="1:13" x14ac:dyDescent="0.25">
      <c r="A172" s="2" t="s">
        <v>16</v>
      </c>
      <c r="B172" s="4">
        <v>46016</v>
      </c>
      <c r="C172" s="5">
        <v>0.7239930555555556</v>
      </c>
      <c r="D172" s="8" t="s">
        <v>2004</v>
      </c>
      <c r="E172" s="8" t="s">
        <v>8</v>
      </c>
      <c r="F172" s="8"/>
      <c r="H172" s="8"/>
      <c r="I172" s="8" t="s">
        <v>7676</v>
      </c>
      <c r="J172" s="8" t="s">
        <v>2982</v>
      </c>
      <c r="K172" t="s">
        <v>7677</v>
      </c>
      <c r="L172" t="s">
        <v>7678</v>
      </c>
      <c r="M172" s="3" t="str">
        <f>HYPERLINK(склад2въезд1319[[#This Row],[RelativePath]])</f>
        <v>5 Крыльцо общага\K07156189_22_20251225T172233Z.jpg</v>
      </c>
    </row>
    <row r="173" spans="1:13" x14ac:dyDescent="0.25">
      <c r="A173" s="2" t="s">
        <v>17</v>
      </c>
      <c r="B173" s="4">
        <v>46017</v>
      </c>
      <c r="C173" s="5">
        <v>0.44422453703703701</v>
      </c>
      <c r="D173" s="8" t="s">
        <v>1094</v>
      </c>
      <c r="E173" s="8" t="s">
        <v>86</v>
      </c>
      <c r="F173" s="8" t="s">
        <v>60</v>
      </c>
      <c r="H173" s="8" t="s">
        <v>7870</v>
      </c>
      <c r="I173" s="8" t="s">
        <v>7831</v>
      </c>
      <c r="J173" s="8" t="s">
        <v>2982</v>
      </c>
      <c r="K173" t="s">
        <v>7832</v>
      </c>
      <c r="L173" t="s">
        <v>7833</v>
      </c>
      <c r="M173" s="3" t="str">
        <f>HYPERLINK(склад2въезд1319[[#This Row],[RelativePath]])</f>
        <v>5 Крыльцо общага\K07156189_22_20251226T103941Z.jpg</v>
      </c>
    </row>
    <row r="174" spans="1:13" x14ac:dyDescent="0.25">
      <c r="A174" s="2" t="s">
        <v>17</v>
      </c>
      <c r="B174" s="4">
        <v>46017</v>
      </c>
      <c r="C174" s="5">
        <v>0.44770833333333332</v>
      </c>
      <c r="D174" s="8" t="s">
        <v>1094</v>
      </c>
      <c r="E174" s="8" t="s">
        <v>86</v>
      </c>
      <c r="F174" s="8" t="s">
        <v>60</v>
      </c>
      <c r="H174" s="8" t="s">
        <v>7870</v>
      </c>
      <c r="I174" s="8" t="s">
        <v>7834</v>
      </c>
      <c r="J174" s="8" t="s">
        <v>2982</v>
      </c>
      <c r="K174" t="s">
        <v>7835</v>
      </c>
      <c r="L174" t="s">
        <v>7836</v>
      </c>
      <c r="M174" s="3" t="str">
        <f>HYPERLINK(склад2въезд1319[[#This Row],[RelativePath]])</f>
        <v>5 Крыльцо общага\K07156189_22_20251226T104442Z.jpg</v>
      </c>
    </row>
    <row r="175" spans="1:13" x14ac:dyDescent="0.25">
      <c r="A175" s="2" t="s">
        <v>17</v>
      </c>
      <c r="B175" s="4">
        <v>46017</v>
      </c>
      <c r="C175" s="5">
        <v>0.44888888888888889</v>
      </c>
      <c r="D175" s="8" t="s">
        <v>1094</v>
      </c>
      <c r="E175" s="8" t="s">
        <v>86</v>
      </c>
      <c r="F175" s="8" t="s">
        <v>60</v>
      </c>
      <c r="H175" s="8" t="s">
        <v>7870</v>
      </c>
      <c r="I175" s="8" t="s">
        <v>7837</v>
      </c>
      <c r="J175" s="8" t="s">
        <v>2982</v>
      </c>
      <c r="K175" t="s">
        <v>7838</v>
      </c>
      <c r="L175" t="s">
        <v>7839</v>
      </c>
      <c r="M175" s="3" t="str">
        <f>HYPERLINK(склад2въезд1319[[#This Row],[RelativePath]])</f>
        <v>5 Крыльцо общага\K07156189_22_20251226T104624Z.jpg</v>
      </c>
    </row>
    <row r="176" spans="1:13" x14ac:dyDescent="0.25">
      <c r="A176" s="2" t="s">
        <v>17</v>
      </c>
      <c r="B176" s="4">
        <v>46017</v>
      </c>
      <c r="C176" s="5">
        <v>0.44906249999999998</v>
      </c>
      <c r="D176" s="8" t="s">
        <v>1094</v>
      </c>
      <c r="E176" s="8" t="s">
        <v>86</v>
      </c>
      <c r="F176" s="8" t="s">
        <v>60</v>
      </c>
      <c r="H176" s="8" t="s">
        <v>7870</v>
      </c>
      <c r="I176" s="8" t="s">
        <v>7840</v>
      </c>
      <c r="J176" s="8" t="s">
        <v>2982</v>
      </c>
      <c r="K176" t="s">
        <v>7841</v>
      </c>
      <c r="L176" t="s">
        <v>7842</v>
      </c>
      <c r="M176" s="3" t="str">
        <f>HYPERLINK(склад2въезд1319[[#This Row],[RelativePath]])</f>
        <v>5 Крыльцо общага\K07156189_22_20251226T104639Z.jpg</v>
      </c>
    </row>
    <row r="177" spans="1:13" x14ac:dyDescent="0.25">
      <c r="A177" s="2" t="s">
        <v>17</v>
      </c>
      <c r="B177" s="4">
        <v>46017</v>
      </c>
      <c r="C177" s="5">
        <v>0.4495601851851852</v>
      </c>
      <c r="D177" s="8" t="s">
        <v>1094</v>
      </c>
      <c r="E177" s="8" t="s">
        <v>86</v>
      </c>
      <c r="F177" s="8" t="s">
        <v>60</v>
      </c>
      <c r="H177" s="8" t="s">
        <v>7870</v>
      </c>
      <c r="I177" s="8" t="s">
        <v>7843</v>
      </c>
      <c r="J177" s="8" t="s">
        <v>2982</v>
      </c>
      <c r="K177" t="s">
        <v>7844</v>
      </c>
      <c r="L177" t="s">
        <v>7845</v>
      </c>
      <c r="M177" s="3" t="str">
        <f>HYPERLINK(склад2въезд1319[[#This Row],[RelativePath]])</f>
        <v>5 Крыльцо общага\K07156189_22_20251226T104722Z.jpg</v>
      </c>
    </row>
    <row r="178" spans="1:13" x14ac:dyDescent="0.25">
      <c r="A178" s="2" t="s">
        <v>17</v>
      </c>
      <c r="B178" s="4">
        <v>46017</v>
      </c>
      <c r="C178" s="5">
        <v>0.50839120370370372</v>
      </c>
      <c r="D178" s="8" t="s">
        <v>1094</v>
      </c>
      <c r="E178" s="8" t="s">
        <v>86</v>
      </c>
      <c r="F178" s="8" t="s">
        <v>60</v>
      </c>
      <c r="H178" s="8" t="s">
        <v>7870</v>
      </c>
      <c r="I178" s="8" t="s">
        <v>7846</v>
      </c>
      <c r="J178" s="8" t="s">
        <v>2982</v>
      </c>
      <c r="K178" t="s">
        <v>7847</v>
      </c>
      <c r="L178" t="s">
        <v>7848</v>
      </c>
      <c r="M178" s="3" t="str">
        <f>HYPERLINK(склад2въезд1319[[#This Row],[RelativePath]])</f>
        <v>5 Крыльцо общага\K07156189_22_20251226T121205Z.jpg</v>
      </c>
    </row>
    <row r="179" spans="1:13" x14ac:dyDescent="0.25">
      <c r="A179" s="2" t="s">
        <v>17</v>
      </c>
      <c r="B179" s="4">
        <v>46017</v>
      </c>
      <c r="C179" s="5">
        <v>0.52350694444444446</v>
      </c>
      <c r="D179" s="8" t="s">
        <v>1094</v>
      </c>
      <c r="E179" s="8" t="s">
        <v>86</v>
      </c>
      <c r="F179" s="8" t="s">
        <v>60</v>
      </c>
      <c r="H179" s="8" t="s">
        <v>7870</v>
      </c>
      <c r="I179" s="8" t="s">
        <v>7849</v>
      </c>
      <c r="J179" s="8" t="s">
        <v>2982</v>
      </c>
      <c r="K179" t="s">
        <v>7850</v>
      </c>
      <c r="L179" t="s">
        <v>7851</v>
      </c>
      <c r="M179" s="3" t="str">
        <f>HYPERLINK(склад2въезд1319[[#This Row],[RelativePath]])</f>
        <v>5 Крыльцо общага\K07156189_22_20251226T123351Z.jpg</v>
      </c>
    </row>
    <row r="180" spans="1:13" x14ac:dyDescent="0.25">
      <c r="A180" s="2" t="s">
        <v>17</v>
      </c>
      <c r="B180" s="4">
        <v>46017</v>
      </c>
      <c r="C180" s="5">
        <v>0.62630787037037039</v>
      </c>
      <c r="D180" s="8" t="s">
        <v>2004</v>
      </c>
      <c r="E180" s="8" t="s">
        <v>8</v>
      </c>
      <c r="F180" s="8"/>
      <c r="H180" s="8"/>
      <c r="I180" s="8" t="s">
        <v>7852</v>
      </c>
      <c r="J180" s="8" t="s">
        <v>2982</v>
      </c>
      <c r="K180" t="s">
        <v>7853</v>
      </c>
      <c r="L180" t="s">
        <v>7854</v>
      </c>
      <c r="M180" s="3" t="str">
        <f>HYPERLINK(склад2въезд1319[[#This Row],[RelativePath]])</f>
        <v>5 Крыльцо общага\K07156189_22_20251226T150153Z.jpg</v>
      </c>
    </row>
    <row r="181" spans="1:13" x14ac:dyDescent="0.25">
      <c r="A181" s="2" t="s">
        <v>18</v>
      </c>
      <c r="B181" s="4">
        <v>46018</v>
      </c>
      <c r="C181" s="5">
        <v>0.41405092592592591</v>
      </c>
      <c r="D181" s="8" t="s">
        <v>2004</v>
      </c>
      <c r="E181" s="8" t="s">
        <v>8</v>
      </c>
      <c r="F181" s="8"/>
      <c r="H181" s="8"/>
      <c r="I181" s="8" t="s">
        <v>7929</v>
      </c>
      <c r="J181" s="8" t="s">
        <v>2982</v>
      </c>
      <c r="K181" t="s">
        <v>7930</v>
      </c>
      <c r="L181" t="s">
        <v>7931</v>
      </c>
      <c r="M181" s="3" t="str">
        <f>HYPERLINK(склад2въезд1319[[#This Row],[RelativePath]])</f>
        <v>5 Крыльцо общага\K07156189_22_20251227T095614Z.jpg</v>
      </c>
    </row>
    <row r="182" spans="1:13" x14ac:dyDescent="0.25">
      <c r="A182" s="2" t="s">
        <v>18</v>
      </c>
      <c r="B182" s="4">
        <v>46018</v>
      </c>
      <c r="C182" s="5">
        <v>0.59212962962962967</v>
      </c>
      <c r="D182" s="8" t="s">
        <v>8042</v>
      </c>
      <c r="E182" s="8" t="s">
        <v>6656</v>
      </c>
      <c r="F182" s="8"/>
      <c r="H182" s="8"/>
      <c r="I182" s="8" t="s">
        <v>7932</v>
      </c>
      <c r="J182" s="8" t="s">
        <v>2982</v>
      </c>
      <c r="K182" t="s">
        <v>7933</v>
      </c>
      <c r="L182" t="s">
        <v>7934</v>
      </c>
      <c r="M182" s="3" t="str">
        <f>HYPERLINK(склад2въезд1319[[#This Row],[RelativePath]])</f>
        <v>5 Крыльцо общага\K07156189_22_20251227T141240Z.jpg</v>
      </c>
    </row>
    <row r="183" spans="1:13" x14ac:dyDescent="0.25">
      <c r="A183" s="2" t="s">
        <v>18</v>
      </c>
      <c r="B183" s="4">
        <v>46018</v>
      </c>
      <c r="C183" s="5">
        <v>0.67885416666666665</v>
      </c>
      <c r="D183" s="8" t="s">
        <v>4</v>
      </c>
      <c r="E183" s="8" t="s">
        <v>8045</v>
      </c>
      <c r="F183" s="8"/>
      <c r="H183" s="8"/>
      <c r="I183" s="8" t="s">
        <v>7935</v>
      </c>
      <c r="J183" s="8" t="s">
        <v>2982</v>
      </c>
      <c r="K183" t="s">
        <v>7936</v>
      </c>
      <c r="L183" t="s">
        <v>7937</v>
      </c>
      <c r="M183" s="3" t="str">
        <f>HYPERLINK(склад2въезд1319[[#This Row],[RelativePath]])</f>
        <v>5 Крыльцо общага\K07156189_22_20251227T161733Z.jpg</v>
      </c>
    </row>
    <row r="184" spans="1:13" x14ac:dyDescent="0.25">
      <c r="A184" s="2" t="s">
        <v>22</v>
      </c>
      <c r="B184" s="4">
        <v>46019</v>
      </c>
      <c r="C184" s="5">
        <v>0.53042824074074069</v>
      </c>
      <c r="D184" s="8" t="s">
        <v>4</v>
      </c>
      <c r="E184" s="8" t="s">
        <v>8045</v>
      </c>
      <c r="F184" s="8"/>
      <c r="H184" s="8"/>
      <c r="I184" s="8" t="s">
        <v>7938</v>
      </c>
      <c r="J184" s="8" t="s">
        <v>2982</v>
      </c>
      <c r="K184" t="s">
        <v>7939</v>
      </c>
      <c r="L184" t="s">
        <v>7940</v>
      </c>
      <c r="M184" s="3" t="str">
        <f>HYPERLINK(склад2въезд1319[[#This Row],[RelativePath]])</f>
        <v>5 Крыльцо общага\K07156189_22_20251228T124349Z.jpg</v>
      </c>
    </row>
    <row r="185" spans="1:13" x14ac:dyDescent="0.25">
      <c r="A185" s="2" t="s">
        <v>22</v>
      </c>
      <c r="B185" s="4">
        <v>46019</v>
      </c>
      <c r="C185" s="5">
        <v>0.6691435185185185</v>
      </c>
      <c r="D185" s="8" t="s">
        <v>4</v>
      </c>
      <c r="E185" s="8" t="s">
        <v>8045</v>
      </c>
      <c r="F185" s="8"/>
      <c r="H185" s="8"/>
      <c r="I185" s="8" t="s">
        <v>7941</v>
      </c>
      <c r="J185" s="8" t="s">
        <v>2982</v>
      </c>
      <c r="K185" t="s">
        <v>7942</v>
      </c>
      <c r="L185" t="s">
        <v>7943</v>
      </c>
      <c r="M185" s="3" t="str">
        <f>HYPERLINK(склад2въезд1319[[#This Row],[RelativePath]])</f>
        <v>5 Крыльцо общага\K07156189_22_20251228T160334Z.jpg</v>
      </c>
    </row>
    <row r="186" spans="1:13" x14ac:dyDescent="0.25">
      <c r="A186" s="2" t="s">
        <v>13</v>
      </c>
      <c r="B186" s="4">
        <v>46020</v>
      </c>
      <c r="C186" s="5">
        <v>0.61700231481481482</v>
      </c>
      <c r="D186" s="8" t="s">
        <v>4</v>
      </c>
      <c r="E186" s="8" t="s">
        <v>8331</v>
      </c>
      <c r="F186" s="8"/>
      <c r="H186" s="8"/>
      <c r="I186" s="8" t="s">
        <v>8285</v>
      </c>
      <c r="J186" s="8" t="s">
        <v>2982</v>
      </c>
      <c r="K186" t="s">
        <v>8286</v>
      </c>
      <c r="L186" t="s">
        <v>8287</v>
      </c>
      <c r="M186" s="3" t="str">
        <f>HYPERLINK(склад2въезд1319[[#This Row],[RelativePath]])</f>
        <v>5 Крыльцо общага\K07156189_22_20251229T144829Z.jpg</v>
      </c>
    </row>
    <row r="187" spans="1:13" x14ac:dyDescent="0.25">
      <c r="A187" s="2" t="s">
        <v>13</v>
      </c>
      <c r="B187" s="4">
        <v>46020</v>
      </c>
      <c r="C187" s="5">
        <v>0.65125</v>
      </c>
      <c r="D187" s="8" t="s">
        <v>4</v>
      </c>
      <c r="E187" s="8" t="s">
        <v>8331</v>
      </c>
      <c r="F187" s="8"/>
      <c r="H187" s="8"/>
      <c r="I187" s="8" t="s">
        <v>8288</v>
      </c>
      <c r="J187" s="8" t="s">
        <v>2982</v>
      </c>
      <c r="K187" t="s">
        <v>8289</v>
      </c>
      <c r="L187" t="s">
        <v>8290</v>
      </c>
      <c r="M187" s="3" t="str">
        <f>HYPERLINK(склад2въезд1319[[#This Row],[RelativePath]])</f>
        <v>5 Крыльцо общага\K07156189_22_20251229T153748Z.jpg</v>
      </c>
    </row>
    <row r="188" spans="1:13" x14ac:dyDescent="0.25">
      <c r="A188" s="2" t="s">
        <v>14</v>
      </c>
      <c r="B188" s="4">
        <v>46021</v>
      </c>
      <c r="C188" s="5">
        <v>0.73622685185185188</v>
      </c>
      <c r="D188" s="8" t="s">
        <v>2004</v>
      </c>
      <c r="E188" s="8" t="s">
        <v>8</v>
      </c>
      <c r="F188" s="8"/>
      <c r="H188" s="8"/>
      <c r="I188" s="8" t="s">
        <v>8291</v>
      </c>
      <c r="J188" s="8" t="s">
        <v>2982</v>
      </c>
      <c r="K188" t="s">
        <v>8292</v>
      </c>
      <c r="L188" t="s">
        <v>8293</v>
      </c>
      <c r="M188" s="3" t="str">
        <f>HYPERLINK(склад2въезд1319[[#This Row],[RelativePath]])</f>
        <v>5 Крыльцо общага\K07156189_22_20251230T174010Z.jpg</v>
      </c>
    </row>
    <row r="189" spans="1:13" x14ac:dyDescent="0.25">
      <c r="A189" s="2" t="s">
        <v>15</v>
      </c>
      <c r="B189" s="4">
        <v>46022</v>
      </c>
      <c r="C189" s="5">
        <v>0.62612268518518521</v>
      </c>
      <c r="D189" s="8" t="s">
        <v>4</v>
      </c>
      <c r="E189" s="8" t="s">
        <v>1607</v>
      </c>
      <c r="F189" s="8" t="s">
        <v>7169</v>
      </c>
      <c r="H189" s="8"/>
      <c r="I189" s="8" t="s">
        <v>8294</v>
      </c>
      <c r="J189" s="8" t="s">
        <v>2982</v>
      </c>
      <c r="K189" t="s">
        <v>8295</v>
      </c>
      <c r="L189" t="s">
        <v>8296</v>
      </c>
      <c r="M189" s="3" t="str">
        <f>HYPERLINK(склад2въезд1319[[#This Row],[RelativePath]])</f>
        <v>5 Крыльцо общага\K07156189_22_20251231T150137Z.jpg</v>
      </c>
    </row>
    <row r="190" spans="1:13" x14ac:dyDescent="0.25">
      <c r="A190" s="2" t="s">
        <v>15</v>
      </c>
      <c r="B190" s="4">
        <v>46022</v>
      </c>
      <c r="C190" s="5">
        <v>0.69601851851851848</v>
      </c>
      <c r="D190" s="8" t="s">
        <v>2004</v>
      </c>
      <c r="E190" s="8" t="s">
        <v>8</v>
      </c>
      <c r="F190" s="8"/>
      <c r="H190" s="8"/>
      <c r="I190" s="8" t="s">
        <v>8297</v>
      </c>
      <c r="J190" s="8" t="s">
        <v>2982</v>
      </c>
      <c r="K190" t="s">
        <v>8298</v>
      </c>
      <c r="L190" t="s">
        <v>8299</v>
      </c>
      <c r="M190" s="3" t="str">
        <f>HYPERLINK(склад2въезд1319[[#This Row],[RelativePath]])</f>
        <v>5 Крыльцо общага\K07156189_22_20251231T164216Z.jpg</v>
      </c>
    </row>
    <row r="191" spans="1:13" x14ac:dyDescent="0.25">
      <c r="A191" s="2" t="s">
        <v>16</v>
      </c>
      <c r="B191" s="4">
        <v>46023</v>
      </c>
      <c r="C191" s="5">
        <v>0.75586805555555558</v>
      </c>
      <c r="D191" s="8" t="s">
        <v>2004</v>
      </c>
      <c r="E191" s="8" t="s">
        <v>8</v>
      </c>
      <c r="F191" s="8"/>
      <c r="H191" s="8"/>
      <c r="I191" s="8" t="s">
        <v>8300</v>
      </c>
      <c r="J191" s="8" t="s">
        <v>2982</v>
      </c>
      <c r="K191" t="s">
        <v>8301</v>
      </c>
      <c r="L191" t="s">
        <v>8302</v>
      </c>
      <c r="M191" s="3" t="str">
        <f>HYPERLINK(склад2въезд1319[[#This Row],[RelativePath]])</f>
        <v>5 Крыльцо общага\K07156189_22_20260101T180827Z.jpg</v>
      </c>
    </row>
    <row r="192" spans="1:13" x14ac:dyDescent="0.25">
      <c r="A192" s="2" t="s">
        <v>17</v>
      </c>
      <c r="B192" s="4">
        <v>46024</v>
      </c>
      <c r="C192" s="5">
        <v>0.67988425925925922</v>
      </c>
      <c r="D192" s="8" t="s">
        <v>2004</v>
      </c>
      <c r="E192" s="8" t="s">
        <v>8</v>
      </c>
      <c r="F192" s="8"/>
      <c r="H192" s="8"/>
      <c r="I192" s="8" t="s">
        <v>8429</v>
      </c>
      <c r="J192" s="8" t="s">
        <v>2982</v>
      </c>
      <c r="K192" t="s">
        <v>8430</v>
      </c>
      <c r="L192" t="s">
        <v>8431</v>
      </c>
      <c r="M192" s="3" t="str">
        <f>HYPERLINK(склад2въезд1319[[#This Row],[RelativePath]])</f>
        <v>5 Крыльцо общага\K07156189_22_20260102T161902Z.jpg</v>
      </c>
    </row>
    <row r="193" spans="1:13" x14ac:dyDescent="0.25">
      <c r="A193" s="2" t="s">
        <v>18</v>
      </c>
      <c r="B193" s="4">
        <v>46025</v>
      </c>
      <c r="C193" s="5">
        <v>0.68650462962962966</v>
      </c>
      <c r="D193" s="8" t="s">
        <v>4</v>
      </c>
      <c r="E193" s="8" t="s">
        <v>8483</v>
      </c>
      <c r="F193" s="8"/>
      <c r="H193" s="8" t="s">
        <v>8042</v>
      </c>
      <c r="I193" s="8" t="s">
        <v>8432</v>
      </c>
      <c r="J193" s="8" t="s">
        <v>2982</v>
      </c>
      <c r="K193" t="s">
        <v>8433</v>
      </c>
      <c r="L193" t="s">
        <v>8434</v>
      </c>
      <c r="M193" s="3" t="str">
        <f>HYPERLINK(склад2въезд1319[[#This Row],[RelativePath]])</f>
        <v>5 Крыльцо общага\K07156189_22_20260103T162834Z.jpg</v>
      </c>
    </row>
    <row r="194" spans="1:13" x14ac:dyDescent="0.25">
      <c r="A194" s="2" t="s">
        <v>22</v>
      </c>
      <c r="B194" s="4">
        <v>46026</v>
      </c>
      <c r="C194" s="5">
        <v>0.71475694444444449</v>
      </c>
      <c r="D194" s="8" t="s">
        <v>2004</v>
      </c>
      <c r="E194" s="8" t="s">
        <v>8</v>
      </c>
      <c r="F194" s="8"/>
      <c r="H194" s="8"/>
      <c r="I194" s="8" t="s">
        <v>8435</v>
      </c>
      <c r="J194" s="8" t="s">
        <v>2982</v>
      </c>
      <c r="K194" t="s">
        <v>8436</v>
      </c>
      <c r="L194" t="s">
        <v>8437</v>
      </c>
      <c r="M194" s="3" t="str">
        <f>HYPERLINK(склад2въезд1319[[#This Row],[RelativePath]])</f>
        <v>5 Крыльцо общага\K07156189_22_20260104T170915Z.jpg</v>
      </c>
    </row>
    <row r="195" spans="1:13" x14ac:dyDescent="0.25">
      <c r="A195" s="2" t="s">
        <v>13</v>
      </c>
      <c r="B195" s="4">
        <v>46027</v>
      </c>
      <c r="C195" s="5">
        <v>0.71888888888888891</v>
      </c>
      <c r="D195" s="8" t="s">
        <v>2004</v>
      </c>
      <c r="E195" s="8" t="s">
        <v>8</v>
      </c>
      <c r="F195" s="8"/>
      <c r="H195" s="8"/>
      <c r="I195" s="8" t="s">
        <v>8556</v>
      </c>
      <c r="J195" s="8" t="s">
        <v>2982</v>
      </c>
      <c r="K195" t="s">
        <v>8557</v>
      </c>
      <c r="L195" t="s">
        <v>8558</v>
      </c>
      <c r="M195" s="3" t="str">
        <f>HYPERLINK(склад2въезд1319[[#This Row],[RelativePath]])</f>
        <v>5 Крыльцо общага\K07156189_22_20260105T171512Z.jpg</v>
      </c>
    </row>
    <row r="196" spans="1:13" x14ac:dyDescent="0.25">
      <c r="A196" s="2" t="s">
        <v>14</v>
      </c>
      <c r="B196" s="4">
        <v>46028</v>
      </c>
      <c r="C196" s="5">
        <v>0.72142361111111108</v>
      </c>
      <c r="D196" s="8" t="s">
        <v>4</v>
      </c>
      <c r="E196" s="8" t="s">
        <v>8805</v>
      </c>
      <c r="F196" s="8"/>
      <c r="H196" s="8"/>
      <c r="I196" s="8" t="s">
        <v>8559</v>
      </c>
      <c r="J196" s="8" t="s">
        <v>2982</v>
      </c>
      <c r="K196" t="s">
        <v>8560</v>
      </c>
      <c r="L196" t="s">
        <v>8561</v>
      </c>
      <c r="M196" s="3" t="str">
        <f>HYPERLINK(склад2въезд1319[[#This Row],[RelativePath]])</f>
        <v>5 Крыльцо общага\K07156189_22_20260106T171851Z.jpg</v>
      </c>
    </row>
    <row r="197" spans="1:13" x14ac:dyDescent="0.25">
      <c r="A197" s="2" t="s">
        <v>15</v>
      </c>
      <c r="B197" s="4">
        <v>46029</v>
      </c>
      <c r="C197" s="5">
        <v>0.65956018518518522</v>
      </c>
      <c r="D197" s="8" t="s">
        <v>2004</v>
      </c>
      <c r="E197" s="8" t="s">
        <v>8</v>
      </c>
      <c r="F197" s="8"/>
      <c r="H197" s="8"/>
      <c r="I197" s="8" t="s">
        <v>8562</v>
      </c>
      <c r="J197" s="8" t="s">
        <v>2982</v>
      </c>
      <c r="K197" t="s">
        <v>8563</v>
      </c>
      <c r="L197" t="s">
        <v>8564</v>
      </c>
      <c r="M197" s="3" t="str">
        <f>HYPERLINK(склад2въезд1319[[#This Row],[RelativePath]])</f>
        <v>5 Крыльцо общага\K07156189_22_20260107T154946Z.jpg</v>
      </c>
    </row>
    <row r="198" spans="1:13" x14ac:dyDescent="0.25">
      <c r="A198" s="2" t="s">
        <v>16</v>
      </c>
      <c r="B198" s="4">
        <v>46030</v>
      </c>
      <c r="C198" s="5">
        <v>0.68600694444444443</v>
      </c>
      <c r="D198" s="8" t="s">
        <v>2004</v>
      </c>
      <c r="E198" s="8" t="s">
        <v>8</v>
      </c>
      <c r="F198" s="8"/>
      <c r="H198" s="8"/>
      <c r="I198" s="8" t="s">
        <v>8565</v>
      </c>
      <c r="J198" s="8" t="s">
        <v>2982</v>
      </c>
      <c r="K198" t="s">
        <v>8566</v>
      </c>
      <c r="L198" t="s">
        <v>8567</v>
      </c>
      <c r="M198" s="3" t="str">
        <f>HYPERLINK(склад2въезд1319[[#This Row],[RelativePath]])</f>
        <v>5 Крыльцо общага\K07156189_22_20260108T162751Z.jpg</v>
      </c>
    </row>
    <row r="199" spans="1:13" x14ac:dyDescent="0.25">
      <c r="A199" s="2" t="s">
        <v>17</v>
      </c>
      <c r="B199" s="4">
        <v>46031</v>
      </c>
      <c r="C199" s="5">
        <v>0.66623842592592597</v>
      </c>
      <c r="D199" s="8" t="s">
        <v>2004</v>
      </c>
      <c r="E199" s="8" t="s">
        <v>8</v>
      </c>
      <c r="F199" s="8"/>
      <c r="H199" s="8"/>
      <c r="I199" s="8" t="s">
        <v>8568</v>
      </c>
      <c r="J199" s="8" t="s">
        <v>2982</v>
      </c>
      <c r="K199" t="s">
        <v>8569</v>
      </c>
      <c r="L199" t="s">
        <v>8570</v>
      </c>
      <c r="M199" s="3" t="str">
        <f>HYPERLINK(склад2въезд1319[[#This Row],[RelativePath]])</f>
        <v>5 Крыльцо общага\K07156189_22_20260109T155923Z.jpg</v>
      </c>
    </row>
    <row r="200" spans="1:13" x14ac:dyDescent="0.25">
      <c r="A200" s="2" t="s">
        <v>18</v>
      </c>
      <c r="B200" s="4">
        <v>46032</v>
      </c>
      <c r="C200" s="5">
        <v>0.74467592592592591</v>
      </c>
      <c r="D200" s="8" t="s">
        <v>2004</v>
      </c>
      <c r="E200" s="8" t="s">
        <v>8</v>
      </c>
      <c r="F200" s="8"/>
      <c r="H200" s="8"/>
      <c r="I200" s="8" t="s">
        <v>8571</v>
      </c>
      <c r="J200" s="8" t="s">
        <v>2982</v>
      </c>
      <c r="K200" t="s">
        <v>8572</v>
      </c>
      <c r="L200" t="s">
        <v>8573</v>
      </c>
      <c r="M200" s="3" t="str">
        <f>HYPERLINK(склад2въезд1319[[#This Row],[RelativePath]])</f>
        <v>5 Крыльцо общага\K07156189_22_20260110T175220Z.jpg</v>
      </c>
    </row>
    <row r="201" spans="1:13" x14ac:dyDescent="0.25">
      <c r="A201" s="2" t="s">
        <v>22</v>
      </c>
      <c r="B201" s="4">
        <v>46033</v>
      </c>
      <c r="C201" s="5">
        <v>0.70839120370370368</v>
      </c>
      <c r="D201" s="8" t="s">
        <v>2004</v>
      </c>
      <c r="E201" s="8" t="s">
        <v>8</v>
      </c>
      <c r="F201" s="8"/>
      <c r="H201" s="8"/>
      <c r="I201" s="8" t="s">
        <v>8574</v>
      </c>
      <c r="J201" s="8" t="s">
        <v>2982</v>
      </c>
      <c r="K201" t="s">
        <v>8575</v>
      </c>
      <c r="L201" t="s">
        <v>8576</v>
      </c>
      <c r="M201" s="3" t="str">
        <f>HYPERLINK(склад2въезд1319[[#This Row],[RelativePath]])</f>
        <v>5 Крыльцо общага\K07156189_22_20260111T170005Z.jpg</v>
      </c>
    </row>
    <row r="202" spans="1:13" x14ac:dyDescent="0.25">
      <c r="A202" s="2" t="s">
        <v>14</v>
      </c>
      <c r="B202" s="4">
        <v>45972</v>
      </c>
      <c r="C202" s="5">
        <v>0.39533564814814814</v>
      </c>
      <c r="D202" s="8" t="s">
        <v>2004</v>
      </c>
      <c r="E202" s="8" t="s">
        <v>8</v>
      </c>
      <c r="F202" s="8"/>
      <c r="H202" s="8"/>
      <c r="I202" s="8" t="s">
        <v>364</v>
      </c>
      <c r="J202" s="8" t="s">
        <v>2982</v>
      </c>
      <c r="K202" t="s">
        <v>365</v>
      </c>
      <c r="L202" t="s">
        <v>366</v>
      </c>
      <c r="M202" s="3" t="str">
        <f>HYPERLINK(склад2въезд1319[[#This Row],[RelativePath]])</f>
        <v>5 Крыльцо общага\K07156189_22_20251111T092917Z.jpg</v>
      </c>
    </row>
    <row r="203" spans="1:13" x14ac:dyDescent="0.25">
      <c r="A203" s="2" t="s">
        <v>14</v>
      </c>
      <c r="B203" s="4">
        <v>45972</v>
      </c>
      <c r="C203" s="5">
        <v>0.39787037037037037</v>
      </c>
      <c r="D203" s="8" t="s">
        <v>2004</v>
      </c>
      <c r="E203" s="8" t="s">
        <v>8</v>
      </c>
      <c r="F203" s="8"/>
      <c r="H203" s="8"/>
      <c r="I203" s="8" t="s">
        <v>367</v>
      </c>
      <c r="J203" s="8" t="s">
        <v>2982</v>
      </c>
      <c r="K203" t="s">
        <v>368</v>
      </c>
      <c r="L203" t="s">
        <v>369</v>
      </c>
      <c r="M203" s="3" t="str">
        <f>HYPERLINK(склад2въезд1319[[#This Row],[RelativePath]])</f>
        <v>5 Крыльцо общага\K07156189_22_20251111T093256Z.jpg</v>
      </c>
    </row>
    <row r="204" spans="1:13" x14ac:dyDescent="0.25">
      <c r="A204" s="2" t="s">
        <v>14</v>
      </c>
      <c r="B204" s="4">
        <v>45972</v>
      </c>
      <c r="C204" s="5">
        <v>0.40370370370370373</v>
      </c>
      <c r="D204" s="8" t="s">
        <v>2004</v>
      </c>
      <c r="E204" s="8" t="s">
        <v>8</v>
      </c>
      <c r="F204" s="8"/>
      <c r="H204" s="8"/>
      <c r="I204" s="8" t="s">
        <v>370</v>
      </c>
      <c r="J204" s="8" t="s">
        <v>2982</v>
      </c>
      <c r="K204" t="s">
        <v>371</v>
      </c>
      <c r="L204" t="s">
        <v>372</v>
      </c>
      <c r="M204" s="3" t="str">
        <f>HYPERLINK(склад2въезд1319[[#This Row],[RelativePath]])</f>
        <v>5 Крыльцо общага\K07156189_22_20251111T094120Z.jpg</v>
      </c>
    </row>
    <row r="205" spans="1:13" x14ac:dyDescent="0.25">
      <c r="A205" s="2" t="s">
        <v>14</v>
      </c>
      <c r="B205" s="4">
        <v>45972</v>
      </c>
      <c r="C205" s="5">
        <v>0.40377314814814813</v>
      </c>
      <c r="D205" s="8" t="s">
        <v>2004</v>
      </c>
      <c r="E205" s="8" t="s">
        <v>8</v>
      </c>
      <c r="F205" s="8"/>
      <c r="H205" s="8"/>
      <c r="I205" s="8" t="s">
        <v>373</v>
      </c>
      <c r="J205" s="8" t="s">
        <v>2982</v>
      </c>
      <c r="K205" t="s">
        <v>374</v>
      </c>
      <c r="L205" t="s">
        <v>375</v>
      </c>
      <c r="M205" s="3" t="str">
        <f>HYPERLINK(склад2въезд1319[[#This Row],[RelativePath]])</f>
        <v>5 Крыльцо общага\K07156189_22_20251111T094126Z.jpg</v>
      </c>
    </row>
    <row r="206" spans="1:13" x14ac:dyDescent="0.25">
      <c r="A206" s="2" t="s">
        <v>14</v>
      </c>
      <c r="B206" s="4">
        <v>45972</v>
      </c>
      <c r="C206" s="5">
        <v>0.40597222222222223</v>
      </c>
      <c r="D206" s="8" t="s">
        <v>2004</v>
      </c>
      <c r="E206" s="8" t="s">
        <v>8</v>
      </c>
      <c r="F206" s="8"/>
      <c r="H206" s="8"/>
      <c r="I206" s="8" t="s">
        <v>376</v>
      </c>
      <c r="J206" s="8" t="s">
        <v>2982</v>
      </c>
      <c r="K206" t="s">
        <v>377</v>
      </c>
      <c r="L206" t="s">
        <v>378</v>
      </c>
      <c r="M206" s="3" t="str">
        <f>HYPERLINK(склад2въезд1319[[#This Row],[RelativePath]])</f>
        <v>5 Крыльцо общага\K07156189_22_20251111T094436Z.jpg</v>
      </c>
    </row>
  </sheetData>
  <conditionalFormatting sqref="E207:E220 D207:D217 G2:H206 D2:E206">
    <cfRule type="containsText" dxfId="677" priority="17" operator="containsText" text="Выезд с территории">
      <formula>NOT(ISERROR(SEARCH("Выезд с территории",D2)))</formula>
    </cfRule>
  </conditionalFormatting>
  <conditionalFormatting sqref="F2:F206">
    <cfRule type="notContainsText" dxfId="676" priority="16" operator="notContains" text="порожний">
      <formula>ISERROR(SEARCH("порожний",F2))</formula>
    </cfRule>
  </conditionalFormatting>
  <conditionalFormatting sqref="E2:E220">
    <cfRule type="containsText" dxfId="675" priority="14" operator="containsText" text="Газель базы">
      <formula>NOT(ISERROR(SEARCH("Газель базы",E2)))</formula>
    </cfRule>
    <cfRule type="containsText" dxfId="674" priority="15" operator="containsText" text="Погрузчик базы">
      <formula>NOT(ISERROR(SEARCH("Погрузчик базы",E2)))</formula>
    </cfRule>
  </conditionalFormatting>
  <conditionalFormatting sqref="E2:E220">
    <cfRule type="containsText" dxfId="673" priority="13" operator="containsText" text="Трактор базы">
      <formula>NOT(ISERROR(SEARCH("Трактор базы",E2)))</formula>
    </cfRule>
  </conditionalFormatting>
  <conditionalFormatting sqref="A2:C206">
    <cfRule type="expression" dxfId="672" priority="12">
      <formula>$A2="пн"</formula>
    </cfRule>
  </conditionalFormatting>
  <conditionalFormatting sqref="A2:C208">
    <cfRule type="expression" dxfId="671" priority="6">
      <formula>$A2="вс"</formula>
    </cfRule>
    <cfRule type="expression" dxfId="670" priority="7">
      <formula>$A2="сб"</formula>
    </cfRule>
    <cfRule type="expression" dxfId="669" priority="8">
      <formula>$A2="пт"</formula>
    </cfRule>
    <cfRule type="expression" dxfId="668" priority="9">
      <formula>$A2="чт"</formula>
    </cfRule>
    <cfRule type="expression" dxfId="667" priority="10">
      <formula>$A2="ср"</formula>
    </cfRule>
    <cfRule type="expression" dxfId="666" priority="11">
      <formula>$A2="вт"</formula>
    </cfRule>
  </conditionalFormatting>
  <conditionalFormatting sqref="D2:D217">
    <cfRule type="containsText" dxfId="665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7">
    <cfRule type="containsText" dxfId="664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102"/>
  <sheetViews>
    <sheetView zoomScale="90" zoomScaleNormal="90" workbookViewId="0">
      <pane ySplit="1" topLeftCell="A79" activePane="bottomLeft" state="frozen"/>
      <selection pane="bottomLeft" activeCell="I96" sqref="I96:I10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33.85546875" bestFit="1" customWidth="1"/>
    <col min="6" max="6" width="15.5703125" bestFit="1" customWidth="1"/>
    <col min="7" max="7" width="7.28515625" bestFit="1" customWidth="1"/>
    <col min="8" max="8" width="16.8554687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s="8" t="s">
        <v>4</v>
      </c>
      <c r="E2" s="8" t="s">
        <v>8</v>
      </c>
      <c r="F2" s="8"/>
      <c r="H2" s="8" t="s">
        <v>5</v>
      </c>
      <c r="I2" s="8" t="s">
        <v>480</v>
      </c>
      <c r="J2" s="8" t="s">
        <v>2983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s="8" t="s">
        <v>4</v>
      </c>
      <c r="E3" s="8" t="s">
        <v>8</v>
      </c>
      <c r="F3" s="8"/>
      <c r="H3" s="8" t="s">
        <v>6</v>
      </c>
      <c r="I3" s="8" t="s">
        <v>483</v>
      </c>
      <c r="J3" s="8" t="s">
        <v>2983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s="8" t="s">
        <v>4</v>
      </c>
      <c r="E4" s="8" t="s">
        <v>8</v>
      </c>
      <c r="F4" s="8"/>
      <c r="H4" s="8" t="s">
        <v>5</v>
      </c>
      <c r="I4" s="8" t="s">
        <v>486</v>
      </c>
      <c r="J4" s="8" t="s">
        <v>2983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s="8" t="s">
        <v>289</v>
      </c>
      <c r="E5" s="8" t="s">
        <v>86</v>
      </c>
      <c r="F5" s="8" t="s">
        <v>528</v>
      </c>
      <c r="H5" s="8"/>
      <c r="I5" s="8" t="s">
        <v>489</v>
      </c>
      <c r="J5" s="8" t="s">
        <v>2983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s="8" t="s">
        <v>159</v>
      </c>
      <c r="E6" s="8" t="s">
        <v>86</v>
      </c>
      <c r="F6" s="8" t="s">
        <v>528</v>
      </c>
      <c r="H6" s="8"/>
      <c r="I6" s="8" t="s">
        <v>492</v>
      </c>
      <c r="J6" s="8" t="s">
        <v>2983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s="8" t="s">
        <v>4</v>
      </c>
      <c r="E7" s="8" t="s">
        <v>8</v>
      </c>
      <c r="F7" s="8"/>
      <c r="H7" s="8"/>
      <c r="I7" s="8" t="s">
        <v>495</v>
      </c>
      <c r="J7" s="8" t="s">
        <v>2983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s="8" t="s">
        <v>4</v>
      </c>
      <c r="E8" s="8" t="s">
        <v>8</v>
      </c>
      <c r="F8" s="8"/>
      <c r="H8" s="8"/>
      <c r="I8" s="8" t="s">
        <v>498</v>
      </c>
      <c r="J8" s="8" t="s">
        <v>2983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s="8" t="s">
        <v>4</v>
      </c>
      <c r="E9" s="8" t="s">
        <v>529</v>
      </c>
      <c r="F9" s="8"/>
      <c r="H9" s="8"/>
      <c r="I9" s="8" t="s">
        <v>501</v>
      </c>
      <c r="J9" s="8" t="s">
        <v>2983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s="8" t="s">
        <v>4</v>
      </c>
      <c r="E10" s="8" t="s">
        <v>8</v>
      </c>
      <c r="F10" s="8"/>
      <c r="H10" s="8" t="s">
        <v>6</v>
      </c>
      <c r="I10" s="8" t="s">
        <v>504</v>
      </c>
      <c r="J10" s="8" t="s">
        <v>2983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s="8" t="s">
        <v>4</v>
      </c>
      <c r="E11" s="8" t="s">
        <v>8</v>
      </c>
      <c r="F11" s="8"/>
      <c r="H11" s="8" t="s">
        <v>5</v>
      </c>
      <c r="I11" s="8" t="s">
        <v>507</v>
      </c>
      <c r="J11" s="8" t="s">
        <v>2983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s="8" t="s">
        <v>289</v>
      </c>
      <c r="E12" s="8" t="s">
        <v>86</v>
      </c>
      <c r="F12" s="8" t="s">
        <v>530</v>
      </c>
      <c r="H12" s="8"/>
      <c r="I12" s="8" t="s">
        <v>510</v>
      </c>
      <c r="J12" s="8" t="s">
        <v>2983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s="8" t="s">
        <v>289</v>
      </c>
      <c r="E13" s="8" t="s">
        <v>86</v>
      </c>
      <c r="F13" s="8" t="s">
        <v>530</v>
      </c>
      <c r="H13" s="8"/>
      <c r="I13" s="8" t="s">
        <v>513</v>
      </c>
      <c r="J13" s="8" t="s">
        <v>2983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s="8" t="s">
        <v>533</v>
      </c>
      <c r="E14" s="8" t="s">
        <v>531</v>
      </c>
      <c r="F14" s="8" t="s">
        <v>534</v>
      </c>
      <c r="H14" s="8"/>
      <c r="I14" s="8" t="s">
        <v>516</v>
      </c>
      <c r="J14" s="8" t="s">
        <v>2983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s="8" t="s">
        <v>289</v>
      </c>
      <c r="E15" s="8" t="s">
        <v>86</v>
      </c>
      <c r="F15" s="8" t="s">
        <v>532</v>
      </c>
      <c r="H15" s="8"/>
      <c r="I15" s="8" t="s">
        <v>519</v>
      </c>
      <c r="J15" s="8" t="s">
        <v>2983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s="8" t="s">
        <v>289</v>
      </c>
      <c r="E16" s="8" t="s">
        <v>86</v>
      </c>
      <c r="F16" s="8" t="s">
        <v>532</v>
      </c>
      <c r="H16" s="8"/>
      <c r="I16" s="8" t="s">
        <v>522</v>
      </c>
      <c r="J16" s="8" t="s">
        <v>2983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s="8" t="s">
        <v>4</v>
      </c>
      <c r="E17" s="8" t="s">
        <v>8</v>
      </c>
      <c r="F17" s="8"/>
      <c r="H17" s="8" t="s">
        <v>6</v>
      </c>
      <c r="I17" s="8" t="s">
        <v>525</v>
      </c>
      <c r="J17" s="8" t="s">
        <v>2983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s="8" t="s">
        <v>4</v>
      </c>
      <c r="E18" s="8" t="s">
        <v>8</v>
      </c>
      <c r="F18" s="8"/>
      <c r="H18" s="8" t="s">
        <v>2009</v>
      </c>
      <c r="I18" s="8" t="s">
        <v>2015</v>
      </c>
      <c r="J18" s="8" t="s">
        <v>2983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s="8" t="s">
        <v>4</v>
      </c>
      <c r="E19" s="8" t="s">
        <v>8</v>
      </c>
      <c r="F19" s="8"/>
      <c r="H19" s="8" t="s">
        <v>2004</v>
      </c>
      <c r="I19" s="8" t="s">
        <v>2018</v>
      </c>
      <c r="J19" s="8" t="s">
        <v>2983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s="8" t="s">
        <v>4</v>
      </c>
      <c r="E20" s="8" t="s">
        <v>8</v>
      </c>
      <c r="F20" s="8"/>
      <c r="H20" s="8" t="s">
        <v>2004</v>
      </c>
      <c r="I20" s="8" t="s">
        <v>2021</v>
      </c>
      <c r="J20" s="8" t="s">
        <v>2983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s="8" t="s">
        <v>2004</v>
      </c>
      <c r="E21" s="8"/>
      <c r="F21" s="8"/>
      <c r="H21" s="8"/>
      <c r="I21" s="8" t="s">
        <v>2115</v>
      </c>
      <c r="J21" s="8" t="s">
        <v>2983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s="8" t="s">
        <v>4</v>
      </c>
      <c r="E22" s="8" t="s">
        <v>8</v>
      </c>
      <c r="F22" s="8"/>
      <c r="H22" s="8" t="s">
        <v>2932</v>
      </c>
      <c r="I22" s="8" t="s">
        <v>2934</v>
      </c>
      <c r="J22" s="8" t="s">
        <v>2983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s="8" t="s">
        <v>2004</v>
      </c>
      <c r="E23" s="8"/>
      <c r="F23" s="8"/>
      <c r="H23" s="8"/>
      <c r="I23" s="8" t="s">
        <v>2118</v>
      </c>
      <c r="J23" s="8" t="s">
        <v>2983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s="8" t="s">
        <v>2004</v>
      </c>
      <c r="E24" s="8"/>
      <c r="F24" s="8"/>
      <c r="H24" s="8"/>
      <c r="I24" s="8" t="s">
        <v>2121</v>
      </c>
      <c r="J24" s="8" t="s">
        <v>2983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s="8" t="s">
        <v>2004</v>
      </c>
      <c r="E25" s="8"/>
      <c r="F25" s="8"/>
      <c r="H25" s="8"/>
      <c r="I25" s="8" t="s">
        <v>2124</v>
      </c>
      <c r="J25" s="8" t="s">
        <v>2983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s="8" t="s">
        <v>2004</v>
      </c>
      <c r="E26" s="8"/>
      <c r="F26" s="8"/>
      <c r="H26" s="8"/>
      <c r="I26" s="8" t="s">
        <v>2127</v>
      </c>
      <c r="J26" s="8" t="s">
        <v>2983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s="8" t="s">
        <v>2004</v>
      </c>
      <c r="E27" s="8"/>
      <c r="F27" s="8"/>
      <c r="H27" s="8"/>
      <c r="I27" s="8" t="s">
        <v>2130</v>
      </c>
      <c r="J27" s="8" t="s">
        <v>2983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s="8" t="s">
        <v>4</v>
      </c>
      <c r="E28" s="8" t="s">
        <v>8</v>
      </c>
      <c r="F28" s="8"/>
      <c r="H28" s="8"/>
      <c r="I28" s="8" t="s">
        <v>3405</v>
      </c>
      <c r="J28" s="8" t="s">
        <v>2983</v>
      </c>
      <c r="K28" t="s">
        <v>3406</v>
      </c>
      <c r="L28" t="s">
        <v>3407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s="8" t="s">
        <v>4</v>
      </c>
      <c r="E29" s="8" t="s">
        <v>8</v>
      </c>
      <c r="F29" s="8"/>
      <c r="H29" s="8"/>
      <c r="I29" s="8" t="s">
        <v>4206</v>
      </c>
      <c r="J29" s="8" t="s">
        <v>2983</v>
      </c>
      <c r="K29" t="s">
        <v>4207</v>
      </c>
      <c r="L29" t="s">
        <v>4208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s="8" t="s">
        <v>4</v>
      </c>
      <c r="E30" s="8" t="s">
        <v>8</v>
      </c>
      <c r="F30" s="8"/>
      <c r="H30" s="8"/>
      <c r="I30" s="8" t="s">
        <v>3408</v>
      </c>
      <c r="J30" s="8" t="s">
        <v>2983</v>
      </c>
      <c r="K30" t="s">
        <v>3409</v>
      </c>
      <c r="L30" t="s">
        <v>3410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s="8" t="s">
        <v>4209</v>
      </c>
      <c r="E31" s="8" t="s">
        <v>4210</v>
      </c>
      <c r="F31" s="8"/>
      <c r="H31" s="8"/>
      <c r="I31" s="8" t="s">
        <v>3411</v>
      </c>
      <c r="J31" s="8" t="s">
        <v>2983</v>
      </c>
      <c r="K31" t="s">
        <v>3412</v>
      </c>
      <c r="L31" t="s">
        <v>3413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s="8" t="s">
        <v>4209</v>
      </c>
      <c r="E32" s="8" t="s">
        <v>4210</v>
      </c>
      <c r="F32" s="8"/>
      <c r="H32" s="8" t="s">
        <v>2936</v>
      </c>
      <c r="I32" s="8" t="s">
        <v>3414</v>
      </c>
      <c r="J32" s="8" t="s">
        <v>2983</v>
      </c>
      <c r="K32" t="s">
        <v>3415</v>
      </c>
      <c r="L32" t="s">
        <v>3416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s="8" t="s">
        <v>4209</v>
      </c>
      <c r="E33" s="8" t="s">
        <v>4210</v>
      </c>
      <c r="F33" s="8"/>
      <c r="H33" s="8" t="s">
        <v>2936</v>
      </c>
      <c r="I33" s="8" t="s">
        <v>3417</v>
      </c>
      <c r="J33" s="8" t="s">
        <v>2983</v>
      </c>
      <c r="K33" t="s">
        <v>3418</v>
      </c>
      <c r="L33" t="s">
        <v>3419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s="8" t="s">
        <v>4209</v>
      </c>
      <c r="E34" s="8" t="s">
        <v>4210</v>
      </c>
      <c r="F34" s="8"/>
      <c r="H34" s="8" t="s">
        <v>2936</v>
      </c>
      <c r="I34" s="8" t="s">
        <v>3420</v>
      </c>
      <c r="J34" s="8" t="s">
        <v>2983</v>
      </c>
      <c r="K34" t="s">
        <v>3421</v>
      </c>
      <c r="L34" t="s">
        <v>3422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s="8" t="s">
        <v>4209</v>
      </c>
      <c r="E35" s="8" t="s">
        <v>4210</v>
      </c>
      <c r="F35" s="8"/>
      <c r="H35" s="8" t="s">
        <v>2936</v>
      </c>
      <c r="I35" s="8" t="s">
        <v>3423</v>
      </c>
      <c r="J35" s="8" t="s">
        <v>2983</v>
      </c>
      <c r="K35" t="s">
        <v>3424</v>
      </c>
      <c r="L35" t="s">
        <v>3425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s="8" t="s">
        <v>4209</v>
      </c>
      <c r="E36" s="8" t="s">
        <v>4210</v>
      </c>
      <c r="F36" s="8"/>
      <c r="H36" s="8" t="s">
        <v>2936</v>
      </c>
      <c r="I36" s="8" t="s">
        <v>3426</v>
      </c>
      <c r="J36" s="8" t="s">
        <v>2983</v>
      </c>
      <c r="K36" t="s">
        <v>3427</v>
      </c>
      <c r="L36" t="s">
        <v>3428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s="8" t="s">
        <v>4209</v>
      </c>
      <c r="E37" s="8" t="s">
        <v>4210</v>
      </c>
      <c r="F37" s="8"/>
      <c r="H37" s="8" t="s">
        <v>2936</v>
      </c>
      <c r="I37" s="8" t="s">
        <v>3429</v>
      </c>
      <c r="J37" s="8" t="s">
        <v>2983</v>
      </c>
      <c r="K37" t="s">
        <v>3430</v>
      </c>
      <c r="L37" t="s">
        <v>3431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s="8" t="s">
        <v>4209</v>
      </c>
      <c r="E38" s="8" t="s">
        <v>4210</v>
      </c>
      <c r="F38" s="8"/>
      <c r="H38" s="8" t="s">
        <v>2936</v>
      </c>
      <c r="I38" s="8" t="s">
        <v>3432</v>
      </c>
      <c r="J38" s="8" t="s">
        <v>2983</v>
      </c>
      <c r="K38" t="s">
        <v>3433</v>
      </c>
      <c r="L38" t="s">
        <v>3434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s="8" t="s">
        <v>4209</v>
      </c>
      <c r="E39" s="8" t="s">
        <v>4210</v>
      </c>
      <c r="F39" s="8"/>
      <c r="H39" s="8" t="s">
        <v>2936</v>
      </c>
      <c r="I39" s="8" t="s">
        <v>3435</v>
      </c>
      <c r="J39" s="8" t="s">
        <v>2983</v>
      </c>
      <c r="K39" t="s">
        <v>3436</v>
      </c>
      <c r="L39" t="s">
        <v>3437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s="8" t="s">
        <v>4209</v>
      </c>
      <c r="E40" s="8" t="s">
        <v>4210</v>
      </c>
      <c r="F40" s="8"/>
      <c r="H40" s="8" t="s">
        <v>2936</v>
      </c>
      <c r="I40" s="8" t="s">
        <v>3438</v>
      </c>
      <c r="J40" s="8" t="s">
        <v>2983</v>
      </c>
      <c r="K40" t="s">
        <v>3439</v>
      </c>
      <c r="L40" t="s">
        <v>3440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s="8" t="s">
        <v>4209</v>
      </c>
      <c r="E41" s="8" t="s">
        <v>4210</v>
      </c>
      <c r="F41" s="8"/>
      <c r="H41" s="8" t="s">
        <v>2936</v>
      </c>
      <c r="I41" s="8" t="s">
        <v>3441</v>
      </c>
      <c r="J41" s="8" t="s">
        <v>2983</v>
      </c>
      <c r="K41" t="s">
        <v>3442</v>
      </c>
      <c r="L41" t="s">
        <v>3443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s="8" t="s">
        <v>4209</v>
      </c>
      <c r="E42" s="8" t="s">
        <v>4210</v>
      </c>
      <c r="F42" s="8"/>
      <c r="H42" s="8" t="s">
        <v>2936</v>
      </c>
      <c r="I42" s="8" t="s">
        <v>3444</v>
      </c>
      <c r="J42" s="8" t="s">
        <v>2983</v>
      </c>
      <c r="K42" t="s">
        <v>3445</v>
      </c>
      <c r="L42" t="s">
        <v>3446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s="8" t="s">
        <v>4</v>
      </c>
      <c r="E43" s="8" t="s">
        <v>8</v>
      </c>
      <c r="F43" s="8"/>
      <c r="H43" s="8"/>
      <c r="I43" s="8" t="s">
        <v>3447</v>
      </c>
      <c r="J43" s="8" t="s">
        <v>2983</v>
      </c>
      <c r="K43" t="s">
        <v>3448</v>
      </c>
      <c r="L43" t="s">
        <v>3449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s="8" t="s">
        <v>289</v>
      </c>
      <c r="E44" s="8" t="s">
        <v>4211</v>
      </c>
      <c r="F44" s="8"/>
      <c r="H44" s="8"/>
      <c r="I44" s="8" t="s">
        <v>3450</v>
      </c>
      <c r="J44" s="8" t="s">
        <v>2983</v>
      </c>
      <c r="K44" t="s">
        <v>3451</v>
      </c>
      <c r="L44" t="s">
        <v>3452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s="8" t="s">
        <v>289</v>
      </c>
      <c r="E45" s="8" t="s">
        <v>4211</v>
      </c>
      <c r="F45" s="8"/>
      <c r="H45" s="8" t="s">
        <v>2936</v>
      </c>
      <c r="I45" s="8" t="s">
        <v>3453</v>
      </c>
      <c r="J45" s="8" t="s">
        <v>2983</v>
      </c>
      <c r="K45" t="s">
        <v>3454</v>
      </c>
      <c r="L45" t="s">
        <v>3455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s="8" t="s">
        <v>289</v>
      </c>
      <c r="E46" s="8" t="s">
        <v>4211</v>
      </c>
      <c r="F46" s="8"/>
      <c r="H46" s="8" t="s">
        <v>2936</v>
      </c>
      <c r="I46" s="8" t="s">
        <v>3456</v>
      </c>
      <c r="J46" s="8" t="s">
        <v>2983</v>
      </c>
      <c r="K46" t="s">
        <v>3457</v>
      </c>
      <c r="L46" t="s">
        <v>3458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s="8" t="s">
        <v>289</v>
      </c>
      <c r="E47" s="8" t="s">
        <v>4211</v>
      </c>
      <c r="F47" s="8"/>
      <c r="H47" s="8" t="s">
        <v>2936</v>
      </c>
      <c r="I47" s="8" t="s">
        <v>3459</v>
      </c>
      <c r="J47" s="8" t="s">
        <v>2983</v>
      </c>
      <c r="K47" t="s">
        <v>3460</v>
      </c>
      <c r="L47" t="s">
        <v>3461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s="8" t="s">
        <v>289</v>
      </c>
      <c r="E48" s="8" t="s">
        <v>4211</v>
      </c>
      <c r="F48" s="8"/>
      <c r="H48" s="8" t="s">
        <v>2936</v>
      </c>
      <c r="I48" s="8" t="s">
        <v>3462</v>
      </c>
      <c r="J48" s="8" t="s">
        <v>2983</v>
      </c>
      <c r="K48" t="s">
        <v>3463</v>
      </c>
      <c r="L48" t="s">
        <v>3464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s="8" t="s">
        <v>4</v>
      </c>
      <c r="E49" s="8" t="s">
        <v>8</v>
      </c>
      <c r="F49" s="8"/>
      <c r="H49" s="8"/>
      <c r="I49" s="8" t="s">
        <v>3465</v>
      </c>
      <c r="J49" s="8" t="s">
        <v>2983</v>
      </c>
      <c r="K49" t="s">
        <v>3466</v>
      </c>
      <c r="L49" t="s">
        <v>3467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s="8" t="s">
        <v>2004</v>
      </c>
      <c r="E50" s="8"/>
      <c r="F50" s="8"/>
      <c r="H50" s="8"/>
      <c r="I50" s="8" t="s">
        <v>4273</v>
      </c>
      <c r="J50" s="8" t="s">
        <v>2983</v>
      </c>
      <c r="K50" t="s">
        <v>4274</v>
      </c>
      <c r="L50" t="s">
        <v>4275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s="8" t="s">
        <v>1615</v>
      </c>
      <c r="E51" s="8" t="s">
        <v>86</v>
      </c>
      <c r="F51" s="8" t="s">
        <v>200</v>
      </c>
      <c r="H51" s="8"/>
      <c r="I51" s="8" t="s">
        <v>5110</v>
      </c>
      <c r="J51" s="8" t="s">
        <v>2983</v>
      </c>
      <c r="K51" t="s">
        <v>5111</v>
      </c>
      <c r="L51" t="s">
        <v>5106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s="8" t="s">
        <v>1094</v>
      </c>
      <c r="E52" s="8" t="s">
        <v>4247</v>
      </c>
      <c r="F52" s="8" t="s">
        <v>60</v>
      </c>
      <c r="H52" s="8"/>
      <c r="I52" s="8" t="s">
        <v>5112</v>
      </c>
      <c r="J52" s="8" t="s">
        <v>2983</v>
      </c>
      <c r="K52" t="s">
        <v>5113</v>
      </c>
      <c r="L52" t="s">
        <v>5107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s="8" t="s">
        <v>533</v>
      </c>
      <c r="E53" s="8" t="s">
        <v>1607</v>
      </c>
      <c r="F53" s="8" t="s">
        <v>58</v>
      </c>
      <c r="H53" s="8"/>
      <c r="I53" s="8" t="s">
        <v>5114</v>
      </c>
      <c r="J53" s="8" t="s">
        <v>2983</v>
      </c>
      <c r="K53" t="s">
        <v>5115</v>
      </c>
      <c r="L53" t="s">
        <v>5108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s="8" t="s">
        <v>1615</v>
      </c>
      <c r="E54" s="8" t="s">
        <v>86</v>
      </c>
      <c r="F54" s="8" t="s">
        <v>200</v>
      </c>
      <c r="H54" s="8"/>
      <c r="I54" s="8" t="s">
        <v>4576</v>
      </c>
      <c r="J54" s="8" t="s">
        <v>2983</v>
      </c>
      <c r="K54" t="s">
        <v>4577</v>
      </c>
      <c r="L54" t="s">
        <v>4578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s="8" t="s">
        <v>1094</v>
      </c>
      <c r="E55" s="8" t="s">
        <v>4247</v>
      </c>
      <c r="F55" s="8" t="s">
        <v>200</v>
      </c>
      <c r="H55" s="8"/>
      <c r="I55" s="8" t="s">
        <v>4579</v>
      </c>
      <c r="J55" s="8" t="s">
        <v>2983</v>
      </c>
      <c r="K55" t="s">
        <v>4580</v>
      </c>
      <c r="L55" t="s">
        <v>4581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s="8" t="s">
        <v>1094</v>
      </c>
      <c r="E56" s="8" t="s">
        <v>4247</v>
      </c>
      <c r="F56" s="8" t="s">
        <v>200</v>
      </c>
      <c r="H56" s="8"/>
      <c r="I56" s="8" t="s">
        <v>4582</v>
      </c>
      <c r="J56" s="8" t="s">
        <v>2983</v>
      </c>
      <c r="K56" t="s">
        <v>4583</v>
      </c>
      <c r="L56" t="s">
        <v>4584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s="8" t="s">
        <v>5109</v>
      </c>
      <c r="E57" s="8" t="s">
        <v>86</v>
      </c>
      <c r="F57" s="8"/>
      <c r="H57" s="8"/>
      <c r="I57" s="8" t="s">
        <v>4585</v>
      </c>
      <c r="J57" s="8" t="s">
        <v>2983</v>
      </c>
      <c r="K57" t="s">
        <v>4586</v>
      </c>
      <c r="L57" t="s">
        <v>4587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s="8" t="s">
        <v>4</v>
      </c>
      <c r="E58" s="8" t="s">
        <v>8</v>
      </c>
      <c r="F58" s="8"/>
      <c r="H58" s="8"/>
      <c r="I58" s="8" t="s">
        <v>4588</v>
      </c>
      <c r="J58" s="8" t="s">
        <v>2983</v>
      </c>
      <c r="K58" t="s">
        <v>4589</v>
      </c>
      <c r="L58" t="s">
        <v>4590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s="8" t="s">
        <v>5109</v>
      </c>
      <c r="E59" s="8" t="s">
        <v>86</v>
      </c>
      <c r="F59" s="8"/>
      <c r="H59" s="8"/>
      <c r="I59" s="8" t="s">
        <v>4591</v>
      </c>
      <c r="J59" s="8" t="s">
        <v>2983</v>
      </c>
      <c r="K59" t="s">
        <v>4592</v>
      </c>
      <c r="L59" t="s">
        <v>4593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s="8" t="s">
        <v>5109</v>
      </c>
      <c r="E60" s="8" t="s">
        <v>86</v>
      </c>
      <c r="F60" s="8"/>
      <c r="H60" s="8"/>
      <c r="I60" s="8" t="s">
        <v>4594</v>
      </c>
      <c r="J60" s="8" t="s">
        <v>2983</v>
      </c>
      <c r="K60" t="s">
        <v>4595</v>
      </c>
      <c r="L60" t="s">
        <v>4596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s="8" t="s">
        <v>2004</v>
      </c>
      <c r="E61" s="8" t="s">
        <v>8</v>
      </c>
      <c r="F61" s="8"/>
      <c r="H61" s="8"/>
      <c r="I61" s="8" t="s">
        <v>4597</v>
      </c>
      <c r="J61" s="8" t="s">
        <v>2983</v>
      </c>
      <c r="K61" t="s">
        <v>4598</v>
      </c>
      <c r="L61" t="s">
        <v>4599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s="8" t="s">
        <v>2004</v>
      </c>
      <c r="E62" s="8" t="s">
        <v>8</v>
      </c>
      <c r="F62" s="8"/>
      <c r="H62" s="8"/>
      <c r="I62" s="8" t="s">
        <v>5175</v>
      </c>
      <c r="J62" s="8" t="s">
        <v>2983</v>
      </c>
      <c r="K62" t="s">
        <v>5176</v>
      </c>
      <c r="L62" t="s">
        <v>5177</v>
      </c>
      <c r="M62" s="3" t="str">
        <f>HYPERLINK(склад2въезд131920[[#This Row],[RelativePath]])</f>
        <v>6 Площадка 1 общага\826398429_1_20251207T112611Z.jpg</v>
      </c>
    </row>
    <row r="63" spans="1:13" x14ac:dyDescent="0.25">
      <c r="A63" s="2" t="s">
        <v>13</v>
      </c>
      <c r="B63" s="4">
        <v>45999</v>
      </c>
      <c r="C63" s="5">
        <v>0.4788425925925926</v>
      </c>
      <c r="D63" s="8" t="s">
        <v>4</v>
      </c>
      <c r="E63" s="8" t="s">
        <v>8</v>
      </c>
      <c r="F63" s="8"/>
      <c r="H63" s="8"/>
      <c r="I63" s="8" t="s">
        <v>5310</v>
      </c>
      <c r="J63" s="8" t="s">
        <v>2983</v>
      </c>
      <c r="K63" t="s">
        <v>5311</v>
      </c>
      <c r="L63" t="s">
        <v>5312</v>
      </c>
      <c r="M63" s="3" t="str">
        <f>HYPERLINK(склад2въезд131920[[#This Row],[RelativePath]])</f>
        <v>6 Площадка 1 общага\826398429_1_20251208T112932Z.jpg</v>
      </c>
    </row>
    <row r="64" spans="1:13" x14ac:dyDescent="0.25">
      <c r="A64" s="2" t="s">
        <v>13</v>
      </c>
      <c r="B64" s="4">
        <v>45999</v>
      </c>
      <c r="C64" s="5">
        <v>0.66003472222222226</v>
      </c>
      <c r="D64" s="8" t="s">
        <v>2004</v>
      </c>
      <c r="E64" s="8" t="s">
        <v>8</v>
      </c>
      <c r="F64" s="8"/>
      <c r="H64" s="8"/>
      <c r="I64" s="8" t="s">
        <v>5313</v>
      </c>
      <c r="J64" s="8" t="s">
        <v>2983</v>
      </c>
      <c r="K64" t="s">
        <v>5314</v>
      </c>
      <c r="L64" t="s">
        <v>5315</v>
      </c>
      <c r="M64" s="3" t="str">
        <f>HYPERLINK(склад2въезд131920[[#This Row],[RelativePath]])</f>
        <v>6 Площадка 1 общага\826398429_1_20251208T155027Z.jpg</v>
      </c>
    </row>
    <row r="65" spans="1:13" x14ac:dyDescent="0.25">
      <c r="A65" s="2" t="s">
        <v>14</v>
      </c>
      <c r="B65" s="4">
        <v>46000</v>
      </c>
      <c r="C65" s="5">
        <v>0.73707175925925927</v>
      </c>
      <c r="D65" s="8" t="s">
        <v>2004</v>
      </c>
      <c r="E65" s="8" t="s">
        <v>8</v>
      </c>
      <c r="F65" s="8"/>
      <c r="H65" s="8"/>
      <c r="I65" s="8" t="s">
        <v>5539</v>
      </c>
      <c r="J65" s="8" t="s">
        <v>2983</v>
      </c>
      <c r="K65" t="s">
        <v>5540</v>
      </c>
      <c r="L65" t="s">
        <v>5541</v>
      </c>
      <c r="M65" s="3" t="str">
        <f>HYPERLINK(склад2въезд131920[[#This Row],[RelativePath]])</f>
        <v>6 Площадка 1 общага\826398429_1_20251209T174123Z.jpg</v>
      </c>
    </row>
    <row r="66" spans="1:13" x14ac:dyDescent="0.25">
      <c r="A66" s="2" t="s">
        <v>15</v>
      </c>
      <c r="B66" s="4">
        <v>46001</v>
      </c>
      <c r="C66" s="5">
        <v>0.67366898148148147</v>
      </c>
      <c r="D66" s="8" t="s">
        <v>2004</v>
      </c>
      <c r="E66" s="8" t="s">
        <v>8</v>
      </c>
      <c r="F66" s="8"/>
      <c r="H66" s="8"/>
      <c r="I66" s="8" t="s">
        <v>5542</v>
      </c>
      <c r="J66" s="8" t="s">
        <v>2983</v>
      </c>
      <c r="K66" t="s">
        <v>5543</v>
      </c>
      <c r="L66" t="s">
        <v>5544</v>
      </c>
      <c r="M66" s="3" t="str">
        <f>HYPERLINK(склад2въезд131920[[#This Row],[RelativePath]])</f>
        <v>6 Площадка 1 общага\826398429_1_20251210T161005Z.jpg</v>
      </c>
    </row>
    <row r="67" spans="1:13" x14ac:dyDescent="0.25">
      <c r="A67" s="2" t="s">
        <v>16</v>
      </c>
      <c r="B67" s="4">
        <v>46002</v>
      </c>
      <c r="C67" s="5">
        <v>0.7340740740740741</v>
      </c>
      <c r="D67" s="8" t="s">
        <v>2004</v>
      </c>
      <c r="E67" s="8" t="s">
        <v>8</v>
      </c>
      <c r="F67" s="8"/>
      <c r="H67" s="8"/>
      <c r="I67" s="8" t="s">
        <v>5545</v>
      </c>
      <c r="J67" s="8" t="s">
        <v>2983</v>
      </c>
      <c r="K67" t="s">
        <v>5546</v>
      </c>
      <c r="L67" t="s">
        <v>5547</v>
      </c>
      <c r="M67" s="3" t="str">
        <f>HYPERLINK(склад2въезд131920[[#This Row],[RelativePath]])</f>
        <v>6 Площадка 1 общага\826398429_1_20251211T173704Z.jpg</v>
      </c>
    </row>
    <row r="68" spans="1:13" x14ac:dyDescent="0.25">
      <c r="A68" s="2" t="s">
        <v>17</v>
      </c>
      <c r="B68" s="4">
        <v>46003</v>
      </c>
      <c r="C68" s="5">
        <v>0.48729166666666668</v>
      </c>
      <c r="D68" s="8" t="s">
        <v>1615</v>
      </c>
      <c r="E68" s="8" t="s">
        <v>86</v>
      </c>
      <c r="F68" s="8" t="s">
        <v>200</v>
      </c>
      <c r="H68" s="8"/>
      <c r="I68" s="8" t="s">
        <v>5867</v>
      </c>
      <c r="J68" s="8" t="s">
        <v>2983</v>
      </c>
      <c r="K68" t="s">
        <v>5868</v>
      </c>
      <c r="L68" t="s">
        <v>5869</v>
      </c>
      <c r="M68" s="3" t="str">
        <f>HYPERLINK(склад2въезд131920[[#This Row],[RelativePath]])</f>
        <v>6 Площадка 1 общага\826398429_1_20251212T114142Z.jpg</v>
      </c>
    </row>
    <row r="69" spans="1:13" x14ac:dyDescent="0.25">
      <c r="A69" s="2" t="s">
        <v>17</v>
      </c>
      <c r="B69" s="4">
        <v>46003</v>
      </c>
      <c r="C69" s="5">
        <v>0.5033333333333333</v>
      </c>
      <c r="D69" s="8" t="s">
        <v>1615</v>
      </c>
      <c r="E69" s="8" t="s">
        <v>86</v>
      </c>
      <c r="F69" s="8" t="s">
        <v>200</v>
      </c>
      <c r="H69" s="8"/>
      <c r="I69" s="8" t="s">
        <v>5870</v>
      </c>
      <c r="J69" s="8" t="s">
        <v>2983</v>
      </c>
      <c r="K69" t="s">
        <v>5871</v>
      </c>
      <c r="L69" t="s">
        <v>5872</v>
      </c>
      <c r="M69" s="3" t="str">
        <f>HYPERLINK(склад2въезд131920[[#This Row],[RelativePath]])</f>
        <v>6 Площадка 1 общага\826398429_1_20251212T120448Z.jpg</v>
      </c>
    </row>
    <row r="70" spans="1:13" x14ac:dyDescent="0.25">
      <c r="A70" s="2" t="s">
        <v>17</v>
      </c>
      <c r="B70" s="4">
        <v>46003</v>
      </c>
      <c r="C70" s="5">
        <v>0.51285879629629627</v>
      </c>
      <c r="D70" s="8" t="s">
        <v>1615</v>
      </c>
      <c r="E70" s="8" t="s">
        <v>86</v>
      </c>
      <c r="F70" s="8" t="s">
        <v>200</v>
      </c>
      <c r="H70" s="8"/>
      <c r="I70" s="8" t="s">
        <v>5873</v>
      </c>
      <c r="J70" s="8" t="s">
        <v>2983</v>
      </c>
      <c r="K70" t="s">
        <v>5874</v>
      </c>
      <c r="L70" t="s">
        <v>5875</v>
      </c>
      <c r="M70" s="3" t="str">
        <f>HYPERLINK(склад2въезд131920[[#This Row],[RelativePath]])</f>
        <v>6 Площадка 1 общага\826398429_1_20251212T121831Z.jpg</v>
      </c>
    </row>
    <row r="71" spans="1:13" x14ac:dyDescent="0.25">
      <c r="A71" s="2" t="s">
        <v>18</v>
      </c>
      <c r="B71" s="4">
        <v>46004</v>
      </c>
      <c r="C71" s="5">
        <v>0.72584490740740737</v>
      </c>
      <c r="D71" s="8" t="s">
        <v>2004</v>
      </c>
      <c r="E71" s="8" t="s">
        <v>8</v>
      </c>
      <c r="F71" s="8"/>
      <c r="H71" s="8"/>
      <c r="I71" s="8" t="s">
        <v>6077</v>
      </c>
      <c r="J71" s="8" t="s">
        <v>2983</v>
      </c>
      <c r="K71" t="s">
        <v>6078</v>
      </c>
      <c r="L71" t="s">
        <v>6079</v>
      </c>
      <c r="M71" s="3" t="str">
        <f>HYPERLINK(склад2въезд131920[[#This Row],[RelativePath]])</f>
        <v>6 Площадка 1 общага\826398429_1_20251213T172513Z.jpg</v>
      </c>
    </row>
    <row r="72" spans="1:13" x14ac:dyDescent="0.25">
      <c r="A72" s="2" t="s">
        <v>22</v>
      </c>
      <c r="B72" s="4">
        <v>46005</v>
      </c>
      <c r="C72" s="5">
        <v>0.68244212962962958</v>
      </c>
      <c r="D72" s="8" t="s">
        <v>2004</v>
      </c>
      <c r="E72" s="8" t="s">
        <v>8</v>
      </c>
      <c r="F72" s="8"/>
      <c r="H72" s="8"/>
      <c r="I72" s="8" t="s">
        <v>6207</v>
      </c>
      <c r="J72" s="8" t="s">
        <v>2983</v>
      </c>
      <c r="K72" t="s">
        <v>6208</v>
      </c>
      <c r="L72" t="s">
        <v>6209</v>
      </c>
      <c r="M72" s="3" t="str">
        <f>HYPERLINK(склад2въезд131920[[#This Row],[RelativePath]])</f>
        <v>6 Площадка 1 общага\826398429_1_20251214T162243Z.jpg</v>
      </c>
    </row>
    <row r="73" spans="1:13" x14ac:dyDescent="0.25">
      <c r="A73" s="2" t="s">
        <v>13</v>
      </c>
      <c r="B73" s="4">
        <v>46006</v>
      </c>
      <c r="C73" s="5">
        <v>0.73803240740740739</v>
      </c>
      <c r="D73" s="8" t="s">
        <v>2004</v>
      </c>
      <c r="E73" s="8" t="s">
        <v>8</v>
      </c>
      <c r="F73" s="8"/>
      <c r="H73" s="8"/>
      <c r="I73" s="8" t="s">
        <v>6326</v>
      </c>
      <c r="J73" s="8" t="s">
        <v>2983</v>
      </c>
      <c r="K73" t="s">
        <v>6327</v>
      </c>
      <c r="L73" t="s">
        <v>6328</v>
      </c>
      <c r="M73" s="3" t="str">
        <f>HYPERLINK(склад2въезд131920[[#This Row],[RelativePath]])</f>
        <v>6 Площадка 1 общага\826398429_1_20251215T174246Z.jpg</v>
      </c>
    </row>
    <row r="74" spans="1:13" x14ac:dyDescent="0.25">
      <c r="A74" s="2" t="s">
        <v>14</v>
      </c>
      <c r="B74" s="4">
        <v>46007</v>
      </c>
      <c r="C74" s="5">
        <v>0.7170023148148148</v>
      </c>
      <c r="D74" s="8" t="s">
        <v>2004</v>
      </c>
      <c r="E74" s="8" t="s">
        <v>8</v>
      </c>
      <c r="F74" s="8"/>
      <c r="H74" s="8"/>
      <c r="I74" s="8" t="s">
        <v>6566</v>
      </c>
      <c r="J74" s="8" t="s">
        <v>2983</v>
      </c>
      <c r="K74" t="s">
        <v>6567</v>
      </c>
      <c r="L74" t="s">
        <v>6568</v>
      </c>
      <c r="M74" s="3" t="str">
        <f>HYPERLINK(склад2въезд131920[[#This Row],[RelativePath]])</f>
        <v>6 Площадка 1 общага\826398429_1_20251216T171229Z.jpg</v>
      </c>
    </row>
    <row r="75" spans="1:13" x14ac:dyDescent="0.25">
      <c r="A75" s="2" t="s">
        <v>15</v>
      </c>
      <c r="B75" s="4">
        <v>46008</v>
      </c>
      <c r="C75" s="5">
        <v>0.73940972222222223</v>
      </c>
      <c r="D75" s="8" t="s">
        <v>2004</v>
      </c>
      <c r="E75" s="8" t="s">
        <v>8</v>
      </c>
      <c r="F75" s="8"/>
      <c r="H75" s="8"/>
      <c r="I75" s="8" t="s">
        <v>6715</v>
      </c>
      <c r="J75" s="8" t="s">
        <v>2983</v>
      </c>
      <c r="K75" t="s">
        <v>6716</v>
      </c>
      <c r="L75" t="s">
        <v>6717</v>
      </c>
      <c r="M75" s="3" t="str">
        <f>HYPERLINK(склад2въезд131920[[#This Row],[RelativePath]])</f>
        <v>6 Площадка 1 общага\826398429_1_20251217T174445Z.jpg</v>
      </c>
    </row>
    <row r="76" spans="1:13" x14ac:dyDescent="0.25">
      <c r="A76" s="2" t="s">
        <v>16</v>
      </c>
      <c r="B76" s="4">
        <v>46009</v>
      </c>
      <c r="C76" s="5">
        <v>0.51688657407407412</v>
      </c>
      <c r="D76" s="8" t="s">
        <v>2004</v>
      </c>
      <c r="E76" s="8" t="s">
        <v>8</v>
      </c>
      <c r="F76" s="8"/>
      <c r="H76" s="8"/>
      <c r="I76" s="8" t="s">
        <v>6917</v>
      </c>
      <c r="J76" s="8" t="s">
        <v>2983</v>
      </c>
      <c r="K76" t="s">
        <v>6918</v>
      </c>
      <c r="L76" t="s">
        <v>6919</v>
      </c>
      <c r="M76" s="3" t="str">
        <f>HYPERLINK(склад2въезд131920[[#This Row],[RelativePath]])</f>
        <v>6 Площадка 1 общага\826398429_1_20251218T122419Z.jpg</v>
      </c>
    </row>
    <row r="77" spans="1:13" x14ac:dyDescent="0.25">
      <c r="A77" s="2" t="s">
        <v>17</v>
      </c>
      <c r="B77" s="4">
        <v>46010</v>
      </c>
      <c r="C77" s="5">
        <v>0.7241319444444444</v>
      </c>
      <c r="D77" s="8" t="s">
        <v>2004</v>
      </c>
      <c r="E77" s="8" t="s">
        <v>8</v>
      </c>
      <c r="F77" s="8"/>
      <c r="H77" s="8"/>
      <c r="I77" s="8" t="s">
        <v>6920</v>
      </c>
      <c r="J77" s="8" t="s">
        <v>2983</v>
      </c>
      <c r="K77" t="s">
        <v>6921</v>
      </c>
      <c r="L77" t="s">
        <v>6922</v>
      </c>
      <c r="M77" s="3" t="str">
        <f>HYPERLINK(склад2въезд131920[[#This Row],[RelativePath]])</f>
        <v>6 Площадка 1 общага\826398429_1_20251219T172245Z.jpg</v>
      </c>
    </row>
    <row r="78" spans="1:13" x14ac:dyDescent="0.25">
      <c r="A78" s="2" t="s">
        <v>18</v>
      </c>
      <c r="B78" s="4">
        <v>46011</v>
      </c>
      <c r="C78" s="5">
        <v>0.73340277777777774</v>
      </c>
      <c r="D78" s="8" t="s">
        <v>2004</v>
      </c>
      <c r="E78" s="8" t="s">
        <v>8</v>
      </c>
      <c r="F78" s="8"/>
      <c r="H78" s="8"/>
      <c r="I78" s="8" t="s">
        <v>6923</v>
      </c>
      <c r="J78" s="8" t="s">
        <v>2983</v>
      </c>
      <c r="K78" t="s">
        <v>6924</v>
      </c>
      <c r="L78" t="s">
        <v>6925</v>
      </c>
      <c r="M78" s="3" t="str">
        <f>HYPERLINK(склад2въезд131920[[#This Row],[RelativePath]])</f>
        <v>6 Площадка 1 общага\826398429_1_20251220T173606Z.jpg</v>
      </c>
    </row>
    <row r="79" spans="1:13" x14ac:dyDescent="0.25">
      <c r="A79" s="2" t="s">
        <v>22</v>
      </c>
      <c r="B79" s="4">
        <v>46012</v>
      </c>
      <c r="C79" s="5">
        <v>0.73958333333333337</v>
      </c>
      <c r="D79" s="8" t="s">
        <v>2004</v>
      </c>
      <c r="E79" s="8" t="s">
        <v>8</v>
      </c>
      <c r="F79" s="8"/>
      <c r="H79" s="8"/>
      <c r="I79" s="8" t="s">
        <v>7187</v>
      </c>
      <c r="J79" s="8" t="s">
        <v>2983</v>
      </c>
      <c r="K79" t="s">
        <v>7188</v>
      </c>
      <c r="L79" t="s">
        <v>7189</v>
      </c>
      <c r="M79" s="3" t="str">
        <f>HYPERLINK(склад2въезд131920[[#This Row],[RelativePath]])</f>
        <v>6 Площадка 1 общага\826398429_1_20251221T174500Z.jpg</v>
      </c>
    </row>
    <row r="80" spans="1:13" x14ac:dyDescent="0.25">
      <c r="A80" s="2" t="s">
        <v>13</v>
      </c>
      <c r="B80" s="4">
        <v>46013</v>
      </c>
      <c r="C80" s="5">
        <v>0.73895833333333338</v>
      </c>
      <c r="D80" s="8" t="s">
        <v>2004</v>
      </c>
      <c r="E80" s="8" t="s">
        <v>8</v>
      </c>
      <c r="F80" s="8"/>
      <c r="H80" s="8"/>
      <c r="I80" s="8" t="s">
        <v>7254</v>
      </c>
      <c r="J80" s="8" t="s">
        <v>2983</v>
      </c>
      <c r="K80" t="s">
        <v>7255</v>
      </c>
      <c r="L80" t="s">
        <v>7256</v>
      </c>
      <c r="M80" s="3" t="str">
        <f>HYPERLINK(склад2въезд131920[[#This Row],[RelativePath]])</f>
        <v>6 Площадка 1 общага\826398429_1_20251222T174406Z.jpg</v>
      </c>
    </row>
    <row r="81" spans="1:13" x14ac:dyDescent="0.25">
      <c r="A81" s="2" t="s">
        <v>14</v>
      </c>
      <c r="B81" s="4">
        <v>46014</v>
      </c>
      <c r="C81" s="5">
        <v>0.41729166666666667</v>
      </c>
      <c r="D81" s="8" t="s">
        <v>2004</v>
      </c>
      <c r="E81" s="8" t="s">
        <v>8</v>
      </c>
      <c r="F81" s="8"/>
      <c r="H81" s="8"/>
      <c r="I81" s="8" t="s">
        <v>7257</v>
      </c>
      <c r="J81" s="8" t="s">
        <v>2983</v>
      </c>
      <c r="K81" t="s">
        <v>7258</v>
      </c>
      <c r="L81" t="s">
        <v>7259</v>
      </c>
      <c r="M81" s="3" t="str">
        <f>HYPERLINK(склад2въезд131920[[#This Row],[RelativePath]])</f>
        <v>6 Площадка 1 общага\826398429_1_20251223T100054Z.jpg</v>
      </c>
    </row>
    <row r="82" spans="1:13" x14ac:dyDescent="0.25">
      <c r="A82" s="2" t="s">
        <v>15</v>
      </c>
      <c r="B82" s="4">
        <v>46015</v>
      </c>
      <c r="C82" s="5">
        <v>0.74429398148148151</v>
      </c>
      <c r="D82" s="8" t="s">
        <v>2004</v>
      </c>
      <c r="E82" s="8" t="s">
        <v>8</v>
      </c>
      <c r="F82" s="8"/>
      <c r="H82" s="8"/>
      <c r="I82" s="8" t="s">
        <v>7694</v>
      </c>
      <c r="J82" s="8" t="s">
        <v>2983</v>
      </c>
      <c r="K82" t="s">
        <v>7695</v>
      </c>
      <c r="L82" t="s">
        <v>7696</v>
      </c>
      <c r="M82" s="3" t="str">
        <f>HYPERLINK(склад2въезд131920[[#This Row],[RelativePath]])</f>
        <v>6 Площадка 1 общага\826398429_1_20251224T175147Z.jpg</v>
      </c>
    </row>
    <row r="83" spans="1:13" x14ac:dyDescent="0.25">
      <c r="A83" s="2" t="s">
        <v>16</v>
      </c>
      <c r="B83" s="4">
        <v>46016</v>
      </c>
      <c r="C83" s="5">
        <v>0.71887731481481476</v>
      </c>
      <c r="D83" s="8" t="s">
        <v>2004</v>
      </c>
      <c r="E83" s="8" t="s">
        <v>8</v>
      </c>
      <c r="F83" s="8"/>
      <c r="H83" s="8"/>
      <c r="I83" s="8" t="s">
        <v>7697</v>
      </c>
      <c r="J83" s="8" t="s">
        <v>2983</v>
      </c>
      <c r="K83" t="s">
        <v>7698</v>
      </c>
      <c r="L83" t="s">
        <v>7699</v>
      </c>
      <c r="M83" s="3" t="str">
        <f>HYPERLINK(склад2въезд131920[[#This Row],[RelativePath]])</f>
        <v>6 Площадка 1 общага\826398429_1_20251225T171511Z.jpg</v>
      </c>
    </row>
    <row r="84" spans="1:13" x14ac:dyDescent="0.25">
      <c r="A84" s="2" t="s">
        <v>17</v>
      </c>
      <c r="B84" s="4">
        <v>46017</v>
      </c>
      <c r="C84" s="5">
        <v>0.42701388888888892</v>
      </c>
      <c r="D84" s="8" t="s">
        <v>290</v>
      </c>
      <c r="E84" s="8" t="s">
        <v>86</v>
      </c>
      <c r="F84" s="8" t="s">
        <v>60</v>
      </c>
      <c r="H84" s="8" t="s">
        <v>5104</v>
      </c>
      <c r="I84" s="8" t="s">
        <v>7855</v>
      </c>
      <c r="J84" s="8" t="s">
        <v>2983</v>
      </c>
      <c r="K84" t="s">
        <v>7856</v>
      </c>
      <c r="L84" t="s">
        <v>7857</v>
      </c>
      <c r="M84" s="3" t="str">
        <f>HYPERLINK(склад2въезд131920[[#This Row],[RelativePath]])</f>
        <v>6 Площадка 1 общага\826398429_1_20251226T101454Z.jpg</v>
      </c>
    </row>
    <row r="85" spans="1:13" x14ac:dyDescent="0.25">
      <c r="A85" s="2" t="s">
        <v>17</v>
      </c>
      <c r="B85" s="4">
        <v>46017</v>
      </c>
      <c r="C85" s="5">
        <v>0.43680555555555556</v>
      </c>
      <c r="D85" s="8" t="s">
        <v>290</v>
      </c>
      <c r="E85" s="8" t="s">
        <v>86</v>
      </c>
      <c r="F85" s="8" t="s">
        <v>60</v>
      </c>
      <c r="H85" s="8" t="s">
        <v>2936</v>
      </c>
      <c r="I85" s="8" t="s">
        <v>7858</v>
      </c>
      <c r="J85" s="8" t="s">
        <v>2983</v>
      </c>
      <c r="K85" t="s">
        <v>7859</v>
      </c>
      <c r="L85" t="s">
        <v>7860</v>
      </c>
      <c r="M85" s="3" t="str">
        <f>HYPERLINK(склад2въезд131920[[#This Row],[RelativePath]])</f>
        <v>6 Площадка 1 общага\826398429_1_20251226T102900Z.jpg</v>
      </c>
    </row>
    <row r="86" spans="1:13" x14ac:dyDescent="0.25">
      <c r="A86" s="2" t="s">
        <v>17</v>
      </c>
      <c r="B86" s="4">
        <v>46017</v>
      </c>
      <c r="C86" s="5">
        <v>0.46421296296296294</v>
      </c>
      <c r="D86" s="8" t="s">
        <v>290</v>
      </c>
      <c r="E86" s="8" t="s">
        <v>86</v>
      </c>
      <c r="F86" s="8" t="s">
        <v>60</v>
      </c>
      <c r="H86" s="8" t="s">
        <v>2936</v>
      </c>
      <c r="I86" s="8" t="s">
        <v>7861</v>
      </c>
      <c r="J86" s="8" t="s">
        <v>2983</v>
      </c>
      <c r="K86" t="s">
        <v>7862</v>
      </c>
      <c r="L86" t="s">
        <v>7863</v>
      </c>
      <c r="M86" s="3" t="str">
        <f>HYPERLINK(склад2въезд131920[[#This Row],[RelativePath]])</f>
        <v>6 Площадка 1 общага\826398429_1_20251226T110828Z.jpg</v>
      </c>
    </row>
    <row r="87" spans="1:13" x14ac:dyDescent="0.25">
      <c r="A87" s="2" t="s">
        <v>18</v>
      </c>
      <c r="B87" s="4">
        <v>46018</v>
      </c>
      <c r="C87" s="5">
        <v>0.73623842592592592</v>
      </c>
      <c r="D87" s="8" t="s">
        <v>2004</v>
      </c>
      <c r="E87" s="8" t="s">
        <v>8</v>
      </c>
      <c r="F87" s="8"/>
      <c r="H87" s="8"/>
      <c r="I87" s="8" t="s">
        <v>8016</v>
      </c>
      <c r="J87" s="8" t="s">
        <v>2983</v>
      </c>
      <c r="K87" t="s">
        <v>8017</v>
      </c>
      <c r="L87" t="s">
        <v>8018</v>
      </c>
      <c r="M87" s="3" t="str">
        <f>HYPERLINK(склад2въезд131920[[#This Row],[RelativePath]])</f>
        <v>6 Площадка 1 общага\826398429_1_20251227T174011Z.jpg</v>
      </c>
    </row>
    <row r="88" spans="1:13" x14ac:dyDescent="0.25">
      <c r="A88" s="2" t="s">
        <v>22</v>
      </c>
      <c r="B88" s="4">
        <v>46019</v>
      </c>
      <c r="C88" s="5">
        <v>0.84684027777777782</v>
      </c>
      <c r="D88" s="8" t="s">
        <v>2004</v>
      </c>
      <c r="E88" s="8" t="s">
        <v>8</v>
      </c>
      <c r="F88" s="8"/>
      <c r="H88" s="8"/>
      <c r="I88" s="8" t="s">
        <v>8019</v>
      </c>
      <c r="J88" s="8" t="s">
        <v>2983</v>
      </c>
      <c r="K88" t="s">
        <v>8020</v>
      </c>
      <c r="L88" t="s">
        <v>8021</v>
      </c>
      <c r="M88" s="3" t="str">
        <f>HYPERLINK(склад2въезд131920[[#This Row],[RelativePath]])</f>
        <v>6 Площадка 1 общага\826398429_1_20251228T201927Z.jpg</v>
      </c>
    </row>
    <row r="89" spans="1:13" x14ac:dyDescent="0.25">
      <c r="A89" s="2" t="s">
        <v>13</v>
      </c>
      <c r="B89" s="4">
        <v>46020</v>
      </c>
      <c r="C89" s="5">
        <v>0.75085648148148143</v>
      </c>
      <c r="D89" s="8" t="s">
        <v>2004</v>
      </c>
      <c r="E89" s="8" t="s">
        <v>8</v>
      </c>
      <c r="F89" s="8"/>
      <c r="H89" s="8"/>
      <c r="I89" s="8" t="s">
        <v>8303</v>
      </c>
      <c r="J89" s="8" t="s">
        <v>2983</v>
      </c>
      <c r="K89" t="s">
        <v>8304</v>
      </c>
      <c r="L89" t="s">
        <v>8305</v>
      </c>
      <c r="M89" s="3" t="str">
        <f>HYPERLINK(склад2въезд131920[[#This Row],[RelativePath]])</f>
        <v>6 Площадка 1 общага\826398429_1_20251229T180114Z.jpg</v>
      </c>
    </row>
    <row r="90" spans="1:13" x14ac:dyDescent="0.25">
      <c r="A90" s="2" t="s">
        <v>14</v>
      </c>
      <c r="B90" s="4">
        <v>46021</v>
      </c>
      <c r="C90" s="5">
        <v>0.74648148148148152</v>
      </c>
      <c r="D90" s="8" t="s">
        <v>2004</v>
      </c>
      <c r="E90" s="8" t="s">
        <v>8</v>
      </c>
      <c r="F90" s="8"/>
      <c r="H90" s="8"/>
      <c r="I90" s="8" t="s">
        <v>8306</v>
      </c>
      <c r="J90" s="8" t="s">
        <v>2983</v>
      </c>
      <c r="K90" t="s">
        <v>8307</v>
      </c>
      <c r="L90" t="s">
        <v>8308</v>
      </c>
      <c r="M90" s="3" t="str">
        <f>HYPERLINK(склад2въезд131920[[#This Row],[RelativePath]])</f>
        <v>6 Площадка 1 общага\826398429_1_20251230T175456Z.jpg</v>
      </c>
    </row>
    <row r="91" spans="1:13" x14ac:dyDescent="0.25">
      <c r="A91" s="2" t="s">
        <v>15</v>
      </c>
      <c r="B91" s="4">
        <v>46022</v>
      </c>
      <c r="C91" s="5">
        <v>0.7459027777777778</v>
      </c>
      <c r="D91" s="8" t="s">
        <v>2004</v>
      </c>
      <c r="E91" s="8" t="s">
        <v>8</v>
      </c>
      <c r="F91" s="8"/>
      <c r="H91" s="8"/>
      <c r="I91" s="8" t="s">
        <v>8309</v>
      </c>
      <c r="J91" s="8" t="s">
        <v>2983</v>
      </c>
      <c r="K91" t="s">
        <v>8310</v>
      </c>
      <c r="L91" t="s">
        <v>8311</v>
      </c>
      <c r="M91" s="3" t="str">
        <f>HYPERLINK(склад2въезд131920[[#This Row],[RelativePath]])</f>
        <v>6 Площадка 1 общага\826398429_1_20251231T175406Z.jpg</v>
      </c>
    </row>
    <row r="92" spans="1:13" x14ac:dyDescent="0.25">
      <c r="A92" s="2" t="s">
        <v>16</v>
      </c>
      <c r="B92" s="4">
        <v>46023</v>
      </c>
      <c r="C92" s="5">
        <v>0.74651620370370375</v>
      </c>
      <c r="D92" s="8" t="s">
        <v>2004</v>
      </c>
      <c r="E92" s="8" t="s">
        <v>8</v>
      </c>
      <c r="F92" s="8"/>
      <c r="H92" s="8"/>
      <c r="I92" s="8" t="s">
        <v>8312</v>
      </c>
      <c r="J92" s="8" t="s">
        <v>2983</v>
      </c>
      <c r="K92" t="s">
        <v>8313</v>
      </c>
      <c r="L92" t="s">
        <v>8314</v>
      </c>
      <c r="M92" s="3" t="str">
        <f>HYPERLINK(склад2въезд131920[[#This Row],[RelativePath]])</f>
        <v>6 Площадка 1 общага\826398429_1_20260101T175459Z.jpg</v>
      </c>
    </row>
    <row r="93" spans="1:13" x14ac:dyDescent="0.25">
      <c r="A93" s="2" t="s">
        <v>17</v>
      </c>
      <c r="B93" s="4">
        <v>46024</v>
      </c>
      <c r="C93" s="5">
        <v>0.74740740740740741</v>
      </c>
      <c r="D93" s="8" t="s">
        <v>2004</v>
      </c>
      <c r="E93" s="8" t="s">
        <v>8</v>
      </c>
      <c r="F93" s="8"/>
      <c r="H93" s="8"/>
      <c r="I93" s="8" t="s">
        <v>8393</v>
      </c>
      <c r="J93" s="8" t="s">
        <v>2983</v>
      </c>
      <c r="K93" t="s">
        <v>8394</v>
      </c>
      <c r="L93" t="s">
        <v>8395</v>
      </c>
      <c r="M93" s="3" t="str">
        <f>HYPERLINK(склад2въезд131920[[#This Row],[RelativePath]])</f>
        <v>6 Площадка 1 общага\826398429_1_20260102T175616Z.jpg</v>
      </c>
    </row>
    <row r="94" spans="1:13" x14ac:dyDescent="0.25">
      <c r="A94" s="2" t="s">
        <v>18</v>
      </c>
      <c r="B94" s="4">
        <v>46025</v>
      </c>
      <c r="C94" s="5">
        <v>0.67440972222222217</v>
      </c>
      <c r="D94" s="8" t="s">
        <v>2004</v>
      </c>
      <c r="E94" s="8" t="s">
        <v>8</v>
      </c>
      <c r="F94" s="8"/>
      <c r="H94" s="8"/>
      <c r="I94" s="8" t="s">
        <v>8396</v>
      </c>
      <c r="J94" s="8" t="s">
        <v>2983</v>
      </c>
      <c r="K94" t="s">
        <v>8397</v>
      </c>
      <c r="L94" t="s">
        <v>8398</v>
      </c>
      <c r="M94" s="3" t="str">
        <f>HYPERLINK(склад2въезд131920[[#This Row],[RelativePath]])</f>
        <v>6 Площадка 1 общага\826398429_1_20260103T161109Z.jpg</v>
      </c>
    </row>
    <row r="95" spans="1:13" x14ac:dyDescent="0.25">
      <c r="A95" s="2" t="s">
        <v>22</v>
      </c>
      <c r="B95" s="4">
        <v>46026</v>
      </c>
      <c r="C95" s="5">
        <v>0.74752314814814813</v>
      </c>
      <c r="D95" s="8" t="s">
        <v>2004</v>
      </c>
      <c r="E95" s="8" t="s">
        <v>8</v>
      </c>
      <c r="F95" s="8"/>
      <c r="H95" s="8"/>
      <c r="I95" s="8" t="s">
        <v>8399</v>
      </c>
      <c r="J95" s="8" t="s">
        <v>2983</v>
      </c>
      <c r="K95" t="s">
        <v>8400</v>
      </c>
      <c r="L95" t="s">
        <v>8401</v>
      </c>
      <c r="M95" s="3" t="str">
        <f>HYPERLINK(склад2въезд131920[[#This Row],[RelativePath]])</f>
        <v>6 Площадка 1 общага\826398429_1_20260104T175626Z.jpg</v>
      </c>
    </row>
    <row r="96" spans="1:13" x14ac:dyDescent="0.25">
      <c r="A96" s="2" t="s">
        <v>13</v>
      </c>
      <c r="B96" s="4">
        <v>46027</v>
      </c>
      <c r="C96" s="5">
        <v>0.68761574074074072</v>
      </c>
      <c r="D96" s="8" t="s">
        <v>2004</v>
      </c>
      <c r="E96" s="8" t="s">
        <v>8</v>
      </c>
      <c r="F96" s="8"/>
      <c r="H96" s="8"/>
      <c r="I96" s="8" t="s">
        <v>8577</v>
      </c>
      <c r="J96" s="8" t="s">
        <v>2983</v>
      </c>
      <c r="K96" t="s">
        <v>8578</v>
      </c>
      <c r="L96" t="s">
        <v>8579</v>
      </c>
      <c r="M96" s="3" t="str">
        <f>HYPERLINK(склад2въезд131920[[#This Row],[RelativePath]])</f>
        <v>6 Площадка 1 общага\826398429_1_20260105T163010Z.jpg</v>
      </c>
    </row>
    <row r="97" spans="1:13" x14ac:dyDescent="0.25">
      <c r="A97" s="2" t="s">
        <v>14</v>
      </c>
      <c r="B97" s="4">
        <v>46028</v>
      </c>
      <c r="C97" s="5">
        <v>0.7259606481481482</v>
      </c>
      <c r="D97" s="8" t="s">
        <v>2004</v>
      </c>
      <c r="E97" s="8" t="s">
        <v>8</v>
      </c>
      <c r="F97" s="8"/>
      <c r="H97" s="8"/>
      <c r="I97" s="8" t="s">
        <v>8580</v>
      </c>
      <c r="J97" s="8" t="s">
        <v>2983</v>
      </c>
      <c r="K97" t="s">
        <v>8581</v>
      </c>
      <c r="L97" t="s">
        <v>8582</v>
      </c>
      <c r="M97" s="3" t="str">
        <f>HYPERLINK(склад2въезд131920[[#This Row],[RelativePath]])</f>
        <v>6 Площадка 1 общага\826398429_1_20260106T172523Z.jpg</v>
      </c>
    </row>
    <row r="98" spans="1:13" x14ac:dyDescent="0.25">
      <c r="A98" s="2" t="s">
        <v>15</v>
      </c>
      <c r="B98" s="4">
        <v>46029</v>
      </c>
      <c r="C98" s="5">
        <v>0.75358796296296293</v>
      </c>
      <c r="D98" s="8" t="s">
        <v>2004</v>
      </c>
      <c r="E98" s="8" t="s">
        <v>8</v>
      </c>
      <c r="F98" s="8"/>
      <c r="H98" s="8"/>
      <c r="I98" s="8" t="s">
        <v>8583</v>
      </c>
      <c r="J98" s="8" t="s">
        <v>2983</v>
      </c>
      <c r="K98" t="s">
        <v>8584</v>
      </c>
      <c r="L98" t="s">
        <v>8585</v>
      </c>
      <c r="M98" s="3" t="str">
        <f>HYPERLINK(склад2въезд131920[[#This Row],[RelativePath]])</f>
        <v>6 Площадка 1 общага\826398429_1_20260107T180510Z.jpg</v>
      </c>
    </row>
    <row r="99" spans="1:13" x14ac:dyDescent="0.25">
      <c r="A99" s="2" t="s">
        <v>16</v>
      </c>
      <c r="B99" s="4">
        <v>46030</v>
      </c>
      <c r="C99" s="5">
        <v>0.74864583333333334</v>
      </c>
      <c r="D99" s="8" t="s">
        <v>2004</v>
      </c>
      <c r="E99" s="8" t="s">
        <v>8</v>
      </c>
      <c r="F99" s="8"/>
      <c r="H99" s="8"/>
      <c r="I99" s="8" t="s">
        <v>8586</v>
      </c>
      <c r="J99" s="8" t="s">
        <v>2983</v>
      </c>
      <c r="K99" t="s">
        <v>8587</v>
      </c>
      <c r="L99" t="s">
        <v>8588</v>
      </c>
      <c r="M99" s="3" t="str">
        <f>HYPERLINK(склад2въезд131920[[#This Row],[RelativePath]])</f>
        <v>6 Площадка 1 общага\826398429_1_20260108T175803Z.jpg</v>
      </c>
    </row>
    <row r="100" spans="1:13" x14ac:dyDescent="0.25">
      <c r="A100" s="2" t="s">
        <v>17</v>
      </c>
      <c r="B100" s="4">
        <v>46031</v>
      </c>
      <c r="C100" s="5">
        <v>0.75556712962962957</v>
      </c>
      <c r="D100" s="8" t="s">
        <v>2004</v>
      </c>
      <c r="E100" s="8" t="s">
        <v>8</v>
      </c>
      <c r="F100" s="8"/>
      <c r="H100" s="8"/>
      <c r="I100" s="8" t="s">
        <v>8589</v>
      </c>
      <c r="J100" s="8" t="s">
        <v>2983</v>
      </c>
      <c r="K100" t="s">
        <v>8590</v>
      </c>
      <c r="L100" t="s">
        <v>8591</v>
      </c>
      <c r="M100" s="3" t="str">
        <f>HYPERLINK(склад2въезд131920[[#This Row],[RelativePath]])</f>
        <v>6 Площадка 1 общага\826398429_1_20260109T180801Z.jpg</v>
      </c>
    </row>
    <row r="101" spans="1:13" x14ac:dyDescent="0.25">
      <c r="A101" s="2" t="s">
        <v>18</v>
      </c>
      <c r="B101" s="4">
        <v>46032</v>
      </c>
      <c r="C101" s="5">
        <v>0.55688657407407405</v>
      </c>
      <c r="D101" s="8" t="s">
        <v>2004</v>
      </c>
      <c r="E101" s="8" t="s">
        <v>8</v>
      </c>
      <c r="F101" s="8"/>
      <c r="H101" s="8"/>
      <c r="I101" s="8" t="s">
        <v>8592</v>
      </c>
      <c r="J101" s="8" t="s">
        <v>2983</v>
      </c>
      <c r="K101" t="s">
        <v>8593</v>
      </c>
      <c r="L101" t="s">
        <v>8594</v>
      </c>
      <c r="M101" s="3" t="str">
        <f>HYPERLINK(склад2въезд131920[[#This Row],[RelativePath]])</f>
        <v>6 Площадка 1 общага\826398429_1_20260110T132155Z.jpg</v>
      </c>
    </row>
    <row r="102" spans="1:13" x14ac:dyDescent="0.25">
      <c r="A102" s="2" t="s">
        <v>22</v>
      </c>
      <c r="B102" s="4">
        <v>46033</v>
      </c>
      <c r="C102" s="5">
        <v>0.75489583333333332</v>
      </c>
      <c r="D102" s="8" t="s">
        <v>2004</v>
      </c>
      <c r="E102" s="8" t="s">
        <v>8</v>
      </c>
      <c r="F102" s="8"/>
      <c r="H102" s="8"/>
      <c r="I102" s="8" t="s">
        <v>8595</v>
      </c>
      <c r="J102" s="8" t="s">
        <v>2983</v>
      </c>
      <c r="K102" t="s">
        <v>8596</v>
      </c>
      <c r="L102" t="s">
        <v>8597</v>
      </c>
      <c r="M102" s="3" t="str">
        <f>HYPERLINK(склад2въезд131920[[#This Row],[RelativePath]])</f>
        <v>6 Площадка 1 общага\826398429_1_20260111T180703Z.jpg</v>
      </c>
    </row>
  </sheetData>
  <conditionalFormatting sqref="D103:D113 E103:E116 G2:H102 D2:E102">
    <cfRule type="containsText" dxfId="663" priority="14" operator="containsText" text="Выезд с территории">
      <formula>NOT(ISERROR(SEARCH("Выезд с территории",D2)))</formula>
    </cfRule>
  </conditionalFormatting>
  <conditionalFormatting sqref="F2:F102">
    <cfRule type="notContainsText" dxfId="662" priority="13" operator="notContains" text="порожний">
      <formula>ISERROR(SEARCH("порожний",F2))</formula>
    </cfRule>
  </conditionalFormatting>
  <conditionalFormatting sqref="E2:E116">
    <cfRule type="containsText" dxfId="661" priority="11" operator="containsText" text="Газель базы">
      <formula>NOT(ISERROR(SEARCH("Газель базы",E2)))</formula>
    </cfRule>
    <cfRule type="containsText" dxfId="660" priority="12" operator="containsText" text="Погрузчик базы">
      <formula>NOT(ISERROR(SEARCH("Погрузчик базы",E2)))</formula>
    </cfRule>
  </conditionalFormatting>
  <conditionalFormatting sqref="E2:E116">
    <cfRule type="containsText" dxfId="659" priority="10" operator="containsText" text="Трактор базы">
      <formula>NOT(ISERROR(SEARCH("Трактор базы",E2)))</formula>
    </cfRule>
  </conditionalFormatting>
  <conditionalFormatting sqref="A2:C102">
    <cfRule type="expression" dxfId="658" priority="9">
      <formula>$A2="пн"</formula>
    </cfRule>
  </conditionalFormatting>
  <conditionalFormatting sqref="A2:C104">
    <cfRule type="expression" dxfId="657" priority="3">
      <formula>$A2="вс"</formula>
    </cfRule>
    <cfRule type="expression" dxfId="656" priority="4">
      <formula>$A2="сб"</formula>
    </cfRule>
    <cfRule type="expression" dxfId="655" priority="5">
      <formula>$A2="пт"</formula>
    </cfRule>
    <cfRule type="expression" dxfId="654" priority="6">
      <formula>$A2="чт"</formula>
    </cfRule>
    <cfRule type="expression" dxfId="653" priority="7">
      <formula>$A2="ср"</formula>
    </cfRule>
    <cfRule type="expression" dxfId="652" priority="8">
      <formula>$A2="вт"</formula>
    </cfRule>
  </conditionalFormatting>
  <conditionalFormatting sqref="D2:D113">
    <cfRule type="containsText" dxfId="65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13">
    <cfRule type="containsText" dxfId="65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226"/>
  <sheetViews>
    <sheetView zoomScale="90" zoomScaleNormal="90" workbookViewId="0">
      <pane ySplit="1" topLeftCell="A209" activePane="bottomLeft" state="frozen"/>
      <selection pane="bottomLeft" activeCell="I220" sqref="I220:I22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s="8" t="s">
        <v>4</v>
      </c>
      <c r="E2" s="8" t="s">
        <v>8</v>
      </c>
      <c r="F2" s="8"/>
      <c r="H2" s="8" t="s">
        <v>5</v>
      </c>
      <c r="I2" s="8" t="s">
        <v>535</v>
      </c>
      <c r="J2" s="8" t="s">
        <v>2984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s="8" t="s">
        <v>4</v>
      </c>
      <c r="E3" s="8" t="s">
        <v>11</v>
      </c>
      <c r="F3" s="8"/>
      <c r="H3" s="8"/>
      <c r="I3" s="8" t="s">
        <v>538</v>
      </c>
      <c r="J3" s="8" t="s">
        <v>2984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s="8" t="s">
        <v>4</v>
      </c>
      <c r="E4" s="8" t="s">
        <v>19</v>
      </c>
      <c r="F4" s="8"/>
      <c r="H4" s="8"/>
      <c r="I4" s="8" t="s">
        <v>541</v>
      </c>
      <c r="J4" s="8" t="s">
        <v>2984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s="8" t="s">
        <v>4</v>
      </c>
      <c r="E5" s="8" t="s">
        <v>19</v>
      </c>
      <c r="F5" s="8"/>
      <c r="H5" s="8"/>
      <c r="I5" s="8" t="s">
        <v>544</v>
      </c>
      <c r="J5" s="8" t="s">
        <v>2984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s="8" t="s">
        <v>4</v>
      </c>
      <c r="E6" s="8" t="s">
        <v>8</v>
      </c>
      <c r="F6" s="8"/>
      <c r="H6" s="8" t="s">
        <v>6</v>
      </c>
      <c r="I6" s="8" t="s">
        <v>547</v>
      </c>
      <c r="J6" s="8" t="s">
        <v>2984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s="8" t="s">
        <v>4</v>
      </c>
      <c r="E7" s="8" t="s">
        <v>8</v>
      </c>
      <c r="F7" s="8"/>
      <c r="H7" s="8" t="s">
        <v>5</v>
      </c>
      <c r="I7" s="8" t="s">
        <v>550</v>
      </c>
      <c r="J7" s="8" t="s">
        <v>2984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s="8" t="s">
        <v>4</v>
      </c>
      <c r="E8" s="8" t="s">
        <v>19</v>
      </c>
      <c r="F8" s="8"/>
      <c r="H8" s="8"/>
      <c r="I8" s="8" t="s">
        <v>553</v>
      </c>
      <c r="J8" s="8" t="s">
        <v>2984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s="8" t="s">
        <v>4</v>
      </c>
      <c r="E9" s="8" t="s">
        <v>19</v>
      </c>
      <c r="F9" s="8"/>
      <c r="H9" s="8"/>
      <c r="I9" s="8" t="s">
        <v>556</v>
      </c>
      <c r="J9" s="8" t="s">
        <v>2984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s="8" t="s">
        <v>648</v>
      </c>
      <c r="E10" s="8" t="s">
        <v>86</v>
      </c>
      <c r="F10" s="8" t="s">
        <v>528</v>
      </c>
      <c r="H10" s="8"/>
      <c r="I10" s="8" t="s">
        <v>559</v>
      </c>
      <c r="J10" s="8" t="s">
        <v>2984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s="8" t="s">
        <v>4</v>
      </c>
      <c r="E11" s="8" t="s">
        <v>19</v>
      </c>
      <c r="F11" s="8"/>
      <c r="H11" s="8"/>
      <c r="I11" s="8" t="s">
        <v>562</v>
      </c>
      <c r="J11" s="8" t="s">
        <v>2984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s="8" t="s">
        <v>158</v>
      </c>
      <c r="E12" s="8" t="s">
        <v>86</v>
      </c>
      <c r="F12" s="8" t="s">
        <v>649</v>
      </c>
      <c r="H12" s="8"/>
      <c r="I12" s="8" t="s">
        <v>565</v>
      </c>
      <c r="J12" s="8" t="s">
        <v>2984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s="8" t="s">
        <v>290</v>
      </c>
      <c r="E13" s="8" t="s">
        <v>86</v>
      </c>
      <c r="F13" s="8" t="s">
        <v>649</v>
      </c>
      <c r="H13" s="8"/>
      <c r="I13" s="8" t="s">
        <v>568</v>
      </c>
      <c r="J13" s="8" t="s">
        <v>2984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s="8" t="s">
        <v>289</v>
      </c>
      <c r="E14" s="8" t="s">
        <v>86</v>
      </c>
      <c r="F14" s="8" t="s">
        <v>60</v>
      </c>
      <c r="G14">
        <v>2</v>
      </c>
      <c r="H14" s="8"/>
      <c r="I14" s="8" t="s">
        <v>571</v>
      </c>
      <c r="J14" s="8" t="s">
        <v>2984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s="8" t="s">
        <v>650</v>
      </c>
      <c r="E15" s="8" t="s">
        <v>86</v>
      </c>
      <c r="F15" s="8" t="s">
        <v>60</v>
      </c>
      <c r="H15" s="8"/>
      <c r="I15" s="8" t="s">
        <v>574</v>
      </c>
      <c r="J15" s="8" t="s">
        <v>2984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s="8" t="s">
        <v>4</v>
      </c>
      <c r="E16" s="8" t="s">
        <v>12</v>
      </c>
      <c r="F16" s="8"/>
      <c r="H16" s="8"/>
      <c r="I16" s="8" t="s">
        <v>577</v>
      </c>
      <c r="J16" s="8" t="s">
        <v>2984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s="8" t="s">
        <v>4</v>
      </c>
      <c r="E17" s="8" t="s">
        <v>651</v>
      </c>
      <c r="F17" s="8"/>
      <c r="H17" s="8"/>
      <c r="I17" s="8" t="s">
        <v>580</v>
      </c>
      <c r="J17" s="8" t="s">
        <v>2984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s="8" t="s">
        <v>4</v>
      </c>
      <c r="E18" s="8" t="s">
        <v>8</v>
      </c>
      <c r="F18" s="8"/>
      <c r="H18" s="8" t="s">
        <v>6</v>
      </c>
      <c r="I18" s="8" t="s">
        <v>583</v>
      </c>
      <c r="J18" s="8" t="s">
        <v>2984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s="8" t="s">
        <v>4</v>
      </c>
      <c r="E19" s="8" t="s">
        <v>652</v>
      </c>
      <c r="F19" s="8"/>
      <c r="H19" s="8"/>
      <c r="I19" s="8" t="s">
        <v>586</v>
      </c>
      <c r="J19" s="8" t="s">
        <v>2984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s="8" t="s">
        <v>4</v>
      </c>
      <c r="E20" s="8" t="s">
        <v>652</v>
      </c>
      <c r="F20" s="8"/>
      <c r="H20" s="8"/>
      <c r="I20" s="8" t="s">
        <v>589</v>
      </c>
      <c r="J20" s="8" t="s">
        <v>2984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s="8" t="s">
        <v>4</v>
      </c>
      <c r="E21" s="8" t="s">
        <v>7</v>
      </c>
      <c r="F21" s="8"/>
      <c r="H21" s="8"/>
      <c r="I21" s="8" t="s">
        <v>592</v>
      </c>
      <c r="J21" s="8" t="s">
        <v>2984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s="8" t="s">
        <v>4</v>
      </c>
      <c r="E22" s="8" t="s">
        <v>652</v>
      </c>
      <c r="F22" s="8"/>
      <c r="H22" s="8"/>
      <c r="I22" s="8" t="s">
        <v>595</v>
      </c>
      <c r="J22" s="8" t="s">
        <v>2984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s="8" t="s">
        <v>4</v>
      </c>
      <c r="E23" s="8" t="s">
        <v>8</v>
      </c>
      <c r="F23" s="8"/>
      <c r="H23" s="8" t="s">
        <v>5</v>
      </c>
      <c r="I23" s="8" t="s">
        <v>598</v>
      </c>
      <c r="J23" s="8" t="s">
        <v>2984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s="8" t="s">
        <v>4</v>
      </c>
      <c r="E24" s="8" t="s">
        <v>652</v>
      </c>
      <c r="F24" s="8"/>
      <c r="H24" s="8"/>
      <c r="I24" s="8" t="s">
        <v>601</v>
      </c>
      <c r="J24" s="8" t="s">
        <v>2984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s="8" t="s">
        <v>4</v>
      </c>
      <c r="E25" s="8" t="s">
        <v>7</v>
      </c>
      <c r="F25" s="8"/>
      <c r="H25" s="8"/>
      <c r="I25" s="8" t="s">
        <v>603</v>
      </c>
      <c r="J25" s="8" t="s">
        <v>2984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s="8" t="s">
        <v>4</v>
      </c>
      <c r="E26" s="8" t="s">
        <v>7</v>
      </c>
      <c r="F26" s="8"/>
      <c r="H26" s="8"/>
      <c r="I26" s="8" t="s">
        <v>606</v>
      </c>
      <c r="J26" s="8" t="s">
        <v>2984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s="8" t="s">
        <v>4</v>
      </c>
      <c r="E27" s="8" t="s">
        <v>652</v>
      </c>
      <c r="F27" s="8"/>
      <c r="H27" s="8"/>
      <c r="I27" s="8" t="s">
        <v>609</v>
      </c>
      <c r="J27" s="8" t="s">
        <v>2984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s="8" t="s">
        <v>4</v>
      </c>
      <c r="E28" s="8" t="s">
        <v>652</v>
      </c>
      <c r="F28" s="8"/>
      <c r="H28" s="8"/>
      <c r="I28" s="8" t="s">
        <v>612</v>
      </c>
      <c r="J28" s="8" t="s">
        <v>2984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s="8" t="s">
        <v>4</v>
      </c>
      <c r="E29" s="8" t="s">
        <v>8</v>
      </c>
      <c r="F29" s="8"/>
      <c r="H29" s="8" t="s">
        <v>6</v>
      </c>
      <c r="I29" s="8" t="s">
        <v>615</v>
      </c>
      <c r="J29" s="8" t="s">
        <v>2984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s="8" t="s">
        <v>4</v>
      </c>
      <c r="E30" s="8" t="s">
        <v>12</v>
      </c>
      <c r="F30" s="8"/>
      <c r="H30" s="8"/>
      <c r="I30" s="8" t="s">
        <v>618</v>
      </c>
      <c r="J30" s="8" t="s">
        <v>2984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s="8" t="s">
        <v>4</v>
      </c>
      <c r="E31" s="8" t="s">
        <v>11</v>
      </c>
      <c r="F31" s="8"/>
      <c r="H31" s="8"/>
      <c r="I31" s="8" t="s">
        <v>621</v>
      </c>
      <c r="J31" s="8" t="s">
        <v>2984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s="8" t="s">
        <v>4</v>
      </c>
      <c r="E32" s="8" t="s">
        <v>11</v>
      </c>
      <c r="F32" s="8"/>
      <c r="H32" s="8"/>
      <c r="I32" s="8" t="s">
        <v>624</v>
      </c>
      <c r="J32" s="8" t="s">
        <v>2984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s="8" t="s">
        <v>289</v>
      </c>
      <c r="E33" s="8" t="s">
        <v>86</v>
      </c>
      <c r="F33" s="8" t="s">
        <v>60</v>
      </c>
      <c r="G33">
        <v>1</v>
      </c>
      <c r="H33" s="8"/>
      <c r="I33" s="8" t="s">
        <v>627</v>
      </c>
      <c r="J33" s="8" t="s">
        <v>2984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s="8" t="s">
        <v>653</v>
      </c>
      <c r="E34" s="8" t="s">
        <v>86</v>
      </c>
      <c r="F34" s="8" t="s">
        <v>200</v>
      </c>
      <c r="H34" s="8"/>
      <c r="I34" s="8" t="s">
        <v>630</v>
      </c>
      <c r="J34" s="8" t="s">
        <v>2984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s="8" t="s">
        <v>650</v>
      </c>
      <c r="E35" s="8" t="s">
        <v>86</v>
      </c>
      <c r="F35" s="8" t="s">
        <v>200</v>
      </c>
      <c r="H35" s="8"/>
      <c r="I35" s="8" t="s">
        <v>633</v>
      </c>
      <c r="J35" s="8" t="s">
        <v>2984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s="8" t="s">
        <v>289</v>
      </c>
      <c r="E36" s="8" t="s">
        <v>86</v>
      </c>
      <c r="F36" s="8" t="s">
        <v>200</v>
      </c>
      <c r="H36" s="8"/>
      <c r="I36" s="8" t="s">
        <v>636</v>
      </c>
      <c r="J36" s="8" t="s">
        <v>2984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s="8" t="s">
        <v>650</v>
      </c>
      <c r="E37" s="8" t="s">
        <v>86</v>
      </c>
      <c r="F37" s="8" t="s">
        <v>200</v>
      </c>
      <c r="H37" s="8"/>
      <c r="I37" s="8" t="s">
        <v>639</v>
      </c>
      <c r="J37" s="8" t="s">
        <v>2984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s="8" t="s">
        <v>4</v>
      </c>
      <c r="E38" s="8" t="s">
        <v>11</v>
      </c>
      <c r="F38" s="8"/>
      <c r="H38" s="8"/>
      <c r="I38" s="8" t="s">
        <v>642</v>
      </c>
      <c r="J38" s="8" t="s">
        <v>2984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s="8" t="s">
        <v>4</v>
      </c>
      <c r="E39" s="8" t="s">
        <v>8</v>
      </c>
      <c r="F39" s="8"/>
      <c r="H39" s="8" t="s">
        <v>6</v>
      </c>
      <c r="I39" s="8" t="s">
        <v>645</v>
      </c>
      <c r="J39" s="8" t="s">
        <v>2984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s="8" t="s">
        <v>4</v>
      </c>
      <c r="E40" s="8" t="s">
        <v>8</v>
      </c>
      <c r="F40" s="8"/>
      <c r="H40" s="8"/>
      <c r="I40" s="8" t="s">
        <v>1115</v>
      </c>
      <c r="J40" s="8" t="s">
        <v>2984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s="8" t="s">
        <v>4</v>
      </c>
      <c r="E41" s="8" t="s">
        <v>8</v>
      </c>
      <c r="F41" s="8"/>
      <c r="H41" s="8" t="s">
        <v>2004</v>
      </c>
      <c r="I41" s="8" t="s">
        <v>1118</v>
      </c>
      <c r="J41" s="8" t="s">
        <v>2984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s="8" t="s">
        <v>4</v>
      </c>
      <c r="E42" s="8" t="s">
        <v>8</v>
      </c>
      <c r="F42" s="8"/>
      <c r="H42" s="8"/>
      <c r="I42" s="8" t="s">
        <v>1121</v>
      </c>
      <c r="J42" s="8" t="s">
        <v>2984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s="8" t="s">
        <v>4</v>
      </c>
      <c r="E43" s="8" t="s">
        <v>8</v>
      </c>
      <c r="F43" s="8"/>
      <c r="H43" s="8" t="s">
        <v>2004</v>
      </c>
      <c r="I43" s="8" t="s">
        <v>1124</v>
      </c>
      <c r="J43" s="8" t="s">
        <v>2984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s="8" t="s">
        <v>4</v>
      </c>
      <c r="E44" s="8" t="s">
        <v>8</v>
      </c>
      <c r="F44" s="8"/>
      <c r="H44" s="8"/>
      <c r="I44" s="8" t="s">
        <v>1127</v>
      </c>
      <c r="J44" s="8" t="s">
        <v>2984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s="8" t="s">
        <v>11</v>
      </c>
      <c r="E45" s="8"/>
      <c r="F45" s="8"/>
      <c r="H45" s="8"/>
      <c r="I45" s="8" t="s">
        <v>2154</v>
      </c>
      <c r="J45" s="8" t="s">
        <v>2984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s="8" t="s">
        <v>11</v>
      </c>
      <c r="E46" s="8"/>
      <c r="F46" s="8"/>
      <c r="H46" s="8"/>
      <c r="I46" s="8" t="s">
        <v>2157</v>
      </c>
      <c r="J46" s="8" t="s">
        <v>2984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s="8" t="s">
        <v>11</v>
      </c>
      <c r="E47" s="8"/>
      <c r="F47" s="8"/>
      <c r="H47" s="8"/>
      <c r="I47" s="8" t="s">
        <v>2160</v>
      </c>
      <c r="J47" s="8" t="s">
        <v>2984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s="8" t="s">
        <v>11</v>
      </c>
      <c r="E48" s="8"/>
      <c r="F48" s="8"/>
      <c r="H48" s="8"/>
      <c r="I48" s="8" t="s">
        <v>2163</v>
      </c>
      <c r="J48" s="8" t="s">
        <v>2984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s="8" t="s">
        <v>11</v>
      </c>
      <c r="E49" s="8"/>
      <c r="F49" s="8"/>
      <c r="H49" s="8"/>
      <c r="I49" s="8" t="s">
        <v>2166</v>
      </c>
      <c r="J49" s="8" t="s">
        <v>2984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s="8" t="s">
        <v>11</v>
      </c>
      <c r="E50" s="8"/>
      <c r="F50" s="8"/>
      <c r="H50" s="8"/>
      <c r="I50" s="8" t="s">
        <v>2169</v>
      </c>
      <c r="J50" s="8" t="s">
        <v>2984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s="8" t="s">
        <v>11</v>
      </c>
      <c r="E51" s="8"/>
      <c r="F51" s="8"/>
      <c r="H51" s="8"/>
      <c r="I51" s="8" t="s">
        <v>2172</v>
      </c>
      <c r="J51" s="8" t="s">
        <v>2984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s="8" t="s">
        <v>11</v>
      </c>
      <c r="E52" s="8"/>
      <c r="F52" s="8"/>
      <c r="H52" s="8"/>
      <c r="I52" s="8" t="s">
        <v>2175</v>
      </c>
      <c r="J52" s="8" t="s">
        <v>2984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s="8" t="s">
        <v>11</v>
      </c>
      <c r="E53" s="8"/>
      <c r="F53" s="8"/>
      <c r="H53" s="8"/>
      <c r="I53" s="8" t="s">
        <v>2178</v>
      </c>
      <c r="J53" s="8" t="s">
        <v>2984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s="8" t="s">
        <v>4</v>
      </c>
      <c r="E54" s="8" t="s">
        <v>8</v>
      </c>
      <c r="F54" s="8"/>
      <c r="H54" s="8" t="s">
        <v>1625</v>
      </c>
      <c r="I54" s="8" t="s">
        <v>2181</v>
      </c>
      <c r="J54" s="8" t="s">
        <v>2984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s="8" t="s">
        <v>11</v>
      </c>
      <c r="E55" s="8"/>
      <c r="F55" s="8"/>
      <c r="H55" s="8"/>
      <c r="I55" s="8" t="s">
        <v>2184</v>
      </c>
      <c r="J55" s="8" t="s">
        <v>2984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s="8" t="s">
        <v>11</v>
      </c>
      <c r="E56" s="8"/>
      <c r="F56" s="8"/>
      <c r="H56" s="8"/>
      <c r="I56" s="8" t="s">
        <v>2187</v>
      </c>
      <c r="J56" s="8" t="s">
        <v>2984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s="8" t="s">
        <v>11</v>
      </c>
      <c r="E57" s="8"/>
      <c r="F57" s="8"/>
      <c r="H57" s="8"/>
      <c r="I57" s="8" t="s">
        <v>2190</v>
      </c>
      <c r="J57" s="8" t="s">
        <v>2984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s="8" t="s">
        <v>11</v>
      </c>
      <c r="E58" s="8"/>
      <c r="F58" s="8"/>
      <c r="H58" s="8"/>
      <c r="I58" s="8" t="s">
        <v>2193</v>
      </c>
      <c r="J58" s="8" t="s">
        <v>2984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s="8" t="s">
        <v>11</v>
      </c>
      <c r="E59" s="8"/>
      <c r="F59" s="8"/>
      <c r="H59" s="8"/>
      <c r="I59" s="8" t="s">
        <v>2196</v>
      </c>
      <c r="J59" s="8" t="s">
        <v>2984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s="8" t="s">
        <v>11</v>
      </c>
      <c r="E60" s="8"/>
      <c r="F60" s="8"/>
      <c r="H60" s="8"/>
      <c r="I60" s="8" t="s">
        <v>2199</v>
      </c>
      <c r="J60" s="8" t="s">
        <v>2984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s="8" t="s">
        <v>11</v>
      </c>
      <c r="E61" s="8"/>
      <c r="F61" s="8"/>
      <c r="H61" s="8"/>
      <c r="I61" s="8" t="s">
        <v>2202</v>
      </c>
      <c r="J61" s="8" t="s">
        <v>2984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s="8" t="s">
        <v>11</v>
      </c>
      <c r="E62" s="8"/>
      <c r="F62" s="8"/>
      <c r="H62" s="8"/>
      <c r="I62" s="8" t="s">
        <v>2205</v>
      </c>
      <c r="J62" s="8" t="s">
        <v>2984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s="8" t="s">
        <v>11</v>
      </c>
      <c r="E63" s="8"/>
      <c r="F63" s="8"/>
      <c r="H63" s="8"/>
      <c r="I63" s="8" t="s">
        <v>2208</v>
      </c>
      <c r="J63" s="8" t="s">
        <v>2984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s="8" t="s">
        <v>11</v>
      </c>
      <c r="E64" s="8"/>
      <c r="F64" s="8"/>
      <c r="H64" s="8"/>
      <c r="I64" s="8" t="s">
        <v>2211</v>
      </c>
      <c r="J64" s="8" t="s">
        <v>2984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s="8" t="s">
        <v>11</v>
      </c>
      <c r="E65" s="8"/>
      <c r="F65" s="8"/>
      <c r="H65" s="8"/>
      <c r="I65" s="8" t="s">
        <v>2214</v>
      </c>
      <c r="J65" s="8" t="s">
        <v>2984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s="8" t="s">
        <v>11</v>
      </c>
      <c r="E66" s="8"/>
      <c r="F66" s="8"/>
      <c r="H66" s="8"/>
      <c r="I66" s="8" t="s">
        <v>2217</v>
      </c>
      <c r="J66" s="8" t="s">
        <v>2984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s="8" t="s">
        <v>11</v>
      </c>
      <c r="E67" s="8"/>
      <c r="F67" s="8"/>
      <c r="H67" s="8"/>
      <c r="I67" s="8" t="s">
        <v>2220</v>
      </c>
      <c r="J67" s="8" t="s">
        <v>2984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s="8" t="s">
        <v>4</v>
      </c>
      <c r="E68" s="8" t="s">
        <v>8</v>
      </c>
      <c r="F68" s="8"/>
      <c r="H68" s="8" t="s">
        <v>1625</v>
      </c>
      <c r="I68" s="8" t="s">
        <v>2223</v>
      </c>
      <c r="J68" s="8" t="s">
        <v>2984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s="8" t="s">
        <v>2004</v>
      </c>
      <c r="E69" s="8"/>
      <c r="F69" s="8"/>
      <c r="H69" s="8"/>
      <c r="I69" s="8" t="s">
        <v>2226</v>
      </c>
      <c r="J69" s="8" t="s">
        <v>2984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s="8" t="s">
        <v>2004</v>
      </c>
      <c r="E70" s="8"/>
      <c r="F70" s="8"/>
      <c r="H70" s="8"/>
      <c r="I70" s="8" t="s">
        <v>2229</v>
      </c>
      <c r="J70" s="8" t="s">
        <v>2984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s="8" t="s">
        <v>4</v>
      </c>
      <c r="E71" s="8" t="s">
        <v>8</v>
      </c>
      <c r="F71" s="8"/>
      <c r="H71" s="8"/>
      <c r="I71" s="8" t="s">
        <v>3468</v>
      </c>
      <c r="J71" s="8" t="s">
        <v>2984</v>
      </c>
      <c r="K71" t="s">
        <v>3469</v>
      </c>
      <c r="L71" t="s">
        <v>3470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s="8" t="s">
        <v>4</v>
      </c>
      <c r="E72" s="8" t="s">
        <v>8</v>
      </c>
      <c r="F72" s="8"/>
      <c r="H72" s="8"/>
      <c r="I72" s="8" t="s">
        <v>3471</v>
      </c>
      <c r="J72" s="8" t="s">
        <v>2984</v>
      </c>
      <c r="K72" t="s">
        <v>3472</v>
      </c>
      <c r="L72" t="s">
        <v>3473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s="8" t="s">
        <v>4</v>
      </c>
      <c r="E73" s="8" t="s">
        <v>8</v>
      </c>
      <c r="F73" s="8"/>
      <c r="H73" s="8"/>
      <c r="I73" s="8" t="s">
        <v>3474</v>
      </c>
      <c r="J73" s="8" t="s">
        <v>2984</v>
      </c>
      <c r="K73" t="s">
        <v>3475</v>
      </c>
      <c r="L73" t="s">
        <v>3476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s="8" t="s">
        <v>4212</v>
      </c>
      <c r="E74" s="8"/>
      <c r="F74" s="8"/>
      <c r="H74" s="8"/>
      <c r="I74" s="8" t="s">
        <v>4213</v>
      </c>
      <c r="J74" s="8" t="s">
        <v>2984</v>
      </c>
      <c r="K74" t="s">
        <v>4214</v>
      </c>
      <c r="L74" t="s">
        <v>4215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s="8" t="s">
        <v>4</v>
      </c>
      <c r="E75" s="8" t="s">
        <v>8</v>
      </c>
      <c r="F75" s="8"/>
      <c r="H75" s="8"/>
      <c r="I75" s="8" t="s">
        <v>3477</v>
      </c>
      <c r="J75" s="8" t="s">
        <v>2984</v>
      </c>
      <c r="K75" t="s">
        <v>3478</v>
      </c>
      <c r="L75" t="s">
        <v>3479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s="8" t="s">
        <v>4209</v>
      </c>
      <c r="E76" s="8" t="s">
        <v>4210</v>
      </c>
      <c r="F76" s="8"/>
      <c r="H76" s="8"/>
      <c r="I76" s="8" t="s">
        <v>3480</v>
      </c>
      <c r="J76" s="8" t="s">
        <v>2984</v>
      </c>
      <c r="K76" t="s">
        <v>3481</v>
      </c>
      <c r="L76" t="s">
        <v>3482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s="8" t="s">
        <v>4209</v>
      </c>
      <c r="E77" s="8" t="s">
        <v>4210</v>
      </c>
      <c r="F77" s="8"/>
      <c r="H77" s="8" t="s">
        <v>2936</v>
      </c>
      <c r="I77" s="8" t="s">
        <v>3483</v>
      </c>
      <c r="J77" s="8" t="s">
        <v>2984</v>
      </c>
      <c r="K77" t="s">
        <v>3484</v>
      </c>
      <c r="L77" t="s">
        <v>3485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s="8" t="s">
        <v>4209</v>
      </c>
      <c r="E78" s="8" t="s">
        <v>4210</v>
      </c>
      <c r="F78" s="8"/>
      <c r="H78" s="8" t="s">
        <v>2936</v>
      </c>
      <c r="I78" s="8" t="s">
        <v>3486</v>
      </c>
      <c r="J78" s="8" t="s">
        <v>2984</v>
      </c>
      <c r="K78" t="s">
        <v>3487</v>
      </c>
      <c r="L78" t="s">
        <v>3488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s="8" t="s">
        <v>4209</v>
      </c>
      <c r="E79" s="8" t="s">
        <v>4210</v>
      </c>
      <c r="F79" s="8"/>
      <c r="H79" s="8" t="s">
        <v>2936</v>
      </c>
      <c r="I79" s="8" t="s">
        <v>3489</v>
      </c>
      <c r="J79" s="8" t="s">
        <v>2984</v>
      </c>
      <c r="K79" t="s">
        <v>3490</v>
      </c>
      <c r="L79" t="s">
        <v>3491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s="8" t="s">
        <v>4209</v>
      </c>
      <c r="E80" s="8" t="s">
        <v>4210</v>
      </c>
      <c r="F80" s="8"/>
      <c r="H80" s="8" t="s">
        <v>2936</v>
      </c>
      <c r="I80" s="8" t="s">
        <v>3492</v>
      </c>
      <c r="J80" s="8" t="s">
        <v>2984</v>
      </c>
      <c r="K80" t="s">
        <v>3493</v>
      </c>
      <c r="L80" t="s">
        <v>3494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s="8" t="s">
        <v>4209</v>
      </c>
      <c r="E81" s="8" t="s">
        <v>4210</v>
      </c>
      <c r="F81" s="8"/>
      <c r="H81" s="8" t="s">
        <v>2936</v>
      </c>
      <c r="I81" s="8" t="s">
        <v>3495</v>
      </c>
      <c r="J81" s="8" t="s">
        <v>2984</v>
      </c>
      <c r="K81" t="s">
        <v>3496</v>
      </c>
      <c r="L81" t="s">
        <v>3497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s="8" t="s">
        <v>4209</v>
      </c>
      <c r="E82" s="8" t="s">
        <v>4210</v>
      </c>
      <c r="F82" s="8"/>
      <c r="H82" s="8" t="s">
        <v>2936</v>
      </c>
      <c r="I82" s="8" t="s">
        <v>3498</v>
      </c>
      <c r="J82" s="8" t="s">
        <v>2984</v>
      </c>
      <c r="K82" t="s">
        <v>3499</v>
      </c>
      <c r="L82" t="s">
        <v>3500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s="8" t="s">
        <v>4209</v>
      </c>
      <c r="E83" s="8" t="s">
        <v>4210</v>
      </c>
      <c r="F83" s="8"/>
      <c r="H83" s="8" t="s">
        <v>2936</v>
      </c>
      <c r="I83" s="8" t="s">
        <v>3501</v>
      </c>
      <c r="J83" s="8" t="s">
        <v>2984</v>
      </c>
      <c r="K83" t="s">
        <v>3502</v>
      </c>
      <c r="L83" t="s">
        <v>3503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s="8" t="s">
        <v>4209</v>
      </c>
      <c r="E84" s="8" t="s">
        <v>4210</v>
      </c>
      <c r="F84" s="8"/>
      <c r="H84" s="8" t="s">
        <v>2936</v>
      </c>
      <c r="I84" s="8" t="s">
        <v>3504</v>
      </c>
      <c r="J84" s="8" t="s">
        <v>2984</v>
      </c>
      <c r="K84" t="s">
        <v>3505</v>
      </c>
      <c r="L84" t="s">
        <v>3506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s="8" t="s">
        <v>4209</v>
      </c>
      <c r="E85" s="8" t="s">
        <v>4210</v>
      </c>
      <c r="F85" s="8"/>
      <c r="H85" s="8" t="s">
        <v>2936</v>
      </c>
      <c r="I85" s="8" t="s">
        <v>3507</v>
      </c>
      <c r="J85" s="8" t="s">
        <v>2984</v>
      </c>
      <c r="K85" t="s">
        <v>3508</v>
      </c>
      <c r="L85" t="s">
        <v>3509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s="8" t="s">
        <v>4209</v>
      </c>
      <c r="E86" s="8" t="s">
        <v>4210</v>
      </c>
      <c r="F86" s="8"/>
      <c r="H86" s="8" t="s">
        <v>2936</v>
      </c>
      <c r="I86" s="8" t="s">
        <v>3510</v>
      </c>
      <c r="J86" s="8" t="s">
        <v>2984</v>
      </c>
      <c r="K86" t="s">
        <v>3511</v>
      </c>
      <c r="L86" t="s">
        <v>3512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s="8" t="s">
        <v>4209</v>
      </c>
      <c r="E87" s="8" t="s">
        <v>4210</v>
      </c>
      <c r="F87" s="8"/>
      <c r="H87" s="8" t="s">
        <v>2936</v>
      </c>
      <c r="I87" s="8" t="s">
        <v>3513</v>
      </c>
      <c r="J87" s="8" t="s">
        <v>2984</v>
      </c>
      <c r="K87" t="s">
        <v>3514</v>
      </c>
      <c r="L87" t="s">
        <v>3515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s="8" t="s">
        <v>4209</v>
      </c>
      <c r="E88" s="8" t="s">
        <v>4210</v>
      </c>
      <c r="F88" s="8"/>
      <c r="H88" s="8" t="s">
        <v>2936</v>
      </c>
      <c r="I88" s="8" t="s">
        <v>3516</v>
      </c>
      <c r="J88" s="8" t="s">
        <v>2984</v>
      </c>
      <c r="K88" t="s">
        <v>3517</v>
      </c>
      <c r="L88" t="s">
        <v>3518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s="8" t="s">
        <v>4209</v>
      </c>
      <c r="E89" s="8" t="s">
        <v>4210</v>
      </c>
      <c r="F89" s="8"/>
      <c r="H89" s="8" t="s">
        <v>2936</v>
      </c>
      <c r="I89" s="8" t="s">
        <v>3519</v>
      </c>
      <c r="J89" s="8" t="s">
        <v>2984</v>
      </c>
      <c r="K89" t="s">
        <v>3520</v>
      </c>
      <c r="L89" t="s">
        <v>3521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s="8" t="s">
        <v>4209</v>
      </c>
      <c r="E90" s="8" t="s">
        <v>4210</v>
      </c>
      <c r="F90" s="8"/>
      <c r="H90" s="8" t="s">
        <v>2936</v>
      </c>
      <c r="I90" s="8" t="s">
        <v>3522</v>
      </c>
      <c r="J90" s="8" t="s">
        <v>2984</v>
      </c>
      <c r="K90" t="s">
        <v>3523</v>
      </c>
      <c r="L90" t="s">
        <v>3524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s="8" t="s">
        <v>4209</v>
      </c>
      <c r="E91" s="8" t="s">
        <v>4210</v>
      </c>
      <c r="F91" s="8"/>
      <c r="H91" s="8" t="s">
        <v>2936</v>
      </c>
      <c r="I91" s="8" t="s">
        <v>3525</v>
      </c>
      <c r="J91" s="8" t="s">
        <v>2984</v>
      </c>
      <c r="K91" t="s">
        <v>3526</v>
      </c>
      <c r="L91" t="s">
        <v>3527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s="8" t="s">
        <v>4209</v>
      </c>
      <c r="E92" s="8" t="s">
        <v>4210</v>
      </c>
      <c r="F92" s="8"/>
      <c r="H92" s="8" t="s">
        <v>2936</v>
      </c>
      <c r="I92" s="8" t="s">
        <v>3528</v>
      </c>
      <c r="J92" s="8" t="s">
        <v>2984</v>
      </c>
      <c r="K92" t="s">
        <v>3529</v>
      </c>
      <c r="L92" t="s">
        <v>3530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s="8" t="s">
        <v>4209</v>
      </c>
      <c r="E93" s="8" t="s">
        <v>4210</v>
      </c>
      <c r="F93" s="8"/>
      <c r="H93" s="8" t="s">
        <v>2936</v>
      </c>
      <c r="I93" s="8" t="s">
        <v>3531</v>
      </c>
      <c r="J93" s="8" t="s">
        <v>2984</v>
      </c>
      <c r="K93" t="s">
        <v>3532</v>
      </c>
      <c r="L93" t="s">
        <v>3533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s="8" t="s">
        <v>4209</v>
      </c>
      <c r="E94" s="8" t="s">
        <v>4210</v>
      </c>
      <c r="F94" s="8"/>
      <c r="H94" s="8" t="s">
        <v>2936</v>
      </c>
      <c r="I94" s="8" t="s">
        <v>3534</v>
      </c>
      <c r="J94" s="8" t="s">
        <v>2984</v>
      </c>
      <c r="K94" t="s">
        <v>3535</v>
      </c>
      <c r="L94" t="s">
        <v>3536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s="8" t="s">
        <v>4209</v>
      </c>
      <c r="E95" s="8" t="s">
        <v>4210</v>
      </c>
      <c r="F95" s="8"/>
      <c r="H95" s="8" t="s">
        <v>2936</v>
      </c>
      <c r="I95" s="8" t="s">
        <v>3537</v>
      </c>
      <c r="J95" s="8" t="s">
        <v>2984</v>
      </c>
      <c r="K95" t="s">
        <v>3538</v>
      </c>
      <c r="L95" t="s">
        <v>3539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s="8" t="s">
        <v>4216</v>
      </c>
      <c r="E96" s="8" t="s">
        <v>4211</v>
      </c>
      <c r="F96" s="8"/>
      <c r="H96" s="8"/>
      <c r="I96" s="8" t="s">
        <v>3540</v>
      </c>
      <c r="J96" s="8" t="s">
        <v>2984</v>
      </c>
      <c r="K96" t="s">
        <v>3541</v>
      </c>
      <c r="L96" t="s">
        <v>3542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s="8" t="s">
        <v>4216</v>
      </c>
      <c r="E97" s="8" t="s">
        <v>4211</v>
      </c>
      <c r="F97" s="8"/>
      <c r="H97" s="8" t="s">
        <v>2936</v>
      </c>
      <c r="I97" s="8" t="s">
        <v>3543</v>
      </c>
      <c r="J97" s="8" t="s">
        <v>2984</v>
      </c>
      <c r="K97" t="s">
        <v>3544</v>
      </c>
      <c r="L97" t="s">
        <v>3545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s="8" t="s">
        <v>4216</v>
      </c>
      <c r="E98" s="8" t="s">
        <v>4211</v>
      </c>
      <c r="F98" s="8"/>
      <c r="H98" s="8" t="s">
        <v>2936</v>
      </c>
      <c r="I98" s="8" t="s">
        <v>3546</v>
      </c>
      <c r="J98" s="8" t="s">
        <v>2984</v>
      </c>
      <c r="K98" t="s">
        <v>3547</v>
      </c>
      <c r="L98" t="s">
        <v>3548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s="8" t="s">
        <v>4216</v>
      </c>
      <c r="E99" s="8" t="s">
        <v>4211</v>
      </c>
      <c r="F99" s="8"/>
      <c r="H99" s="8" t="s">
        <v>2936</v>
      </c>
      <c r="I99" s="8" t="s">
        <v>3549</v>
      </c>
      <c r="J99" s="8" t="s">
        <v>2984</v>
      </c>
      <c r="K99" t="s">
        <v>3550</v>
      </c>
      <c r="L99" t="s">
        <v>3551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s="8" t="s">
        <v>4216</v>
      </c>
      <c r="E100" s="8" t="s">
        <v>4211</v>
      </c>
      <c r="F100" s="8"/>
      <c r="H100" s="8" t="s">
        <v>2936</v>
      </c>
      <c r="I100" s="8" t="s">
        <v>3552</v>
      </c>
      <c r="J100" s="8" t="s">
        <v>2984</v>
      </c>
      <c r="K100" t="s">
        <v>3553</v>
      </c>
      <c r="L100" t="s">
        <v>3554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s="8" t="s">
        <v>4216</v>
      </c>
      <c r="E101" s="8" t="s">
        <v>4211</v>
      </c>
      <c r="F101" s="8"/>
      <c r="H101" s="8" t="s">
        <v>2936</v>
      </c>
      <c r="I101" s="8" t="s">
        <v>3555</v>
      </c>
      <c r="J101" s="8" t="s">
        <v>2984</v>
      </c>
      <c r="K101" t="s">
        <v>3556</v>
      </c>
      <c r="L101" t="s">
        <v>3557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s="8" t="s">
        <v>4</v>
      </c>
      <c r="E102" s="8" t="s">
        <v>8</v>
      </c>
      <c r="F102" s="8"/>
      <c r="H102" s="8"/>
      <c r="I102" s="8" t="s">
        <v>3558</v>
      </c>
      <c r="J102" s="8" t="s">
        <v>2984</v>
      </c>
      <c r="K102" t="s">
        <v>3559</v>
      </c>
      <c r="L102" t="s">
        <v>3560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s="8" t="s">
        <v>1606</v>
      </c>
      <c r="E103" s="8" t="s">
        <v>4194</v>
      </c>
      <c r="F103" s="8"/>
      <c r="H103" s="8"/>
      <c r="I103" s="8" t="s">
        <v>3561</v>
      </c>
      <c r="J103" s="8" t="s">
        <v>2984</v>
      </c>
      <c r="K103" t="s">
        <v>3562</v>
      </c>
      <c r="L103" t="s">
        <v>3563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s="8" t="s">
        <v>1606</v>
      </c>
      <c r="E104" s="8" t="s">
        <v>4217</v>
      </c>
      <c r="F104" s="8"/>
      <c r="H104" s="8"/>
      <c r="I104" s="8" t="s">
        <v>3564</v>
      </c>
      <c r="J104" s="8" t="s">
        <v>2984</v>
      </c>
      <c r="K104" t="s">
        <v>3565</v>
      </c>
      <c r="L104" t="s">
        <v>3566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s="8" t="s">
        <v>289</v>
      </c>
      <c r="E105" s="8" t="s">
        <v>4217</v>
      </c>
      <c r="F105" s="8" t="s">
        <v>4211</v>
      </c>
      <c r="H105" s="8"/>
      <c r="I105" s="8" t="s">
        <v>3567</v>
      </c>
      <c r="J105" s="8" t="s">
        <v>2984</v>
      </c>
      <c r="K105" t="s">
        <v>3568</v>
      </c>
      <c r="L105" t="s">
        <v>3569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s="8" t="s">
        <v>289</v>
      </c>
      <c r="E106" s="8" t="s">
        <v>4217</v>
      </c>
      <c r="F106" s="8" t="s">
        <v>4211</v>
      </c>
      <c r="H106" s="8" t="s">
        <v>2936</v>
      </c>
      <c r="I106" s="8" t="s">
        <v>3570</v>
      </c>
      <c r="J106" s="8" t="s">
        <v>2984</v>
      </c>
      <c r="K106" t="s">
        <v>3571</v>
      </c>
      <c r="L106" t="s">
        <v>3572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s="8" t="s">
        <v>289</v>
      </c>
      <c r="E107" s="8" t="s">
        <v>4217</v>
      </c>
      <c r="F107" s="8" t="s">
        <v>4211</v>
      </c>
      <c r="H107" s="8" t="s">
        <v>2936</v>
      </c>
      <c r="I107" s="8" t="s">
        <v>3573</v>
      </c>
      <c r="J107" s="8" t="s">
        <v>2984</v>
      </c>
      <c r="K107" t="s">
        <v>3574</v>
      </c>
      <c r="L107" t="s">
        <v>3575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s="8" t="s">
        <v>289</v>
      </c>
      <c r="E108" s="8" t="s">
        <v>4217</v>
      </c>
      <c r="F108" s="8" t="s">
        <v>4211</v>
      </c>
      <c r="H108" s="8" t="s">
        <v>2936</v>
      </c>
      <c r="I108" s="8" t="s">
        <v>3576</v>
      </c>
      <c r="J108" s="8" t="s">
        <v>2984</v>
      </c>
      <c r="K108" t="s">
        <v>3577</v>
      </c>
      <c r="L108" t="s">
        <v>3578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s="8" t="s">
        <v>289</v>
      </c>
      <c r="E109" s="8" t="s">
        <v>4217</v>
      </c>
      <c r="F109" s="8" t="s">
        <v>4211</v>
      </c>
      <c r="H109" s="8" t="s">
        <v>2936</v>
      </c>
      <c r="I109" s="8" t="s">
        <v>3579</v>
      </c>
      <c r="J109" s="8" t="s">
        <v>2984</v>
      </c>
      <c r="K109" t="s">
        <v>3580</v>
      </c>
      <c r="L109" t="s">
        <v>3581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s="8" t="s">
        <v>289</v>
      </c>
      <c r="E110" s="8" t="s">
        <v>4217</v>
      </c>
      <c r="F110" s="8" t="s">
        <v>4211</v>
      </c>
      <c r="H110" s="8" t="s">
        <v>2936</v>
      </c>
      <c r="I110" s="8" t="s">
        <v>3582</v>
      </c>
      <c r="J110" s="8" t="s">
        <v>2984</v>
      </c>
      <c r="K110" t="s">
        <v>3583</v>
      </c>
      <c r="L110" t="s">
        <v>3584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s="8" t="s">
        <v>289</v>
      </c>
      <c r="E111" s="8" t="s">
        <v>4217</v>
      </c>
      <c r="F111" s="8" t="s">
        <v>4211</v>
      </c>
      <c r="H111" s="8" t="s">
        <v>2936</v>
      </c>
      <c r="I111" s="8" t="s">
        <v>3585</v>
      </c>
      <c r="J111" s="8" t="s">
        <v>2984</v>
      </c>
      <c r="K111" t="s">
        <v>3586</v>
      </c>
      <c r="L111" t="s">
        <v>3587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s="8" t="s">
        <v>289</v>
      </c>
      <c r="E112" s="8" t="s">
        <v>4217</v>
      </c>
      <c r="F112" s="8" t="s">
        <v>4211</v>
      </c>
      <c r="H112" s="8" t="s">
        <v>2936</v>
      </c>
      <c r="I112" s="8" t="s">
        <v>3588</v>
      </c>
      <c r="J112" s="8" t="s">
        <v>2984</v>
      </c>
      <c r="K112" t="s">
        <v>3589</v>
      </c>
      <c r="L112" t="s">
        <v>3590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s="8" t="s">
        <v>289</v>
      </c>
      <c r="E113" s="8" t="s">
        <v>4217</v>
      </c>
      <c r="F113" s="8" t="s">
        <v>4211</v>
      </c>
      <c r="H113" s="8" t="s">
        <v>2936</v>
      </c>
      <c r="I113" s="8" t="s">
        <v>3591</v>
      </c>
      <c r="J113" s="8" t="s">
        <v>2984</v>
      </c>
      <c r="K113" t="s">
        <v>3592</v>
      </c>
      <c r="L113" t="s">
        <v>3593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s="8" t="s">
        <v>289</v>
      </c>
      <c r="E114" s="8" t="s">
        <v>4217</v>
      </c>
      <c r="F114" s="8" t="s">
        <v>4211</v>
      </c>
      <c r="H114" s="8" t="s">
        <v>2936</v>
      </c>
      <c r="I114" s="8" t="s">
        <v>3594</v>
      </c>
      <c r="J114" s="8" t="s">
        <v>2984</v>
      </c>
      <c r="K114" t="s">
        <v>3595</v>
      </c>
      <c r="L114" t="s">
        <v>3596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s="8" t="s">
        <v>289</v>
      </c>
      <c r="E115" s="8" t="s">
        <v>4217</v>
      </c>
      <c r="F115" s="8" t="s">
        <v>4211</v>
      </c>
      <c r="H115" s="8" t="s">
        <v>2936</v>
      </c>
      <c r="I115" s="8" t="s">
        <v>3597</v>
      </c>
      <c r="J115" s="8" t="s">
        <v>2984</v>
      </c>
      <c r="K115" t="s">
        <v>3598</v>
      </c>
      <c r="L115" t="s">
        <v>3599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s="8" t="s">
        <v>289</v>
      </c>
      <c r="E116" s="8" t="s">
        <v>4217</v>
      </c>
      <c r="F116" s="8" t="s">
        <v>4211</v>
      </c>
      <c r="H116" s="8" t="s">
        <v>2936</v>
      </c>
      <c r="I116" s="8" t="s">
        <v>3600</v>
      </c>
      <c r="J116" s="8" t="s">
        <v>2984</v>
      </c>
      <c r="K116" t="s">
        <v>3601</v>
      </c>
      <c r="L116" t="s">
        <v>3602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s="8" t="s">
        <v>289</v>
      </c>
      <c r="E117" s="8" t="s">
        <v>4217</v>
      </c>
      <c r="F117" s="8" t="s">
        <v>4211</v>
      </c>
      <c r="H117" s="8" t="s">
        <v>2936</v>
      </c>
      <c r="I117" s="8" t="s">
        <v>3603</v>
      </c>
      <c r="J117" s="8" t="s">
        <v>2984</v>
      </c>
      <c r="K117" t="s">
        <v>3604</v>
      </c>
      <c r="L117" t="s">
        <v>3605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s="8" t="s">
        <v>289</v>
      </c>
      <c r="E118" s="8" t="s">
        <v>4217</v>
      </c>
      <c r="F118" s="8" t="s">
        <v>4211</v>
      </c>
      <c r="H118" s="8" t="s">
        <v>2936</v>
      </c>
      <c r="I118" s="8" t="s">
        <v>3606</v>
      </c>
      <c r="J118" s="8" t="s">
        <v>2984</v>
      </c>
      <c r="K118" t="s">
        <v>3607</v>
      </c>
      <c r="L118" t="s">
        <v>3608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s="8" t="s">
        <v>650</v>
      </c>
      <c r="E119" s="8" t="s">
        <v>4217</v>
      </c>
      <c r="F119" s="8" t="s">
        <v>4211</v>
      </c>
      <c r="H119" s="8" t="s">
        <v>4218</v>
      </c>
      <c r="I119" s="8" t="s">
        <v>3609</v>
      </c>
      <c r="J119" s="8" t="s">
        <v>2984</v>
      </c>
      <c r="K119" t="s">
        <v>3610</v>
      </c>
      <c r="L119" t="s">
        <v>3611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s="8" t="s">
        <v>289</v>
      </c>
      <c r="E120" s="8" t="s">
        <v>4194</v>
      </c>
      <c r="F120" s="8" t="s">
        <v>4211</v>
      </c>
      <c r="H120" s="8"/>
      <c r="I120" s="8" t="s">
        <v>3612</v>
      </c>
      <c r="J120" s="8" t="s">
        <v>2984</v>
      </c>
      <c r="K120" t="s">
        <v>3613</v>
      </c>
      <c r="L120" t="s">
        <v>3614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s="8" t="s">
        <v>289</v>
      </c>
      <c r="E121" s="8" t="s">
        <v>4194</v>
      </c>
      <c r="F121" s="8" t="s">
        <v>4211</v>
      </c>
      <c r="H121" s="8" t="s">
        <v>2936</v>
      </c>
      <c r="I121" s="8" t="s">
        <v>3615</v>
      </c>
      <c r="J121" s="8" t="s">
        <v>2984</v>
      </c>
      <c r="K121" t="s">
        <v>3616</v>
      </c>
      <c r="L121" t="s">
        <v>3617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s="8" t="s">
        <v>289</v>
      </c>
      <c r="E122" s="8" t="s">
        <v>4194</v>
      </c>
      <c r="F122" s="8" t="s">
        <v>4211</v>
      </c>
      <c r="H122" s="8" t="s">
        <v>2936</v>
      </c>
      <c r="I122" s="8" t="s">
        <v>3618</v>
      </c>
      <c r="J122" s="8" t="s">
        <v>2984</v>
      </c>
      <c r="K122" t="s">
        <v>3619</v>
      </c>
      <c r="L122" t="s">
        <v>3620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s="8" t="s">
        <v>289</v>
      </c>
      <c r="E123" s="8" t="s">
        <v>4194</v>
      </c>
      <c r="F123" s="8" t="s">
        <v>4211</v>
      </c>
      <c r="H123" s="8" t="s">
        <v>2936</v>
      </c>
      <c r="I123" s="8" t="s">
        <v>3621</v>
      </c>
      <c r="J123" s="8" t="s">
        <v>2984</v>
      </c>
      <c r="K123" t="s">
        <v>3622</v>
      </c>
      <c r="L123" t="s">
        <v>3623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s="8" t="s">
        <v>289</v>
      </c>
      <c r="E124" s="8" t="s">
        <v>4194</v>
      </c>
      <c r="F124" s="8" t="s">
        <v>4211</v>
      </c>
      <c r="H124" s="8" t="s">
        <v>2936</v>
      </c>
      <c r="I124" s="8" t="s">
        <v>3624</v>
      </c>
      <c r="J124" s="8" t="s">
        <v>2984</v>
      </c>
      <c r="K124" t="s">
        <v>3625</v>
      </c>
      <c r="L124" t="s">
        <v>3626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s="8" t="s">
        <v>289</v>
      </c>
      <c r="E125" s="8" t="s">
        <v>4194</v>
      </c>
      <c r="F125" s="8" t="s">
        <v>4211</v>
      </c>
      <c r="H125" s="8" t="s">
        <v>2936</v>
      </c>
      <c r="I125" s="8" t="s">
        <v>3627</v>
      </c>
      <c r="J125" s="8" t="s">
        <v>2984</v>
      </c>
      <c r="K125" t="s">
        <v>3628</v>
      </c>
      <c r="L125" t="s">
        <v>3629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s="8" t="s">
        <v>289</v>
      </c>
      <c r="E126" s="8" t="s">
        <v>4194</v>
      </c>
      <c r="F126" s="8" t="s">
        <v>4211</v>
      </c>
      <c r="H126" s="8" t="s">
        <v>2936</v>
      </c>
      <c r="I126" s="8" t="s">
        <v>3630</v>
      </c>
      <c r="J126" s="8" t="s">
        <v>2984</v>
      </c>
      <c r="K126" t="s">
        <v>3631</v>
      </c>
      <c r="L126" t="s">
        <v>3632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s="8" t="s">
        <v>289</v>
      </c>
      <c r="E127" s="8" t="s">
        <v>4194</v>
      </c>
      <c r="F127" s="8" t="s">
        <v>4211</v>
      </c>
      <c r="H127" s="8" t="s">
        <v>2936</v>
      </c>
      <c r="I127" s="8" t="s">
        <v>3633</v>
      </c>
      <c r="J127" s="8" t="s">
        <v>2984</v>
      </c>
      <c r="K127" t="s">
        <v>3634</v>
      </c>
      <c r="L127" t="s">
        <v>3635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s="8" t="s">
        <v>289</v>
      </c>
      <c r="E128" s="8" t="s">
        <v>4194</v>
      </c>
      <c r="F128" s="8" t="s">
        <v>4211</v>
      </c>
      <c r="H128" s="8" t="s">
        <v>2936</v>
      </c>
      <c r="I128" s="8" t="s">
        <v>3636</v>
      </c>
      <c r="J128" s="8" t="s">
        <v>2984</v>
      </c>
      <c r="K128" t="s">
        <v>3637</v>
      </c>
      <c r="L128" t="s">
        <v>3638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s="8" t="s">
        <v>289</v>
      </c>
      <c r="E129" s="8" t="s">
        <v>4194</v>
      </c>
      <c r="F129" s="8" t="s">
        <v>4211</v>
      </c>
      <c r="H129" s="8" t="s">
        <v>2936</v>
      </c>
      <c r="I129" s="8" t="s">
        <v>3639</v>
      </c>
      <c r="J129" s="8" t="s">
        <v>2984</v>
      </c>
      <c r="K129" t="s">
        <v>3640</v>
      </c>
      <c r="L129" t="s">
        <v>3641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s="8" t="s">
        <v>289</v>
      </c>
      <c r="E130" s="8" t="s">
        <v>4194</v>
      </c>
      <c r="F130" s="8" t="s">
        <v>4211</v>
      </c>
      <c r="H130" s="8" t="s">
        <v>2936</v>
      </c>
      <c r="I130" s="8" t="s">
        <v>3642</v>
      </c>
      <c r="J130" s="8" t="s">
        <v>2984</v>
      </c>
      <c r="K130" t="s">
        <v>3643</v>
      </c>
      <c r="L130" t="s">
        <v>3644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s="8" t="s">
        <v>289</v>
      </c>
      <c r="E131" s="8" t="s">
        <v>4194</v>
      </c>
      <c r="F131" s="8" t="s">
        <v>87</v>
      </c>
      <c r="H131" s="8"/>
      <c r="I131" s="8" t="s">
        <v>3645</v>
      </c>
      <c r="J131" s="8" t="s">
        <v>2984</v>
      </c>
      <c r="K131" t="s">
        <v>3646</v>
      </c>
      <c r="L131" t="s">
        <v>3647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s="8" t="s">
        <v>1606</v>
      </c>
      <c r="E132" s="8" t="s">
        <v>4195</v>
      </c>
      <c r="F132" s="8"/>
      <c r="H132" s="8"/>
      <c r="I132" s="8" t="s">
        <v>3648</v>
      </c>
      <c r="J132" s="8" t="s">
        <v>2984</v>
      </c>
      <c r="K132" t="s">
        <v>3649</v>
      </c>
      <c r="L132" t="s">
        <v>3377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s="8" t="s">
        <v>1606</v>
      </c>
      <c r="E133" s="8" t="s">
        <v>4195</v>
      </c>
      <c r="F133" s="8"/>
      <c r="H133" s="8" t="s">
        <v>2936</v>
      </c>
      <c r="I133" s="8" t="s">
        <v>3650</v>
      </c>
      <c r="J133" s="8" t="s">
        <v>2984</v>
      </c>
      <c r="K133" t="s">
        <v>3651</v>
      </c>
      <c r="L133" t="s">
        <v>3652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s="8" t="s">
        <v>289</v>
      </c>
      <c r="E134" s="8" t="s">
        <v>4195</v>
      </c>
      <c r="F134" s="8" t="s">
        <v>4211</v>
      </c>
      <c r="H134" s="8"/>
      <c r="I134" s="8" t="s">
        <v>3653</v>
      </c>
      <c r="J134" s="8" t="s">
        <v>2984</v>
      </c>
      <c r="K134" t="s">
        <v>3654</v>
      </c>
      <c r="L134" t="s">
        <v>3655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s="8" t="s">
        <v>289</v>
      </c>
      <c r="E135" s="8" t="s">
        <v>4195</v>
      </c>
      <c r="F135" s="8" t="s">
        <v>4211</v>
      </c>
      <c r="H135" s="8" t="s">
        <v>2936</v>
      </c>
      <c r="I135" s="8" t="s">
        <v>3656</v>
      </c>
      <c r="J135" s="8" t="s">
        <v>2984</v>
      </c>
      <c r="K135" t="s">
        <v>3657</v>
      </c>
      <c r="L135" t="s">
        <v>3658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s="8" t="s">
        <v>289</v>
      </c>
      <c r="E136" s="8" t="s">
        <v>4195</v>
      </c>
      <c r="F136" s="8" t="s">
        <v>4211</v>
      </c>
      <c r="H136" s="8" t="s">
        <v>2936</v>
      </c>
      <c r="I136" s="8" t="s">
        <v>3659</v>
      </c>
      <c r="J136" s="8" t="s">
        <v>2984</v>
      </c>
      <c r="K136" t="s">
        <v>3660</v>
      </c>
      <c r="L136" t="s">
        <v>3661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s="8" t="s">
        <v>289</v>
      </c>
      <c r="E137" s="8" t="s">
        <v>4195</v>
      </c>
      <c r="F137" s="8" t="s">
        <v>4211</v>
      </c>
      <c r="H137" s="8" t="s">
        <v>2936</v>
      </c>
      <c r="I137" s="8" t="s">
        <v>3662</v>
      </c>
      <c r="J137" s="8" t="s">
        <v>2984</v>
      </c>
      <c r="K137" t="s">
        <v>3663</v>
      </c>
      <c r="L137" t="s">
        <v>3664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s="8" t="s">
        <v>289</v>
      </c>
      <c r="E138" s="8" t="s">
        <v>4195</v>
      </c>
      <c r="F138" s="8" t="s">
        <v>4211</v>
      </c>
      <c r="H138" s="8" t="s">
        <v>2936</v>
      </c>
      <c r="I138" s="8" t="s">
        <v>3665</v>
      </c>
      <c r="J138" s="8" t="s">
        <v>2984</v>
      </c>
      <c r="K138" t="s">
        <v>3666</v>
      </c>
      <c r="L138" t="s">
        <v>3667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s="8" t="s">
        <v>289</v>
      </c>
      <c r="E139" s="8" t="s">
        <v>4195</v>
      </c>
      <c r="F139" s="8" t="s">
        <v>4211</v>
      </c>
      <c r="H139" s="8" t="s">
        <v>2936</v>
      </c>
      <c r="I139" s="8" t="s">
        <v>3668</v>
      </c>
      <c r="J139" s="8" t="s">
        <v>2984</v>
      </c>
      <c r="K139" t="s">
        <v>3669</v>
      </c>
      <c r="L139" t="s">
        <v>3670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s="8" t="s">
        <v>289</v>
      </c>
      <c r="E140" s="8" t="s">
        <v>4195</v>
      </c>
      <c r="F140" s="8" t="s">
        <v>4211</v>
      </c>
      <c r="H140" s="8" t="s">
        <v>2936</v>
      </c>
      <c r="I140" s="8" t="s">
        <v>3671</v>
      </c>
      <c r="J140" s="8" t="s">
        <v>2984</v>
      </c>
      <c r="K140" t="s">
        <v>3672</v>
      </c>
      <c r="L140" t="s">
        <v>3673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s="8" t="s">
        <v>289</v>
      </c>
      <c r="E141" s="8" t="s">
        <v>4195</v>
      </c>
      <c r="F141" s="8" t="s">
        <v>4211</v>
      </c>
      <c r="H141" s="8" t="s">
        <v>2936</v>
      </c>
      <c r="I141" s="8" t="s">
        <v>3674</v>
      </c>
      <c r="J141" s="8" t="s">
        <v>2984</v>
      </c>
      <c r="K141" t="s">
        <v>3675</v>
      </c>
      <c r="L141" t="s">
        <v>3676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s="8" t="s">
        <v>289</v>
      </c>
      <c r="E142" s="8" t="s">
        <v>4195</v>
      </c>
      <c r="F142" s="8" t="s">
        <v>4211</v>
      </c>
      <c r="H142" s="8" t="s">
        <v>2936</v>
      </c>
      <c r="I142" s="8" t="s">
        <v>3677</v>
      </c>
      <c r="J142" s="8" t="s">
        <v>2984</v>
      </c>
      <c r="K142" t="s">
        <v>3678</v>
      </c>
      <c r="L142" t="s">
        <v>3679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s="8" t="s">
        <v>289</v>
      </c>
      <c r="E143" s="8" t="s">
        <v>4195</v>
      </c>
      <c r="F143" s="8" t="s">
        <v>4211</v>
      </c>
      <c r="H143" s="8" t="s">
        <v>2936</v>
      </c>
      <c r="I143" s="8" t="s">
        <v>3680</v>
      </c>
      <c r="J143" s="8" t="s">
        <v>2984</v>
      </c>
      <c r="K143" t="s">
        <v>3681</v>
      </c>
      <c r="L143" t="s">
        <v>3682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s="8" t="s">
        <v>289</v>
      </c>
      <c r="E144" s="8" t="s">
        <v>4195</v>
      </c>
      <c r="F144" s="8" t="s">
        <v>4211</v>
      </c>
      <c r="H144" s="8" t="s">
        <v>2936</v>
      </c>
      <c r="I144" s="8" t="s">
        <v>3683</v>
      </c>
      <c r="J144" s="8" t="s">
        <v>2984</v>
      </c>
      <c r="K144" t="s">
        <v>3684</v>
      </c>
      <c r="L144" t="s">
        <v>3685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s="8" t="s">
        <v>289</v>
      </c>
      <c r="E145" s="8" t="s">
        <v>4195</v>
      </c>
      <c r="F145" s="8" t="s">
        <v>4211</v>
      </c>
      <c r="H145" s="8" t="s">
        <v>2936</v>
      </c>
      <c r="I145" s="8" t="s">
        <v>3686</v>
      </c>
      <c r="J145" s="8" t="s">
        <v>2984</v>
      </c>
      <c r="K145" t="s">
        <v>3687</v>
      </c>
      <c r="L145" t="s">
        <v>3688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s="8" t="s">
        <v>289</v>
      </c>
      <c r="E146" s="8" t="s">
        <v>4195</v>
      </c>
      <c r="F146" s="8" t="s">
        <v>4211</v>
      </c>
      <c r="H146" s="8" t="s">
        <v>2936</v>
      </c>
      <c r="I146" s="8" t="s">
        <v>3689</v>
      </c>
      <c r="J146" s="8" t="s">
        <v>2984</v>
      </c>
      <c r="K146" t="s">
        <v>3690</v>
      </c>
      <c r="L146" t="s">
        <v>3691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s="8" t="s">
        <v>289</v>
      </c>
      <c r="E147" s="8" t="s">
        <v>4195</v>
      </c>
      <c r="F147" s="8" t="s">
        <v>4211</v>
      </c>
      <c r="H147" s="8" t="s">
        <v>2936</v>
      </c>
      <c r="I147" s="8" t="s">
        <v>3692</v>
      </c>
      <c r="J147" s="8" t="s">
        <v>2984</v>
      </c>
      <c r="K147" t="s">
        <v>3693</v>
      </c>
      <c r="L147" t="s">
        <v>3694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s="8" t="s">
        <v>289</v>
      </c>
      <c r="E148" s="8" t="s">
        <v>4195</v>
      </c>
      <c r="F148" s="8" t="s">
        <v>4211</v>
      </c>
      <c r="H148" s="8" t="s">
        <v>2936</v>
      </c>
      <c r="I148" s="8" t="s">
        <v>3695</v>
      </c>
      <c r="J148" s="8" t="s">
        <v>2984</v>
      </c>
      <c r="K148" t="s">
        <v>3696</v>
      </c>
      <c r="L148" t="s">
        <v>3697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s="8" t="s">
        <v>289</v>
      </c>
      <c r="E149" s="8" t="s">
        <v>4195</v>
      </c>
      <c r="F149" s="8" t="s">
        <v>4211</v>
      </c>
      <c r="H149" s="8" t="s">
        <v>2936</v>
      </c>
      <c r="I149" s="8" t="s">
        <v>3698</v>
      </c>
      <c r="J149" s="8" t="s">
        <v>2984</v>
      </c>
      <c r="K149" t="s">
        <v>3699</v>
      </c>
      <c r="L149" t="s">
        <v>3700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s="8" t="s">
        <v>289</v>
      </c>
      <c r="E150" s="8" t="s">
        <v>4195</v>
      </c>
      <c r="F150" s="8" t="s">
        <v>4211</v>
      </c>
      <c r="H150" s="8" t="s">
        <v>2936</v>
      </c>
      <c r="I150" s="8" t="s">
        <v>3701</v>
      </c>
      <c r="J150" s="8" t="s">
        <v>2984</v>
      </c>
      <c r="K150" t="s">
        <v>3702</v>
      </c>
      <c r="L150" t="s">
        <v>3703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s="8" t="s">
        <v>289</v>
      </c>
      <c r="E151" s="8" t="s">
        <v>4195</v>
      </c>
      <c r="F151" s="8" t="s">
        <v>4211</v>
      </c>
      <c r="H151" s="8" t="s">
        <v>2936</v>
      </c>
      <c r="I151" s="8" t="s">
        <v>3704</v>
      </c>
      <c r="J151" s="8" t="s">
        <v>2984</v>
      </c>
      <c r="K151" t="s">
        <v>3705</v>
      </c>
      <c r="L151" t="s">
        <v>3706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s="8" t="s">
        <v>289</v>
      </c>
      <c r="E152" s="8" t="s">
        <v>4195</v>
      </c>
      <c r="F152" s="8" t="s">
        <v>4211</v>
      </c>
      <c r="H152" s="8" t="s">
        <v>2936</v>
      </c>
      <c r="I152" s="8" t="s">
        <v>3707</v>
      </c>
      <c r="J152" s="8" t="s">
        <v>2984</v>
      </c>
      <c r="K152" t="s">
        <v>3708</v>
      </c>
      <c r="L152" t="s">
        <v>3709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s="8" t="s">
        <v>289</v>
      </c>
      <c r="E153" s="8" t="s">
        <v>4195</v>
      </c>
      <c r="F153" s="8" t="s">
        <v>4211</v>
      </c>
      <c r="H153" s="8" t="s">
        <v>2936</v>
      </c>
      <c r="I153" s="8" t="s">
        <v>3710</v>
      </c>
      <c r="J153" s="8" t="s">
        <v>2984</v>
      </c>
      <c r="K153" t="s">
        <v>3711</v>
      </c>
      <c r="L153" t="s">
        <v>3712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s="8" t="s">
        <v>471</v>
      </c>
      <c r="E154" s="8" t="s">
        <v>4195</v>
      </c>
      <c r="F154" s="8"/>
      <c r="H154" s="8"/>
      <c r="I154" s="8" t="s">
        <v>3713</v>
      </c>
      <c r="J154" s="8" t="s">
        <v>2984</v>
      </c>
      <c r="K154" t="s">
        <v>3714</v>
      </c>
      <c r="L154" t="s">
        <v>3715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s="8" t="s">
        <v>650</v>
      </c>
      <c r="E155" s="8" t="s">
        <v>4195</v>
      </c>
      <c r="F155" s="8" t="s">
        <v>4211</v>
      </c>
      <c r="H155" s="8" t="s">
        <v>4219</v>
      </c>
      <c r="I155" s="8" t="s">
        <v>3716</v>
      </c>
      <c r="J155" s="8" t="s">
        <v>2984</v>
      </c>
      <c r="K155" t="s">
        <v>3717</v>
      </c>
      <c r="L155" t="s">
        <v>3467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s="8" t="s">
        <v>4297</v>
      </c>
      <c r="E156" s="8" t="s">
        <v>55</v>
      </c>
      <c r="F156" s="8"/>
      <c r="H156" s="8"/>
      <c r="I156" s="8" t="s">
        <v>4276</v>
      </c>
      <c r="J156" s="8" t="s">
        <v>2984</v>
      </c>
      <c r="K156" t="s">
        <v>4277</v>
      </c>
      <c r="L156" t="s">
        <v>4278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s="8" t="s">
        <v>289</v>
      </c>
      <c r="E157" s="8" t="s">
        <v>86</v>
      </c>
      <c r="F157" s="8" t="s">
        <v>200</v>
      </c>
      <c r="H157" s="8"/>
      <c r="I157" s="8" t="s">
        <v>4999</v>
      </c>
      <c r="J157" s="8" t="s">
        <v>2984</v>
      </c>
      <c r="K157" t="s">
        <v>5000</v>
      </c>
      <c r="L157" t="s">
        <v>5001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s="8" t="s">
        <v>289</v>
      </c>
      <c r="E158" s="8" t="s">
        <v>86</v>
      </c>
      <c r="F158" s="8" t="s">
        <v>200</v>
      </c>
      <c r="H158" s="8"/>
      <c r="I158" s="8" t="s">
        <v>5002</v>
      </c>
      <c r="J158" s="8" t="s">
        <v>2984</v>
      </c>
      <c r="K158" t="s">
        <v>5003</v>
      </c>
      <c r="L158" t="s">
        <v>5004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s="8" t="s">
        <v>289</v>
      </c>
      <c r="E159" s="8" t="s">
        <v>86</v>
      </c>
      <c r="F159" s="8" t="s">
        <v>200</v>
      </c>
      <c r="H159" s="8"/>
      <c r="I159" s="8" t="s">
        <v>5005</v>
      </c>
      <c r="J159" s="8" t="s">
        <v>2984</v>
      </c>
      <c r="K159" t="s">
        <v>5006</v>
      </c>
      <c r="L159" t="s">
        <v>5007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s="8" t="s">
        <v>1094</v>
      </c>
      <c r="E160" s="8" t="s">
        <v>4247</v>
      </c>
      <c r="F160" s="8" t="s">
        <v>58</v>
      </c>
      <c r="H160" s="8"/>
      <c r="I160" s="8" t="s">
        <v>5008</v>
      </c>
      <c r="J160" s="8" t="s">
        <v>2984</v>
      </c>
      <c r="K160" t="s">
        <v>5009</v>
      </c>
      <c r="L160" t="s">
        <v>5010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s="8" t="s">
        <v>289</v>
      </c>
      <c r="E161" s="8" t="s">
        <v>86</v>
      </c>
      <c r="F161" s="8" t="s">
        <v>200</v>
      </c>
      <c r="H161" s="8"/>
      <c r="I161" s="8" t="s">
        <v>5011</v>
      </c>
      <c r="J161" s="8" t="s">
        <v>2984</v>
      </c>
      <c r="K161" t="s">
        <v>5012</v>
      </c>
      <c r="L161" t="s">
        <v>5013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s="8" t="s">
        <v>1094</v>
      </c>
      <c r="E162" s="8" t="s">
        <v>4247</v>
      </c>
      <c r="F162" s="8" t="s">
        <v>58</v>
      </c>
      <c r="H162" s="8"/>
      <c r="I162" s="8" t="s">
        <v>5014</v>
      </c>
      <c r="J162" s="8" t="s">
        <v>2984</v>
      </c>
      <c r="K162" t="s">
        <v>5015</v>
      </c>
      <c r="L162" t="s">
        <v>5016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s="8" t="s">
        <v>1094</v>
      </c>
      <c r="E163" s="8" t="s">
        <v>531</v>
      </c>
      <c r="F163" s="8" t="s">
        <v>58</v>
      </c>
      <c r="H163" s="8"/>
      <c r="I163" s="8" t="s">
        <v>5017</v>
      </c>
      <c r="J163" s="8" t="s">
        <v>2984</v>
      </c>
      <c r="K163" t="s">
        <v>5018</v>
      </c>
      <c r="L163" t="s">
        <v>5019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s="8" t="s">
        <v>4</v>
      </c>
      <c r="E164" s="8" t="s">
        <v>8</v>
      </c>
      <c r="F164" s="8"/>
      <c r="H164" s="8"/>
      <c r="I164" s="8" t="s">
        <v>5020</v>
      </c>
      <c r="J164" s="8" t="s">
        <v>2984</v>
      </c>
      <c r="K164" t="s">
        <v>5021</v>
      </c>
      <c r="L164" t="s">
        <v>5022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s="8" t="s">
        <v>289</v>
      </c>
      <c r="E165" s="8" t="s">
        <v>86</v>
      </c>
      <c r="F165" s="8" t="s">
        <v>60</v>
      </c>
      <c r="H165" s="8"/>
      <c r="I165" s="8" t="s">
        <v>5023</v>
      </c>
      <c r="J165" s="8" t="s">
        <v>2984</v>
      </c>
      <c r="K165" t="s">
        <v>5024</v>
      </c>
      <c r="L165" t="s">
        <v>5025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s="8" t="s">
        <v>289</v>
      </c>
      <c r="E166" s="8" t="s">
        <v>86</v>
      </c>
      <c r="F166" s="8" t="s">
        <v>60</v>
      </c>
      <c r="H166" s="8"/>
      <c r="I166" s="8" t="s">
        <v>5026</v>
      </c>
      <c r="J166" s="8" t="s">
        <v>2984</v>
      </c>
      <c r="K166" t="s">
        <v>5027</v>
      </c>
      <c r="L166" t="s">
        <v>5028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s="8" t="s">
        <v>289</v>
      </c>
      <c r="E167" s="8" t="s">
        <v>86</v>
      </c>
      <c r="F167" s="8" t="s">
        <v>200</v>
      </c>
      <c r="H167" s="8"/>
      <c r="I167" s="8" t="s">
        <v>5029</v>
      </c>
      <c r="J167" s="8" t="s">
        <v>2984</v>
      </c>
      <c r="K167" t="s">
        <v>5030</v>
      </c>
      <c r="L167" t="s">
        <v>5031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s="8" t="s">
        <v>4</v>
      </c>
      <c r="E168" s="8" t="s">
        <v>8</v>
      </c>
      <c r="F168" s="8"/>
      <c r="H168" s="8"/>
      <c r="I168" s="8" t="s">
        <v>5032</v>
      </c>
      <c r="J168" s="8" t="s">
        <v>2984</v>
      </c>
      <c r="K168" t="s">
        <v>5033</v>
      </c>
      <c r="L168" t="s">
        <v>5034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s="8" t="s">
        <v>289</v>
      </c>
      <c r="E169" s="8" t="s">
        <v>86</v>
      </c>
      <c r="F169" s="8" t="s">
        <v>60</v>
      </c>
      <c r="H169" s="8"/>
      <c r="I169" s="8" t="s">
        <v>5035</v>
      </c>
      <c r="J169" s="8" t="s">
        <v>2984</v>
      </c>
      <c r="K169" t="s">
        <v>5036</v>
      </c>
      <c r="L169" t="s">
        <v>5037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s="8" t="s">
        <v>289</v>
      </c>
      <c r="E170" s="8" t="s">
        <v>86</v>
      </c>
      <c r="F170" s="8" t="s">
        <v>60</v>
      </c>
      <c r="H170" s="8"/>
      <c r="I170" s="8" t="s">
        <v>5038</v>
      </c>
      <c r="J170" s="8" t="s">
        <v>2984</v>
      </c>
      <c r="K170" t="s">
        <v>5039</v>
      </c>
      <c r="L170" t="s">
        <v>5040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s="8" t="s">
        <v>4</v>
      </c>
      <c r="E171" s="8" t="s">
        <v>8</v>
      </c>
      <c r="F171" s="8"/>
      <c r="H171" s="8"/>
      <c r="I171" s="8" t="s">
        <v>5041</v>
      </c>
      <c r="J171" s="8" t="s">
        <v>2984</v>
      </c>
      <c r="K171" t="s">
        <v>5042</v>
      </c>
      <c r="L171" t="s">
        <v>5043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s="8" t="s">
        <v>1094</v>
      </c>
      <c r="E172" s="8" t="s">
        <v>4247</v>
      </c>
      <c r="F172" s="8" t="s">
        <v>60</v>
      </c>
      <c r="H172" s="8"/>
      <c r="I172" s="8" t="s">
        <v>5116</v>
      </c>
      <c r="J172" s="8" t="s">
        <v>2984</v>
      </c>
      <c r="K172" t="s">
        <v>5117</v>
      </c>
      <c r="L172" t="s">
        <v>5118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s="8" t="s">
        <v>1094</v>
      </c>
      <c r="E173" s="8" t="s">
        <v>4247</v>
      </c>
      <c r="F173" s="8" t="s">
        <v>200</v>
      </c>
      <c r="H173" s="8"/>
      <c r="I173" s="8" t="s">
        <v>5119</v>
      </c>
      <c r="J173" s="8" t="s">
        <v>2984</v>
      </c>
      <c r="K173" t="s">
        <v>5120</v>
      </c>
      <c r="L173" t="s">
        <v>5121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s="8" t="s">
        <v>1094</v>
      </c>
      <c r="E174" s="8" t="s">
        <v>4247</v>
      </c>
      <c r="F174" s="8" t="s">
        <v>200</v>
      </c>
      <c r="H174" s="8"/>
      <c r="I174" s="8" t="s">
        <v>5122</v>
      </c>
      <c r="J174" s="8" t="s">
        <v>2984</v>
      </c>
      <c r="K174" t="s">
        <v>5123</v>
      </c>
      <c r="L174" t="s">
        <v>5124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s="8" t="s">
        <v>4</v>
      </c>
      <c r="E175" s="8" t="s">
        <v>8</v>
      </c>
      <c r="F175" s="8"/>
      <c r="H175" s="8" t="s">
        <v>2936</v>
      </c>
      <c r="I175" s="8" t="s">
        <v>5125</v>
      </c>
      <c r="J175" s="8" t="s">
        <v>2984</v>
      </c>
      <c r="K175" t="s">
        <v>5126</v>
      </c>
      <c r="L175" t="s">
        <v>5127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s="8" t="s">
        <v>4</v>
      </c>
      <c r="E176" s="8" t="s">
        <v>8</v>
      </c>
      <c r="F176" s="8"/>
      <c r="H176" s="8" t="s">
        <v>2936</v>
      </c>
      <c r="I176" s="8" t="s">
        <v>5128</v>
      </c>
      <c r="J176" s="8" t="s">
        <v>2984</v>
      </c>
      <c r="K176" t="s">
        <v>5129</v>
      </c>
      <c r="L176" t="s">
        <v>5130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s="8" t="s">
        <v>4</v>
      </c>
      <c r="E177" s="8" t="s">
        <v>8</v>
      </c>
      <c r="F177" s="8"/>
      <c r="H177" s="8" t="s">
        <v>2936</v>
      </c>
      <c r="I177" s="8" t="s">
        <v>5131</v>
      </c>
      <c r="J177" s="8" t="s">
        <v>2984</v>
      </c>
      <c r="K177" t="s">
        <v>5132</v>
      </c>
      <c r="L177" t="s">
        <v>5133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s="8" t="s">
        <v>4</v>
      </c>
      <c r="E178" s="8" t="s">
        <v>8</v>
      </c>
      <c r="F178" s="8"/>
      <c r="H178" s="8" t="s">
        <v>2936</v>
      </c>
      <c r="I178" s="8" t="s">
        <v>5044</v>
      </c>
      <c r="J178" s="8" t="s">
        <v>2984</v>
      </c>
      <c r="K178" t="s">
        <v>5045</v>
      </c>
      <c r="L178" t="s">
        <v>5046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s="8" t="s">
        <v>4</v>
      </c>
      <c r="E179" s="8" t="s">
        <v>8</v>
      </c>
      <c r="F179" s="8"/>
      <c r="H179" s="8" t="s">
        <v>2936</v>
      </c>
      <c r="I179" s="8" t="s">
        <v>5047</v>
      </c>
      <c r="J179" s="8" t="s">
        <v>2984</v>
      </c>
      <c r="K179" t="s">
        <v>5048</v>
      </c>
      <c r="L179" t="s">
        <v>5049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s="8" t="s">
        <v>4</v>
      </c>
      <c r="E180" s="8" t="s">
        <v>8</v>
      </c>
      <c r="F180" s="8"/>
      <c r="H180" s="8" t="s">
        <v>2936</v>
      </c>
      <c r="I180" s="8" t="s">
        <v>5050</v>
      </c>
      <c r="J180" s="8" t="s">
        <v>2984</v>
      </c>
      <c r="K180" t="s">
        <v>5051</v>
      </c>
      <c r="L180" t="s">
        <v>5052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s="8" t="s">
        <v>289</v>
      </c>
      <c r="E181" s="8" t="s">
        <v>86</v>
      </c>
      <c r="F181" s="8" t="s">
        <v>200</v>
      </c>
      <c r="H181" s="8"/>
      <c r="I181" s="8" t="s">
        <v>5053</v>
      </c>
      <c r="J181" s="8" t="s">
        <v>2984</v>
      </c>
      <c r="K181" t="s">
        <v>5054</v>
      </c>
      <c r="L181" t="s">
        <v>5055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s="8" t="s">
        <v>289</v>
      </c>
      <c r="E182" s="8" t="s">
        <v>86</v>
      </c>
      <c r="F182" s="8" t="s">
        <v>200</v>
      </c>
      <c r="H182" s="8"/>
      <c r="I182" s="8" t="s">
        <v>5056</v>
      </c>
      <c r="J182" s="8" t="s">
        <v>2984</v>
      </c>
      <c r="K182" t="s">
        <v>5057</v>
      </c>
      <c r="L182" t="s">
        <v>5058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s="8" t="s">
        <v>289</v>
      </c>
      <c r="E183" s="8" t="s">
        <v>86</v>
      </c>
      <c r="F183" s="8" t="s">
        <v>200</v>
      </c>
      <c r="H183" s="8"/>
      <c r="I183" s="8" t="s">
        <v>5059</v>
      </c>
      <c r="J183" s="8" t="s">
        <v>2984</v>
      </c>
      <c r="K183" t="s">
        <v>5060</v>
      </c>
      <c r="L183" t="s">
        <v>5061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s="8" t="s">
        <v>289</v>
      </c>
      <c r="E184" s="8" t="s">
        <v>86</v>
      </c>
      <c r="F184" s="8" t="s">
        <v>200</v>
      </c>
      <c r="H184" s="8"/>
      <c r="I184" s="8" t="s">
        <v>5062</v>
      </c>
      <c r="J184" s="8" t="s">
        <v>2984</v>
      </c>
      <c r="K184" t="s">
        <v>5063</v>
      </c>
      <c r="L184" t="s">
        <v>5064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s="8" t="s">
        <v>289</v>
      </c>
      <c r="E185" s="8" t="s">
        <v>86</v>
      </c>
      <c r="F185" s="8" t="s">
        <v>200</v>
      </c>
      <c r="H185" s="8"/>
      <c r="I185" s="8" t="s">
        <v>5065</v>
      </c>
      <c r="J185" s="8" t="s">
        <v>2984</v>
      </c>
      <c r="K185" t="s">
        <v>5066</v>
      </c>
      <c r="L185" t="s">
        <v>5067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s="8" t="s">
        <v>5134</v>
      </c>
      <c r="E186" s="8"/>
      <c r="F186" s="8"/>
      <c r="H186" s="8"/>
      <c r="I186" s="8" t="s">
        <v>5068</v>
      </c>
      <c r="J186" s="8" t="s">
        <v>2984</v>
      </c>
      <c r="K186" t="s">
        <v>5069</v>
      </c>
      <c r="L186" t="s">
        <v>5070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s="8" t="s">
        <v>2004</v>
      </c>
      <c r="E187" s="8"/>
      <c r="F187" s="8"/>
      <c r="H187" s="8"/>
      <c r="I187" s="8" t="s">
        <v>5071</v>
      </c>
      <c r="J187" s="8" t="s">
        <v>2984</v>
      </c>
      <c r="K187" t="s">
        <v>5072</v>
      </c>
      <c r="L187" t="s">
        <v>5073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s="8" t="s">
        <v>2004</v>
      </c>
      <c r="E188" s="8"/>
      <c r="F188" s="8"/>
      <c r="H188" s="8"/>
      <c r="I188" s="8" t="s">
        <v>5229</v>
      </c>
      <c r="J188" s="8" t="s">
        <v>2984</v>
      </c>
      <c r="K188" t="s">
        <v>5230</v>
      </c>
      <c r="L188" t="s">
        <v>5231</v>
      </c>
      <c r="M188" s="3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2" t="s">
        <v>13</v>
      </c>
      <c r="B189" s="4">
        <v>45999</v>
      </c>
      <c r="C189" s="5">
        <v>0.51755787037037038</v>
      </c>
      <c r="D189" s="8" t="s">
        <v>4</v>
      </c>
      <c r="E189" s="8" t="s">
        <v>8</v>
      </c>
      <c r="F189" s="8"/>
      <c r="H189" s="8"/>
      <c r="I189" s="8" t="s">
        <v>5316</v>
      </c>
      <c r="J189" s="8" t="s">
        <v>2984</v>
      </c>
      <c r="K189" t="s">
        <v>5317</v>
      </c>
      <c r="L189" t="s">
        <v>5318</v>
      </c>
      <c r="M189" s="3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2" t="s">
        <v>13</v>
      </c>
      <c r="B190" s="4">
        <v>45999</v>
      </c>
      <c r="C190" s="5">
        <v>0.63056712962962957</v>
      </c>
      <c r="D190" s="8" t="s">
        <v>289</v>
      </c>
      <c r="E190" s="8" t="s">
        <v>86</v>
      </c>
      <c r="F190" s="8" t="s">
        <v>200</v>
      </c>
      <c r="H190" s="8"/>
      <c r="I190" s="8" t="s">
        <v>5319</v>
      </c>
      <c r="J190" s="8" t="s">
        <v>2984</v>
      </c>
      <c r="K190" t="s">
        <v>5320</v>
      </c>
      <c r="L190" t="s">
        <v>5321</v>
      </c>
      <c r="M190" s="3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2" t="s">
        <v>13</v>
      </c>
      <c r="B191" s="4">
        <v>45999</v>
      </c>
      <c r="C191" s="5">
        <v>0.63185185185185189</v>
      </c>
      <c r="D191" s="8" t="s">
        <v>289</v>
      </c>
      <c r="E191" s="8" t="s">
        <v>86</v>
      </c>
      <c r="F191" s="8" t="s">
        <v>200</v>
      </c>
      <c r="H191" s="8"/>
      <c r="I191" s="8" t="s">
        <v>5322</v>
      </c>
      <c r="J191" s="8" t="s">
        <v>2984</v>
      </c>
      <c r="K191" t="s">
        <v>5323</v>
      </c>
      <c r="L191" t="s">
        <v>5324</v>
      </c>
      <c r="M191" s="3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2" t="s">
        <v>14</v>
      </c>
      <c r="B192" s="4">
        <v>46000</v>
      </c>
      <c r="C192" s="5">
        <v>0.73812500000000003</v>
      </c>
      <c r="D192" s="8" t="s">
        <v>2004</v>
      </c>
      <c r="E192" s="8" t="s">
        <v>8</v>
      </c>
      <c r="F192" s="8"/>
      <c r="H192" s="8"/>
      <c r="I192" s="8" t="s">
        <v>5548</v>
      </c>
      <c r="J192" s="8" t="s">
        <v>2984</v>
      </c>
      <c r="K192" t="s">
        <v>5549</v>
      </c>
      <c r="L192" t="s">
        <v>5550</v>
      </c>
      <c r="M192" s="3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2" t="s">
        <v>15</v>
      </c>
      <c r="B193" s="4">
        <v>46001</v>
      </c>
      <c r="C193" s="5">
        <v>0.68521990740740746</v>
      </c>
      <c r="D193" s="8" t="s">
        <v>2004</v>
      </c>
      <c r="E193" s="8" t="s">
        <v>8</v>
      </c>
      <c r="F193" s="8"/>
      <c r="H193" s="8"/>
      <c r="I193" s="8" t="s">
        <v>5551</v>
      </c>
      <c r="J193" s="8" t="s">
        <v>2984</v>
      </c>
      <c r="K193" t="s">
        <v>5552</v>
      </c>
      <c r="L193" t="s">
        <v>5553</v>
      </c>
      <c r="M193" s="3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2" t="s">
        <v>16</v>
      </c>
      <c r="B194" s="4">
        <v>46002</v>
      </c>
      <c r="C194" s="5">
        <v>0.60978009259259258</v>
      </c>
      <c r="D194" s="8" t="s">
        <v>2004</v>
      </c>
      <c r="E194" s="8" t="s">
        <v>8</v>
      </c>
      <c r="F194" s="8"/>
      <c r="H194" s="8"/>
      <c r="I194" s="8" t="s">
        <v>5554</v>
      </c>
      <c r="J194" s="8" t="s">
        <v>2984</v>
      </c>
      <c r="K194" t="s">
        <v>5555</v>
      </c>
      <c r="L194" t="s">
        <v>5556</v>
      </c>
      <c r="M194" s="3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2" t="s">
        <v>17</v>
      </c>
      <c r="B195" s="4">
        <v>46003</v>
      </c>
      <c r="C195" s="5">
        <v>0.73907407407407411</v>
      </c>
      <c r="D195" s="8" t="s">
        <v>4212</v>
      </c>
      <c r="E195" s="8"/>
      <c r="F195" s="8"/>
      <c r="H195" s="8"/>
      <c r="I195" s="8" t="s">
        <v>6330</v>
      </c>
      <c r="J195" s="8" t="s">
        <v>2984</v>
      </c>
      <c r="K195" t="s">
        <v>6331</v>
      </c>
      <c r="L195" t="s">
        <v>6332</v>
      </c>
      <c r="M195" s="3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2" t="s">
        <v>18</v>
      </c>
      <c r="B196" s="4">
        <v>46004</v>
      </c>
      <c r="C196" s="5">
        <v>0.73907407407407411</v>
      </c>
      <c r="D196" s="8" t="s">
        <v>4212</v>
      </c>
      <c r="E196" s="8"/>
      <c r="F196" s="8"/>
      <c r="H196" s="8"/>
      <c r="I196" s="8" t="s">
        <v>6333</v>
      </c>
      <c r="J196" s="8" t="s">
        <v>2984</v>
      </c>
      <c r="K196" t="s">
        <v>6334</v>
      </c>
      <c r="L196" t="s">
        <v>6335</v>
      </c>
      <c r="M196" s="3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2" t="s">
        <v>22</v>
      </c>
      <c r="B197" s="4">
        <v>46005</v>
      </c>
      <c r="C197" s="5">
        <v>0.73907407407407411</v>
      </c>
      <c r="D197" s="8" t="s">
        <v>4212</v>
      </c>
      <c r="E197" s="8"/>
      <c r="F197" s="8"/>
      <c r="H197" s="8"/>
      <c r="I197" s="8" t="s">
        <v>6336</v>
      </c>
      <c r="J197" s="8" t="s">
        <v>2984</v>
      </c>
      <c r="K197" t="s">
        <v>6337</v>
      </c>
      <c r="L197" t="s">
        <v>6338</v>
      </c>
      <c r="M197" s="3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2" t="s">
        <v>13</v>
      </c>
      <c r="B198" s="4">
        <v>46006</v>
      </c>
      <c r="C198" s="5">
        <v>0.73907407407407411</v>
      </c>
      <c r="D198" s="8" t="s">
        <v>2004</v>
      </c>
      <c r="E198" s="8" t="s">
        <v>8</v>
      </c>
      <c r="F198" s="8"/>
      <c r="H198" s="8"/>
      <c r="I198" s="8" t="s">
        <v>6320</v>
      </c>
      <c r="J198" s="8" t="s">
        <v>2984</v>
      </c>
      <c r="K198" t="s">
        <v>6321</v>
      </c>
      <c r="L198" t="s">
        <v>6322</v>
      </c>
      <c r="M198" s="3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2" t="s">
        <v>14</v>
      </c>
      <c r="B199" s="4">
        <v>46007</v>
      </c>
      <c r="C199" s="5">
        <v>0.70337962962962963</v>
      </c>
      <c r="D199" s="8" t="s">
        <v>2004</v>
      </c>
      <c r="E199" s="8" t="s">
        <v>8</v>
      </c>
      <c r="F199" s="8"/>
      <c r="H199" s="8"/>
      <c r="I199" s="8" t="s">
        <v>6560</v>
      </c>
      <c r="J199" s="8" t="s">
        <v>2984</v>
      </c>
      <c r="K199" t="s">
        <v>6561</v>
      </c>
      <c r="L199" t="s">
        <v>6562</v>
      </c>
      <c r="M199" s="3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2" t="s">
        <v>15</v>
      </c>
      <c r="B200" s="4">
        <v>46008</v>
      </c>
      <c r="C200" s="5">
        <v>0.65531249999999996</v>
      </c>
      <c r="D200" s="8" t="s">
        <v>4</v>
      </c>
      <c r="E200" s="8" t="s">
        <v>6868</v>
      </c>
      <c r="F200" s="8"/>
      <c r="H200" s="8"/>
      <c r="I200" s="8" t="s">
        <v>6875</v>
      </c>
      <c r="J200" s="8" t="s">
        <v>2984</v>
      </c>
      <c r="K200" t="s">
        <v>6876</v>
      </c>
      <c r="L200" t="s">
        <v>6877</v>
      </c>
      <c r="M200" s="3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2" t="s">
        <v>16</v>
      </c>
      <c r="B201" s="4">
        <v>46009</v>
      </c>
      <c r="C201" s="5">
        <v>0.56559027777777782</v>
      </c>
      <c r="D201" s="8" t="s">
        <v>2004</v>
      </c>
      <c r="E201" s="8" t="s">
        <v>8</v>
      </c>
      <c r="F201" s="8"/>
      <c r="H201" s="8"/>
      <c r="I201" s="8" t="s">
        <v>6926</v>
      </c>
      <c r="J201" s="8" t="s">
        <v>2984</v>
      </c>
      <c r="K201" t="s">
        <v>6927</v>
      </c>
      <c r="L201" t="s">
        <v>6928</v>
      </c>
      <c r="M201" s="3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2" t="s">
        <v>17</v>
      </c>
      <c r="B202" s="4">
        <v>46010</v>
      </c>
      <c r="C202" s="5">
        <v>0.73245370370370366</v>
      </c>
      <c r="D202" s="8" t="s">
        <v>4212</v>
      </c>
      <c r="E202" s="8"/>
      <c r="F202" s="8"/>
      <c r="H202" s="8"/>
      <c r="I202" s="8" t="s">
        <v>7160</v>
      </c>
      <c r="J202" s="8" t="s">
        <v>2984</v>
      </c>
      <c r="K202" t="s">
        <v>7161</v>
      </c>
      <c r="L202" t="s">
        <v>7162</v>
      </c>
      <c r="M202" s="3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2" t="s">
        <v>18</v>
      </c>
      <c r="B203" s="4">
        <v>46011</v>
      </c>
      <c r="C203" s="5">
        <v>0.73245370370370366</v>
      </c>
      <c r="D203" s="8" t="s">
        <v>2004</v>
      </c>
      <c r="E203" s="8" t="s">
        <v>8</v>
      </c>
      <c r="F203" s="8"/>
      <c r="H203" s="8"/>
      <c r="I203" s="8" t="s">
        <v>6929</v>
      </c>
      <c r="J203" s="8" t="s">
        <v>2984</v>
      </c>
      <c r="K203" t="s">
        <v>6930</v>
      </c>
      <c r="L203" t="s">
        <v>6931</v>
      </c>
      <c r="M203" s="3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2" t="s">
        <v>22</v>
      </c>
      <c r="B204" s="4">
        <v>46012</v>
      </c>
      <c r="C204" s="5">
        <v>0.73245370370370366</v>
      </c>
      <c r="D204" s="8" t="s">
        <v>2004</v>
      </c>
      <c r="E204" s="8" t="s">
        <v>8</v>
      </c>
      <c r="F204" s="8"/>
      <c r="H204" s="8"/>
      <c r="I204" s="8" t="s">
        <v>7214</v>
      </c>
      <c r="J204" s="8" t="s">
        <v>2984</v>
      </c>
      <c r="K204" t="s">
        <v>7215</v>
      </c>
      <c r="L204" t="s">
        <v>7216</v>
      </c>
      <c r="M204" s="3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2" t="s">
        <v>13</v>
      </c>
      <c r="B205" s="4">
        <v>46013</v>
      </c>
      <c r="C205" s="5">
        <v>0.67813657407407413</v>
      </c>
      <c r="D205" s="8" t="s">
        <v>2004</v>
      </c>
      <c r="E205" s="8" t="s">
        <v>8</v>
      </c>
      <c r="F205" s="8"/>
      <c r="H205" s="8"/>
      <c r="I205" s="8" t="s">
        <v>7411</v>
      </c>
      <c r="J205" s="8" t="s">
        <v>2984</v>
      </c>
      <c r="K205" t="s">
        <v>7412</v>
      </c>
      <c r="L205" t="s">
        <v>7413</v>
      </c>
      <c r="M205" s="3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2" t="s">
        <v>14</v>
      </c>
      <c r="B206" s="4">
        <v>46014</v>
      </c>
      <c r="C206" s="5">
        <v>0.41690972222222222</v>
      </c>
      <c r="D206" s="8" t="s">
        <v>2004</v>
      </c>
      <c r="E206" s="8" t="s">
        <v>8</v>
      </c>
      <c r="F206" s="8"/>
      <c r="H206" s="8"/>
      <c r="I206" s="8" t="s">
        <v>7414</v>
      </c>
      <c r="J206" s="8" t="s">
        <v>2984</v>
      </c>
      <c r="K206" t="s">
        <v>7415</v>
      </c>
      <c r="L206" t="s">
        <v>7416</v>
      </c>
      <c r="M206" s="3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2" t="s">
        <v>15</v>
      </c>
      <c r="B207" s="4">
        <v>46015</v>
      </c>
      <c r="C207" s="5">
        <v>0.73089120370370375</v>
      </c>
      <c r="D207" s="8" t="s">
        <v>2004</v>
      </c>
      <c r="E207" s="8" t="s">
        <v>8</v>
      </c>
      <c r="F207" s="8"/>
      <c r="H207" s="8"/>
      <c r="I207" s="8" t="s">
        <v>7700</v>
      </c>
      <c r="J207" s="8" t="s">
        <v>2984</v>
      </c>
      <c r="K207" t="s">
        <v>7701</v>
      </c>
      <c r="L207" t="s">
        <v>7702</v>
      </c>
      <c r="M207" s="3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2" t="s">
        <v>16</v>
      </c>
      <c r="B208" s="4">
        <v>46016</v>
      </c>
      <c r="C208" s="5">
        <v>0.74277777777777776</v>
      </c>
      <c r="D208" s="8" t="s">
        <v>2004</v>
      </c>
      <c r="E208" s="8" t="s">
        <v>8</v>
      </c>
      <c r="F208" s="8"/>
      <c r="H208" s="8"/>
      <c r="I208" s="8" t="s">
        <v>7703</v>
      </c>
      <c r="J208" s="8" t="s">
        <v>2984</v>
      </c>
      <c r="K208" t="s">
        <v>7704</v>
      </c>
      <c r="L208" t="s">
        <v>7705</v>
      </c>
      <c r="M208" s="3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2" t="s">
        <v>17</v>
      </c>
      <c r="B209" s="4">
        <v>46017</v>
      </c>
      <c r="C209" s="5">
        <v>0.74277777777777776</v>
      </c>
      <c r="D209" s="8" t="s">
        <v>2004</v>
      </c>
      <c r="E209" s="8" t="s">
        <v>8</v>
      </c>
      <c r="F209" s="8"/>
      <c r="H209" s="8"/>
      <c r="I209" s="8" t="s">
        <v>7867</v>
      </c>
      <c r="J209" s="8" t="s">
        <v>2984</v>
      </c>
      <c r="K209" t="s">
        <v>7868</v>
      </c>
      <c r="L209" t="s">
        <v>7869</v>
      </c>
      <c r="M209" s="3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2" t="s">
        <v>18</v>
      </c>
      <c r="B210" s="4">
        <v>46018</v>
      </c>
      <c r="C210" s="5">
        <v>0.74277777777777776</v>
      </c>
      <c r="D210" s="8" t="s">
        <v>2004</v>
      </c>
      <c r="E210" s="8" t="s">
        <v>8</v>
      </c>
      <c r="F210" s="8"/>
      <c r="H210" s="8"/>
      <c r="I210" s="8" t="s">
        <v>8046</v>
      </c>
      <c r="J210" s="8" t="s">
        <v>2984</v>
      </c>
      <c r="K210" t="s">
        <v>8047</v>
      </c>
      <c r="L210" t="s">
        <v>8048</v>
      </c>
      <c r="M210" s="3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2" t="s">
        <v>22</v>
      </c>
      <c r="B211" s="4">
        <v>46019</v>
      </c>
      <c r="C211" s="5">
        <v>0.74277777777777776</v>
      </c>
      <c r="D211" s="8" t="s">
        <v>2004</v>
      </c>
      <c r="E211" s="8" t="s">
        <v>8</v>
      </c>
      <c r="F211" s="8"/>
      <c r="H211" s="8"/>
      <c r="I211" s="8" t="s">
        <v>8049</v>
      </c>
      <c r="J211" s="8" t="s">
        <v>2984</v>
      </c>
      <c r="K211" t="s">
        <v>8050</v>
      </c>
      <c r="L211" t="s">
        <v>8051</v>
      </c>
      <c r="M211" s="3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2" t="s">
        <v>13</v>
      </c>
      <c r="B212" s="4">
        <v>46020</v>
      </c>
      <c r="C212" s="5">
        <v>0.74277777777777776</v>
      </c>
      <c r="D212" s="8" t="s">
        <v>2004</v>
      </c>
      <c r="E212" s="8" t="s">
        <v>8</v>
      </c>
      <c r="F212" s="8"/>
      <c r="H212" s="8"/>
      <c r="I212" s="8" t="s">
        <v>8336</v>
      </c>
      <c r="J212" s="8" t="s">
        <v>2984</v>
      </c>
      <c r="K212" t="s">
        <v>8337</v>
      </c>
      <c r="L212" t="s">
        <v>8338</v>
      </c>
      <c r="M212" s="3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2" t="s">
        <v>14</v>
      </c>
      <c r="B213" s="4">
        <v>46021</v>
      </c>
      <c r="C213" s="5">
        <v>0.74277777777777776</v>
      </c>
      <c r="D213" s="8" t="s">
        <v>2004</v>
      </c>
      <c r="E213" s="8" t="s">
        <v>8</v>
      </c>
      <c r="F213" s="8"/>
      <c r="H213" s="8"/>
      <c r="I213" s="8" t="s">
        <v>8339</v>
      </c>
      <c r="J213" s="8" t="s">
        <v>2984</v>
      </c>
      <c r="K213" t="s">
        <v>8340</v>
      </c>
      <c r="L213" t="s">
        <v>8341</v>
      </c>
      <c r="M213" s="3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2" t="s">
        <v>15</v>
      </c>
      <c r="B214" s="4">
        <v>46022</v>
      </c>
      <c r="C214" s="5">
        <v>0.74277777777777776</v>
      </c>
      <c r="D214" s="8" t="s">
        <v>2004</v>
      </c>
      <c r="E214" s="8" t="s">
        <v>8</v>
      </c>
      <c r="F214" s="8"/>
      <c r="H214" s="8"/>
      <c r="I214" s="8" t="s">
        <v>8342</v>
      </c>
      <c r="J214" s="8" t="s">
        <v>2984</v>
      </c>
      <c r="K214" t="s">
        <v>8343</v>
      </c>
      <c r="L214" t="s">
        <v>8344</v>
      </c>
      <c r="M214" s="3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2" t="s">
        <v>16</v>
      </c>
      <c r="B215" s="4">
        <v>46023</v>
      </c>
      <c r="C215" s="5">
        <v>0.74277777777777776</v>
      </c>
      <c r="D215" s="8" t="s">
        <v>2004</v>
      </c>
      <c r="E215" s="8" t="s">
        <v>8</v>
      </c>
      <c r="F215" s="8"/>
      <c r="H215" s="8"/>
      <c r="I215" s="8" t="s">
        <v>8346</v>
      </c>
      <c r="J215" s="8" t="s">
        <v>2984</v>
      </c>
      <c r="K215" t="s">
        <v>8347</v>
      </c>
      <c r="L215" t="s">
        <v>8345</v>
      </c>
      <c r="M215" s="3" t="str">
        <f>HYPERLINK(склад2въезд13192021[[#This Row],[RelativePath]])</f>
        <v>7 Площадка 2 бетонщики\K08156189_18_20260101T174936Z.jpg</v>
      </c>
    </row>
    <row r="216" spans="1:13" x14ac:dyDescent="0.25">
      <c r="A216" s="2" t="s">
        <v>16</v>
      </c>
      <c r="B216" s="4">
        <v>46023</v>
      </c>
      <c r="C216" s="5">
        <v>0.74277777777777776</v>
      </c>
      <c r="D216" s="8" t="s">
        <v>2004</v>
      </c>
      <c r="E216" s="8" t="s">
        <v>8</v>
      </c>
      <c r="F216" s="8"/>
      <c r="H216" s="8"/>
      <c r="I216" s="8" t="s">
        <v>8348</v>
      </c>
      <c r="J216" s="8" t="s">
        <v>2984</v>
      </c>
      <c r="K216" t="s">
        <v>8349</v>
      </c>
      <c r="L216" t="s">
        <v>8345</v>
      </c>
      <c r="M216" s="3" t="str">
        <f>HYPERLINK(склад2въезд13192021[[#This Row],[RelativePath]])</f>
        <v>7 Площадка 2 бетонщики\K09156189_18_20260101T174936Z.jpg</v>
      </c>
    </row>
    <row r="217" spans="1:13" x14ac:dyDescent="0.25">
      <c r="A217" s="2" t="s">
        <v>17</v>
      </c>
      <c r="B217" s="4">
        <v>46024</v>
      </c>
      <c r="C217" s="5">
        <v>0.67616898148148152</v>
      </c>
      <c r="D217" s="8" t="s">
        <v>2004</v>
      </c>
      <c r="E217" s="8" t="s">
        <v>8</v>
      </c>
      <c r="F217" s="8"/>
      <c r="H217" s="8"/>
      <c r="I217" s="8" t="s">
        <v>8474</v>
      </c>
      <c r="J217" s="8" t="s">
        <v>2984</v>
      </c>
      <c r="K217" t="s">
        <v>8475</v>
      </c>
      <c r="L217" t="s">
        <v>8476</v>
      </c>
      <c r="M217" s="3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2" t="s">
        <v>18</v>
      </c>
      <c r="B218" s="4">
        <v>46025</v>
      </c>
      <c r="C218" s="5">
        <v>0.73359953703703706</v>
      </c>
      <c r="D218" s="8" t="s">
        <v>2004</v>
      </c>
      <c r="E218" s="8" t="s">
        <v>8</v>
      </c>
      <c r="F218" s="8"/>
      <c r="H218" s="8"/>
      <c r="I218" s="8" t="s">
        <v>8477</v>
      </c>
      <c r="J218" s="8" t="s">
        <v>2984</v>
      </c>
      <c r="K218" t="s">
        <v>8478</v>
      </c>
      <c r="L218" t="s">
        <v>8479</v>
      </c>
      <c r="M218" s="3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2" t="s">
        <v>22</v>
      </c>
      <c r="B219" s="4">
        <v>46026</v>
      </c>
      <c r="C219" s="5">
        <v>0.69012731481481482</v>
      </c>
      <c r="D219" s="8" t="s">
        <v>2004</v>
      </c>
      <c r="E219" s="8" t="s">
        <v>8</v>
      </c>
      <c r="F219" s="8"/>
      <c r="H219" s="8"/>
      <c r="I219" s="8" t="s">
        <v>8480</v>
      </c>
      <c r="J219" s="8" t="s">
        <v>2984</v>
      </c>
      <c r="K219" t="s">
        <v>8481</v>
      </c>
      <c r="L219" t="s">
        <v>8482</v>
      </c>
      <c r="M219" s="3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2" t="s">
        <v>13</v>
      </c>
      <c r="B220" s="4">
        <v>46027</v>
      </c>
      <c r="C220" s="5">
        <v>0.65591435185185187</v>
      </c>
      <c r="D220" s="8" t="s">
        <v>2004</v>
      </c>
      <c r="E220" s="8" t="s">
        <v>8</v>
      </c>
      <c r="F220" s="8"/>
      <c r="H220" s="8"/>
      <c r="I220" s="8" t="s">
        <v>8679</v>
      </c>
      <c r="J220" s="8" t="s">
        <v>2984</v>
      </c>
      <c r="K220" t="s">
        <v>8680</v>
      </c>
      <c r="L220" t="s">
        <v>8681</v>
      </c>
      <c r="M220" s="3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2" t="s">
        <v>14</v>
      </c>
      <c r="B221" s="4">
        <v>46028</v>
      </c>
      <c r="C221" s="5">
        <v>0.65072916666666669</v>
      </c>
      <c r="D221" s="8" t="s">
        <v>2004</v>
      </c>
      <c r="E221" s="8" t="s">
        <v>8</v>
      </c>
      <c r="F221" s="8"/>
      <c r="H221" s="8"/>
      <c r="I221" s="8" t="s">
        <v>8806</v>
      </c>
      <c r="J221" s="8" t="s">
        <v>2984</v>
      </c>
      <c r="K221" t="s">
        <v>8807</v>
      </c>
      <c r="L221" t="s">
        <v>8808</v>
      </c>
      <c r="M221" s="3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2" t="s">
        <v>15</v>
      </c>
      <c r="B222" s="4">
        <v>46029</v>
      </c>
      <c r="C222" s="5">
        <v>0.75291666666666668</v>
      </c>
      <c r="D222" s="8" t="s">
        <v>2004</v>
      </c>
      <c r="E222" s="8" t="s">
        <v>8</v>
      </c>
      <c r="F222" s="8"/>
      <c r="H222" s="8"/>
      <c r="I222" s="8" t="s">
        <v>8809</v>
      </c>
      <c r="J222" s="8" t="s">
        <v>2984</v>
      </c>
      <c r="K222" t="s">
        <v>8810</v>
      </c>
      <c r="L222" t="s">
        <v>8811</v>
      </c>
      <c r="M222" s="3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2" t="s">
        <v>16</v>
      </c>
      <c r="B223" s="4">
        <v>46030</v>
      </c>
      <c r="C223" s="5">
        <v>0.75424768518518515</v>
      </c>
      <c r="D223" s="8" t="s">
        <v>2004</v>
      </c>
      <c r="E223" s="8" t="s">
        <v>8</v>
      </c>
      <c r="F223" s="8"/>
      <c r="H223" s="8"/>
      <c r="I223" s="8" t="s">
        <v>8812</v>
      </c>
      <c r="J223" s="8" t="s">
        <v>2984</v>
      </c>
      <c r="K223" t="s">
        <v>8813</v>
      </c>
      <c r="L223" t="s">
        <v>8814</v>
      </c>
      <c r="M223" s="3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2" t="s">
        <v>17</v>
      </c>
      <c r="B224" s="4">
        <v>46031</v>
      </c>
      <c r="C224" s="5">
        <v>0.75417824074074069</v>
      </c>
      <c r="D224" s="8" t="s">
        <v>2004</v>
      </c>
      <c r="E224" s="8" t="s">
        <v>8</v>
      </c>
      <c r="F224" s="8"/>
      <c r="H224" s="8"/>
      <c r="I224" s="8" t="s">
        <v>8815</v>
      </c>
      <c r="J224" s="8" t="s">
        <v>2984</v>
      </c>
      <c r="K224" t="s">
        <v>8816</v>
      </c>
      <c r="L224" t="s">
        <v>8817</v>
      </c>
      <c r="M224" s="3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2" t="s">
        <v>18</v>
      </c>
      <c r="B225" s="4">
        <v>46032</v>
      </c>
      <c r="C225" s="5">
        <v>0.60555555555555551</v>
      </c>
      <c r="D225" s="8" t="s">
        <v>2004</v>
      </c>
      <c r="E225" s="8" t="s">
        <v>8</v>
      </c>
      <c r="F225" s="8"/>
      <c r="H225" s="8"/>
      <c r="I225" s="8" t="s">
        <v>8818</v>
      </c>
      <c r="J225" s="8" t="s">
        <v>2984</v>
      </c>
      <c r="K225" t="s">
        <v>8819</v>
      </c>
      <c r="L225" t="s">
        <v>8820</v>
      </c>
      <c r="M225" s="3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2" t="s">
        <v>22</v>
      </c>
      <c r="B226" s="4">
        <v>46033</v>
      </c>
      <c r="C226" s="5">
        <v>0.75715277777777779</v>
      </c>
      <c r="D226" s="8" t="s">
        <v>2004</v>
      </c>
      <c r="E226" s="8" t="s">
        <v>8</v>
      </c>
      <c r="F226" s="8"/>
      <c r="H226" s="8"/>
      <c r="I226" s="8" t="s">
        <v>8821</v>
      </c>
      <c r="J226" s="8" t="s">
        <v>2984</v>
      </c>
      <c r="K226" t="s">
        <v>8822</v>
      </c>
      <c r="L226" t="s">
        <v>8823</v>
      </c>
      <c r="M226" s="3" t="str">
        <f>HYPERLINK(склад2въезд13192021[[#This Row],[RelativePath]])</f>
        <v>7 Площадка 2 бетонщики\K07156189_18_20260111T181018Z.jpg</v>
      </c>
    </row>
  </sheetData>
  <conditionalFormatting sqref="E227:E240 D1:D197 D227:D1048576 G2:H226 D2:E226">
    <cfRule type="containsText" dxfId="649" priority="18" operator="containsText" text="Выезд с территории">
      <formula>NOT(ISERROR(SEARCH("Выезд с территории",D1)))</formula>
    </cfRule>
  </conditionalFormatting>
  <conditionalFormatting sqref="F2:F226">
    <cfRule type="notContainsText" dxfId="648" priority="17" operator="notContains" text="порожний">
      <formula>ISERROR(SEARCH("порожний",F2))</formula>
    </cfRule>
  </conditionalFormatting>
  <conditionalFormatting sqref="E2:E240">
    <cfRule type="containsText" dxfId="647" priority="15" operator="containsText" text="Газель базы">
      <formula>NOT(ISERROR(SEARCH("Газель базы",E2)))</formula>
    </cfRule>
    <cfRule type="containsText" dxfId="646" priority="16" operator="containsText" text="Погрузчик базы">
      <formula>NOT(ISERROR(SEARCH("Погрузчик базы",E2)))</formula>
    </cfRule>
  </conditionalFormatting>
  <conditionalFormatting sqref="E2:E240">
    <cfRule type="containsText" dxfId="645" priority="14" operator="containsText" text="Трактор базы">
      <formula>NOT(ISERROR(SEARCH("Трактор базы",E2)))</formula>
    </cfRule>
  </conditionalFormatting>
  <conditionalFormatting sqref="A2:C226">
    <cfRule type="expression" dxfId="644" priority="13">
      <formula>$A2="пн"</formula>
    </cfRule>
  </conditionalFormatting>
  <conditionalFormatting sqref="A2:C228">
    <cfRule type="expression" dxfId="643" priority="7">
      <formula>$A2="вс"</formula>
    </cfRule>
    <cfRule type="expression" dxfId="642" priority="8">
      <formula>$A2="сб"</formula>
    </cfRule>
    <cfRule type="expression" dxfId="641" priority="9">
      <formula>$A2="пт"</formula>
    </cfRule>
    <cfRule type="expression" dxfId="640" priority="10">
      <formula>$A2="чт"</formula>
    </cfRule>
    <cfRule type="expression" dxfId="639" priority="11">
      <formula>$A2="ср"</formula>
    </cfRule>
    <cfRule type="expression" dxfId="638" priority="12">
      <formula>$A2="вт"</formula>
    </cfRule>
  </conditionalFormatting>
  <conditionalFormatting sqref="D1:D1048576">
    <cfRule type="containsText" dxfId="637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636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635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166"/>
  <sheetViews>
    <sheetView zoomScale="90" zoomScaleNormal="90" workbookViewId="0">
      <pane ySplit="1" topLeftCell="A146" activePane="bottomLeft" state="frozen"/>
      <selection pane="bottomLeft" activeCell="I160" sqref="I160:I16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425781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s="8" t="s">
        <v>4</v>
      </c>
      <c r="E2" s="8" t="s">
        <v>9</v>
      </c>
      <c r="F2" s="8"/>
      <c r="H2" s="8"/>
      <c r="I2" s="8" t="s">
        <v>654</v>
      </c>
      <c r="J2" s="8" t="s">
        <v>2992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s="8" t="s">
        <v>1092</v>
      </c>
      <c r="E3" s="8" t="s">
        <v>1093</v>
      </c>
      <c r="F3" s="8"/>
      <c r="H3" s="8"/>
      <c r="I3" s="8" t="s">
        <v>657</v>
      </c>
      <c r="J3" s="8" t="s">
        <v>2992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s="8" t="s">
        <v>1092</v>
      </c>
      <c r="E4" s="8" t="s">
        <v>1093</v>
      </c>
      <c r="F4" s="8"/>
      <c r="H4" s="8"/>
      <c r="I4" s="8" t="s">
        <v>660</v>
      </c>
      <c r="J4" s="8" t="s">
        <v>2992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s="8" t="s">
        <v>4</v>
      </c>
      <c r="E5" s="8" t="s">
        <v>792</v>
      </c>
      <c r="F5" s="8"/>
      <c r="H5" s="8"/>
      <c r="I5" s="8" t="s">
        <v>663</v>
      </c>
      <c r="J5" s="8" t="s">
        <v>2992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s="8" t="s">
        <v>4</v>
      </c>
      <c r="E6" s="8" t="s">
        <v>9</v>
      </c>
      <c r="F6" s="8"/>
      <c r="H6" s="8"/>
      <c r="I6" s="8" t="s">
        <v>666</v>
      </c>
      <c r="J6" s="8" t="s">
        <v>2992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s="8" t="s">
        <v>793</v>
      </c>
      <c r="E7" s="8" t="s">
        <v>531</v>
      </c>
      <c r="F7" s="8"/>
      <c r="H7" s="8"/>
      <c r="I7" s="8" t="s">
        <v>669</v>
      </c>
      <c r="J7" s="8" t="s">
        <v>2992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s="8" t="s">
        <v>793</v>
      </c>
      <c r="E8" s="8" t="s">
        <v>531</v>
      </c>
      <c r="F8" s="8"/>
      <c r="H8" s="8"/>
      <c r="I8" s="8" t="s">
        <v>672</v>
      </c>
      <c r="J8" s="8" t="s">
        <v>2992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s="8" t="s">
        <v>4</v>
      </c>
      <c r="E9" s="8" t="s">
        <v>9</v>
      </c>
      <c r="F9" s="8"/>
      <c r="H9" s="8"/>
      <c r="I9" s="8" t="s">
        <v>675</v>
      </c>
      <c r="J9" s="8" t="s">
        <v>2992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s="8" t="s">
        <v>794</v>
      </c>
      <c r="E10" s="8"/>
      <c r="F10" s="8"/>
      <c r="H10" s="8"/>
      <c r="I10" s="8" t="s">
        <v>678</v>
      </c>
      <c r="J10" s="8" t="s">
        <v>2992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s="8" t="s">
        <v>1096</v>
      </c>
      <c r="E11" s="8" t="s">
        <v>531</v>
      </c>
      <c r="F11" s="8"/>
      <c r="H11" s="8"/>
      <c r="I11" s="8" t="s">
        <v>681</v>
      </c>
      <c r="J11" s="8" t="s">
        <v>2992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s="8" t="s">
        <v>4</v>
      </c>
      <c r="E12" s="8" t="s">
        <v>9</v>
      </c>
      <c r="F12" s="8"/>
      <c r="H12" s="8"/>
      <c r="I12" s="8" t="s">
        <v>684</v>
      </c>
      <c r="J12" s="8" t="s">
        <v>2992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s="8" t="s">
        <v>4</v>
      </c>
      <c r="E13" s="8" t="s">
        <v>9</v>
      </c>
      <c r="F13" s="8"/>
      <c r="H13" s="8"/>
      <c r="I13" s="8" t="s">
        <v>687</v>
      </c>
      <c r="J13" s="8" t="s">
        <v>2992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s="8" t="s">
        <v>795</v>
      </c>
      <c r="E14" s="8" t="s">
        <v>796</v>
      </c>
      <c r="F14" s="8"/>
      <c r="H14" s="8"/>
      <c r="I14" s="8" t="s">
        <v>690</v>
      </c>
      <c r="J14" s="8" t="s">
        <v>2992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s="8" t="s">
        <v>795</v>
      </c>
      <c r="E15" s="8" t="s">
        <v>796</v>
      </c>
      <c r="F15" s="8"/>
      <c r="H15" s="8"/>
      <c r="I15" s="8" t="s">
        <v>693</v>
      </c>
      <c r="J15" s="8" t="s">
        <v>2992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s="8" t="s">
        <v>795</v>
      </c>
      <c r="E16" s="8" t="s">
        <v>796</v>
      </c>
      <c r="F16" s="8"/>
      <c r="H16" s="8"/>
      <c r="I16" s="8" t="s">
        <v>696</v>
      </c>
      <c r="J16" s="8" t="s">
        <v>2992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s="8" t="s">
        <v>4</v>
      </c>
      <c r="E17" s="8" t="s">
        <v>9</v>
      </c>
      <c r="F17" s="8"/>
      <c r="H17" s="8"/>
      <c r="I17" s="8" t="s">
        <v>699</v>
      </c>
      <c r="J17" s="8" t="s">
        <v>2992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s="8" t="s">
        <v>4</v>
      </c>
      <c r="E18" s="8" t="s">
        <v>9</v>
      </c>
      <c r="F18" s="8"/>
      <c r="H18" s="8"/>
      <c r="I18" s="8" t="s">
        <v>702</v>
      </c>
      <c r="J18" s="8" t="s">
        <v>2992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s="8" t="s">
        <v>4</v>
      </c>
      <c r="E19" s="8" t="s">
        <v>9</v>
      </c>
      <c r="F19" s="8"/>
      <c r="H19" s="8"/>
      <c r="I19" s="8" t="s">
        <v>705</v>
      </c>
      <c r="J19" s="8" t="s">
        <v>2992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s="8" t="s">
        <v>4</v>
      </c>
      <c r="E20" s="8" t="s">
        <v>9</v>
      </c>
      <c r="F20" s="8"/>
      <c r="H20" s="8"/>
      <c r="I20" s="8" t="s">
        <v>708</v>
      </c>
      <c r="J20" s="8" t="s">
        <v>2992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s="8" t="s">
        <v>4</v>
      </c>
      <c r="E21" s="8" t="s">
        <v>9</v>
      </c>
      <c r="F21" s="8"/>
      <c r="H21" s="8"/>
      <c r="I21" s="8" t="s">
        <v>711</v>
      </c>
      <c r="J21" s="8" t="s">
        <v>2992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s="8" t="s">
        <v>4</v>
      </c>
      <c r="E22" s="8" t="s">
        <v>9</v>
      </c>
      <c r="F22" s="8"/>
      <c r="H22" s="8"/>
      <c r="I22" s="8" t="s">
        <v>714</v>
      </c>
      <c r="J22" s="8" t="s">
        <v>2992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s="8" t="s">
        <v>795</v>
      </c>
      <c r="E23" s="8" t="s">
        <v>796</v>
      </c>
      <c r="F23" s="8"/>
      <c r="H23" s="8"/>
      <c r="I23" s="8" t="s">
        <v>717</v>
      </c>
      <c r="J23" s="8" t="s">
        <v>2992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s="8" t="s">
        <v>4</v>
      </c>
      <c r="E24" s="8" t="s">
        <v>9</v>
      </c>
      <c r="F24" s="8"/>
      <c r="H24" s="8"/>
      <c r="I24" s="8" t="s">
        <v>720</v>
      </c>
      <c r="J24" s="8" t="s">
        <v>2992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s="8" t="s">
        <v>4</v>
      </c>
      <c r="E25" s="8" t="s">
        <v>9</v>
      </c>
      <c r="F25" s="8"/>
      <c r="H25" s="8"/>
      <c r="I25" s="8" t="s">
        <v>723</v>
      </c>
      <c r="J25" s="8" t="s">
        <v>2992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s="8" t="s">
        <v>4</v>
      </c>
      <c r="E26" s="8" t="s">
        <v>9</v>
      </c>
      <c r="F26" s="8"/>
      <c r="H26" s="8"/>
      <c r="I26" s="8" t="s">
        <v>726</v>
      </c>
      <c r="J26" s="8" t="s">
        <v>2992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s="8" t="s">
        <v>4</v>
      </c>
      <c r="E27" s="8" t="s">
        <v>9</v>
      </c>
      <c r="F27" s="8"/>
      <c r="H27" s="8"/>
      <c r="I27" s="8" t="s">
        <v>729</v>
      </c>
      <c r="J27" s="8" t="s">
        <v>2992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s="8" t="s">
        <v>4</v>
      </c>
      <c r="E28" s="8" t="s">
        <v>9</v>
      </c>
      <c r="F28" s="8"/>
      <c r="H28" s="8"/>
      <c r="I28" s="8" t="s">
        <v>732</v>
      </c>
      <c r="J28" s="8" t="s">
        <v>2992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s="8" t="s">
        <v>4</v>
      </c>
      <c r="E29" s="8" t="s">
        <v>9</v>
      </c>
      <c r="F29" s="8"/>
      <c r="H29" s="8"/>
      <c r="I29" s="8" t="s">
        <v>735</v>
      </c>
      <c r="J29" s="8" t="s">
        <v>2992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s="8" t="s">
        <v>4</v>
      </c>
      <c r="E30" s="8" t="s">
        <v>9</v>
      </c>
      <c r="F30" s="8"/>
      <c r="H30" s="8"/>
      <c r="I30" s="8" t="s">
        <v>738</v>
      </c>
      <c r="J30" s="8" t="s">
        <v>2992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s="8" t="s">
        <v>4</v>
      </c>
      <c r="E31" s="8" t="s">
        <v>9</v>
      </c>
      <c r="F31" s="8"/>
      <c r="H31" s="8"/>
      <c r="I31" s="8" t="s">
        <v>741</v>
      </c>
      <c r="J31" s="8" t="s">
        <v>2992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s="8" t="s">
        <v>4</v>
      </c>
      <c r="E32" s="8" t="s">
        <v>9</v>
      </c>
      <c r="F32" s="8"/>
      <c r="H32" s="8"/>
      <c r="I32" s="8" t="s">
        <v>744</v>
      </c>
      <c r="J32" s="8" t="s">
        <v>2992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s="8" t="s">
        <v>4</v>
      </c>
      <c r="E33" s="8" t="s">
        <v>9</v>
      </c>
      <c r="F33" s="8"/>
      <c r="H33" s="8"/>
      <c r="I33" s="8" t="s">
        <v>747</v>
      </c>
      <c r="J33" s="8" t="s">
        <v>2992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s="8" t="s">
        <v>795</v>
      </c>
      <c r="E34" s="8" t="s">
        <v>796</v>
      </c>
      <c r="F34" s="8"/>
      <c r="H34" s="8"/>
      <c r="I34" s="8" t="s">
        <v>750</v>
      </c>
      <c r="J34" s="8" t="s">
        <v>2992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s="8" t="s">
        <v>795</v>
      </c>
      <c r="E35" s="8" t="s">
        <v>796</v>
      </c>
      <c r="F35" s="8"/>
      <c r="H35" s="8"/>
      <c r="I35" s="8" t="s">
        <v>753</v>
      </c>
      <c r="J35" s="8" t="s">
        <v>2992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s="8" t="s">
        <v>4</v>
      </c>
      <c r="E36" s="8" t="s">
        <v>9</v>
      </c>
      <c r="F36" s="8"/>
      <c r="H36" s="8"/>
      <c r="I36" s="8" t="s">
        <v>756</v>
      </c>
      <c r="J36" s="8" t="s">
        <v>2992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s="8" t="s">
        <v>4</v>
      </c>
      <c r="E37" s="8" t="s">
        <v>9</v>
      </c>
      <c r="F37" s="8"/>
      <c r="H37" s="8"/>
      <c r="I37" s="8" t="s">
        <v>759</v>
      </c>
      <c r="J37" s="8" t="s">
        <v>2992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s="8" t="s">
        <v>795</v>
      </c>
      <c r="E38" s="8" t="s">
        <v>796</v>
      </c>
      <c r="F38" s="8"/>
      <c r="H38" s="8"/>
      <c r="I38" s="8" t="s">
        <v>762</v>
      </c>
      <c r="J38" s="8" t="s">
        <v>2992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s="8" t="s">
        <v>795</v>
      </c>
      <c r="E39" s="8" t="s">
        <v>796</v>
      </c>
      <c r="F39" s="8"/>
      <c r="H39" s="8"/>
      <c r="I39" s="8" t="s">
        <v>765</v>
      </c>
      <c r="J39" s="8" t="s">
        <v>2992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s="8" t="s">
        <v>795</v>
      </c>
      <c r="E40" s="8" t="s">
        <v>796</v>
      </c>
      <c r="F40" s="8"/>
      <c r="H40" s="8"/>
      <c r="I40" s="8" t="s">
        <v>768</v>
      </c>
      <c r="J40" s="8" t="s">
        <v>2992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s="8" t="s">
        <v>4</v>
      </c>
      <c r="E41" s="8" t="s">
        <v>9</v>
      </c>
      <c r="F41" s="8"/>
      <c r="H41" s="8"/>
      <c r="I41" s="8" t="s">
        <v>771</v>
      </c>
      <c r="J41" s="8" t="s">
        <v>2992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s="8" t="s">
        <v>795</v>
      </c>
      <c r="E42" s="8" t="s">
        <v>796</v>
      </c>
      <c r="F42" s="8"/>
      <c r="H42" s="8"/>
      <c r="I42" s="8" t="s">
        <v>774</v>
      </c>
      <c r="J42" s="8" t="s">
        <v>2992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s="8" t="s">
        <v>795</v>
      </c>
      <c r="E43" s="8" t="s">
        <v>796</v>
      </c>
      <c r="F43" s="8"/>
      <c r="H43" s="8"/>
      <c r="I43" s="8" t="s">
        <v>777</v>
      </c>
      <c r="J43" s="8" t="s">
        <v>2992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s="8" t="s">
        <v>795</v>
      </c>
      <c r="E44" s="8" t="s">
        <v>796</v>
      </c>
      <c r="F44" s="8"/>
      <c r="H44" s="8"/>
      <c r="I44" s="8" t="s">
        <v>780</v>
      </c>
      <c r="J44" s="8" t="s">
        <v>2992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s="8" t="s">
        <v>4</v>
      </c>
      <c r="E45" s="8" t="s">
        <v>9</v>
      </c>
      <c r="F45" s="8"/>
      <c r="H45" s="8"/>
      <c r="I45" s="8" t="s">
        <v>783</v>
      </c>
      <c r="J45" s="8" t="s">
        <v>2992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s="8" t="s">
        <v>4</v>
      </c>
      <c r="E46" s="8" t="s">
        <v>9</v>
      </c>
      <c r="F46" s="8"/>
      <c r="H46" s="8"/>
      <c r="I46" s="8" t="s">
        <v>786</v>
      </c>
      <c r="J46" s="8" t="s">
        <v>2992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s="8" t="s">
        <v>4</v>
      </c>
      <c r="E47" s="8" t="s">
        <v>9</v>
      </c>
      <c r="F47" s="8"/>
      <c r="H47" s="8" t="s">
        <v>20</v>
      </c>
      <c r="I47" s="8" t="s">
        <v>789</v>
      </c>
      <c r="J47" s="8" t="s">
        <v>2992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s="8" t="s">
        <v>4</v>
      </c>
      <c r="E48" s="8" t="s">
        <v>9</v>
      </c>
      <c r="F48" s="8"/>
      <c r="H48" s="8"/>
      <c r="I48" s="8" t="s">
        <v>1130</v>
      </c>
      <c r="J48" s="8" t="s">
        <v>2992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s="8" t="s">
        <v>4</v>
      </c>
      <c r="E49" s="8" t="s">
        <v>9</v>
      </c>
      <c r="F49" s="8"/>
      <c r="H49" s="8"/>
      <c r="I49" s="8" t="s">
        <v>1133</v>
      </c>
      <c r="J49" s="8" t="s">
        <v>2992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s="8" t="s">
        <v>4</v>
      </c>
      <c r="E50" s="8" t="s">
        <v>9</v>
      </c>
      <c r="F50" s="8"/>
      <c r="H50" s="8"/>
      <c r="I50" s="8" t="s">
        <v>1136</v>
      </c>
      <c r="J50" s="8" t="s">
        <v>2992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s="8" t="s">
        <v>2024</v>
      </c>
      <c r="E51" s="8" t="s">
        <v>796</v>
      </c>
      <c r="F51" s="8"/>
      <c r="H51" s="8"/>
      <c r="I51" s="8" t="s">
        <v>1139</v>
      </c>
      <c r="J51" s="8" t="s">
        <v>2992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s="8" t="s">
        <v>4</v>
      </c>
      <c r="E52" s="8" t="s">
        <v>9</v>
      </c>
      <c r="F52" s="8"/>
      <c r="H52" s="8"/>
      <c r="I52" s="8" t="s">
        <v>1142</v>
      </c>
      <c r="J52" s="8" t="s">
        <v>2992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s="8" t="s">
        <v>2024</v>
      </c>
      <c r="E53" s="8" t="s">
        <v>796</v>
      </c>
      <c r="F53" s="8"/>
      <c r="H53" s="8"/>
      <c r="I53" s="8" t="s">
        <v>1145</v>
      </c>
      <c r="J53" s="8" t="s">
        <v>2992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s="8" t="s">
        <v>2024</v>
      </c>
      <c r="E54" s="8" t="s">
        <v>796</v>
      </c>
      <c r="F54" s="8"/>
      <c r="H54" s="8"/>
      <c r="I54" s="8" t="s">
        <v>1148</v>
      </c>
      <c r="J54" s="8" t="s">
        <v>2992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s="8" t="s">
        <v>2024</v>
      </c>
      <c r="E55" s="8" t="s">
        <v>796</v>
      </c>
      <c r="F55" s="8"/>
      <c r="H55" s="8"/>
      <c r="I55" s="8" t="s">
        <v>1151</v>
      </c>
      <c r="J55" s="8" t="s">
        <v>2992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s="8" t="s">
        <v>2024</v>
      </c>
      <c r="E56" s="8" t="s">
        <v>796</v>
      </c>
      <c r="F56" s="8"/>
      <c r="H56" s="8"/>
      <c r="I56" s="8" t="s">
        <v>1154</v>
      </c>
      <c r="J56" s="8" t="s">
        <v>2992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s="8" t="s">
        <v>4</v>
      </c>
      <c r="E57" s="8" t="s">
        <v>9</v>
      </c>
      <c r="F57" s="8"/>
      <c r="H57" s="8" t="s">
        <v>2936</v>
      </c>
      <c r="I57" s="8" t="s">
        <v>1157</v>
      </c>
      <c r="J57" s="8" t="s">
        <v>2992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s="8" t="s">
        <v>4</v>
      </c>
      <c r="E58" s="8" t="s">
        <v>9</v>
      </c>
      <c r="F58" s="8"/>
      <c r="H58" s="8" t="s">
        <v>2936</v>
      </c>
      <c r="I58" s="8" t="s">
        <v>1160</v>
      </c>
      <c r="J58" s="8" t="s">
        <v>2992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s="8" t="s">
        <v>4</v>
      </c>
      <c r="E59" s="8" t="s">
        <v>9</v>
      </c>
      <c r="F59" s="8"/>
      <c r="H59" s="8" t="s">
        <v>2936</v>
      </c>
      <c r="I59" s="8" t="s">
        <v>1163</v>
      </c>
      <c r="J59" s="8" t="s">
        <v>2992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s="8" t="s">
        <v>4</v>
      </c>
      <c r="E60" s="8" t="s">
        <v>9</v>
      </c>
      <c r="F60" s="8"/>
      <c r="H60" s="8" t="s">
        <v>2936</v>
      </c>
      <c r="I60" s="8" t="s">
        <v>1166</v>
      </c>
      <c r="J60" s="8" t="s">
        <v>2992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s="8" t="s">
        <v>4</v>
      </c>
      <c r="E61" s="8" t="s">
        <v>9</v>
      </c>
      <c r="F61" s="8"/>
      <c r="H61" s="8" t="s">
        <v>2936</v>
      </c>
      <c r="I61" s="8" t="s">
        <v>1169</v>
      </c>
      <c r="J61" s="8" t="s">
        <v>2992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s="8" t="s">
        <v>4</v>
      </c>
      <c r="E62" s="8" t="s">
        <v>9</v>
      </c>
      <c r="F62" s="8"/>
      <c r="H62" s="8" t="s">
        <v>2936</v>
      </c>
      <c r="I62" s="8" t="s">
        <v>1172</v>
      </c>
      <c r="J62" s="8" t="s">
        <v>2992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s="8" t="s">
        <v>4</v>
      </c>
      <c r="E63" s="8" t="s">
        <v>9</v>
      </c>
      <c r="F63" s="8"/>
      <c r="H63" s="8" t="s">
        <v>2936</v>
      </c>
      <c r="I63" s="8" t="s">
        <v>1175</v>
      </c>
      <c r="J63" s="8" t="s">
        <v>2992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s="8" t="s">
        <v>4</v>
      </c>
      <c r="E64" s="8" t="s">
        <v>9</v>
      </c>
      <c r="F64" s="8"/>
      <c r="H64" s="8" t="s">
        <v>2936</v>
      </c>
      <c r="I64" s="8" t="s">
        <v>2232</v>
      </c>
      <c r="J64" s="8" t="s">
        <v>2992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s="8" t="s">
        <v>4</v>
      </c>
      <c r="E65" s="8" t="s">
        <v>9</v>
      </c>
      <c r="F65" s="8"/>
      <c r="H65" s="8" t="s">
        <v>2936</v>
      </c>
      <c r="I65" s="8" t="s">
        <v>2235</v>
      </c>
      <c r="J65" s="8" t="s">
        <v>2992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s="8" t="s">
        <v>4</v>
      </c>
      <c r="E66" s="8" t="s">
        <v>9</v>
      </c>
      <c r="F66" s="8"/>
      <c r="H66" s="8" t="s">
        <v>2936</v>
      </c>
      <c r="I66" s="8" t="s">
        <v>2238</v>
      </c>
      <c r="J66" s="8" t="s">
        <v>2992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s="8" t="s">
        <v>2024</v>
      </c>
      <c r="E67" s="8" t="s">
        <v>796</v>
      </c>
      <c r="F67" s="8"/>
      <c r="H67" s="8"/>
      <c r="I67" s="8" t="s">
        <v>2241</v>
      </c>
      <c r="J67" s="8" t="s">
        <v>2992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s="8" t="s">
        <v>4</v>
      </c>
      <c r="E68" s="8" t="s">
        <v>9</v>
      </c>
      <c r="F68" s="8"/>
      <c r="H68" s="8" t="s">
        <v>2936</v>
      </c>
      <c r="I68" s="8" t="s">
        <v>2244</v>
      </c>
      <c r="J68" s="8" t="s">
        <v>2992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s="8" t="s">
        <v>4</v>
      </c>
      <c r="E69" s="8" t="s">
        <v>9</v>
      </c>
      <c r="F69" s="8"/>
      <c r="H69" s="8" t="s">
        <v>2936</v>
      </c>
      <c r="I69" s="8" t="s">
        <v>2247</v>
      </c>
      <c r="J69" s="8" t="s">
        <v>2992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s="8" t="s">
        <v>2024</v>
      </c>
      <c r="E70" s="8" t="s">
        <v>796</v>
      </c>
      <c r="F70" s="8"/>
      <c r="H70" s="8"/>
      <c r="I70" s="8" t="s">
        <v>2250</v>
      </c>
      <c r="J70" s="8" t="s">
        <v>2992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s="8" t="s">
        <v>2024</v>
      </c>
      <c r="E71" s="8" t="s">
        <v>796</v>
      </c>
      <c r="F71" s="8"/>
      <c r="H71" s="8"/>
      <c r="I71" s="8" t="s">
        <v>2253</v>
      </c>
      <c r="J71" s="8" t="s">
        <v>2992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s="8" t="s">
        <v>2024</v>
      </c>
      <c r="E72" s="8" t="s">
        <v>796</v>
      </c>
      <c r="F72" s="8"/>
      <c r="H72" s="8"/>
      <c r="I72" s="8" t="s">
        <v>2256</v>
      </c>
      <c r="J72" s="8" t="s">
        <v>2992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s="8" t="s">
        <v>4</v>
      </c>
      <c r="E73" s="8" t="s">
        <v>9</v>
      </c>
      <c r="F73" s="8"/>
      <c r="H73" s="8" t="s">
        <v>2936</v>
      </c>
      <c r="I73" s="8" t="s">
        <v>2259</v>
      </c>
      <c r="J73" s="8" t="s">
        <v>2992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s="8" t="s">
        <v>4</v>
      </c>
      <c r="E74" s="8" t="s">
        <v>9</v>
      </c>
      <c r="F74" s="8"/>
      <c r="H74" s="8" t="s">
        <v>2936</v>
      </c>
      <c r="I74" s="8" t="s">
        <v>2262</v>
      </c>
      <c r="J74" s="8" t="s">
        <v>2992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s="8" t="s">
        <v>4</v>
      </c>
      <c r="E75" s="8" t="s">
        <v>9</v>
      </c>
      <c r="F75" s="8"/>
      <c r="H75" s="8" t="s">
        <v>2936</v>
      </c>
      <c r="I75" s="8" t="s">
        <v>2265</v>
      </c>
      <c r="J75" s="8" t="s">
        <v>2992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s="8" t="s">
        <v>4</v>
      </c>
      <c r="E76" s="8" t="s">
        <v>9</v>
      </c>
      <c r="F76" s="8"/>
      <c r="H76" s="8" t="s">
        <v>2936</v>
      </c>
      <c r="I76" s="8" t="s">
        <v>2268</v>
      </c>
      <c r="J76" s="8" t="s">
        <v>2992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s="8" t="s">
        <v>2024</v>
      </c>
      <c r="E77" s="8" t="s">
        <v>1304</v>
      </c>
      <c r="F77" s="8"/>
      <c r="H77" s="8"/>
      <c r="I77" s="8" t="s">
        <v>2271</v>
      </c>
      <c r="J77" s="8" t="s">
        <v>2992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s="8" t="s">
        <v>4</v>
      </c>
      <c r="E78" s="8" t="s">
        <v>9</v>
      </c>
      <c r="F78" s="8"/>
      <c r="H78" s="8" t="s">
        <v>2936</v>
      </c>
      <c r="I78" s="8" t="s">
        <v>2274</v>
      </c>
      <c r="J78" s="8" t="s">
        <v>2992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s="8" t="s">
        <v>4</v>
      </c>
      <c r="E79" s="8" t="s">
        <v>9</v>
      </c>
      <c r="F79" s="8"/>
      <c r="H79" s="8" t="s">
        <v>2936</v>
      </c>
      <c r="I79" s="8" t="s">
        <v>2277</v>
      </c>
      <c r="J79" s="8" t="s">
        <v>2992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s="8" t="s">
        <v>2024</v>
      </c>
      <c r="E80" s="8" t="s">
        <v>1304</v>
      </c>
      <c r="F80" s="8"/>
      <c r="H80" s="8"/>
      <c r="I80" s="8" t="s">
        <v>2280</v>
      </c>
      <c r="J80" s="8" t="s">
        <v>2992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s="8" t="s">
        <v>4</v>
      </c>
      <c r="E81" s="8" t="s">
        <v>9</v>
      </c>
      <c r="F81" s="8"/>
      <c r="H81" s="8" t="s">
        <v>2936</v>
      </c>
      <c r="I81" s="8" t="s">
        <v>2283</v>
      </c>
      <c r="J81" s="8" t="s">
        <v>2992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s="8" t="s">
        <v>4</v>
      </c>
      <c r="E82" s="8" t="s">
        <v>9</v>
      </c>
      <c r="F82" s="8"/>
      <c r="H82" s="8" t="s">
        <v>2936</v>
      </c>
      <c r="I82" s="8" t="s">
        <v>2286</v>
      </c>
      <c r="J82" s="8" t="s">
        <v>2992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s="8" t="s">
        <v>4</v>
      </c>
      <c r="E83" s="8" t="s">
        <v>9</v>
      </c>
      <c r="F83" s="8"/>
      <c r="H83" s="8" t="s">
        <v>2936</v>
      </c>
      <c r="I83" s="8" t="s">
        <v>2289</v>
      </c>
      <c r="J83" s="8" t="s">
        <v>2992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s="8" t="s">
        <v>4</v>
      </c>
      <c r="E84" s="8" t="s">
        <v>9</v>
      </c>
      <c r="F84" s="8"/>
      <c r="H84" s="8" t="s">
        <v>2936</v>
      </c>
      <c r="I84" s="8" t="s">
        <v>2292</v>
      </c>
      <c r="J84" s="8" t="s">
        <v>2992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s="8" t="s">
        <v>4</v>
      </c>
      <c r="E85" s="8" t="s">
        <v>9</v>
      </c>
      <c r="F85" s="8"/>
      <c r="H85" s="8" t="s">
        <v>2936</v>
      </c>
      <c r="I85" s="8" t="s">
        <v>2295</v>
      </c>
      <c r="J85" s="8" t="s">
        <v>2992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s="8" t="s">
        <v>4</v>
      </c>
      <c r="E86" s="8" t="s">
        <v>9</v>
      </c>
      <c r="F86" s="8"/>
      <c r="H86" s="8" t="s">
        <v>2936</v>
      </c>
      <c r="I86" s="8" t="s">
        <v>2298</v>
      </c>
      <c r="J86" s="8" t="s">
        <v>2992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s="8" t="s">
        <v>4</v>
      </c>
      <c r="E87" s="8" t="s">
        <v>9</v>
      </c>
      <c r="F87" s="8"/>
      <c r="H87" s="8" t="s">
        <v>2936</v>
      </c>
      <c r="I87" s="8" t="s">
        <v>2301</v>
      </c>
      <c r="J87" s="8" t="s">
        <v>2992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s="8" t="s">
        <v>2024</v>
      </c>
      <c r="E88" s="8" t="s">
        <v>796</v>
      </c>
      <c r="F88" s="8"/>
      <c r="H88" s="8"/>
      <c r="I88" s="8" t="s">
        <v>2304</v>
      </c>
      <c r="J88" s="8" t="s">
        <v>2992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s="8" t="s">
        <v>793</v>
      </c>
      <c r="E89" s="8" t="s">
        <v>531</v>
      </c>
      <c r="F89" s="8"/>
      <c r="H89" s="8"/>
      <c r="I89" s="8" t="s">
        <v>2307</v>
      </c>
      <c r="J89" s="8" t="s">
        <v>2992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s="8" t="s">
        <v>2004</v>
      </c>
      <c r="E90" s="8" t="s">
        <v>8</v>
      </c>
      <c r="F90" s="8"/>
      <c r="H90" s="8"/>
      <c r="I90" s="8" t="s">
        <v>2310</v>
      </c>
      <c r="J90" s="8" t="s">
        <v>2992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s="8" t="s">
        <v>4</v>
      </c>
      <c r="E91" s="8" t="s">
        <v>9</v>
      </c>
      <c r="F91" s="8"/>
      <c r="H91" s="8" t="s">
        <v>2936</v>
      </c>
      <c r="I91" s="8" t="s">
        <v>2313</v>
      </c>
      <c r="J91" s="8" t="s">
        <v>2992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s="8" t="s">
        <v>4</v>
      </c>
      <c r="E92" s="8" t="s">
        <v>9</v>
      </c>
      <c r="F92" s="8"/>
      <c r="H92" s="8" t="s">
        <v>2936</v>
      </c>
      <c r="I92" s="8" t="s">
        <v>2316</v>
      </c>
      <c r="J92" s="8" t="s">
        <v>2992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s="8" t="s">
        <v>4</v>
      </c>
      <c r="E93" s="8" t="s">
        <v>9</v>
      </c>
      <c r="F93" s="8"/>
      <c r="H93" s="8" t="s">
        <v>2936</v>
      </c>
      <c r="I93" s="8" t="s">
        <v>2319</v>
      </c>
      <c r="J93" s="8" t="s">
        <v>2992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s="8" t="s">
        <v>2024</v>
      </c>
      <c r="E94" s="8" t="s">
        <v>796</v>
      </c>
      <c r="F94" s="8"/>
      <c r="H94" s="8"/>
      <c r="I94" s="8" t="s">
        <v>2322</v>
      </c>
      <c r="J94" s="8" t="s">
        <v>2992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s="8" t="s">
        <v>2937</v>
      </c>
      <c r="E95" s="8" t="s">
        <v>531</v>
      </c>
      <c r="F95" s="8" t="s">
        <v>2938</v>
      </c>
      <c r="H95" s="8"/>
      <c r="I95" s="8" t="s">
        <v>2325</v>
      </c>
      <c r="J95" s="8" t="s">
        <v>2992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s="8" t="s">
        <v>4</v>
      </c>
      <c r="E96" s="8" t="s">
        <v>9</v>
      </c>
      <c r="F96" s="8"/>
      <c r="H96" s="8" t="s">
        <v>2936</v>
      </c>
      <c r="I96" s="8" t="s">
        <v>2328</v>
      </c>
      <c r="J96" s="8" t="s">
        <v>2992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s="8" t="s">
        <v>4</v>
      </c>
      <c r="E97" s="8" t="s">
        <v>9</v>
      </c>
      <c r="F97" s="8"/>
      <c r="H97" s="8" t="s">
        <v>2936</v>
      </c>
      <c r="I97" s="8" t="s">
        <v>2331</v>
      </c>
      <c r="J97" s="8" t="s">
        <v>2992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s="8" t="s">
        <v>2004</v>
      </c>
      <c r="E98" s="8" t="s">
        <v>8</v>
      </c>
      <c r="F98" s="8"/>
      <c r="H98" s="8"/>
      <c r="I98" s="8" t="s">
        <v>2334</v>
      </c>
      <c r="J98" s="8" t="s">
        <v>2992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s="8" t="s">
        <v>4</v>
      </c>
      <c r="E99" s="8" t="s">
        <v>9</v>
      </c>
      <c r="F99" s="8"/>
      <c r="H99" s="8" t="s">
        <v>2004</v>
      </c>
      <c r="I99" s="8" t="s">
        <v>2337</v>
      </c>
      <c r="J99" s="8" t="s">
        <v>2992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s="8" t="s">
        <v>2004</v>
      </c>
      <c r="E100" s="8" t="s">
        <v>8</v>
      </c>
      <c r="F100" s="8"/>
      <c r="H100" s="8"/>
      <c r="I100" s="8" t="s">
        <v>3718</v>
      </c>
      <c r="J100" s="8" t="s">
        <v>2992</v>
      </c>
      <c r="K100" t="s">
        <v>3719</v>
      </c>
      <c r="L100" t="s">
        <v>3720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s="8" t="s">
        <v>2004</v>
      </c>
      <c r="E101" s="8" t="s">
        <v>8</v>
      </c>
      <c r="F101" s="8"/>
      <c r="H101" s="8"/>
      <c r="I101" s="8" t="s">
        <v>3721</v>
      </c>
      <c r="J101" s="8" t="s">
        <v>2992</v>
      </c>
      <c r="K101" t="s">
        <v>3722</v>
      </c>
      <c r="L101" t="s">
        <v>3723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s="8" t="s">
        <v>2004</v>
      </c>
      <c r="E102" s="8" t="s">
        <v>8</v>
      </c>
      <c r="F102" s="8"/>
      <c r="H102" s="8"/>
      <c r="I102" s="8" t="s">
        <v>3724</v>
      </c>
      <c r="J102" s="8" t="s">
        <v>2992</v>
      </c>
      <c r="K102" t="s">
        <v>3725</v>
      </c>
      <c r="L102" t="s">
        <v>3726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s="8" t="s">
        <v>2004</v>
      </c>
      <c r="E103" s="8" t="s">
        <v>8</v>
      </c>
      <c r="F103" s="8"/>
      <c r="H103" s="8"/>
      <c r="I103" s="8" t="s">
        <v>3727</v>
      </c>
      <c r="J103" s="8" t="s">
        <v>2992</v>
      </c>
      <c r="K103" t="s">
        <v>3728</v>
      </c>
      <c r="L103" t="s">
        <v>3729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s="8" t="s">
        <v>2004</v>
      </c>
      <c r="E104" s="8" t="s">
        <v>8</v>
      </c>
      <c r="F104" s="8"/>
      <c r="H104" s="8"/>
      <c r="I104" s="8" t="s">
        <v>3730</v>
      </c>
      <c r="J104" s="8" t="s">
        <v>2992</v>
      </c>
      <c r="K104" t="s">
        <v>3731</v>
      </c>
      <c r="L104" t="s">
        <v>3732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s="8" t="s">
        <v>1091</v>
      </c>
      <c r="E105" s="8" t="s">
        <v>4220</v>
      </c>
      <c r="F105" s="8" t="s">
        <v>1099</v>
      </c>
      <c r="G105">
        <v>4</v>
      </c>
      <c r="H105" s="8"/>
      <c r="I105" s="8" t="s">
        <v>3733</v>
      </c>
      <c r="J105" s="8" t="s">
        <v>2992</v>
      </c>
      <c r="K105" t="s">
        <v>3734</v>
      </c>
      <c r="L105" t="s">
        <v>3735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s="8" t="s">
        <v>2004</v>
      </c>
      <c r="E106" s="8" t="s">
        <v>8</v>
      </c>
      <c r="F106" s="8"/>
      <c r="H106" s="8"/>
      <c r="I106" s="8" t="s">
        <v>4279</v>
      </c>
      <c r="J106" s="8" t="s">
        <v>2992</v>
      </c>
      <c r="K106" t="s">
        <v>4280</v>
      </c>
      <c r="L106" t="s">
        <v>4281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s="8" t="s">
        <v>4</v>
      </c>
      <c r="E107" s="8" t="s">
        <v>9</v>
      </c>
      <c r="F107" s="8"/>
      <c r="H107" s="8"/>
      <c r="I107" s="8" t="s">
        <v>4600</v>
      </c>
      <c r="J107" s="8" t="s">
        <v>2992</v>
      </c>
      <c r="K107" t="s">
        <v>4601</v>
      </c>
      <c r="L107" t="s">
        <v>4602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s="8" t="s">
        <v>794</v>
      </c>
      <c r="E108" s="8" t="s">
        <v>5135</v>
      </c>
      <c r="F108" s="8"/>
      <c r="H108" s="8"/>
      <c r="I108" s="8" t="s">
        <v>4603</v>
      </c>
      <c r="J108" s="8" t="s">
        <v>2992</v>
      </c>
      <c r="K108" t="s">
        <v>4604</v>
      </c>
      <c r="L108" t="s">
        <v>4605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s="8" t="s">
        <v>4</v>
      </c>
      <c r="E109" s="8" t="s">
        <v>53</v>
      </c>
      <c r="F109" s="8"/>
      <c r="H109" s="8"/>
      <c r="I109" s="8" t="s">
        <v>4606</v>
      </c>
      <c r="J109" s="8" t="s">
        <v>2992</v>
      </c>
      <c r="K109" t="s">
        <v>4607</v>
      </c>
      <c r="L109" t="s">
        <v>4608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s="8" t="s">
        <v>2004</v>
      </c>
      <c r="E110" s="8" t="s">
        <v>8</v>
      </c>
      <c r="F110" s="8"/>
      <c r="H110" s="8"/>
      <c r="I110" s="8" t="s">
        <v>4609</v>
      </c>
      <c r="J110" s="8" t="s">
        <v>2992</v>
      </c>
      <c r="K110" t="s">
        <v>4610</v>
      </c>
      <c r="L110" t="s">
        <v>4611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s="8" t="s">
        <v>2004</v>
      </c>
      <c r="E111" s="8" t="s">
        <v>8</v>
      </c>
      <c r="F111" s="8"/>
      <c r="H111" s="8"/>
      <c r="I111" s="8" t="s">
        <v>4612</v>
      </c>
      <c r="J111" s="8" t="s">
        <v>2992</v>
      </c>
      <c r="K111" t="s">
        <v>4613</v>
      </c>
      <c r="L111" t="s">
        <v>4614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s="8" t="s">
        <v>2024</v>
      </c>
      <c r="E112" s="8" t="s">
        <v>796</v>
      </c>
      <c r="F112" s="8"/>
      <c r="H112" s="8"/>
      <c r="I112" s="8" t="s">
        <v>4615</v>
      </c>
      <c r="J112" s="8" t="s">
        <v>2992</v>
      </c>
      <c r="K112" t="s">
        <v>4616</v>
      </c>
      <c r="L112" t="s">
        <v>4617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s="8" t="s">
        <v>2024</v>
      </c>
      <c r="E113" s="8" t="s">
        <v>796</v>
      </c>
      <c r="F113" s="8"/>
      <c r="H113" s="8"/>
      <c r="I113" s="8" t="s">
        <v>4618</v>
      </c>
      <c r="J113" s="8" t="s">
        <v>2992</v>
      </c>
      <c r="K113" t="s">
        <v>4619</v>
      </c>
      <c r="L113" t="s">
        <v>4620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s="8" t="s">
        <v>2004</v>
      </c>
      <c r="E114" s="8" t="s">
        <v>8</v>
      </c>
      <c r="F114" s="8"/>
      <c r="H114" s="8"/>
      <c r="I114" s="8" t="s">
        <v>4621</v>
      </c>
      <c r="J114" s="8" t="s">
        <v>2992</v>
      </c>
      <c r="K114" t="s">
        <v>4622</v>
      </c>
      <c r="L114" t="s">
        <v>4623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s="8" t="s">
        <v>2004</v>
      </c>
      <c r="E115" s="8" t="s">
        <v>8</v>
      </c>
      <c r="F115" s="8"/>
      <c r="H115" s="8"/>
      <c r="I115" s="8" t="s">
        <v>4624</v>
      </c>
      <c r="J115" s="8" t="s">
        <v>2992</v>
      </c>
      <c r="K115" t="s">
        <v>4625</v>
      </c>
      <c r="L115" t="s">
        <v>4626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s="8" t="s">
        <v>2004</v>
      </c>
      <c r="E116" s="8" t="s">
        <v>8</v>
      </c>
      <c r="F116" s="8"/>
      <c r="H116" s="8"/>
      <c r="I116" s="8" t="s">
        <v>5178</v>
      </c>
      <c r="J116" s="8" t="s">
        <v>2992</v>
      </c>
      <c r="K116" t="s">
        <v>5179</v>
      </c>
      <c r="L116" t="s">
        <v>5180</v>
      </c>
      <c r="M116" s="3" t="str">
        <f>HYPERLINK(склад2въезд1319202122[[#This Row],[RelativePath]])</f>
        <v>8 Рейсмус\E33149364_2_20251207T162420Z.jpg</v>
      </c>
    </row>
    <row r="117" spans="1:13" x14ac:dyDescent="0.25">
      <c r="A117" s="2" t="s">
        <v>13</v>
      </c>
      <c r="B117" s="4">
        <v>45999</v>
      </c>
      <c r="C117" s="5">
        <v>0.33769675925925924</v>
      </c>
      <c r="D117" s="8" t="s">
        <v>2004</v>
      </c>
      <c r="E117" s="8" t="s">
        <v>8</v>
      </c>
      <c r="F117" s="8"/>
      <c r="H117" s="8"/>
      <c r="I117" s="8" t="s">
        <v>5325</v>
      </c>
      <c r="J117" s="8" t="s">
        <v>2992</v>
      </c>
      <c r="K117" t="s">
        <v>5326</v>
      </c>
      <c r="L117" t="s">
        <v>5327</v>
      </c>
      <c r="M117" s="3" t="str">
        <f>HYPERLINK(склад2въезд1319202122[[#This Row],[RelativePath]])</f>
        <v>8 Рейсмус\E33149364_2_20251208T080617Z.jpg</v>
      </c>
    </row>
    <row r="118" spans="1:13" x14ac:dyDescent="0.25">
      <c r="A118" s="2" t="s">
        <v>14</v>
      </c>
      <c r="B118" s="4">
        <v>46000</v>
      </c>
      <c r="C118" s="5">
        <v>0.68513888888888885</v>
      </c>
      <c r="D118" s="8" t="s">
        <v>2004</v>
      </c>
      <c r="E118" s="8" t="s">
        <v>8</v>
      </c>
      <c r="F118" s="8"/>
      <c r="H118" s="8"/>
      <c r="I118" s="8" t="s">
        <v>5717</v>
      </c>
      <c r="J118" s="8" t="s">
        <v>2992</v>
      </c>
      <c r="K118" t="s">
        <v>5718</v>
      </c>
      <c r="L118" t="s">
        <v>5719</v>
      </c>
      <c r="M118" s="3" t="str">
        <f>HYPERLINK(склад2въезд1319202122[[#This Row],[RelativePath]])</f>
        <v>8 Рейсмус\E33149364_2_20251209T162636Z.jpg</v>
      </c>
    </row>
    <row r="119" spans="1:13" x14ac:dyDescent="0.25">
      <c r="A119" s="2" t="s">
        <v>15</v>
      </c>
      <c r="B119" s="4">
        <v>46001</v>
      </c>
      <c r="C119" s="5">
        <v>0.45646990740740739</v>
      </c>
      <c r="D119" s="8" t="s">
        <v>4</v>
      </c>
      <c r="E119" s="8" t="s">
        <v>9</v>
      </c>
      <c r="F119" s="8"/>
      <c r="H119" s="8"/>
      <c r="I119" s="8" t="s">
        <v>5720</v>
      </c>
      <c r="J119" s="8" t="s">
        <v>2992</v>
      </c>
      <c r="K119" t="s">
        <v>5721</v>
      </c>
      <c r="L119" t="s">
        <v>5722</v>
      </c>
      <c r="M119" s="3" t="str">
        <f>HYPERLINK(склад2въезд1319202122[[#This Row],[RelativePath]])</f>
        <v>8 Рейсмус\E33149364_2_20251210T105719Z.jpg</v>
      </c>
    </row>
    <row r="120" spans="1:13" x14ac:dyDescent="0.25">
      <c r="A120" s="2" t="s">
        <v>15</v>
      </c>
      <c r="B120" s="4">
        <v>46001</v>
      </c>
      <c r="C120" s="5">
        <v>0.61502314814814818</v>
      </c>
      <c r="D120" s="8" t="s">
        <v>794</v>
      </c>
      <c r="E120" s="8"/>
      <c r="F120" s="8"/>
      <c r="H120" s="8"/>
      <c r="I120" s="8" t="s">
        <v>5723</v>
      </c>
      <c r="J120" s="8" t="s">
        <v>2992</v>
      </c>
      <c r="K120" t="s">
        <v>5724</v>
      </c>
      <c r="L120" t="s">
        <v>5725</v>
      </c>
      <c r="M120" s="3" t="str">
        <f>HYPERLINK(склад2въезд1319202122[[#This Row],[RelativePath]])</f>
        <v>8 Рейсмус\E33149364_2_20251210T144538Z.jpg</v>
      </c>
    </row>
    <row r="121" spans="1:13" x14ac:dyDescent="0.25">
      <c r="A121" s="2" t="s">
        <v>15</v>
      </c>
      <c r="B121" s="4">
        <v>46001</v>
      </c>
      <c r="C121" s="5">
        <v>0.61506944444444445</v>
      </c>
      <c r="D121" s="8" t="s">
        <v>794</v>
      </c>
      <c r="E121" s="8"/>
      <c r="F121" s="8"/>
      <c r="H121" s="8"/>
      <c r="I121" s="8" t="s">
        <v>5726</v>
      </c>
      <c r="J121" s="8" t="s">
        <v>2992</v>
      </c>
      <c r="K121" t="s">
        <v>5727</v>
      </c>
      <c r="L121" t="s">
        <v>5728</v>
      </c>
      <c r="M121" s="3" t="str">
        <f>HYPERLINK(склад2въезд1319202122[[#This Row],[RelativePath]])</f>
        <v>8 Рейсмус\E33149364_2_20251210T144542Z.jpg</v>
      </c>
    </row>
    <row r="122" spans="1:13" x14ac:dyDescent="0.25">
      <c r="A122" s="2" t="s">
        <v>15</v>
      </c>
      <c r="B122" s="4">
        <v>46001</v>
      </c>
      <c r="C122" s="5">
        <v>0.61586805555555557</v>
      </c>
      <c r="D122" s="8" t="s">
        <v>793</v>
      </c>
      <c r="E122" s="8" t="s">
        <v>531</v>
      </c>
      <c r="F122" s="8"/>
      <c r="H122" s="8"/>
      <c r="I122" s="8" t="s">
        <v>5729</v>
      </c>
      <c r="J122" s="8" t="s">
        <v>2992</v>
      </c>
      <c r="K122" t="s">
        <v>5730</v>
      </c>
      <c r="L122" t="s">
        <v>5731</v>
      </c>
      <c r="M122" s="3" t="str">
        <f>HYPERLINK(склад2въезд1319202122[[#This Row],[RelativePath]])</f>
        <v>8 Рейсмус\E33149364_2_20251210T144651Z.jpg</v>
      </c>
    </row>
    <row r="123" spans="1:13" x14ac:dyDescent="0.25">
      <c r="A123" s="2" t="s">
        <v>15</v>
      </c>
      <c r="B123" s="4">
        <v>46001</v>
      </c>
      <c r="C123" s="5">
        <v>0.64564814814814819</v>
      </c>
      <c r="D123" s="8" t="s">
        <v>4</v>
      </c>
      <c r="E123" s="8" t="s">
        <v>9</v>
      </c>
      <c r="F123" s="8"/>
      <c r="H123" s="8"/>
      <c r="I123" s="8" t="s">
        <v>5732</v>
      </c>
      <c r="J123" s="8" t="s">
        <v>2992</v>
      </c>
      <c r="K123" t="s">
        <v>5733</v>
      </c>
      <c r="L123" t="s">
        <v>5734</v>
      </c>
      <c r="M123" s="3" t="str">
        <f>HYPERLINK(склад2въезд1319202122[[#This Row],[RelativePath]])</f>
        <v>8 Рейсмус\E33149364_2_20251210T152944Z.jpg</v>
      </c>
    </row>
    <row r="124" spans="1:13" x14ac:dyDescent="0.25">
      <c r="A124" s="2" t="s">
        <v>15</v>
      </c>
      <c r="B124" s="4">
        <v>46001</v>
      </c>
      <c r="C124" s="5">
        <v>0.66070601851851851</v>
      </c>
      <c r="D124" s="8" t="s">
        <v>4</v>
      </c>
      <c r="E124" s="8" t="s">
        <v>9</v>
      </c>
      <c r="F124" s="8"/>
      <c r="H124" s="8" t="s">
        <v>2936</v>
      </c>
      <c r="I124" s="8" t="s">
        <v>5735</v>
      </c>
      <c r="J124" s="8" t="s">
        <v>2992</v>
      </c>
      <c r="K124" t="s">
        <v>5736</v>
      </c>
      <c r="L124" t="s">
        <v>5737</v>
      </c>
      <c r="M124" s="3" t="str">
        <f>HYPERLINK(склад2въезд1319202122[[#This Row],[RelativePath]])</f>
        <v>8 Рейсмус\E33149364_2_20251210T155125Z.jpg</v>
      </c>
    </row>
    <row r="125" spans="1:13" x14ac:dyDescent="0.25">
      <c r="A125" s="2" t="s">
        <v>15</v>
      </c>
      <c r="B125" s="4">
        <v>46001</v>
      </c>
      <c r="C125" s="5">
        <v>0.66422453703703699</v>
      </c>
      <c r="D125" s="8" t="s">
        <v>4</v>
      </c>
      <c r="E125" s="8" t="s">
        <v>9</v>
      </c>
      <c r="F125" s="8"/>
      <c r="H125" s="8" t="s">
        <v>2936</v>
      </c>
      <c r="I125" s="8" t="s">
        <v>5738</v>
      </c>
      <c r="J125" s="8" t="s">
        <v>2992</v>
      </c>
      <c r="K125" t="s">
        <v>5739</v>
      </c>
      <c r="L125" t="s">
        <v>5740</v>
      </c>
      <c r="M125" s="3" t="str">
        <f>HYPERLINK(склад2въезд1319202122[[#This Row],[RelativePath]])</f>
        <v>8 Рейсмус\E33149364_2_20251210T155629Z.jpg</v>
      </c>
    </row>
    <row r="126" spans="1:13" x14ac:dyDescent="0.25">
      <c r="A126" s="2" t="s">
        <v>16</v>
      </c>
      <c r="B126" s="4">
        <v>46002</v>
      </c>
      <c r="C126" s="5">
        <v>0.98526620370370366</v>
      </c>
      <c r="D126" s="8" t="s">
        <v>2004</v>
      </c>
      <c r="E126" s="8" t="s">
        <v>8</v>
      </c>
      <c r="F126" s="8"/>
      <c r="H126" s="8"/>
      <c r="I126" s="8" t="s">
        <v>5741</v>
      </c>
      <c r="J126" s="8" t="s">
        <v>2992</v>
      </c>
      <c r="K126" t="s">
        <v>5742</v>
      </c>
      <c r="L126" t="s">
        <v>5743</v>
      </c>
      <c r="M126" s="3" t="str">
        <f>HYPERLINK(склад2въезд1319202122[[#This Row],[RelativePath]])</f>
        <v>8 Рейсмус\E33149364_2_20251211T233847Z.jpg</v>
      </c>
    </row>
    <row r="127" spans="1:13" x14ac:dyDescent="0.25">
      <c r="A127" s="2" t="s">
        <v>17</v>
      </c>
      <c r="B127" s="4">
        <v>46003</v>
      </c>
      <c r="C127" s="5">
        <v>0.51637731481481486</v>
      </c>
      <c r="D127" s="8" t="s">
        <v>2004</v>
      </c>
      <c r="E127" s="8" t="s">
        <v>8</v>
      </c>
      <c r="F127" s="8"/>
      <c r="H127" s="8"/>
      <c r="I127" s="8" t="s">
        <v>5876</v>
      </c>
      <c r="J127" s="8" t="s">
        <v>2992</v>
      </c>
      <c r="K127" t="s">
        <v>5877</v>
      </c>
      <c r="L127" t="s">
        <v>5878</v>
      </c>
      <c r="M127" s="3" t="str">
        <f>HYPERLINK(склад2въезд1319202122[[#This Row],[RelativePath]])</f>
        <v>8 Рейсмус\E33149364_2_20251212T122335Z.jpg</v>
      </c>
    </row>
    <row r="128" spans="1:13" x14ac:dyDescent="0.25">
      <c r="A128" s="2" t="s">
        <v>18</v>
      </c>
      <c r="B128" s="4">
        <v>46004</v>
      </c>
      <c r="C128" s="5">
        <v>0.47920138888888891</v>
      </c>
      <c r="D128" s="8" t="s">
        <v>2004</v>
      </c>
      <c r="E128" s="8" t="s">
        <v>8</v>
      </c>
      <c r="F128" s="8"/>
      <c r="H128" s="8"/>
      <c r="I128" s="8" t="s">
        <v>6080</v>
      </c>
      <c r="J128" s="8" t="s">
        <v>2992</v>
      </c>
      <c r="K128" t="s">
        <v>6081</v>
      </c>
      <c r="L128" t="s">
        <v>6082</v>
      </c>
      <c r="M128" s="3" t="str">
        <f>HYPERLINK(склад2въезд1319202122[[#This Row],[RelativePath]])</f>
        <v>8 Рейсмус\E33149364_2_20251213T113003Z.jpg</v>
      </c>
    </row>
    <row r="129" spans="1:13" x14ac:dyDescent="0.25">
      <c r="A129" s="2" t="s">
        <v>22</v>
      </c>
      <c r="B129" s="4">
        <v>46005</v>
      </c>
      <c r="C129" s="5">
        <v>0.67769675925925921</v>
      </c>
      <c r="D129" s="8" t="s">
        <v>2004</v>
      </c>
      <c r="E129" s="8" t="s">
        <v>8</v>
      </c>
      <c r="F129" s="8"/>
      <c r="H129" s="8"/>
      <c r="I129" s="8" t="s">
        <v>6210</v>
      </c>
      <c r="J129" s="8" t="s">
        <v>2992</v>
      </c>
      <c r="K129" t="s">
        <v>6211</v>
      </c>
      <c r="L129" t="s">
        <v>6212</v>
      </c>
      <c r="M129" s="3" t="str">
        <f>HYPERLINK(склад2въезд1319202122[[#This Row],[RelativePath]])</f>
        <v>8 Рейсмус\E33149364_2_20251214T161553Z.jpg</v>
      </c>
    </row>
    <row r="130" spans="1:13" x14ac:dyDescent="0.25">
      <c r="A130" s="2" t="s">
        <v>13</v>
      </c>
      <c r="B130" s="4">
        <v>46006</v>
      </c>
      <c r="C130" s="5">
        <v>0.62486111111111109</v>
      </c>
      <c r="D130" s="8" t="s">
        <v>2004</v>
      </c>
      <c r="E130" s="8" t="s">
        <v>8</v>
      </c>
      <c r="F130" s="8"/>
      <c r="H130" s="8"/>
      <c r="I130" s="8" t="s">
        <v>6349</v>
      </c>
      <c r="J130" s="8" t="s">
        <v>2992</v>
      </c>
      <c r="K130" t="s">
        <v>6350</v>
      </c>
      <c r="L130" t="s">
        <v>6351</v>
      </c>
      <c r="M130" s="3" t="str">
        <f>HYPERLINK(склад2въезд1319202122[[#This Row],[RelativePath]])</f>
        <v>8 Рейсмус\E33149364_2_20251215T145948Z.jpg</v>
      </c>
    </row>
    <row r="131" spans="1:13" x14ac:dyDescent="0.25">
      <c r="A131" s="2" t="s">
        <v>14</v>
      </c>
      <c r="B131" s="4">
        <v>46007</v>
      </c>
      <c r="C131" s="5">
        <v>0.41891203703703705</v>
      </c>
      <c r="D131" s="8" t="s">
        <v>2024</v>
      </c>
      <c r="E131" s="8" t="s">
        <v>796</v>
      </c>
      <c r="F131" s="8"/>
      <c r="H131" s="8"/>
      <c r="I131" s="8" t="s">
        <v>6569</v>
      </c>
      <c r="J131" s="8" t="s">
        <v>2992</v>
      </c>
      <c r="K131" t="s">
        <v>6570</v>
      </c>
      <c r="L131" t="s">
        <v>6571</v>
      </c>
      <c r="M131" s="3" t="str">
        <f>HYPERLINK(склад2въезд1319202122[[#This Row],[RelativePath]])</f>
        <v>8 Рейсмус\E33149364_2_20251216T100314Z.jpg</v>
      </c>
    </row>
    <row r="132" spans="1:13" x14ac:dyDescent="0.25">
      <c r="A132" s="2" t="s">
        <v>14</v>
      </c>
      <c r="B132" s="4">
        <v>46007</v>
      </c>
      <c r="C132" s="5">
        <v>0.42146990740740742</v>
      </c>
      <c r="D132" s="8" t="s">
        <v>4</v>
      </c>
      <c r="E132" s="8" t="s">
        <v>9</v>
      </c>
      <c r="F132" s="8"/>
      <c r="H132" s="8"/>
      <c r="I132" s="8" t="s">
        <v>6572</v>
      </c>
      <c r="J132" s="8" t="s">
        <v>2992</v>
      </c>
      <c r="K132" t="s">
        <v>6573</v>
      </c>
      <c r="L132" t="s">
        <v>6574</v>
      </c>
      <c r="M132" s="3" t="str">
        <f>HYPERLINK(склад2въезд1319202122[[#This Row],[RelativePath]])</f>
        <v>8 Рейсмус\E33149364_2_20251216T100655Z.jpg</v>
      </c>
    </row>
    <row r="133" spans="1:13" x14ac:dyDescent="0.25">
      <c r="A133" s="2" t="s">
        <v>14</v>
      </c>
      <c r="B133" s="4">
        <v>46007</v>
      </c>
      <c r="C133" s="5">
        <v>0.4226388888888889</v>
      </c>
      <c r="D133" s="8" t="s">
        <v>2024</v>
      </c>
      <c r="E133" s="8" t="s">
        <v>796</v>
      </c>
      <c r="F133" s="8"/>
      <c r="H133" s="8"/>
      <c r="I133" s="8" t="s">
        <v>6575</v>
      </c>
      <c r="J133" s="8" t="s">
        <v>2992</v>
      </c>
      <c r="K133" t="s">
        <v>6576</v>
      </c>
      <c r="L133" t="s">
        <v>6577</v>
      </c>
      <c r="M133" s="3" t="str">
        <f>HYPERLINK(склад2въезд1319202122[[#This Row],[RelativePath]])</f>
        <v>8 Рейсмус\E33149364_2_20251216T100836Z.jpg</v>
      </c>
    </row>
    <row r="134" spans="1:13" x14ac:dyDescent="0.25">
      <c r="A134" s="2" t="s">
        <v>14</v>
      </c>
      <c r="B134" s="4">
        <v>46007</v>
      </c>
      <c r="C134" s="5">
        <v>0.43762731481481482</v>
      </c>
      <c r="D134" s="8" t="s">
        <v>2024</v>
      </c>
      <c r="E134" s="8" t="s">
        <v>796</v>
      </c>
      <c r="F134" s="8"/>
      <c r="H134" s="8"/>
      <c r="I134" s="8" t="s">
        <v>6578</v>
      </c>
      <c r="J134" s="8" t="s">
        <v>2992</v>
      </c>
      <c r="K134" t="s">
        <v>6579</v>
      </c>
      <c r="L134" t="s">
        <v>6580</v>
      </c>
      <c r="M134" s="3" t="str">
        <f>HYPERLINK(склад2въезд1319202122[[#This Row],[RelativePath]])</f>
        <v>8 Рейсмус\E33149364_2_20251216T103011Z.jpg</v>
      </c>
    </row>
    <row r="135" spans="1:13" x14ac:dyDescent="0.25">
      <c r="A135" s="2" t="s">
        <v>14</v>
      </c>
      <c r="B135" s="4">
        <v>46007</v>
      </c>
      <c r="C135" s="5">
        <v>0.49944444444444447</v>
      </c>
      <c r="D135" s="8" t="s">
        <v>4</v>
      </c>
      <c r="E135" s="8" t="s">
        <v>9</v>
      </c>
      <c r="F135" s="8"/>
      <c r="H135" s="8"/>
      <c r="I135" s="8" t="s">
        <v>6581</v>
      </c>
      <c r="J135" s="8" t="s">
        <v>2992</v>
      </c>
      <c r="K135" t="s">
        <v>6582</v>
      </c>
      <c r="L135" t="s">
        <v>6583</v>
      </c>
      <c r="M135" s="3" t="str">
        <f>HYPERLINK(склад2въезд1319202122[[#This Row],[RelativePath]])</f>
        <v>8 Рейсмус\E33149364_2_20251216T115912Z.jpg</v>
      </c>
    </row>
    <row r="136" spans="1:13" x14ac:dyDescent="0.25">
      <c r="A136" s="2" t="s">
        <v>15</v>
      </c>
      <c r="B136" s="4">
        <v>46008</v>
      </c>
      <c r="C136" s="5">
        <v>0.42181712962962964</v>
      </c>
      <c r="D136" s="8" t="s">
        <v>4</v>
      </c>
      <c r="E136" s="8" t="s">
        <v>9</v>
      </c>
      <c r="F136" s="8"/>
      <c r="H136" s="8"/>
      <c r="I136" s="8" t="s">
        <v>6718</v>
      </c>
      <c r="J136" s="8" t="s">
        <v>2992</v>
      </c>
      <c r="K136" t="s">
        <v>6719</v>
      </c>
      <c r="L136" t="s">
        <v>6720</v>
      </c>
      <c r="M136" s="3" t="str">
        <f>HYPERLINK(склад2въезд1319202122[[#This Row],[RelativePath]])</f>
        <v>8 Рейсмус\E33149364_2_20251217T100725Z.jpg</v>
      </c>
    </row>
    <row r="137" spans="1:13" x14ac:dyDescent="0.25">
      <c r="A137" s="2" t="s">
        <v>15</v>
      </c>
      <c r="B137" s="4">
        <v>46008</v>
      </c>
      <c r="C137" s="5">
        <v>0.65041666666666664</v>
      </c>
      <c r="D137" s="8" t="s">
        <v>2004</v>
      </c>
      <c r="E137" s="8" t="s">
        <v>9</v>
      </c>
      <c r="F137" s="8"/>
      <c r="H137" s="8"/>
      <c r="I137" s="8" t="s">
        <v>6721</v>
      </c>
      <c r="J137" s="8" t="s">
        <v>2992</v>
      </c>
      <c r="K137" t="s">
        <v>6722</v>
      </c>
      <c r="L137" t="s">
        <v>6723</v>
      </c>
      <c r="M137" s="3" t="str">
        <f>HYPERLINK(склад2въезд1319202122[[#This Row],[RelativePath]])</f>
        <v>8 Рейсмус\E33149364_2_20251217T153636Z.jpg</v>
      </c>
    </row>
    <row r="138" spans="1:13" x14ac:dyDescent="0.25">
      <c r="A138" s="2" t="s">
        <v>16</v>
      </c>
      <c r="B138" s="4">
        <v>46009</v>
      </c>
      <c r="C138" s="5">
        <v>0.63127314814814817</v>
      </c>
      <c r="D138" s="8" t="s">
        <v>2004</v>
      </c>
      <c r="E138" s="8" t="s">
        <v>9</v>
      </c>
      <c r="F138" s="8"/>
      <c r="H138" s="8"/>
      <c r="I138" s="8" t="s">
        <v>6932</v>
      </c>
      <c r="J138" s="8" t="s">
        <v>2992</v>
      </c>
      <c r="K138" t="s">
        <v>6933</v>
      </c>
      <c r="L138" t="s">
        <v>6934</v>
      </c>
      <c r="M138" s="3" t="str">
        <f>HYPERLINK(склад2въезд1319202122[[#This Row],[RelativePath]])</f>
        <v>8 Рейсмус\E33149364_2_20251218T150902Z.jpg</v>
      </c>
    </row>
    <row r="139" spans="1:13" x14ac:dyDescent="0.25">
      <c r="A139" s="2" t="s">
        <v>17</v>
      </c>
      <c r="B139" s="4">
        <v>46010</v>
      </c>
      <c r="C139" s="5">
        <v>0.38178240740740743</v>
      </c>
      <c r="D139" s="8" t="s">
        <v>4</v>
      </c>
      <c r="E139" s="8" t="s">
        <v>9</v>
      </c>
      <c r="F139" s="8"/>
      <c r="H139" s="8"/>
      <c r="I139" s="8" t="s">
        <v>6935</v>
      </c>
      <c r="J139" s="8" t="s">
        <v>2992</v>
      </c>
      <c r="K139" t="s">
        <v>6936</v>
      </c>
      <c r="L139" t="s">
        <v>6937</v>
      </c>
      <c r="M139" s="3" t="str">
        <f>HYPERLINK(склад2въезд1319202122[[#This Row],[RelativePath]])</f>
        <v>8 Рейсмус\E33149364_2_20251219T090946Z.jpg</v>
      </c>
    </row>
    <row r="140" spans="1:13" x14ac:dyDescent="0.25">
      <c r="A140" s="2" t="s">
        <v>17</v>
      </c>
      <c r="B140" s="4">
        <v>46010</v>
      </c>
      <c r="C140" s="5">
        <v>0.66002314814814811</v>
      </c>
      <c r="D140" s="8" t="s">
        <v>7166</v>
      </c>
      <c r="E140" s="8"/>
      <c r="F140" s="8"/>
      <c r="H140" s="8"/>
      <c r="I140" s="8" t="s">
        <v>6938</v>
      </c>
      <c r="J140" s="8" t="s">
        <v>2992</v>
      </c>
      <c r="K140" t="s">
        <v>6939</v>
      </c>
      <c r="L140" t="s">
        <v>6940</v>
      </c>
      <c r="M140" s="3" t="str">
        <f>HYPERLINK(склад2въезд1319202122[[#This Row],[RelativePath]])</f>
        <v>8 Рейсмус\E33149364_2_20251219T155026Z.jpg</v>
      </c>
    </row>
    <row r="141" spans="1:13" x14ac:dyDescent="0.25">
      <c r="A141" s="2" t="s">
        <v>17</v>
      </c>
      <c r="B141" s="4">
        <v>46010</v>
      </c>
      <c r="C141" s="5">
        <v>0.66162037037037036</v>
      </c>
      <c r="D141" s="8" t="s">
        <v>1091</v>
      </c>
      <c r="E141" s="8" t="s">
        <v>7167</v>
      </c>
      <c r="F141" s="8"/>
      <c r="H141" s="8"/>
      <c r="I141" s="8" t="s">
        <v>6941</v>
      </c>
      <c r="J141" s="8" t="s">
        <v>2992</v>
      </c>
      <c r="K141" t="s">
        <v>6942</v>
      </c>
      <c r="L141" t="s">
        <v>6943</v>
      </c>
      <c r="M141" s="3" t="str">
        <f>HYPERLINK(склад2въезд1319202122[[#This Row],[RelativePath]])</f>
        <v>8 Рейсмус\E33149364_2_20251219T155244Z.jpg</v>
      </c>
    </row>
    <row r="142" spans="1:13" x14ac:dyDescent="0.25">
      <c r="A142" s="2" t="s">
        <v>18</v>
      </c>
      <c r="B142" s="4">
        <v>46011</v>
      </c>
      <c r="C142" s="5">
        <v>0.68061342592592589</v>
      </c>
      <c r="D142" s="8" t="s">
        <v>2004</v>
      </c>
      <c r="E142" s="8" t="s">
        <v>9</v>
      </c>
      <c r="F142" s="8"/>
      <c r="H142" s="8"/>
      <c r="I142" s="8" t="s">
        <v>6944</v>
      </c>
      <c r="J142" s="8" t="s">
        <v>2992</v>
      </c>
      <c r="K142" t="s">
        <v>6945</v>
      </c>
      <c r="L142" t="s">
        <v>6946</v>
      </c>
      <c r="M142" s="3" t="str">
        <f>HYPERLINK(склад2въезд1319202122[[#This Row],[RelativePath]])</f>
        <v>8 Рейсмус\E33149364_2_20251220T162005Z.jpg</v>
      </c>
    </row>
    <row r="143" spans="1:13" x14ac:dyDescent="0.25">
      <c r="A143" s="2" t="s">
        <v>22</v>
      </c>
      <c r="B143" s="4">
        <v>46012</v>
      </c>
      <c r="C143" s="5">
        <v>0.52877314814814813</v>
      </c>
      <c r="D143" s="8" t="s">
        <v>2004</v>
      </c>
      <c r="E143" s="8" t="s">
        <v>9</v>
      </c>
      <c r="F143" s="8"/>
      <c r="H143" s="8"/>
      <c r="I143" s="8" t="s">
        <v>7190</v>
      </c>
      <c r="J143" s="8" t="s">
        <v>2992</v>
      </c>
      <c r="K143" t="s">
        <v>7191</v>
      </c>
      <c r="L143" t="s">
        <v>7192</v>
      </c>
      <c r="M143" s="3" t="str">
        <f>HYPERLINK(склад2въезд1319202122[[#This Row],[RelativePath]])</f>
        <v>8 Рейсмус\E33149364_2_20251221T124126Z.jpg</v>
      </c>
    </row>
    <row r="144" spans="1:13" x14ac:dyDescent="0.25">
      <c r="A144" s="2" t="s">
        <v>13</v>
      </c>
      <c r="B144" s="4">
        <v>46013</v>
      </c>
      <c r="C144" s="5">
        <v>0.60614583333333338</v>
      </c>
      <c r="D144" s="8" t="s">
        <v>2004</v>
      </c>
      <c r="E144" s="8" t="s">
        <v>9</v>
      </c>
      <c r="F144" s="8"/>
      <c r="H144" s="8"/>
      <c r="I144" s="8" t="s">
        <v>7395</v>
      </c>
      <c r="J144" s="8" t="s">
        <v>2992</v>
      </c>
      <c r="K144" t="s">
        <v>7396</v>
      </c>
      <c r="L144" t="s">
        <v>7397</v>
      </c>
      <c r="M144" s="3" t="str">
        <f>HYPERLINK(склад2въезд1319202122[[#This Row],[RelativePath]])</f>
        <v>8 Рейсмус\E33149364_2_20251222T143251Z.jpg</v>
      </c>
    </row>
    <row r="145" spans="1:13" x14ac:dyDescent="0.25">
      <c r="A145" s="2" t="s">
        <v>14</v>
      </c>
      <c r="B145" s="4">
        <v>46014</v>
      </c>
      <c r="C145" s="5">
        <v>0.75249999999999995</v>
      </c>
      <c r="D145" s="8" t="s">
        <v>2004</v>
      </c>
      <c r="E145" s="8" t="s">
        <v>9</v>
      </c>
      <c r="F145" s="8"/>
      <c r="H145" s="8"/>
      <c r="I145" s="8" t="s">
        <v>7398</v>
      </c>
      <c r="J145" s="8" t="s">
        <v>2992</v>
      </c>
      <c r="K145" t="s">
        <v>7399</v>
      </c>
      <c r="L145" t="s">
        <v>7400</v>
      </c>
      <c r="M145" s="3" t="str">
        <f>HYPERLINK(склад2въезд1319202122[[#This Row],[RelativePath]])</f>
        <v>8 Рейсмус\E33149364_2_20251223T180336Z.jpg</v>
      </c>
    </row>
    <row r="146" spans="1:13" x14ac:dyDescent="0.25">
      <c r="A146" s="2" t="s">
        <v>15</v>
      </c>
      <c r="B146" s="4">
        <v>46015</v>
      </c>
      <c r="C146" s="5">
        <v>0.49077546296296298</v>
      </c>
      <c r="D146" s="8" t="s">
        <v>2004</v>
      </c>
      <c r="E146" s="8" t="s">
        <v>9</v>
      </c>
      <c r="F146" s="8"/>
      <c r="H146" s="8"/>
      <c r="I146" s="8" t="s">
        <v>7445</v>
      </c>
      <c r="J146" s="8" t="s">
        <v>2992</v>
      </c>
      <c r="K146" t="s">
        <v>7446</v>
      </c>
      <c r="L146" t="s">
        <v>7447</v>
      </c>
      <c r="M146" s="3" t="str">
        <f>HYPERLINK(склад2въезд1319202122[[#This Row],[RelativePath]])</f>
        <v>8 Рейсмус\E33149364_2_20251224T114643Z.jpg</v>
      </c>
    </row>
    <row r="147" spans="1:13" x14ac:dyDescent="0.25">
      <c r="A147" s="2" t="s">
        <v>16</v>
      </c>
      <c r="B147" s="4">
        <v>46016</v>
      </c>
      <c r="C147" s="5">
        <v>0.41638888888888886</v>
      </c>
      <c r="D147" s="8" t="s">
        <v>2004</v>
      </c>
      <c r="E147" s="8" t="s">
        <v>9</v>
      </c>
      <c r="F147" s="8"/>
      <c r="H147" s="8"/>
      <c r="I147" s="8" t="s">
        <v>7448</v>
      </c>
      <c r="J147" s="8" t="s">
        <v>2992</v>
      </c>
      <c r="K147" t="s">
        <v>7449</v>
      </c>
      <c r="L147" t="s">
        <v>7450</v>
      </c>
      <c r="M147" s="3" t="str">
        <f>HYPERLINK(склад2въезд1319202122[[#This Row],[RelativePath]])</f>
        <v>8 Рейсмус\E33149364_2_20251225T095936Z.jpg</v>
      </c>
    </row>
    <row r="148" spans="1:13" x14ac:dyDescent="0.25">
      <c r="A148" s="2" t="s">
        <v>17</v>
      </c>
      <c r="B148" s="4">
        <v>46017</v>
      </c>
      <c r="C148" s="5">
        <v>0.63017361111111114</v>
      </c>
      <c r="D148" s="8" t="s">
        <v>2004</v>
      </c>
      <c r="E148" s="8" t="s">
        <v>9</v>
      </c>
      <c r="F148" s="8"/>
      <c r="H148" s="8"/>
      <c r="I148" s="8" t="s">
        <v>7864</v>
      </c>
      <c r="J148" s="8" t="s">
        <v>2992</v>
      </c>
      <c r="K148" t="s">
        <v>7865</v>
      </c>
      <c r="L148" t="s">
        <v>7866</v>
      </c>
      <c r="M148" s="3" t="str">
        <f>HYPERLINK(склад2въезд1319202122[[#This Row],[RelativePath]])</f>
        <v>8 Рейсмус\E33149364_2_20251226T150727Z.jpg</v>
      </c>
    </row>
    <row r="149" spans="1:13" x14ac:dyDescent="0.25">
      <c r="A149" s="2" t="s">
        <v>18</v>
      </c>
      <c r="B149" s="4">
        <v>46018</v>
      </c>
      <c r="C149" s="5">
        <v>0.59303240740740737</v>
      </c>
      <c r="D149" s="8" t="s">
        <v>2004</v>
      </c>
      <c r="E149" s="8" t="s">
        <v>9</v>
      </c>
      <c r="F149" s="8"/>
      <c r="H149" s="8"/>
      <c r="I149" s="8" t="s">
        <v>8022</v>
      </c>
      <c r="J149" s="8" t="s">
        <v>2992</v>
      </c>
      <c r="K149" t="s">
        <v>8023</v>
      </c>
      <c r="L149" t="s">
        <v>8024</v>
      </c>
      <c r="M149" s="3" t="str">
        <f>HYPERLINK(склад2въезд1319202122[[#This Row],[RelativePath]])</f>
        <v>8 Рейсмус\E33149364_2_20251227T141358Z.jpg</v>
      </c>
    </row>
    <row r="150" spans="1:13" x14ac:dyDescent="0.25">
      <c r="A150" s="2" t="s">
        <v>22</v>
      </c>
      <c r="B150" s="4">
        <v>46019</v>
      </c>
      <c r="C150" s="5">
        <v>0.61859953703703707</v>
      </c>
      <c r="D150" s="8" t="s">
        <v>2004</v>
      </c>
      <c r="E150" s="8" t="s">
        <v>9</v>
      </c>
      <c r="F150" s="8"/>
      <c r="H150" s="8"/>
      <c r="I150" s="8" t="s">
        <v>8025</v>
      </c>
      <c r="J150" s="8" t="s">
        <v>2992</v>
      </c>
      <c r="K150" t="s">
        <v>8026</v>
      </c>
      <c r="L150" t="s">
        <v>8027</v>
      </c>
      <c r="M150" s="3" t="str">
        <f>HYPERLINK(склад2въезд1319202122[[#This Row],[RelativePath]])</f>
        <v>8 Рейсмус\E33149364_2_20251228T145047Z.jpg</v>
      </c>
    </row>
    <row r="151" spans="1:13" x14ac:dyDescent="0.25">
      <c r="A151" s="2" t="s">
        <v>13</v>
      </c>
      <c r="B151" s="4">
        <v>46020</v>
      </c>
      <c r="C151" s="5">
        <v>0.39856481481481482</v>
      </c>
      <c r="D151" s="8" t="s">
        <v>7166</v>
      </c>
      <c r="E151" s="8"/>
      <c r="F151" s="8"/>
      <c r="H151" s="8"/>
      <c r="I151" s="8" t="s">
        <v>8144</v>
      </c>
      <c r="J151" s="8" t="s">
        <v>2992</v>
      </c>
      <c r="K151" t="s">
        <v>8145</v>
      </c>
      <c r="L151" t="s">
        <v>8146</v>
      </c>
      <c r="M151" s="3" t="str">
        <f>HYPERLINK(склад2въезд1319202122[[#This Row],[RelativePath]])</f>
        <v>8 Рейсмус\E33149364_2_20251229T093356Z.jpg</v>
      </c>
    </row>
    <row r="152" spans="1:13" x14ac:dyDescent="0.25">
      <c r="A152" s="2" t="s">
        <v>13</v>
      </c>
      <c r="B152" s="4">
        <v>46020</v>
      </c>
      <c r="C152" s="5">
        <v>0.41195601851851854</v>
      </c>
      <c r="D152" s="8" t="s">
        <v>1091</v>
      </c>
      <c r="E152" s="8" t="s">
        <v>53</v>
      </c>
      <c r="F152" s="8"/>
      <c r="G152">
        <v>5</v>
      </c>
      <c r="H152" s="8"/>
      <c r="I152" s="8" t="s">
        <v>8147</v>
      </c>
      <c r="J152" s="8" t="s">
        <v>2992</v>
      </c>
      <c r="K152" t="s">
        <v>8148</v>
      </c>
      <c r="L152" t="s">
        <v>8149</v>
      </c>
      <c r="M152" s="3" t="str">
        <f>HYPERLINK(склад2въезд1319202122[[#This Row],[RelativePath]])</f>
        <v>8 Рейсмус\E33149364_2_20251229T095313Z.jpg</v>
      </c>
    </row>
    <row r="153" spans="1:13" x14ac:dyDescent="0.25">
      <c r="A153" s="2" t="s">
        <v>13</v>
      </c>
      <c r="B153" s="4">
        <v>46020</v>
      </c>
      <c r="C153" s="5">
        <v>0.49357638888888888</v>
      </c>
      <c r="D153" s="8" t="s">
        <v>4</v>
      </c>
      <c r="E153" s="8" t="s">
        <v>531</v>
      </c>
      <c r="F153" s="8"/>
      <c r="H153" s="8"/>
      <c r="I153" s="8" t="s">
        <v>8150</v>
      </c>
      <c r="J153" s="8" t="s">
        <v>2992</v>
      </c>
      <c r="K153" t="s">
        <v>8151</v>
      </c>
      <c r="L153" t="s">
        <v>8152</v>
      </c>
      <c r="M153" s="3" t="str">
        <f>HYPERLINK(склад2въезд1319202122[[#This Row],[RelativePath]])</f>
        <v>8 Рейсмус\E33149364_2_20251229T115045Z.jpg</v>
      </c>
    </row>
    <row r="154" spans="1:13" x14ac:dyDescent="0.25">
      <c r="A154" s="2" t="s">
        <v>14</v>
      </c>
      <c r="B154" s="4">
        <v>46021</v>
      </c>
      <c r="C154" s="5">
        <v>0.52201388888888889</v>
      </c>
      <c r="D154" s="8" t="s">
        <v>2004</v>
      </c>
      <c r="E154" s="8" t="s">
        <v>9</v>
      </c>
      <c r="F154" s="8"/>
      <c r="H154" s="8"/>
      <c r="I154" s="8" t="s">
        <v>8153</v>
      </c>
      <c r="J154" s="8" t="s">
        <v>2992</v>
      </c>
      <c r="K154" t="s">
        <v>8154</v>
      </c>
      <c r="L154" t="s">
        <v>8155</v>
      </c>
      <c r="M154" s="3" t="str">
        <f>HYPERLINK(склад2въезд1319202122[[#This Row],[RelativePath]])</f>
        <v>8 Рейсмус\E33149364_2_20251230T123142Z.jpg</v>
      </c>
    </row>
    <row r="155" spans="1:13" x14ac:dyDescent="0.25">
      <c r="A155" s="2" t="s">
        <v>15</v>
      </c>
      <c r="B155" s="4">
        <v>46022</v>
      </c>
      <c r="C155" s="5">
        <v>0.60832175925925924</v>
      </c>
      <c r="D155" s="8" t="s">
        <v>2004</v>
      </c>
      <c r="E155" s="8" t="s">
        <v>9</v>
      </c>
      <c r="F155" s="8"/>
      <c r="H155" s="8"/>
      <c r="I155" s="8" t="s">
        <v>8332</v>
      </c>
      <c r="J155" s="8" t="s">
        <v>2992</v>
      </c>
      <c r="K155" t="s">
        <v>8333</v>
      </c>
      <c r="L155" t="s">
        <v>8334</v>
      </c>
      <c r="M155" s="3" t="str">
        <f>HYPERLINK(склад2въезд1319202122[[#This Row],[RelativePath]])</f>
        <v>8 Рейсмус\E33149364_2_20251231T143559Z.jpg</v>
      </c>
    </row>
    <row r="156" spans="1:13" x14ac:dyDescent="0.25">
      <c r="A156" s="2" t="s">
        <v>16</v>
      </c>
      <c r="B156" s="4">
        <v>46023</v>
      </c>
      <c r="C156" s="5">
        <v>0.67802083333333329</v>
      </c>
      <c r="D156" s="8" t="s">
        <v>2004</v>
      </c>
      <c r="E156" s="8" t="s">
        <v>9</v>
      </c>
      <c r="F156" s="8"/>
      <c r="H156" s="8"/>
      <c r="I156" s="8" t="s">
        <v>8156</v>
      </c>
      <c r="J156" s="8" t="s">
        <v>2992</v>
      </c>
      <c r="K156" t="s">
        <v>8157</v>
      </c>
      <c r="L156" t="s">
        <v>8158</v>
      </c>
      <c r="M156" s="3" t="str">
        <f>HYPERLINK(склад2въезд1319202122[[#This Row],[RelativePath]])</f>
        <v>8 Рейсмус\E33149364_2_20260101T161621Z.jpg</v>
      </c>
    </row>
    <row r="157" spans="1:13" x14ac:dyDescent="0.25">
      <c r="A157" s="2" t="s">
        <v>17</v>
      </c>
      <c r="B157" s="4">
        <v>46024</v>
      </c>
      <c r="C157" s="5">
        <v>0.47923611111111108</v>
      </c>
      <c r="D157" s="8" t="s">
        <v>2004</v>
      </c>
      <c r="E157" s="8" t="s">
        <v>9</v>
      </c>
      <c r="F157" s="8"/>
      <c r="H157" s="8"/>
      <c r="I157" s="8" t="s">
        <v>8411</v>
      </c>
      <c r="J157" s="8" t="s">
        <v>2992</v>
      </c>
      <c r="K157" t="s">
        <v>8412</v>
      </c>
      <c r="L157" t="s">
        <v>8413</v>
      </c>
      <c r="M157" s="3" t="str">
        <f>HYPERLINK(склад2въезд1319202122[[#This Row],[RelativePath]])</f>
        <v>8 Рейсмус\E33149364_2_20260102T113006Z.jpg</v>
      </c>
    </row>
    <row r="158" spans="1:13" x14ac:dyDescent="0.25">
      <c r="A158" s="2" t="s">
        <v>18</v>
      </c>
      <c r="B158" s="4">
        <v>46025</v>
      </c>
      <c r="C158" s="5">
        <v>0.68722222222222218</v>
      </c>
      <c r="D158" s="8" t="s">
        <v>2004</v>
      </c>
      <c r="E158" s="8" t="s">
        <v>9</v>
      </c>
      <c r="F158" s="8"/>
      <c r="H158" s="8"/>
      <c r="I158" s="8" t="s">
        <v>8414</v>
      </c>
      <c r="J158" s="8" t="s">
        <v>2992</v>
      </c>
      <c r="K158" t="s">
        <v>8415</v>
      </c>
      <c r="L158" t="s">
        <v>8416</v>
      </c>
      <c r="M158" s="3" t="str">
        <f>HYPERLINK(склад2въезд1319202122[[#This Row],[RelativePath]])</f>
        <v>8 Рейсмус\E33149364_2_20260103T162936Z.jpg</v>
      </c>
    </row>
    <row r="159" spans="1:13" x14ac:dyDescent="0.25">
      <c r="A159" s="2" t="s">
        <v>22</v>
      </c>
      <c r="B159" s="4">
        <v>46026</v>
      </c>
      <c r="C159" s="5">
        <v>0.62715277777777778</v>
      </c>
      <c r="D159" s="8" t="s">
        <v>2004</v>
      </c>
      <c r="E159" s="8" t="s">
        <v>9</v>
      </c>
      <c r="F159" s="8"/>
      <c r="H159" s="8"/>
      <c r="I159" s="8" t="s">
        <v>8417</v>
      </c>
      <c r="J159" s="8" t="s">
        <v>2992</v>
      </c>
      <c r="K159" t="s">
        <v>8418</v>
      </c>
      <c r="L159" t="s">
        <v>8419</v>
      </c>
      <c r="M159" s="3" t="str">
        <f>HYPERLINK(склад2въезд1319202122[[#This Row],[RelativePath]])</f>
        <v>8 Рейсмус\E33149364_2_20260104T150306Z.jpg</v>
      </c>
    </row>
    <row r="160" spans="1:13" x14ac:dyDescent="0.25">
      <c r="A160" s="2" t="s">
        <v>13</v>
      </c>
      <c r="B160" s="4">
        <v>46027</v>
      </c>
      <c r="C160" s="5">
        <v>0.60798611111111112</v>
      </c>
      <c r="D160" s="8" t="s">
        <v>2004</v>
      </c>
      <c r="E160" s="8" t="s">
        <v>9</v>
      </c>
      <c r="F160" s="8"/>
      <c r="H160" s="8"/>
      <c r="I160" s="8" t="s">
        <v>8598</v>
      </c>
      <c r="J160" s="8" t="s">
        <v>2992</v>
      </c>
      <c r="K160" t="s">
        <v>8599</v>
      </c>
      <c r="L160" t="s">
        <v>8600</v>
      </c>
      <c r="M160" s="3" t="str">
        <f>HYPERLINK(склад2въезд1319202122[[#This Row],[RelativePath]])</f>
        <v>8 Рейсмус\E33149364_2_20260105T143530Z.jpg</v>
      </c>
    </row>
    <row r="161" spans="1:13" x14ac:dyDescent="0.25">
      <c r="A161" s="2" t="s">
        <v>14</v>
      </c>
      <c r="B161" s="4">
        <v>46028</v>
      </c>
      <c r="C161" s="5">
        <v>0.66204861111111113</v>
      </c>
      <c r="D161" s="8" t="s">
        <v>2004</v>
      </c>
      <c r="E161" s="8" t="s">
        <v>9</v>
      </c>
      <c r="F161" s="8"/>
      <c r="H161" s="8"/>
      <c r="I161" s="8" t="s">
        <v>8601</v>
      </c>
      <c r="J161" s="8" t="s">
        <v>2992</v>
      </c>
      <c r="K161" t="s">
        <v>8602</v>
      </c>
      <c r="L161" t="s">
        <v>8603</v>
      </c>
      <c r="M161" s="3" t="str">
        <f>HYPERLINK(склад2въезд1319202122[[#This Row],[RelativePath]])</f>
        <v>8 Рейсмус\E33149364_2_20260106T155321Z.jpg</v>
      </c>
    </row>
    <row r="162" spans="1:13" x14ac:dyDescent="0.25">
      <c r="A162" s="2" t="s">
        <v>15</v>
      </c>
      <c r="B162" s="4">
        <v>46029</v>
      </c>
      <c r="C162" s="5">
        <v>0.50274305555555554</v>
      </c>
      <c r="D162" s="8" t="s">
        <v>2004</v>
      </c>
      <c r="E162" s="8" t="s">
        <v>9</v>
      </c>
      <c r="F162" s="8"/>
      <c r="H162" s="8"/>
      <c r="I162" s="8" t="s">
        <v>8604</v>
      </c>
      <c r="J162" s="8" t="s">
        <v>2992</v>
      </c>
      <c r="K162" t="s">
        <v>8605</v>
      </c>
      <c r="L162" t="s">
        <v>8606</v>
      </c>
      <c r="M162" s="3" t="str">
        <f>HYPERLINK(склад2въезд1319202122[[#This Row],[RelativePath]])</f>
        <v>8 Рейсмус\E33149364_2_20260107T120357Z.jpg</v>
      </c>
    </row>
    <row r="163" spans="1:13" x14ac:dyDescent="0.25">
      <c r="A163" s="2" t="s">
        <v>16</v>
      </c>
      <c r="B163" s="4">
        <v>46030</v>
      </c>
      <c r="C163" s="5">
        <v>0.59849537037037037</v>
      </c>
      <c r="D163" s="8" t="s">
        <v>2004</v>
      </c>
      <c r="E163" s="8" t="s">
        <v>9</v>
      </c>
      <c r="F163" s="8"/>
      <c r="H163" s="8"/>
      <c r="I163" s="8" t="s">
        <v>8607</v>
      </c>
      <c r="J163" s="8" t="s">
        <v>2992</v>
      </c>
      <c r="K163" t="s">
        <v>8608</v>
      </c>
      <c r="L163" t="s">
        <v>8609</v>
      </c>
      <c r="M163" s="3" t="str">
        <f>HYPERLINK(склад2въезд1319202122[[#This Row],[RelativePath]])</f>
        <v>8 Рейсмус\E33149364_2_20260108T142150Z.jpg</v>
      </c>
    </row>
    <row r="164" spans="1:13" x14ac:dyDescent="0.25">
      <c r="A164" s="2" t="s">
        <v>17</v>
      </c>
      <c r="B164" s="4">
        <v>46031</v>
      </c>
      <c r="C164" s="5">
        <v>0.69709490740740743</v>
      </c>
      <c r="D164" s="8" t="s">
        <v>2004</v>
      </c>
      <c r="E164" s="8" t="s">
        <v>9</v>
      </c>
      <c r="F164" s="8"/>
      <c r="H164" s="8"/>
      <c r="I164" s="8" t="s">
        <v>8610</v>
      </c>
      <c r="J164" s="8" t="s">
        <v>2992</v>
      </c>
      <c r="K164" t="s">
        <v>8611</v>
      </c>
      <c r="L164" t="s">
        <v>8612</v>
      </c>
      <c r="M164" s="3" t="str">
        <f>HYPERLINK(склад2въезд1319202122[[#This Row],[RelativePath]])</f>
        <v>8 Рейсмус\E33149364_2_20260109T164349Z.jpg</v>
      </c>
    </row>
    <row r="165" spans="1:13" x14ac:dyDescent="0.25">
      <c r="A165" s="2" t="s">
        <v>18</v>
      </c>
      <c r="B165" s="4">
        <v>46032</v>
      </c>
      <c r="C165" s="5">
        <v>0.67023148148148148</v>
      </c>
      <c r="D165" s="8" t="s">
        <v>2004</v>
      </c>
      <c r="E165" s="8" t="s">
        <v>9</v>
      </c>
      <c r="F165" s="8"/>
      <c r="H165" s="8"/>
      <c r="I165" s="8" t="s">
        <v>8613</v>
      </c>
      <c r="J165" s="8" t="s">
        <v>2992</v>
      </c>
      <c r="K165" t="s">
        <v>8614</v>
      </c>
      <c r="L165" t="s">
        <v>8615</v>
      </c>
      <c r="M165" s="3" t="str">
        <f>HYPERLINK(склад2въезд1319202122[[#This Row],[RelativePath]])</f>
        <v>8 Рейсмус\E33149364_2_20260110T160508Z.jpg</v>
      </c>
    </row>
    <row r="166" spans="1:13" x14ac:dyDescent="0.25">
      <c r="A166" s="2" t="s">
        <v>22</v>
      </c>
      <c r="B166" s="4">
        <v>46033</v>
      </c>
      <c r="C166" s="5">
        <v>0.63624999999999998</v>
      </c>
      <c r="D166" s="8" t="s">
        <v>2004</v>
      </c>
      <c r="E166" s="8" t="s">
        <v>8824</v>
      </c>
      <c r="F166" s="8"/>
      <c r="H166" s="8"/>
      <c r="I166" s="8" t="s">
        <v>8616</v>
      </c>
      <c r="J166" s="8" t="s">
        <v>2992</v>
      </c>
      <c r="K166" t="s">
        <v>8617</v>
      </c>
      <c r="L166" t="s">
        <v>8618</v>
      </c>
      <c r="M166" s="3" t="str">
        <f>HYPERLINK(склад2въезд1319202122[[#This Row],[RelativePath]])</f>
        <v>8 Рейсмус\E33149364_2_20260111T151612Z.jpg</v>
      </c>
    </row>
  </sheetData>
  <conditionalFormatting sqref="D167:D177 E167:E180 G2:H166 D2:E166">
    <cfRule type="containsText" dxfId="634" priority="14" operator="containsText" text="Выезд с территории">
      <formula>NOT(ISERROR(SEARCH("Выезд с территории",D2)))</formula>
    </cfRule>
  </conditionalFormatting>
  <conditionalFormatting sqref="F2:F166">
    <cfRule type="notContainsText" dxfId="633" priority="13" operator="notContains" text="порожний">
      <formula>ISERROR(SEARCH("порожний",F2))</formula>
    </cfRule>
  </conditionalFormatting>
  <conditionalFormatting sqref="E2:E180">
    <cfRule type="containsText" dxfId="632" priority="11" operator="containsText" text="Газель базы">
      <formula>NOT(ISERROR(SEARCH("Газель базы",E2)))</formula>
    </cfRule>
    <cfRule type="containsText" dxfId="631" priority="12" operator="containsText" text="Погрузчик базы">
      <formula>NOT(ISERROR(SEARCH("Погрузчик базы",E2)))</formula>
    </cfRule>
  </conditionalFormatting>
  <conditionalFormatting sqref="E2:E180">
    <cfRule type="containsText" dxfId="630" priority="10" operator="containsText" text="Трактор базы">
      <formula>NOT(ISERROR(SEARCH("Трактор базы",E2)))</formula>
    </cfRule>
  </conditionalFormatting>
  <conditionalFormatting sqref="A2:C166">
    <cfRule type="expression" dxfId="629" priority="9">
      <formula>$A2="пн"</formula>
    </cfRule>
  </conditionalFormatting>
  <conditionalFormatting sqref="A2:C168">
    <cfRule type="expression" dxfId="628" priority="3">
      <formula>$A2="вс"</formula>
    </cfRule>
    <cfRule type="expression" dxfId="627" priority="4">
      <formula>$A2="сб"</formula>
    </cfRule>
    <cfRule type="expression" dxfId="626" priority="5">
      <formula>$A2="пт"</formula>
    </cfRule>
    <cfRule type="expression" dxfId="625" priority="6">
      <formula>$A2="чт"</formula>
    </cfRule>
    <cfRule type="expression" dxfId="624" priority="7">
      <formula>$A2="ср"</formula>
    </cfRule>
    <cfRule type="expression" dxfId="623" priority="8">
      <formula>$A2="вт"</formula>
    </cfRule>
  </conditionalFormatting>
  <conditionalFormatting sqref="D2:D177">
    <cfRule type="containsText" dxfId="62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7">
    <cfRule type="containsText" dxfId="62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482"/>
  <sheetViews>
    <sheetView zoomScale="90" zoomScaleNormal="90" workbookViewId="0">
      <pane ySplit="1" topLeftCell="A466" activePane="bottomLeft" state="frozen"/>
      <selection pane="bottomLeft" activeCell="I476" sqref="I476:I48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8.7109375" bestFit="1" customWidth="1"/>
    <col min="5" max="5" width="44" bestFit="1" customWidth="1"/>
    <col min="6" max="6" width="18.7109375" bestFit="1" customWidth="1"/>
    <col min="7" max="7" width="7.28515625" bestFit="1" customWidth="1"/>
    <col min="8" max="8" width="30" bestFit="1" customWidth="1"/>
    <col min="9" max="9" width="35.42578125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s="8" t="s">
        <v>4</v>
      </c>
      <c r="E2" s="8" t="s">
        <v>9</v>
      </c>
      <c r="F2" s="8"/>
      <c r="H2" s="8"/>
      <c r="I2" s="8" t="s">
        <v>797</v>
      </c>
      <c r="J2" s="8" t="s">
        <v>2993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s="8" t="s">
        <v>1091</v>
      </c>
      <c r="E3" s="8" t="s">
        <v>1097</v>
      </c>
      <c r="F3" s="8"/>
      <c r="H3" s="8"/>
      <c r="I3" s="8" t="s">
        <v>800</v>
      </c>
      <c r="J3" s="8" t="s">
        <v>2993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s="8" t="s">
        <v>793</v>
      </c>
      <c r="E4" s="8" t="s">
        <v>531</v>
      </c>
      <c r="F4" s="8"/>
      <c r="H4" s="8"/>
      <c r="I4" s="8" t="s">
        <v>803</v>
      </c>
      <c r="J4" s="8" t="s">
        <v>2993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s="8" t="s">
        <v>793</v>
      </c>
      <c r="E5" s="8" t="s">
        <v>531</v>
      </c>
      <c r="F5" s="8"/>
      <c r="H5" s="8"/>
      <c r="I5" s="8" t="s">
        <v>806</v>
      </c>
      <c r="J5" s="8" t="s">
        <v>2993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s="8" t="s">
        <v>4</v>
      </c>
      <c r="E6" s="8" t="s">
        <v>9</v>
      </c>
      <c r="F6" s="8"/>
      <c r="H6" s="8"/>
      <c r="I6" s="8" t="s">
        <v>809</v>
      </c>
      <c r="J6" s="8" t="s">
        <v>2993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s="8" t="s">
        <v>1098</v>
      </c>
      <c r="E7" s="8" t="s">
        <v>531</v>
      </c>
      <c r="F7" s="8"/>
      <c r="H7" s="8"/>
      <c r="I7" s="8" t="s">
        <v>812</v>
      </c>
      <c r="J7" s="8" t="s">
        <v>2993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s="8" t="s">
        <v>289</v>
      </c>
      <c r="E8" s="8" t="s">
        <v>1099</v>
      </c>
      <c r="F8" s="8"/>
      <c r="H8" s="8"/>
      <c r="I8" s="8" t="s">
        <v>815</v>
      </c>
      <c r="J8" s="8" t="s">
        <v>2993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s="8" t="s">
        <v>4</v>
      </c>
      <c r="E9" s="8" t="s">
        <v>9</v>
      </c>
      <c r="F9" s="8"/>
      <c r="H9" s="8"/>
      <c r="I9" s="8" t="s">
        <v>818</v>
      </c>
      <c r="J9" s="8" t="s">
        <v>2993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s="8" t="s">
        <v>4</v>
      </c>
      <c r="E10" s="8" t="s">
        <v>9</v>
      </c>
      <c r="F10" s="8"/>
      <c r="H10" s="8"/>
      <c r="I10" s="8" t="s">
        <v>821</v>
      </c>
      <c r="J10" s="8" t="s">
        <v>2993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s="8" t="s">
        <v>4</v>
      </c>
      <c r="E11" s="8" t="s">
        <v>9</v>
      </c>
      <c r="F11" s="8"/>
      <c r="H11" s="8"/>
      <c r="I11" s="8" t="s">
        <v>824</v>
      </c>
      <c r="J11" s="8" t="s">
        <v>2993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s="8" t="s">
        <v>2024</v>
      </c>
      <c r="E12" s="8" t="s">
        <v>1304</v>
      </c>
      <c r="F12" s="8"/>
      <c r="H12" s="8"/>
      <c r="I12" s="8" t="s">
        <v>827</v>
      </c>
      <c r="J12" s="8" t="s">
        <v>2993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s="8" t="s">
        <v>4</v>
      </c>
      <c r="E13" s="8" t="s">
        <v>9</v>
      </c>
      <c r="F13" s="8"/>
      <c r="H13" s="8"/>
      <c r="I13" s="8" t="s">
        <v>830</v>
      </c>
      <c r="J13" s="8" t="s">
        <v>2993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s="8" t="s">
        <v>4</v>
      </c>
      <c r="E14" s="8" t="s">
        <v>9</v>
      </c>
      <c r="F14" s="8"/>
      <c r="H14" s="8"/>
      <c r="I14" s="8" t="s">
        <v>833</v>
      </c>
      <c r="J14" s="8" t="s">
        <v>2993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s="8" t="s">
        <v>4</v>
      </c>
      <c r="E15" s="8" t="s">
        <v>9</v>
      </c>
      <c r="F15" s="8"/>
      <c r="H15" s="8"/>
      <c r="I15" s="8" t="s">
        <v>836</v>
      </c>
      <c r="J15" s="8" t="s">
        <v>2993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s="8" t="s">
        <v>4</v>
      </c>
      <c r="E16" s="8" t="s">
        <v>9</v>
      </c>
      <c r="F16" s="8"/>
      <c r="H16" s="8"/>
      <c r="I16" s="8" t="s">
        <v>839</v>
      </c>
      <c r="J16" s="8" t="s">
        <v>2993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s="8" t="s">
        <v>4</v>
      </c>
      <c r="E17" s="8" t="s">
        <v>9</v>
      </c>
      <c r="F17" s="8"/>
      <c r="H17" s="8"/>
      <c r="I17" s="8" t="s">
        <v>842</v>
      </c>
      <c r="J17" s="8" t="s">
        <v>2993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s="8" t="s">
        <v>4</v>
      </c>
      <c r="E18" s="8" t="s">
        <v>9</v>
      </c>
      <c r="F18" s="8"/>
      <c r="H18" s="8"/>
      <c r="I18" s="8" t="s">
        <v>845</v>
      </c>
      <c r="J18" s="8" t="s">
        <v>2993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s="8" t="s">
        <v>4</v>
      </c>
      <c r="E19" s="8" t="s">
        <v>9</v>
      </c>
      <c r="F19" s="8"/>
      <c r="H19" s="8"/>
      <c r="I19" s="8" t="s">
        <v>848</v>
      </c>
      <c r="J19" s="8" t="s">
        <v>2993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s="8" t="s">
        <v>4</v>
      </c>
      <c r="E20" s="8" t="s">
        <v>9</v>
      </c>
      <c r="F20" s="8"/>
      <c r="H20" s="8"/>
      <c r="I20" s="8" t="s">
        <v>851</v>
      </c>
      <c r="J20" s="8" t="s">
        <v>2993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s="8" t="s">
        <v>4</v>
      </c>
      <c r="E21" s="8" t="s">
        <v>9</v>
      </c>
      <c r="F21" s="8"/>
      <c r="H21" s="8"/>
      <c r="I21" s="8" t="s">
        <v>854</v>
      </c>
      <c r="J21" s="8" t="s">
        <v>2993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s="8" t="s">
        <v>4</v>
      </c>
      <c r="E22" s="8" t="s">
        <v>9</v>
      </c>
      <c r="F22" s="8"/>
      <c r="H22" s="8"/>
      <c r="I22" s="8" t="s">
        <v>857</v>
      </c>
      <c r="J22" s="8" t="s">
        <v>2993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s="8" t="s">
        <v>4</v>
      </c>
      <c r="E23" s="8" t="s">
        <v>9</v>
      </c>
      <c r="F23" s="8"/>
      <c r="H23" s="8"/>
      <c r="I23" s="8" t="s">
        <v>860</v>
      </c>
      <c r="J23" s="8" t="s">
        <v>2993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s="8" t="s">
        <v>4</v>
      </c>
      <c r="E24" s="8" t="s">
        <v>9</v>
      </c>
      <c r="F24" s="8"/>
      <c r="H24" s="8"/>
      <c r="I24" s="8" t="s">
        <v>863</v>
      </c>
      <c r="J24" s="8" t="s">
        <v>2993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s="8" t="s">
        <v>4</v>
      </c>
      <c r="E25" s="8" t="s">
        <v>9</v>
      </c>
      <c r="F25" s="8"/>
      <c r="H25" s="8"/>
      <c r="I25" s="8" t="s">
        <v>866</v>
      </c>
      <c r="J25" s="8" t="s">
        <v>2993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s="8" t="s">
        <v>4</v>
      </c>
      <c r="E26" s="8" t="s">
        <v>9</v>
      </c>
      <c r="F26" s="8"/>
      <c r="H26" s="8"/>
      <c r="I26" s="8" t="s">
        <v>869</v>
      </c>
      <c r="J26" s="8" t="s">
        <v>2993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s="8" t="s">
        <v>4</v>
      </c>
      <c r="E27" s="8" t="s">
        <v>9</v>
      </c>
      <c r="F27" s="8"/>
      <c r="H27" s="8"/>
      <c r="I27" s="8" t="s">
        <v>872</v>
      </c>
      <c r="J27" s="8" t="s">
        <v>2993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s="8" t="s">
        <v>4</v>
      </c>
      <c r="E28" s="8" t="s">
        <v>9</v>
      </c>
      <c r="F28" s="8"/>
      <c r="H28" s="8"/>
      <c r="I28" s="8" t="s">
        <v>875</v>
      </c>
      <c r="J28" s="8" t="s">
        <v>2993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s="8" t="s">
        <v>2024</v>
      </c>
      <c r="E29" s="8" t="s">
        <v>1304</v>
      </c>
      <c r="F29" s="8"/>
      <c r="H29" s="8"/>
      <c r="I29" s="8" t="s">
        <v>878</v>
      </c>
      <c r="J29" s="8" t="s">
        <v>2993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s="8" t="s">
        <v>2024</v>
      </c>
      <c r="E30" s="8" t="s">
        <v>1304</v>
      </c>
      <c r="F30" s="8"/>
      <c r="H30" s="8"/>
      <c r="I30" s="8" t="s">
        <v>881</v>
      </c>
      <c r="J30" s="8" t="s">
        <v>2993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s="8" t="s">
        <v>2024</v>
      </c>
      <c r="E31" s="8" t="s">
        <v>1304</v>
      </c>
      <c r="F31" s="8"/>
      <c r="H31" s="8"/>
      <c r="I31" s="8" t="s">
        <v>884</v>
      </c>
      <c r="J31" s="8" t="s">
        <v>2993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s="8" t="s">
        <v>4</v>
      </c>
      <c r="E32" s="8" t="s">
        <v>9</v>
      </c>
      <c r="F32" s="8"/>
      <c r="H32" s="8"/>
      <c r="I32" s="8" t="s">
        <v>887</v>
      </c>
      <c r="J32" s="8" t="s">
        <v>2993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s="8" t="s">
        <v>4</v>
      </c>
      <c r="E33" s="8" t="s">
        <v>9</v>
      </c>
      <c r="F33" s="8"/>
      <c r="H33" s="8"/>
      <c r="I33" s="8" t="s">
        <v>890</v>
      </c>
      <c r="J33" s="8" t="s">
        <v>2993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s="8" t="s">
        <v>4</v>
      </c>
      <c r="E34" s="8" t="s">
        <v>9</v>
      </c>
      <c r="F34" s="8"/>
      <c r="H34" s="8"/>
      <c r="I34" s="8" t="s">
        <v>893</v>
      </c>
      <c r="J34" s="8" t="s">
        <v>2993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s="8" t="s">
        <v>4</v>
      </c>
      <c r="E35" s="8" t="s">
        <v>9</v>
      </c>
      <c r="F35" s="8"/>
      <c r="H35" s="8"/>
      <c r="I35" s="8" t="s">
        <v>896</v>
      </c>
      <c r="J35" s="8" t="s">
        <v>2993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s="8" t="s">
        <v>2024</v>
      </c>
      <c r="E36" s="8" t="s">
        <v>1304</v>
      </c>
      <c r="F36" s="8"/>
      <c r="H36" s="8"/>
      <c r="I36" s="8" t="s">
        <v>899</v>
      </c>
      <c r="J36" s="8" t="s">
        <v>2993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s="8" t="s">
        <v>4</v>
      </c>
      <c r="E37" s="8" t="s">
        <v>9</v>
      </c>
      <c r="F37" s="8"/>
      <c r="H37" s="8"/>
      <c r="I37" s="8" t="s">
        <v>902</v>
      </c>
      <c r="J37" s="8" t="s">
        <v>2993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s="8" t="s">
        <v>795</v>
      </c>
      <c r="E38" s="8" t="s">
        <v>1304</v>
      </c>
      <c r="F38" s="8"/>
      <c r="H38" s="8"/>
      <c r="I38" s="8" t="s">
        <v>905</v>
      </c>
      <c r="J38" s="8" t="s">
        <v>2993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s="8" t="s">
        <v>4</v>
      </c>
      <c r="E39" s="8" t="s">
        <v>9</v>
      </c>
      <c r="F39" s="8"/>
      <c r="H39" s="8"/>
      <c r="I39" s="8" t="s">
        <v>908</v>
      </c>
      <c r="J39" s="8" t="s">
        <v>2993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s="8" t="s">
        <v>4</v>
      </c>
      <c r="E40" s="8" t="s">
        <v>9</v>
      </c>
      <c r="F40" s="8"/>
      <c r="H40" s="8"/>
      <c r="I40" s="8" t="s">
        <v>911</v>
      </c>
      <c r="J40" s="8" t="s">
        <v>2993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s="8" t="s">
        <v>4</v>
      </c>
      <c r="E41" s="8" t="s">
        <v>9</v>
      </c>
      <c r="F41" s="8"/>
      <c r="H41" s="8"/>
      <c r="I41" s="8" t="s">
        <v>914</v>
      </c>
      <c r="J41" s="8" t="s">
        <v>2993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s="8" t="s">
        <v>4</v>
      </c>
      <c r="E42" s="8" t="s">
        <v>9</v>
      </c>
      <c r="F42" s="8"/>
      <c r="H42" s="8"/>
      <c r="I42" s="8" t="s">
        <v>917</v>
      </c>
      <c r="J42" s="8" t="s">
        <v>2993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s="8" t="s">
        <v>4</v>
      </c>
      <c r="E43" s="8" t="s">
        <v>9</v>
      </c>
      <c r="F43" s="8"/>
      <c r="H43" s="8"/>
      <c r="I43" s="8" t="s">
        <v>920</v>
      </c>
      <c r="J43" s="8" t="s">
        <v>2993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s="8" t="s">
        <v>1091</v>
      </c>
      <c r="E44" s="8" t="s">
        <v>1093</v>
      </c>
      <c r="F44" s="8"/>
      <c r="H44" s="8"/>
      <c r="I44" s="8" t="s">
        <v>923</v>
      </c>
      <c r="J44" s="8" t="s">
        <v>2993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s="8" t="s">
        <v>4</v>
      </c>
      <c r="E45" s="8" t="s">
        <v>9</v>
      </c>
      <c r="F45" s="8"/>
      <c r="H45" s="8"/>
      <c r="I45" s="8" t="s">
        <v>926</v>
      </c>
      <c r="J45" s="8" t="s">
        <v>2993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s="8" t="s">
        <v>795</v>
      </c>
      <c r="E46" s="8" t="s">
        <v>1304</v>
      </c>
      <c r="F46" s="8"/>
      <c r="H46" s="8"/>
      <c r="I46" s="8" t="s">
        <v>929</v>
      </c>
      <c r="J46" s="8" t="s">
        <v>2993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s="8" t="s">
        <v>1305</v>
      </c>
      <c r="E47" s="8" t="s">
        <v>1097</v>
      </c>
      <c r="F47" s="8"/>
      <c r="H47" s="8"/>
      <c r="I47" s="8" t="s">
        <v>932</v>
      </c>
      <c r="J47" s="8" t="s">
        <v>2993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s="8" t="s">
        <v>4</v>
      </c>
      <c r="E48" s="8" t="s">
        <v>9</v>
      </c>
      <c r="F48" s="8"/>
      <c r="H48" s="8"/>
      <c r="I48" s="8" t="s">
        <v>935</v>
      </c>
      <c r="J48" s="8" t="s">
        <v>2993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s="8" t="s">
        <v>4</v>
      </c>
      <c r="E49" s="8" t="s">
        <v>9</v>
      </c>
      <c r="F49" s="8"/>
      <c r="H49" s="8"/>
      <c r="I49" s="8" t="s">
        <v>938</v>
      </c>
      <c r="J49" s="8" t="s">
        <v>2993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s="8" t="s">
        <v>1091</v>
      </c>
      <c r="E50" s="8" t="s">
        <v>1095</v>
      </c>
      <c r="F50" s="8"/>
      <c r="H50" s="8"/>
      <c r="I50" s="8" t="s">
        <v>941</v>
      </c>
      <c r="J50" s="8" t="s">
        <v>2993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s="8" t="s">
        <v>4</v>
      </c>
      <c r="E51" s="8" t="s">
        <v>9</v>
      </c>
      <c r="F51" s="8"/>
      <c r="H51" s="8"/>
      <c r="I51" s="8" t="s">
        <v>944</v>
      </c>
      <c r="J51" s="8" t="s">
        <v>2993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s="8" t="s">
        <v>4</v>
      </c>
      <c r="E52" s="8" t="s">
        <v>1306</v>
      </c>
      <c r="F52" s="8"/>
      <c r="H52" s="8"/>
      <c r="I52" s="8" t="s">
        <v>947</v>
      </c>
      <c r="J52" s="8" t="s">
        <v>2993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s="8" t="s">
        <v>1091</v>
      </c>
      <c r="E53" s="8" t="s">
        <v>1306</v>
      </c>
      <c r="F53" s="8"/>
      <c r="H53" s="8"/>
      <c r="I53" s="8" t="s">
        <v>950</v>
      </c>
      <c r="J53" s="8" t="s">
        <v>2993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s="8" t="s">
        <v>4</v>
      </c>
      <c r="E54" s="8" t="s">
        <v>9</v>
      </c>
      <c r="F54" s="8"/>
      <c r="H54" s="8"/>
      <c r="I54" s="8" t="s">
        <v>953</v>
      </c>
      <c r="J54" s="8" t="s">
        <v>2993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s="8" t="s">
        <v>4</v>
      </c>
      <c r="E55" s="8" t="s">
        <v>9</v>
      </c>
      <c r="F55" s="8"/>
      <c r="H55" s="8"/>
      <c r="I55" s="8" t="s">
        <v>956</v>
      </c>
      <c r="J55" s="8" t="s">
        <v>2993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s="8" t="s">
        <v>4</v>
      </c>
      <c r="E56" s="8" t="s">
        <v>9</v>
      </c>
      <c r="F56" s="8"/>
      <c r="H56" s="8"/>
      <c r="I56" s="8" t="s">
        <v>959</v>
      </c>
      <c r="J56" s="8" t="s">
        <v>2993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s="8" t="s">
        <v>4</v>
      </c>
      <c r="E57" s="8" t="s">
        <v>9</v>
      </c>
      <c r="F57" s="8"/>
      <c r="H57" s="8"/>
      <c r="I57" s="8" t="s">
        <v>962</v>
      </c>
      <c r="J57" s="8" t="s">
        <v>2993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s="8" t="s">
        <v>4</v>
      </c>
      <c r="E58" s="8" t="s">
        <v>9</v>
      </c>
      <c r="F58" s="8"/>
      <c r="H58" s="8"/>
      <c r="I58" s="8" t="s">
        <v>965</v>
      </c>
      <c r="J58" s="8" t="s">
        <v>2993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s="8" t="s">
        <v>4</v>
      </c>
      <c r="E59" s="8" t="s">
        <v>9</v>
      </c>
      <c r="F59" s="8"/>
      <c r="H59" s="8"/>
      <c r="I59" s="8" t="s">
        <v>968</v>
      </c>
      <c r="J59" s="8" t="s">
        <v>2993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s="8" t="s">
        <v>4</v>
      </c>
      <c r="E60" s="8" t="s">
        <v>9</v>
      </c>
      <c r="F60" s="8"/>
      <c r="H60" s="8"/>
      <c r="I60" s="8" t="s">
        <v>971</v>
      </c>
      <c r="J60" s="8" t="s">
        <v>2993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s="8" t="s">
        <v>4</v>
      </c>
      <c r="E61" s="8" t="s">
        <v>9</v>
      </c>
      <c r="F61" s="8"/>
      <c r="H61" s="8"/>
      <c r="I61" s="8" t="s">
        <v>974</v>
      </c>
      <c r="J61" s="8" t="s">
        <v>2993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s="8" t="s">
        <v>4</v>
      </c>
      <c r="E62" s="8" t="s">
        <v>9</v>
      </c>
      <c r="F62" s="8"/>
      <c r="H62" s="8"/>
      <c r="I62" s="8" t="s">
        <v>977</v>
      </c>
      <c r="J62" s="8" t="s">
        <v>2993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s="8" t="s">
        <v>4</v>
      </c>
      <c r="E63" s="8" t="s">
        <v>9</v>
      </c>
      <c r="F63" s="8"/>
      <c r="H63" s="8"/>
      <c r="I63" s="8" t="s">
        <v>980</v>
      </c>
      <c r="J63" s="8" t="s">
        <v>2993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s="8" t="s">
        <v>4</v>
      </c>
      <c r="E64" s="8" t="s">
        <v>9</v>
      </c>
      <c r="F64" s="8"/>
      <c r="H64" s="8"/>
      <c r="I64" s="8" t="s">
        <v>983</v>
      </c>
      <c r="J64" s="8" t="s">
        <v>2993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s="8" t="s">
        <v>4</v>
      </c>
      <c r="E65" s="8" t="s">
        <v>9</v>
      </c>
      <c r="F65" s="8"/>
      <c r="H65" s="8"/>
      <c r="I65" s="8" t="s">
        <v>986</v>
      </c>
      <c r="J65" s="8" t="s">
        <v>2993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s="8" t="s">
        <v>4</v>
      </c>
      <c r="E66" s="8" t="s">
        <v>9</v>
      </c>
      <c r="F66" s="8"/>
      <c r="H66" s="8"/>
      <c r="I66" s="8" t="s">
        <v>989</v>
      </c>
      <c r="J66" s="8" t="s">
        <v>2993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s="8" t="s">
        <v>4</v>
      </c>
      <c r="E67" s="8" t="s">
        <v>9</v>
      </c>
      <c r="F67" s="8"/>
      <c r="H67" s="8"/>
      <c r="I67" s="8" t="s">
        <v>992</v>
      </c>
      <c r="J67" s="8" t="s">
        <v>2993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s="8" t="s">
        <v>4</v>
      </c>
      <c r="E68" s="8" t="s">
        <v>9</v>
      </c>
      <c r="F68" s="8"/>
      <c r="H68" s="8"/>
      <c r="I68" s="8" t="s">
        <v>995</v>
      </c>
      <c r="J68" s="8" t="s">
        <v>2993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s="8" t="s">
        <v>4</v>
      </c>
      <c r="E69" s="8" t="s">
        <v>9</v>
      </c>
      <c r="F69" s="8"/>
      <c r="H69" s="8"/>
      <c r="I69" s="8" t="s">
        <v>998</v>
      </c>
      <c r="J69" s="8" t="s">
        <v>2993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s="8" t="s">
        <v>4</v>
      </c>
      <c r="E70" s="8" t="s">
        <v>9</v>
      </c>
      <c r="F70" s="8"/>
      <c r="H70" s="8"/>
      <c r="I70" s="8" t="s">
        <v>1001</v>
      </c>
      <c r="J70" s="8" t="s">
        <v>2993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s="8" t="s">
        <v>4</v>
      </c>
      <c r="E71" s="8" t="s">
        <v>9</v>
      </c>
      <c r="F71" s="8"/>
      <c r="H71" s="8"/>
      <c r="I71" s="8" t="s">
        <v>1004</v>
      </c>
      <c r="J71" s="8" t="s">
        <v>2993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s="8" t="s">
        <v>4</v>
      </c>
      <c r="E72" s="8" t="s">
        <v>9</v>
      </c>
      <c r="F72" s="8"/>
      <c r="H72" s="8"/>
      <c r="I72" s="8" t="s">
        <v>1007</v>
      </c>
      <c r="J72" s="8" t="s">
        <v>2993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s="8" t="s">
        <v>2024</v>
      </c>
      <c r="E73" s="8" t="s">
        <v>1304</v>
      </c>
      <c r="F73" s="8"/>
      <c r="H73" s="8"/>
      <c r="I73" s="8" t="s">
        <v>1010</v>
      </c>
      <c r="J73" s="8" t="s">
        <v>2993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s="8" t="s">
        <v>4</v>
      </c>
      <c r="E74" s="8" t="s">
        <v>9</v>
      </c>
      <c r="F74" s="8"/>
      <c r="H74" s="8"/>
      <c r="I74" s="8" t="s">
        <v>1013</v>
      </c>
      <c r="J74" s="8" t="s">
        <v>2993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s="8" t="s">
        <v>4</v>
      </c>
      <c r="E75" s="8" t="s">
        <v>9</v>
      </c>
      <c r="F75" s="8"/>
      <c r="H75" s="8"/>
      <c r="I75" s="8" t="s">
        <v>1016</v>
      </c>
      <c r="J75" s="8" t="s">
        <v>2993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s="8" t="s">
        <v>4</v>
      </c>
      <c r="E76" s="8" t="s">
        <v>9</v>
      </c>
      <c r="F76" s="8"/>
      <c r="H76" s="8"/>
      <c r="I76" s="8" t="s">
        <v>1019</v>
      </c>
      <c r="J76" s="8" t="s">
        <v>2993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s="8" t="s">
        <v>1091</v>
      </c>
      <c r="E77" s="8" t="s">
        <v>1095</v>
      </c>
      <c r="F77" s="8"/>
      <c r="H77" s="8"/>
      <c r="I77" s="8" t="s">
        <v>1022</v>
      </c>
      <c r="J77" s="8" t="s">
        <v>2993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s="8" t="s">
        <v>1091</v>
      </c>
      <c r="E78" s="8" t="s">
        <v>1095</v>
      </c>
      <c r="F78" s="8"/>
      <c r="H78" s="8"/>
      <c r="I78" s="8" t="s">
        <v>1025</v>
      </c>
      <c r="J78" s="8" t="s">
        <v>2993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s="8" t="s">
        <v>4</v>
      </c>
      <c r="E79" s="8" t="s">
        <v>9</v>
      </c>
      <c r="F79" s="8"/>
      <c r="H79" s="8"/>
      <c r="I79" s="8" t="s">
        <v>1028</v>
      </c>
      <c r="J79" s="8" t="s">
        <v>2993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s="8" t="s">
        <v>4</v>
      </c>
      <c r="E80" s="8" t="s">
        <v>9</v>
      </c>
      <c r="F80" s="8"/>
      <c r="H80" s="8"/>
      <c r="I80" s="8" t="s">
        <v>1031</v>
      </c>
      <c r="J80" s="8" t="s">
        <v>2993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s="8" t="s">
        <v>4</v>
      </c>
      <c r="E81" s="8" t="s">
        <v>9</v>
      </c>
      <c r="F81" s="8"/>
      <c r="H81" s="8"/>
      <c r="I81" s="8" t="s">
        <v>1034</v>
      </c>
      <c r="J81" s="8" t="s">
        <v>2993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s="8" t="s">
        <v>4</v>
      </c>
      <c r="E82" s="8" t="s">
        <v>9</v>
      </c>
      <c r="F82" s="8"/>
      <c r="H82" s="8"/>
      <c r="I82" s="8" t="s">
        <v>1037</v>
      </c>
      <c r="J82" s="8" t="s">
        <v>2993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s="8" t="s">
        <v>4</v>
      </c>
      <c r="E83" s="8" t="s">
        <v>9</v>
      </c>
      <c r="F83" s="8"/>
      <c r="H83" s="8"/>
      <c r="I83" s="8" t="s">
        <v>1040</v>
      </c>
      <c r="J83" s="8" t="s">
        <v>2993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s="8" t="s">
        <v>4</v>
      </c>
      <c r="E84" s="8" t="s">
        <v>9</v>
      </c>
      <c r="F84" s="8"/>
      <c r="H84" s="8"/>
      <c r="I84" s="8" t="s">
        <v>1043</v>
      </c>
      <c r="J84" s="8" t="s">
        <v>2993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s="8" t="s">
        <v>4</v>
      </c>
      <c r="E85" s="8" t="s">
        <v>9</v>
      </c>
      <c r="F85" s="8"/>
      <c r="H85" s="8"/>
      <c r="I85" s="8" t="s">
        <v>1046</v>
      </c>
      <c r="J85" s="8" t="s">
        <v>2993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s="8" t="s">
        <v>2024</v>
      </c>
      <c r="E86" s="8" t="s">
        <v>1304</v>
      </c>
      <c r="F86" s="8"/>
      <c r="H86" s="8"/>
      <c r="I86" s="8" t="s">
        <v>1049</v>
      </c>
      <c r="J86" s="8" t="s">
        <v>2993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s="8" t="s">
        <v>4</v>
      </c>
      <c r="E87" s="8" t="s">
        <v>9</v>
      </c>
      <c r="F87" s="8"/>
      <c r="H87" s="8"/>
      <c r="I87" s="8" t="s">
        <v>1052</v>
      </c>
      <c r="J87" s="8" t="s">
        <v>2993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s="8" t="s">
        <v>795</v>
      </c>
      <c r="E88" s="8" t="s">
        <v>1304</v>
      </c>
      <c r="F88" s="8"/>
      <c r="H88" s="8"/>
      <c r="I88" s="8" t="s">
        <v>1055</v>
      </c>
      <c r="J88" s="8" t="s">
        <v>2993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s="8" t="s">
        <v>4</v>
      </c>
      <c r="E89" s="8" t="s">
        <v>9</v>
      </c>
      <c r="F89" s="8"/>
      <c r="H89" s="8"/>
      <c r="I89" s="8" t="s">
        <v>1058</v>
      </c>
      <c r="J89" s="8" t="s">
        <v>2993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s="8" t="s">
        <v>4</v>
      </c>
      <c r="E90" s="8" t="s">
        <v>9</v>
      </c>
      <c r="F90" s="8"/>
      <c r="H90" s="8"/>
      <c r="I90" s="8" t="s">
        <v>1061</v>
      </c>
      <c r="J90" s="8" t="s">
        <v>2993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s="8" t="s">
        <v>4</v>
      </c>
      <c r="E91" s="8" t="s">
        <v>9</v>
      </c>
      <c r="F91" s="8"/>
      <c r="H91" s="8"/>
      <c r="I91" s="8" t="s">
        <v>1064</v>
      </c>
      <c r="J91" s="8" t="s">
        <v>2993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s="8" t="s">
        <v>4</v>
      </c>
      <c r="E92" s="8" t="s">
        <v>9</v>
      </c>
      <c r="F92" s="8"/>
      <c r="H92" s="8"/>
      <c r="I92" s="8" t="s">
        <v>1067</v>
      </c>
      <c r="J92" s="8" t="s">
        <v>2993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s="8" t="s">
        <v>4</v>
      </c>
      <c r="E93" s="8" t="s">
        <v>9</v>
      </c>
      <c r="F93" s="8"/>
      <c r="H93" s="8"/>
      <c r="I93" s="8" t="s">
        <v>1070</v>
      </c>
      <c r="J93" s="8" t="s">
        <v>2993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s="8" t="s">
        <v>4</v>
      </c>
      <c r="E94" s="8" t="s">
        <v>9</v>
      </c>
      <c r="F94" s="8"/>
      <c r="H94" s="8"/>
      <c r="I94" s="8" t="s">
        <v>1073</v>
      </c>
      <c r="J94" s="8" t="s">
        <v>2993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s="8" t="s">
        <v>4</v>
      </c>
      <c r="E95" s="8" t="s">
        <v>9</v>
      </c>
      <c r="F95" s="8"/>
      <c r="H95" s="8"/>
      <c r="I95" s="8" t="s">
        <v>1076</v>
      </c>
      <c r="J95" s="8" t="s">
        <v>2993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s="8" t="s">
        <v>4</v>
      </c>
      <c r="E96" s="8" t="s">
        <v>9</v>
      </c>
      <c r="F96" s="8"/>
      <c r="H96" s="8"/>
      <c r="I96" s="8" t="s">
        <v>1079</v>
      </c>
      <c r="J96" s="8" t="s">
        <v>2993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s="8" t="s">
        <v>4</v>
      </c>
      <c r="E97" s="8" t="s">
        <v>9</v>
      </c>
      <c r="F97" s="8"/>
      <c r="H97" s="8"/>
      <c r="I97" s="8" t="s">
        <v>1082</v>
      </c>
      <c r="J97" s="8" t="s">
        <v>2993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s="8" t="s">
        <v>4</v>
      </c>
      <c r="E98" s="8" t="s">
        <v>9</v>
      </c>
      <c r="F98" s="8"/>
      <c r="H98" s="8"/>
      <c r="I98" s="8" t="s">
        <v>1085</v>
      </c>
      <c r="J98" s="8" t="s">
        <v>2993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s="8" t="s">
        <v>4</v>
      </c>
      <c r="E99" s="8" t="s">
        <v>9</v>
      </c>
      <c r="F99" s="8"/>
      <c r="H99" s="8"/>
      <c r="I99" s="8" t="s">
        <v>1088</v>
      </c>
      <c r="J99" s="8" t="s">
        <v>2993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s="8" t="s">
        <v>2024</v>
      </c>
      <c r="E100" s="8" t="s">
        <v>1304</v>
      </c>
      <c r="F100" s="8"/>
      <c r="H100" s="8"/>
      <c r="I100" s="8" t="s">
        <v>1190</v>
      </c>
      <c r="J100" s="8" t="s">
        <v>2993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s="8" t="s">
        <v>4</v>
      </c>
      <c r="E101" s="8" t="s">
        <v>9</v>
      </c>
      <c r="F101" s="8"/>
      <c r="H101" s="8"/>
      <c r="I101" s="8" t="s">
        <v>1193</v>
      </c>
      <c r="J101" s="8" t="s">
        <v>2993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s="8" t="s">
        <v>4</v>
      </c>
      <c r="E102" s="8" t="s">
        <v>9</v>
      </c>
      <c r="F102" s="8"/>
      <c r="H102" s="8"/>
      <c r="I102" s="8" t="s">
        <v>1196</v>
      </c>
      <c r="J102" s="8" t="s">
        <v>2993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s="8" t="s">
        <v>4</v>
      </c>
      <c r="E103" s="8" t="s">
        <v>9</v>
      </c>
      <c r="F103" s="8"/>
      <c r="H103" s="8"/>
      <c r="I103" s="8" t="s">
        <v>1199</v>
      </c>
      <c r="J103" s="8" t="s">
        <v>2993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s="8" t="s">
        <v>4</v>
      </c>
      <c r="E104" s="8" t="s">
        <v>9</v>
      </c>
      <c r="F104" s="8"/>
      <c r="H104" s="8"/>
      <c r="I104" s="8" t="s">
        <v>1202</v>
      </c>
      <c r="J104" s="8" t="s">
        <v>2993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s="8" t="s">
        <v>4</v>
      </c>
      <c r="E105" s="8" t="s">
        <v>9</v>
      </c>
      <c r="F105" s="8"/>
      <c r="H105" s="8"/>
      <c r="I105" s="8" t="s">
        <v>1205</v>
      </c>
      <c r="J105" s="8" t="s">
        <v>2993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s="8" t="s">
        <v>4</v>
      </c>
      <c r="E106" s="8" t="s">
        <v>9</v>
      </c>
      <c r="F106" s="8"/>
      <c r="H106" s="8" t="s">
        <v>10</v>
      </c>
      <c r="I106" s="8" t="s">
        <v>1208</v>
      </c>
      <c r="J106" s="8" t="s">
        <v>2993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s="8" t="s">
        <v>4</v>
      </c>
      <c r="E107" s="8" t="s">
        <v>9</v>
      </c>
      <c r="F107" s="8"/>
      <c r="H107" s="8"/>
      <c r="I107" s="8" t="s">
        <v>2340</v>
      </c>
      <c r="J107" s="8" t="s">
        <v>2993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s="8" t="s">
        <v>4</v>
      </c>
      <c r="E108" s="8" t="s">
        <v>9</v>
      </c>
      <c r="F108" s="8"/>
      <c r="H108" s="8" t="s">
        <v>2936</v>
      </c>
      <c r="I108" s="8" t="s">
        <v>2343</v>
      </c>
      <c r="J108" s="8" t="s">
        <v>2993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s="8" t="s">
        <v>4</v>
      </c>
      <c r="E109" s="8" t="s">
        <v>9</v>
      </c>
      <c r="F109" s="8"/>
      <c r="H109" s="8" t="s">
        <v>2936</v>
      </c>
      <c r="I109" s="8" t="s">
        <v>2346</v>
      </c>
      <c r="J109" s="8" t="s">
        <v>2993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s="8" t="s">
        <v>4</v>
      </c>
      <c r="E110" s="8" t="s">
        <v>9</v>
      </c>
      <c r="F110" s="8"/>
      <c r="H110" s="8" t="s">
        <v>2936</v>
      </c>
      <c r="I110" s="8" t="s">
        <v>2349</v>
      </c>
      <c r="J110" s="8" t="s">
        <v>2993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s="8" t="s">
        <v>4</v>
      </c>
      <c r="E111" s="8" t="s">
        <v>9</v>
      </c>
      <c r="F111" s="8"/>
      <c r="H111" s="8" t="s">
        <v>2936</v>
      </c>
      <c r="I111" s="8" t="s">
        <v>2352</v>
      </c>
      <c r="J111" s="8" t="s">
        <v>2993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s="8" t="s">
        <v>2939</v>
      </c>
      <c r="E112" s="8" t="s">
        <v>2940</v>
      </c>
      <c r="F112" s="8" t="s">
        <v>2929</v>
      </c>
      <c r="G112">
        <v>1</v>
      </c>
      <c r="H112" s="8" t="s">
        <v>2941</v>
      </c>
      <c r="I112" s="8" t="s">
        <v>2355</v>
      </c>
      <c r="J112" s="8" t="s">
        <v>2993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s="8" t="s">
        <v>2939</v>
      </c>
      <c r="E113" s="8" t="s">
        <v>2940</v>
      </c>
      <c r="F113" s="8" t="s">
        <v>2929</v>
      </c>
      <c r="G113">
        <v>1</v>
      </c>
      <c r="H113" s="8" t="s">
        <v>2941</v>
      </c>
      <c r="I113" s="8" t="s">
        <v>2358</v>
      </c>
      <c r="J113" s="8" t="s">
        <v>2993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s="8" t="s">
        <v>2939</v>
      </c>
      <c r="E114" s="8" t="s">
        <v>2940</v>
      </c>
      <c r="F114" s="8" t="s">
        <v>2929</v>
      </c>
      <c r="G114">
        <v>1</v>
      </c>
      <c r="H114" s="8" t="s">
        <v>2941</v>
      </c>
      <c r="I114" s="8" t="s">
        <v>2361</v>
      </c>
      <c r="J114" s="8" t="s">
        <v>2993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s="8" t="s">
        <v>2939</v>
      </c>
      <c r="E115" s="8" t="s">
        <v>2940</v>
      </c>
      <c r="F115" s="8" t="s">
        <v>2929</v>
      </c>
      <c r="G115">
        <v>1</v>
      </c>
      <c r="H115" s="8" t="s">
        <v>2941</v>
      </c>
      <c r="I115" s="8" t="s">
        <v>2364</v>
      </c>
      <c r="J115" s="8" t="s">
        <v>2993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s="8" t="s">
        <v>2939</v>
      </c>
      <c r="E116" s="8" t="s">
        <v>2940</v>
      </c>
      <c r="F116" s="8" t="s">
        <v>2929</v>
      </c>
      <c r="G116">
        <v>1</v>
      </c>
      <c r="H116" s="8" t="s">
        <v>2941</v>
      </c>
      <c r="I116" s="8" t="s">
        <v>2367</v>
      </c>
      <c r="J116" s="8" t="s">
        <v>2993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s="8" t="s">
        <v>2939</v>
      </c>
      <c r="E117" s="8" t="s">
        <v>2940</v>
      </c>
      <c r="F117" s="8" t="s">
        <v>2929</v>
      </c>
      <c r="G117">
        <v>1</v>
      </c>
      <c r="H117" s="8" t="s">
        <v>2941</v>
      </c>
      <c r="I117" s="8" t="s">
        <v>2370</v>
      </c>
      <c r="J117" s="8" t="s">
        <v>2993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s="8" t="s">
        <v>2939</v>
      </c>
      <c r="E118" s="8" t="s">
        <v>2940</v>
      </c>
      <c r="F118" s="8" t="s">
        <v>2929</v>
      </c>
      <c r="G118">
        <v>1</v>
      </c>
      <c r="H118" s="8" t="s">
        <v>2941</v>
      </c>
      <c r="I118" s="8" t="s">
        <v>2373</v>
      </c>
      <c r="J118" s="8" t="s">
        <v>2993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s="8" t="s">
        <v>2939</v>
      </c>
      <c r="E119" s="8" t="s">
        <v>2940</v>
      </c>
      <c r="F119" s="8" t="s">
        <v>2929</v>
      </c>
      <c r="G119">
        <v>1</v>
      </c>
      <c r="H119" s="8" t="s">
        <v>2941</v>
      </c>
      <c r="I119" s="8" t="s">
        <v>2376</v>
      </c>
      <c r="J119" s="8" t="s">
        <v>2993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s="8" t="s">
        <v>4</v>
      </c>
      <c r="E120" s="8" t="s">
        <v>9</v>
      </c>
      <c r="F120" s="8"/>
      <c r="H120" s="8"/>
      <c r="I120" s="8" t="s">
        <v>2379</v>
      </c>
      <c r="J120" s="8" t="s">
        <v>2993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s="8" t="s">
        <v>4</v>
      </c>
      <c r="E121" s="8" t="s">
        <v>9</v>
      </c>
      <c r="F121" s="8"/>
      <c r="H121" s="8" t="s">
        <v>2936</v>
      </c>
      <c r="I121" s="8" t="s">
        <v>2382</v>
      </c>
      <c r="J121" s="8" t="s">
        <v>2993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s="8" t="s">
        <v>2024</v>
      </c>
      <c r="E122" s="8" t="s">
        <v>1304</v>
      </c>
      <c r="F122" s="8"/>
      <c r="H122" s="8"/>
      <c r="I122" s="8" t="s">
        <v>2385</v>
      </c>
      <c r="J122" s="8" t="s">
        <v>2993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s="8" t="s">
        <v>4</v>
      </c>
      <c r="E123" s="8" t="s">
        <v>9</v>
      </c>
      <c r="F123" s="8"/>
      <c r="H123" s="8" t="s">
        <v>2936</v>
      </c>
      <c r="I123" s="8" t="s">
        <v>2388</v>
      </c>
      <c r="J123" s="8" t="s">
        <v>2993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s="8" t="s">
        <v>4</v>
      </c>
      <c r="E124" s="8" t="s">
        <v>9</v>
      </c>
      <c r="F124" s="8"/>
      <c r="H124" s="8" t="s">
        <v>2936</v>
      </c>
      <c r="I124" s="8" t="s">
        <v>2391</v>
      </c>
      <c r="J124" s="8" t="s">
        <v>2993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s="8" t="s">
        <v>4</v>
      </c>
      <c r="E125" s="8" t="s">
        <v>9</v>
      </c>
      <c r="F125" s="8"/>
      <c r="H125" s="8" t="s">
        <v>2936</v>
      </c>
      <c r="I125" s="8" t="s">
        <v>2394</v>
      </c>
      <c r="J125" s="8" t="s">
        <v>2993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s="8" t="s">
        <v>4</v>
      </c>
      <c r="E126" s="8" t="s">
        <v>9</v>
      </c>
      <c r="F126" s="8"/>
      <c r="H126" s="8" t="s">
        <v>2936</v>
      </c>
      <c r="I126" s="8" t="s">
        <v>2397</v>
      </c>
      <c r="J126" s="8" t="s">
        <v>2993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s="8" t="s">
        <v>4</v>
      </c>
      <c r="E127" s="8" t="s">
        <v>9</v>
      </c>
      <c r="F127" s="8"/>
      <c r="H127" s="8"/>
      <c r="I127" s="8" t="s">
        <v>2400</v>
      </c>
      <c r="J127" s="8" t="s">
        <v>2993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s="8" t="s">
        <v>1091</v>
      </c>
      <c r="E128" s="8" t="s">
        <v>1607</v>
      </c>
      <c r="F128" s="8" t="s">
        <v>58</v>
      </c>
      <c r="H128" s="8"/>
      <c r="I128" s="8" t="s">
        <v>2403</v>
      </c>
      <c r="J128" s="8" t="s">
        <v>2993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s="8" t="s">
        <v>1091</v>
      </c>
      <c r="E129" s="8" t="s">
        <v>1607</v>
      </c>
      <c r="F129" s="8" t="s">
        <v>58</v>
      </c>
      <c r="H129" s="8"/>
      <c r="I129" s="8" t="s">
        <v>2406</v>
      </c>
      <c r="J129" s="8" t="s">
        <v>2993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s="8" t="s">
        <v>1091</v>
      </c>
      <c r="E130" s="8" t="s">
        <v>1607</v>
      </c>
      <c r="F130" s="8" t="s">
        <v>58</v>
      </c>
      <c r="H130" s="8"/>
      <c r="I130" s="8" t="s">
        <v>2409</v>
      </c>
      <c r="J130" s="8" t="s">
        <v>2993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s="8" t="s">
        <v>1091</v>
      </c>
      <c r="E131" s="8" t="s">
        <v>1607</v>
      </c>
      <c r="F131" s="8" t="s">
        <v>58</v>
      </c>
      <c r="H131" s="8"/>
      <c r="I131" s="8" t="s">
        <v>2412</v>
      </c>
      <c r="J131" s="8" t="s">
        <v>2993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s="8" t="s">
        <v>2943</v>
      </c>
      <c r="E132" s="8"/>
      <c r="F132" s="8"/>
      <c r="H132" s="8" t="s">
        <v>2942</v>
      </c>
      <c r="I132" s="8" t="s">
        <v>2415</v>
      </c>
      <c r="J132" s="8" t="s">
        <v>2993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s="8" t="s">
        <v>1091</v>
      </c>
      <c r="E133" s="8" t="s">
        <v>1607</v>
      </c>
      <c r="F133" s="8" t="s">
        <v>2951</v>
      </c>
      <c r="H133" s="8"/>
      <c r="I133" s="8" t="s">
        <v>2418</v>
      </c>
      <c r="J133" s="8" t="s">
        <v>2993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s="8" t="s">
        <v>4</v>
      </c>
      <c r="E134" s="8" t="s">
        <v>9</v>
      </c>
      <c r="F134" s="8"/>
      <c r="H134" s="8"/>
      <c r="I134" s="8" t="s">
        <v>2421</v>
      </c>
      <c r="J134" s="8" t="s">
        <v>2993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s="8" t="s">
        <v>1091</v>
      </c>
      <c r="E135" s="8" t="s">
        <v>1607</v>
      </c>
      <c r="F135" s="8" t="s">
        <v>58</v>
      </c>
      <c r="H135" s="8"/>
      <c r="I135" s="8" t="s">
        <v>2424</v>
      </c>
      <c r="J135" s="8" t="s">
        <v>2993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s="8" t="s">
        <v>1091</v>
      </c>
      <c r="E136" s="8" t="s">
        <v>1607</v>
      </c>
      <c r="F136" s="8" t="s">
        <v>58</v>
      </c>
      <c r="H136" s="8"/>
      <c r="I136" s="8" t="s">
        <v>2427</v>
      </c>
      <c r="J136" s="8" t="s">
        <v>2993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s="8" t="s">
        <v>1091</v>
      </c>
      <c r="E137" s="8" t="s">
        <v>1607</v>
      </c>
      <c r="F137" s="8" t="s">
        <v>58</v>
      </c>
      <c r="H137" s="8" t="s">
        <v>2936</v>
      </c>
      <c r="I137" s="8" t="s">
        <v>2430</v>
      </c>
      <c r="J137" s="8" t="s">
        <v>2993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s="8" t="s">
        <v>4</v>
      </c>
      <c r="E138" s="8" t="s">
        <v>9</v>
      </c>
      <c r="F138" s="8"/>
      <c r="H138" s="8" t="s">
        <v>2936</v>
      </c>
      <c r="I138" s="8" t="s">
        <v>2433</v>
      </c>
      <c r="J138" s="8" t="s">
        <v>2993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s="8" t="s">
        <v>4</v>
      </c>
      <c r="E139" s="8" t="s">
        <v>9</v>
      </c>
      <c r="F139" s="8"/>
      <c r="H139" s="8" t="s">
        <v>2936</v>
      </c>
      <c r="I139" s="8" t="s">
        <v>2436</v>
      </c>
      <c r="J139" s="8" t="s">
        <v>2993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s="8" t="s">
        <v>4</v>
      </c>
      <c r="E140" s="8" t="s">
        <v>9</v>
      </c>
      <c r="F140" s="8"/>
      <c r="H140" s="8" t="s">
        <v>2936</v>
      </c>
      <c r="I140" s="8" t="s">
        <v>2439</v>
      </c>
      <c r="J140" s="8" t="s">
        <v>2993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s="8" t="s">
        <v>4</v>
      </c>
      <c r="E141" s="8" t="s">
        <v>9</v>
      </c>
      <c r="F141" s="8"/>
      <c r="H141" s="8" t="s">
        <v>2936</v>
      </c>
      <c r="I141" s="8" t="s">
        <v>2442</v>
      </c>
      <c r="J141" s="8" t="s">
        <v>2993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s="8" t="s">
        <v>4</v>
      </c>
      <c r="E142" s="8" t="s">
        <v>9</v>
      </c>
      <c r="F142" s="8"/>
      <c r="H142" s="8" t="s">
        <v>2936</v>
      </c>
      <c r="I142" s="8" t="s">
        <v>2445</v>
      </c>
      <c r="J142" s="8" t="s">
        <v>2993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s="8" t="s">
        <v>4</v>
      </c>
      <c r="E143" s="8" t="s">
        <v>9</v>
      </c>
      <c r="F143" s="8"/>
      <c r="H143" s="8" t="s">
        <v>2936</v>
      </c>
      <c r="I143" s="8" t="s">
        <v>2448</v>
      </c>
      <c r="J143" s="8" t="s">
        <v>2993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s="8" t="s">
        <v>4</v>
      </c>
      <c r="E144" s="8" t="s">
        <v>9</v>
      </c>
      <c r="F144" s="8"/>
      <c r="H144" s="8" t="s">
        <v>2936</v>
      </c>
      <c r="I144" s="8" t="s">
        <v>2451</v>
      </c>
      <c r="J144" s="8" t="s">
        <v>2993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s="8" t="s">
        <v>4</v>
      </c>
      <c r="E145" s="8" t="s">
        <v>9</v>
      </c>
      <c r="F145" s="8"/>
      <c r="H145" s="8" t="s">
        <v>2936</v>
      </c>
      <c r="I145" s="8" t="s">
        <v>2454</v>
      </c>
      <c r="J145" s="8" t="s">
        <v>2993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s="8" t="s">
        <v>1091</v>
      </c>
      <c r="E146" s="8" t="s">
        <v>1607</v>
      </c>
      <c r="F146" s="8" t="s">
        <v>2944</v>
      </c>
      <c r="H146" s="8"/>
      <c r="I146" s="8" t="s">
        <v>2457</v>
      </c>
      <c r="J146" s="8" t="s">
        <v>2993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s="8" t="s">
        <v>1091</v>
      </c>
      <c r="E147" s="8" t="s">
        <v>2940</v>
      </c>
      <c r="F147" s="8" t="s">
        <v>2944</v>
      </c>
      <c r="H147" s="8"/>
      <c r="I147" s="8" t="s">
        <v>2460</v>
      </c>
      <c r="J147" s="8" t="s">
        <v>2993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s="8" t="s">
        <v>1091</v>
      </c>
      <c r="E148" s="8" t="s">
        <v>1607</v>
      </c>
      <c r="F148" s="8" t="s">
        <v>1093</v>
      </c>
      <c r="H148" s="8"/>
      <c r="I148" s="8" t="s">
        <v>2463</v>
      </c>
      <c r="J148" s="8" t="s">
        <v>2993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s="8" t="s">
        <v>4</v>
      </c>
      <c r="E149" s="8" t="s">
        <v>9</v>
      </c>
      <c r="F149" s="8"/>
      <c r="H149" s="8"/>
      <c r="I149" s="8" t="s">
        <v>2466</v>
      </c>
      <c r="J149" s="8" t="s">
        <v>2993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s="8" t="s">
        <v>2945</v>
      </c>
      <c r="E150" s="8" t="s">
        <v>1607</v>
      </c>
      <c r="F150" s="8"/>
      <c r="H150" s="8"/>
      <c r="I150" s="8" t="s">
        <v>2469</v>
      </c>
      <c r="J150" s="8" t="s">
        <v>2993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s="8" t="s">
        <v>2946</v>
      </c>
      <c r="E151" s="8" t="s">
        <v>1607</v>
      </c>
      <c r="F151" s="8"/>
      <c r="H151" s="8"/>
      <c r="I151" s="8" t="s">
        <v>2472</v>
      </c>
      <c r="J151" s="8" t="s">
        <v>2993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s="8" t="s">
        <v>4</v>
      </c>
      <c r="E152" s="8" t="s">
        <v>9</v>
      </c>
      <c r="F152" s="8"/>
      <c r="H152" s="8"/>
      <c r="I152" s="8" t="s">
        <v>2475</v>
      </c>
      <c r="J152" s="8" t="s">
        <v>2993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s="8" t="s">
        <v>4</v>
      </c>
      <c r="E153" s="8" t="s">
        <v>9</v>
      </c>
      <c r="F153" s="8"/>
      <c r="H153" s="8" t="s">
        <v>2936</v>
      </c>
      <c r="I153" s="8" t="s">
        <v>2478</v>
      </c>
      <c r="J153" s="8" t="s">
        <v>2993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s="8" t="s">
        <v>4</v>
      </c>
      <c r="E154" s="8" t="s">
        <v>9</v>
      </c>
      <c r="F154" s="8"/>
      <c r="H154" s="8" t="s">
        <v>2936</v>
      </c>
      <c r="I154" s="8" t="s">
        <v>2481</v>
      </c>
      <c r="J154" s="8" t="s">
        <v>2993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s="8" t="s">
        <v>1091</v>
      </c>
      <c r="E155" s="8" t="s">
        <v>1607</v>
      </c>
      <c r="F155" s="8" t="s">
        <v>58</v>
      </c>
      <c r="H155" s="8"/>
      <c r="I155" s="8" t="s">
        <v>2484</v>
      </c>
      <c r="J155" s="8" t="s">
        <v>2993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s="8" t="s">
        <v>4</v>
      </c>
      <c r="E156" s="8" t="s">
        <v>9</v>
      </c>
      <c r="F156" s="8"/>
      <c r="H156" s="8" t="s">
        <v>2936</v>
      </c>
      <c r="I156" s="8" t="s">
        <v>2487</v>
      </c>
      <c r="J156" s="8" t="s">
        <v>2993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s="8" t="s">
        <v>4</v>
      </c>
      <c r="E157" s="8" t="s">
        <v>9</v>
      </c>
      <c r="F157" s="8"/>
      <c r="H157" s="8" t="s">
        <v>2936</v>
      </c>
      <c r="I157" s="8" t="s">
        <v>2490</v>
      </c>
      <c r="J157" s="8" t="s">
        <v>2993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s="8" t="s">
        <v>4</v>
      </c>
      <c r="E158" s="8" t="s">
        <v>2947</v>
      </c>
      <c r="F158" s="8"/>
      <c r="H158" s="8"/>
      <c r="I158" s="8" t="s">
        <v>2493</v>
      </c>
      <c r="J158" s="8" t="s">
        <v>2993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s="8" t="s">
        <v>4</v>
      </c>
      <c r="E159" s="8" t="s">
        <v>9</v>
      </c>
      <c r="F159" s="8"/>
      <c r="H159" s="8"/>
      <c r="I159" s="8" t="s">
        <v>2496</v>
      </c>
      <c r="J159" s="8" t="s">
        <v>2993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s="8" t="s">
        <v>1091</v>
      </c>
      <c r="E160" s="8" t="s">
        <v>2940</v>
      </c>
      <c r="F160" s="8" t="s">
        <v>58</v>
      </c>
      <c r="H160" s="8"/>
      <c r="I160" s="8" t="s">
        <v>2499</v>
      </c>
      <c r="J160" s="8" t="s">
        <v>2993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s="8" t="s">
        <v>4</v>
      </c>
      <c r="E161" s="8" t="s">
        <v>9</v>
      </c>
      <c r="F161" s="8"/>
      <c r="H161" s="8" t="s">
        <v>2936</v>
      </c>
      <c r="I161" s="8" t="s">
        <v>2502</v>
      </c>
      <c r="J161" s="8" t="s">
        <v>2993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s="8" t="s">
        <v>1091</v>
      </c>
      <c r="E162" s="8" t="s">
        <v>1607</v>
      </c>
      <c r="F162" s="8" t="s">
        <v>58</v>
      </c>
      <c r="H162" s="8"/>
      <c r="I162" s="8" t="s">
        <v>2505</v>
      </c>
      <c r="J162" s="8" t="s">
        <v>2993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s="8" t="s">
        <v>4</v>
      </c>
      <c r="E163" s="8" t="s">
        <v>9</v>
      </c>
      <c r="F163" s="8"/>
      <c r="H163" s="8" t="s">
        <v>2936</v>
      </c>
      <c r="I163" s="8" t="s">
        <v>2508</v>
      </c>
      <c r="J163" s="8" t="s">
        <v>2993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s="8" t="s">
        <v>4</v>
      </c>
      <c r="E164" s="8" t="s">
        <v>9</v>
      </c>
      <c r="F164" s="8"/>
      <c r="H164" s="8" t="s">
        <v>2936</v>
      </c>
      <c r="I164" s="8" t="s">
        <v>2511</v>
      </c>
      <c r="J164" s="8" t="s">
        <v>2993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s="8" t="s">
        <v>1091</v>
      </c>
      <c r="E165" s="8" t="s">
        <v>1607</v>
      </c>
      <c r="F165" s="8" t="s">
        <v>58</v>
      </c>
      <c r="H165" s="8"/>
      <c r="I165" s="8" t="s">
        <v>2514</v>
      </c>
      <c r="J165" s="8" t="s">
        <v>2993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s="8" t="s">
        <v>4</v>
      </c>
      <c r="E166" s="8" t="s">
        <v>9</v>
      </c>
      <c r="F166" s="8"/>
      <c r="H166" s="8"/>
      <c r="I166" s="8" t="s">
        <v>2517</v>
      </c>
      <c r="J166" s="8" t="s">
        <v>2993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s="8" t="s">
        <v>2004</v>
      </c>
      <c r="E167" s="8"/>
      <c r="F167" s="8"/>
      <c r="H167" s="8"/>
      <c r="I167" s="8" t="s">
        <v>2520</v>
      </c>
      <c r="J167" s="8" t="s">
        <v>2993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s="8" t="s">
        <v>2004</v>
      </c>
      <c r="E168" s="8"/>
      <c r="F168" s="8"/>
      <c r="H168" s="8"/>
      <c r="I168" s="8" t="s">
        <v>2523</v>
      </c>
      <c r="J168" s="8" t="s">
        <v>2993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s="8" t="s">
        <v>4</v>
      </c>
      <c r="E169" s="8" t="s">
        <v>9</v>
      </c>
      <c r="F169" s="8"/>
      <c r="H169" s="8"/>
      <c r="I169" s="8" t="s">
        <v>3736</v>
      </c>
      <c r="J169" s="8" t="s">
        <v>2993</v>
      </c>
      <c r="K169" t="s">
        <v>3737</v>
      </c>
      <c r="L169" t="s">
        <v>3738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s="8" t="s">
        <v>4</v>
      </c>
      <c r="E170" s="8" t="s">
        <v>9</v>
      </c>
      <c r="F170" s="8"/>
      <c r="H170" s="8" t="s">
        <v>2936</v>
      </c>
      <c r="I170" s="8" t="s">
        <v>3739</v>
      </c>
      <c r="J170" s="8" t="s">
        <v>2993</v>
      </c>
      <c r="K170" t="s">
        <v>3740</v>
      </c>
      <c r="L170" t="s">
        <v>3741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s="8" t="s">
        <v>4</v>
      </c>
      <c r="E171" s="8" t="s">
        <v>9</v>
      </c>
      <c r="F171" s="8"/>
      <c r="H171" s="8" t="s">
        <v>2936</v>
      </c>
      <c r="I171" s="8" t="s">
        <v>3742</v>
      </c>
      <c r="J171" s="8" t="s">
        <v>2993</v>
      </c>
      <c r="K171" t="s">
        <v>3743</v>
      </c>
      <c r="L171" t="s">
        <v>3744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s="8" t="s">
        <v>4</v>
      </c>
      <c r="E172" s="8" t="s">
        <v>9</v>
      </c>
      <c r="F172" s="8"/>
      <c r="H172" s="8" t="s">
        <v>2936</v>
      </c>
      <c r="I172" s="8" t="s">
        <v>3745</v>
      </c>
      <c r="J172" s="8" t="s">
        <v>2993</v>
      </c>
      <c r="K172" t="s">
        <v>3746</v>
      </c>
      <c r="L172" t="s">
        <v>3747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s="8" t="s">
        <v>4</v>
      </c>
      <c r="E173" s="8" t="s">
        <v>9</v>
      </c>
      <c r="F173" s="8"/>
      <c r="H173" s="8" t="s">
        <v>2936</v>
      </c>
      <c r="I173" s="8" t="s">
        <v>3748</v>
      </c>
      <c r="J173" s="8" t="s">
        <v>2993</v>
      </c>
      <c r="K173" t="s">
        <v>3749</v>
      </c>
      <c r="L173" t="s">
        <v>3750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s="8" t="s">
        <v>4</v>
      </c>
      <c r="E174" s="8" t="s">
        <v>9</v>
      </c>
      <c r="F174" s="8"/>
      <c r="H174" s="8"/>
      <c r="I174" s="8" t="s">
        <v>3751</v>
      </c>
      <c r="J174" s="8" t="s">
        <v>2993</v>
      </c>
      <c r="K174" t="s">
        <v>3752</v>
      </c>
      <c r="L174" t="s">
        <v>3753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s="8" t="s">
        <v>2024</v>
      </c>
      <c r="E175" s="8" t="s">
        <v>1304</v>
      </c>
      <c r="F175" s="8"/>
      <c r="H175" s="8"/>
      <c r="I175" s="8" t="s">
        <v>3754</v>
      </c>
      <c r="J175" s="8" t="s">
        <v>2993</v>
      </c>
      <c r="K175" t="s">
        <v>3755</v>
      </c>
      <c r="L175" t="s">
        <v>3756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s="8" t="s">
        <v>2024</v>
      </c>
      <c r="E176" s="8" t="s">
        <v>1304</v>
      </c>
      <c r="F176" s="8"/>
      <c r="H176" s="8" t="s">
        <v>2936</v>
      </c>
      <c r="I176" s="8" t="s">
        <v>3757</v>
      </c>
      <c r="J176" s="8" t="s">
        <v>2993</v>
      </c>
      <c r="K176" t="s">
        <v>3758</v>
      </c>
      <c r="L176" t="s">
        <v>3759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s="8" t="s">
        <v>2024</v>
      </c>
      <c r="E177" s="8" t="s">
        <v>1304</v>
      </c>
      <c r="F177" s="8"/>
      <c r="H177" s="8" t="s">
        <v>2936</v>
      </c>
      <c r="I177" s="8" t="s">
        <v>3760</v>
      </c>
      <c r="J177" s="8" t="s">
        <v>2993</v>
      </c>
      <c r="K177" t="s">
        <v>3761</v>
      </c>
      <c r="L177" t="s">
        <v>3762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s="8" t="s">
        <v>2024</v>
      </c>
      <c r="E178" s="8" t="s">
        <v>1304</v>
      </c>
      <c r="F178" s="8"/>
      <c r="H178" s="8" t="s">
        <v>2936</v>
      </c>
      <c r="I178" s="8" t="s">
        <v>3763</v>
      </c>
      <c r="J178" s="8" t="s">
        <v>2993</v>
      </c>
      <c r="K178" t="s">
        <v>3764</v>
      </c>
      <c r="L178" t="s">
        <v>3765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s="8" t="s">
        <v>2024</v>
      </c>
      <c r="E179" s="8" t="s">
        <v>1304</v>
      </c>
      <c r="F179" s="8"/>
      <c r="H179" s="8" t="s">
        <v>2936</v>
      </c>
      <c r="I179" s="8" t="s">
        <v>3766</v>
      </c>
      <c r="J179" s="8" t="s">
        <v>2993</v>
      </c>
      <c r="K179" t="s">
        <v>3767</v>
      </c>
      <c r="L179" t="s">
        <v>3768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s="8" t="s">
        <v>4</v>
      </c>
      <c r="E180" s="8" t="s">
        <v>9</v>
      </c>
      <c r="F180" s="8"/>
      <c r="H180" s="8"/>
      <c r="I180" s="8" t="s">
        <v>3769</v>
      </c>
      <c r="J180" s="8" t="s">
        <v>2993</v>
      </c>
      <c r="K180" t="s">
        <v>3770</v>
      </c>
      <c r="L180" t="s">
        <v>3771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s="8" t="s">
        <v>2024</v>
      </c>
      <c r="E181" s="8" t="s">
        <v>1304</v>
      </c>
      <c r="F181" s="8"/>
      <c r="H181" s="8" t="s">
        <v>2936</v>
      </c>
      <c r="I181" s="8" t="s">
        <v>3772</v>
      </c>
      <c r="J181" s="8" t="s">
        <v>2993</v>
      </c>
      <c r="K181" t="s">
        <v>3773</v>
      </c>
      <c r="L181" t="s">
        <v>3774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s="8" t="s">
        <v>2024</v>
      </c>
      <c r="E182" s="8" t="s">
        <v>1304</v>
      </c>
      <c r="F182" s="8"/>
      <c r="H182" s="8" t="s">
        <v>2936</v>
      </c>
      <c r="I182" s="8" t="s">
        <v>3775</v>
      </c>
      <c r="J182" s="8" t="s">
        <v>2993</v>
      </c>
      <c r="K182" t="s">
        <v>3776</v>
      </c>
      <c r="L182" t="s">
        <v>3777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s="8" t="s">
        <v>2024</v>
      </c>
      <c r="E183" s="8" t="s">
        <v>1304</v>
      </c>
      <c r="F183" s="8"/>
      <c r="H183" s="8" t="s">
        <v>2936</v>
      </c>
      <c r="I183" s="8" t="s">
        <v>3778</v>
      </c>
      <c r="J183" s="8" t="s">
        <v>2993</v>
      </c>
      <c r="K183" t="s">
        <v>3779</v>
      </c>
      <c r="L183" t="s">
        <v>3780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s="8" t="s">
        <v>2024</v>
      </c>
      <c r="E184" s="8" t="s">
        <v>1304</v>
      </c>
      <c r="F184" s="8"/>
      <c r="H184" s="8" t="s">
        <v>2936</v>
      </c>
      <c r="I184" s="8" t="s">
        <v>3781</v>
      </c>
      <c r="J184" s="8" t="s">
        <v>2993</v>
      </c>
      <c r="K184" t="s">
        <v>3782</v>
      </c>
      <c r="L184" t="s">
        <v>3783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s="8" t="s">
        <v>2024</v>
      </c>
      <c r="E185" s="8" t="s">
        <v>1304</v>
      </c>
      <c r="F185" s="8"/>
      <c r="H185" s="8" t="s">
        <v>2936</v>
      </c>
      <c r="I185" s="8" t="s">
        <v>3784</v>
      </c>
      <c r="J185" s="8" t="s">
        <v>2993</v>
      </c>
      <c r="K185" t="s">
        <v>3785</v>
      </c>
      <c r="L185" t="s">
        <v>3786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s="8" t="s">
        <v>2024</v>
      </c>
      <c r="E186" s="8" t="s">
        <v>1304</v>
      </c>
      <c r="F186" s="8"/>
      <c r="H186" s="8" t="s">
        <v>2936</v>
      </c>
      <c r="I186" s="8" t="s">
        <v>3787</v>
      </c>
      <c r="J186" s="8" t="s">
        <v>2993</v>
      </c>
      <c r="K186" t="s">
        <v>3788</v>
      </c>
      <c r="L186" t="s">
        <v>3789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s="8" t="s">
        <v>2024</v>
      </c>
      <c r="E187" s="8" t="s">
        <v>1304</v>
      </c>
      <c r="F187" s="8"/>
      <c r="H187" s="8" t="s">
        <v>2936</v>
      </c>
      <c r="I187" s="8" t="s">
        <v>3790</v>
      </c>
      <c r="J187" s="8" t="s">
        <v>2993</v>
      </c>
      <c r="K187" t="s">
        <v>3791</v>
      </c>
      <c r="L187" t="s">
        <v>3792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s="8" t="s">
        <v>2024</v>
      </c>
      <c r="E188" s="8" t="s">
        <v>1304</v>
      </c>
      <c r="F188" s="8"/>
      <c r="H188" s="8" t="s">
        <v>2936</v>
      </c>
      <c r="I188" s="8" t="s">
        <v>3793</v>
      </c>
      <c r="J188" s="8" t="s">
        <v>2993</v>
      </c>
      <c r="K188" t="s">
        <v>3794</v>
      </c>
      <c r="L188" t="s">
        <v>3795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s="8" t="s">
        <v>2024</v>
      </c>
      <c r="E189" s="8" t="s">
        <v>1304</v>
      </c>
      <c r="F189" s="8"/>
      <c r="H189" s="8" t="s">
        <v>2936</v>
      </c>
      <c r="I189" s="8" t="s">
        <v>3796</v>
      </c>
      <c r="J189" s="8" t="s">
        <v>2993</v>
      </c>
      <c r="K189" t="s">
        <v>3797</v>
      </c>
      <c r="L189" t="s">
        <v>3798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s="8" t="s">
        <v>4</v>
      </c>
      <c r="E190" s="8" t="s">
        <v>9</v>
      </c>
      <c r="F190" s="8"/>
      <c r="H190" s="8"/>
      <c r="I190" s="8" t="s">
        <v>3799</v>
      </c>
      <c r="J190" s="8" t="s">
        <v>2993</v>
      </c>
      <c r="K190" t="s">
        <v>3800</v>
      </c>
      <c r="L190" t="s">
        <v>3801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s="8" t="s">
        <v>4</v>
      </c>
      <c r="E191" s="8" t="s">
        <v>9</v>
      </c>
      <c r="F191" s="8"/>
      <c r="H191" s="8" t="s">
        <v>2936</v>
      </c>
      <c r="I191" s="8" t="s">
        <v>3802</v>
      </c>
      <c r="J191" s="8" t="s">
        <v>2993</v>
      </c>
      <c r="K191" t="s">
        <v>3803</v>
      </c>
      <c r="L191" t="s">
        <v>3804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s="8" t="s">
        <v>4</v>
      </c>
      <c r="E192" s="8" t="s">
        <v>9</v>
      </c>
      <c r="F192" s="8"/>
      <c r="H192" s="8" t="s">
        <v>2936</v>
      </c>
      <c r="I192" s="8" t="s">
        <v>3805</v>
      </c>
      <c r="J192" s="8" t="s">
        <v>2993</v>
      </c>
      <c r="K192" t="s">
        <v>3806</v>
      </c>
      <c r="L192" t="s">
        <v>3807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s="8" t="s">
        <v>4</v>
      </c>
      <c r="E193" s="8" t="s">
        <v>9</v>
      </c>
      <c r="F193" s="8"/>
      <c r="H193" s="8" t="s">
        <v>2936</v>
      </c>
      <c r="I193" s="8" t="s">
        <v>3808</v>
      </c>
      <c r="J193" s="8" t="s">
        <v>2993</v>
      </c>
      <c r="K193" t="s">
        <v>3809</v>
      </c>
      <c r="L193" t="s">
        <v>3810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s="8" t="s">
        <v>4</v>
      </c>
      <c r="E194" s="8" t="s">
        <v>9</v>
      </c>
      <c r="F194" s="8"/>
      <c r="H194" s="8" t="s">
        <v>2936</v>
      </c>
      <c r="I194" s="8" t="s">
        <v>3811</v>
      </c>
      <c r="J194" s="8" t="s">
        <v>2993</v>
      </c>
      <c r="K194" t="s">
        <v>3812</v>
      </c>
      <c r="L194" t="s">
        <v>3813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s="8" t="s">
        <v>4</v>
      </c>
      <c r="E195" s="8" t="s">
        <v>9</v>
      </c>
      <c r="F195" s="8"/>
      <c r="H195" s="8" t="s">
        <v>2936</v>
      </c>
      <c r="I195" s="8" t="s">
        <v>3814</v>
      </c>
      <c r="J195" s="8" t="s">
        <v>2993</v>
      </c>
      <c r="K195" t="s">
        <v>3815</v>
      </c>
      <c r="L195" t="s">
        <v>3816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s="8" t="s">
        <v>4</v>
      </c>
      <c r="E196" s="8" t="s">
        <v>9</v>
      </c>
      <c r="F196" s="8"/>
      <c r="H196" s="8" t="s">
        <v>2936</v>
      </c>
      <c r="I196" s="8" t="s">
        <v>3817</v>
      </c>
      <c r="J196" s="8" t="s">
        <v>2993</v>
      </c>
      <c r="K196" t="s">
        <v>3818</v>
      </c>
      <c r="L196" t="s">
        <v>3819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s="8" t="s">
        <v>4</v>
      </c>
      <c r="E197" s="8" t="s">
        <v>9</v>
      </c>
      <c r="F197" s="8"/>
      <c r="H197" s="8" t="s">
        <v>2936</v>
      </c>
      <c r="I197" s="8" t="s">
        <v>3820</v>
      </c>
      <c r="J197" s="8" t="s">
        <v>2993</v>
      </c>
      <c r="K197" t="s">
        <v>3821</v>
      </c>
      <c r="L197" t="s">
        <v>3822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s="8" t="s">
        <v>4</v>
      </c>
      <c r="E198" s="8" t="s">
        <v>9</v>
      </c>
      <c r="F198" s="8"/>
      <c r="H198" s="8" t="s">
        <v>2936</v>
      </c>
      <c r="I198" s="8" t="s">
        <v>3823</v>
      </c>
      <c r="J198" s="8" t="s">
        <v>2993</v>
      </c>
      <c r="K198" t="s">
        <v>3824</v>
      </c>
      <c r="L198" t="s">
        <v>3825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s="8" t="s">
        <v>4</v>
      </c>
      <c r="E199" s="8" t="s">
        <v>9</v>
      </c>
      <c r="F199" s="8"/>
      <c r="H199" s="8" t="s">
        <v>2936</v>
      </c>
      <c r="I199" s="8" t="s">
        <v>3826</v>
      </c>
      <c r="J199" s="8" t="s">
        <v>2993</v>
      </c>
      <c r="K199" t="s">
        <v>3827</v>
      </c>
      <c r="L199" t="s">
        <v>3828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s="8" t="s">
        <v>4</v>
      </c>
      <c r="E200" s="8" t="s">
        <v>9</v>
      </c>
      <c r="F200" s="8"/>
      <c r="H200" s="8" t="s">
        <v>2936</v>
      </c>
      <c r="I200" s="8" t="s">
        <v>3829</v>
      </c>
      <c r="J200" s="8" t="s">
        <v>2993</v>
      </c>
      <c r="K200" t="s">
        <v>3830</v>
      </c>
      <c r="L200" t="s">
        <v>3831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s="8" t="s">
        <v>4</v>
      </c>
      <c r="E201" s="8" t="s">
        <v>9</v>
      </c>
      <c r="F201" s="8"/>
      <c r="H201" s="8" t="s">
        <v>2936</v>
      </c>
      <c r="I201" s="8" t="s">
        <v>3832</v>
      </c>
      <c r="J201" s="8" t="s">
        <v>2993</v>
      </c>
      <c r="K201" t="s">
        <v>3833</v>
      </c>
      <c r="L201" t="s">
        <v>3834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s="8" t="s">
        <v>4</v>
      </c>
      <c r="E202" s="8" t="s">
        <v>9</v>
      </c>
      <c r="F202" s="8"/>
      <c r="H202" s="8" t="s">
        <v>2936</v>
      </c>
      <c r="I202" s="8" t="s">
        <v>3835</v>
      </c>
      <c r="J202" s="8" t="s">
        <v>2993</v>
      </c>
      <c r="K202" t="s">
        <v>3836</v>
      </c>
      <c r="L202" t="s">
        <v>3837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s="8" t="s">
        <v>4</v>
      </c>
      <c r="E203" s="8" t="s">
        <v>9</v>
      </c>
      <c r="F203" s="8"/>
      <c r="H203" s="8" t="s">
        <v>2936</v>
      </c>
      <c r="I203" s="8" t="s">
        <v>3838</v>
      </c>
      <c r="J203" s="8" t="s">
        <v>2993</v>
      </c>
      <c r="K203" t="s">
        <v>3839</v>
      </c>
      <c r="L203" t="s">
        <v>3840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s="8" t="s">
        <v>4</v>
      </c>
      <c r="E204" s="8" t="s">
        <v>9</v>
      </c>
      <c r="F204" s="8"/>
      <c r="H204" s="8" t="s">
        <v>2936</v>
      </c>
      <c r="I204" s="8" t="s">
        <v>3841</v>
      </c>
      <c r="J204" s="8" t="s">
        <v>2993</v>
      </c>
      <c r="K204" t="s">
        <v>3842</v>
      </c>
      <c r="L204" t="s">
        <v>3843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s="8" t="s">
        <v>4</v>
      </c>
      <c r="E205" s="8" t="s">
        <v>9</v>
      </c>
      <c r="F205" s="8"/>
      <c r="H205" s="8" t="s">
        <v>2936</v>
      </c>
      <c r="I205" s="8" t="s">
        <v>3844</v>
      </c>
      <c r="J205" s="8" t="s">
        <v>2993</v>
      </c>
      <c r="K205" t="s">
        <v>3845</v>
      </c>
      <c r="L205" t="s">
        <v>3846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s="8" t="s">
        <v>4</v>
      </c>
      <c r="E206" s="8" t="s">
        <v>9</v>
      </c>
      <c r="F206" s="8"/>
      <c r="H206" s="8" t="s">
        <v>2936</v>
      </c>
      <c r="I206" s="8" t="s">
        <v>3847</v>
      </c>
      <c r="J206" s="8" t="s">
        <v>2993</v>
      </c>
      <c r="K206" t="s">
        <v>3848</v>
      </c>
      <c r="L206" t="s">
        <v>3849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s="8" t="s">
        <v>4</v>
      </c>
      <c r="E207" s="8" t="s">
        <v>9</v>
      </c>
      <c r="F207" s="8"/>
      <c r="H207" s="8" t="s">
        <v>2936</v>
      </c>
      <c r="I207" s="8" t="s">
        <v>3850</v>
      </c>
      <c r="J207" s="8" t="s">
        <v>2993</v>
      </c>
      <c r="K207" t="s">
        <v>3851</v>
      </c>
      <c r="L207" t="s">
        <v>3852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s="8" t="s">
        <v>4</v>
      </c>
      <c r="E208" s="8" t="s">
        <v>9</v>
      </c>
      <c r="F208" s="8"/>
      <c r="H208" s="8" t="s">
        <v>2936</v>
      </c>
      <c r="I208" s="8" t="s">
        <v>3853</v>
      </c>
      <c r="J208" s="8" t="s">
        <v>2993</v>
      </c>
      <c r="K208" t="s">
        <v>3854</v>
      </c>
      <c r="L208" t="s">
        <v>3855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s="8" t="s">
        <v>4</v>
      </c>
      <c r="E209" s="8" t="s">
        <v>9</v>
      </c>
      <c r="F209" s="8"/>
      <c r="H209" s="8" t="s">
        <v>2936</v>
      </c>
      <c r="I209" s="8" t="s">
        <v>3856</v>
      </c>
      <c r="J209" s="8" t="s">
        <v>2993</v>
      </c>
      <c r="K209" t="s">
        <v>3857</v>
      </c>
      <c r="L209" t="s">
        <v>3858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s="8" t="s">
        <v>4221</v>
      </c>
      <c r="E210" s="8" t="s">
        <v>86</v>
      </c>
      <c r="F210" s="8" t="s">
        <v>58</v>
      </c>
      <c r="H210" s="8"/>
      <c r="I210" s="8" t="s">
        <v>3859</v>
      </c>
      <c r="J210" s="8" t="s">
        <v>2993</v>
      </c>
      <c r="K210" t="s">
        <v>3860</v>
      </c>
      <c r="L210" t="s">
        <v>3861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s="8" t="s">
        <v>4</v>
      </c>
      <c r="E211" s="8" t="s">
        <v>9</v>
      </c>
      <c r="F211" s="8"/>
      <c r="H211" s="8"/>
      <c r="I211" s="8" t="s">
        <v>3862</v>
      </c>
      <c r="J211" s="8" t="s">
        <v>2993</v>
      </c>
      <c r="K211" t="s">
        <v>3863</v>
      </c>
      <c r="L211" t="s">
        <v>3864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s="8" t="s">
        <v>4</v>
      </c>
      <c r="E212" s="8" t="s">
        <v>4222</v>
      </c>
      <c r="F212" s="8" t="s">
        <v>1099</v>
      </c>
      <c r="H212" s="8"/>
      <c r="I212" s="8" t="s">
        <v>3865</v>
      </c>
      <c r="J212" s="8" t="s">
        <v>2993</v>
      </c>
      <c r="K212" t="s">
        <v>3866</v>
      </c>
      <c r="L212" t="s">
        <v>3867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s="8" t="s">
        <v>2004</v>
      </c>
      <c r="E213" s="8"/>
      <c r="F213" s="8"/>
      <c r="H213" s="8"/>
      <c r="I213" s="8" t="s">
        <v>4282</v>
      </c>
      <c r="J213" s="8" t="s">
        <v>2993</v>
      </c>
      <c r="K213" t="s">
        <v>4283</v>
      </c>
      <c r="L213" t="s">
        <v>4284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s="8" t="s">
        <v>4</v>
      </c>
      <c r="E214" s="8" t="s">
        <v>9</v>
      </c>
      <c r="F214" s="8"/>
      <c r="H214" s="8"/>
      <c r="I214" s="8" t="s">
        <v>4627</v>
      </c>
      <c r="J214" s="8" t="s">
        <v>2993</v>
      </c>
      <c r="K214" t="s">
        <v>4628</v>
      </c>
      <c r="L214" t="s">
        <v>4629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s="8" t="s">
        <v>5136</v>
      </c>
      <c r="E215" s="8" t="s">
        <v>5135</v>
      </c>
      <c r="F215" s="8"/>
      <c r="H215" s="8"/>
      <c r="I215" s="8" t="s">
        <v>4630</v>
      </c>
      <c r="J215" s="8" t="s">
        <v>2993</v>
      </c>
      <c r="K215" t="s">
        <v>4631</v>
      </c>
      <c r="L215" t="s">
        <v>4632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s="8" t="s">
        <v>5136</v>
      </c>
      <c r="E216" s="8" t="s">
        <v>5135</v>
      </c>
      <c r="F216" s="8"/>
      <c r="H216" s="8" t="s">
        <v>2936</v>
      </c>
      <c r="I216" s="8" t="s">
        <v>4633</v>
      </c>
      <c r="J216" s="8" t="s">
        <v>2993</v>
      </c>
      <c r="K216" t="s">
        <v>4634</v>
      </c>
      <c r="L216" t="s">
        <v>4635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s="8" t="s">
        <v>1091</v>
      </c>
      <c r="E217" s="8" t="s">
        <v>5137</v>
      </c>
      <c r="F217" s="8" t="s">
        <v>1099</v>
      </c>
      <c r="H217" s="8"/>
      <c r="I217" s="8" t="s">
        <v>4636</v>
      </c>
      <c r="J217" s="8" t="s">
        <v>2993</v>
      </c>
      <c r="K217" t="s">
        <v>4637</v>
      </c>
      <c r="L217" t="s">
        <v>4638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s="8" t="s">
        <v>1091</v>
      </c>
      <c r="E218" s="8" t="s">
        <v>5137</v>
      </c>
      <c r="F218" s="8" t="s">
        <v>1099</v>
      </c>
      <c r="H218" s="8" t="s">
        <v>2936</v>
      </c>
      <c r="I218" s="8" t="s">
        <v>4639</v>
      </c>
      <c r="J218" s="8" t="s">
        <v>2993</v>
      </c>
      <c r="K218" t="s">
        <v>4640</v>
      </c>
      <c r="L218" t="s">
        <v>4641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s="8" t="s">
        <v>4</v>
      </c>
      <c r="E219" s="8" t="s">
        <v>9</v>
      </c>
      <c r="F219" s="8"/>
      <c r="H219" s="8"/>
      <c r="I219" s="8" t="s">
        <v>4642</v>
      </c>
      <c r="J219" s="8" t="s">
        <v>2993</v>
      </c>
      <c r="K219" t="s">
        <v>4643</v>
      </c>
      <c r="L219" t="s">
        <v>4644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s="8" t="s">
        <v>4</v>
      </c>
      <c r="E220" s="8" t="s">
        <v>9</v>
      </c>
      <c r="F220" s="8"/>
      <c r="H220" s="8" t="s">
        <v>2936</v>
      </c>
      <c r="I220" s="8" t="s">
        <v>4645</v>
      </c>
      <c r="J220" s="8" t="s">
        <v>2993</v>
      </c>
      <c r="K220" t="s">
        <v>4646</v>
      </c>
      <c r="L220" t="s">
        <v>4647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s="8" t="s">
        <v>4</v>
      </c>
      <c r="E221" s="8" t="s">
        <v>9</v>
      </c>
      <c r="F221" s="8"/>
      <c r="H221" s="8" t="s">
        <v>2936</v>
      </c>
      <c r="I221" s="8" t="s">
        <v>4648</v>
      </c>
      <c r="J221" s="8" t="s">
        <v>2993</v>
      </c>
      <c r="K221" t="s">
        <v>4649</v>
      </c>
      <c r="L221" t="s">
        <v>4650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s="8" t="s">
        <v>4</v>
      </c>
      <c r="E222" s="8" t="s">
        <v>9</v>
      </c>
      <c r="F222" s="8"/>
      <c r="H222" s="8" t="s">
        <v>2936</v>
      </c>
      <c r="I222" s="8" t="s">
        <v>4651</v>
      </c>
      <c r="J222" s="8" t="s">
        <v>2993</v>
      </c>
      <c r="K222" t="s">
        <v>4652</v>
      </c>
      <c r="L222" t="s">
        <v>4653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s="8" t="s">
        <v>4</v>
      </c>
      <c r="E223" s="8" t="s">
        <v>9</v>
      </c>
      <c r="F223" s="8"/>
      <c r="H223" s="8" t="s">
        <v>2936</v>
      </c>
      <c r="I223" s="8" t="s">
        <v>4654</v>
      </c>
      <c r="J223" s="8" t="s">
        <v>2993</v>
      </c>
      <c r="K223" t="s">
        <v>4655</v>
      </c>
      <c r="L223" t="s">
        <v>4656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s="8" t="s">
        <v>4</v>
      </c>
      <c r="E224" s="8" t="s">
        <v>9</v>
      </c>
      <c r="F224" s="8"/>
      <c r="H224" s="8" t="s">
        <v>2936</v>
      </c>
      <c r="I224" s="8" t="s">
        <v>4657</v>
      </c>
      <c r="J224" s="8" t="s">
        <v>2993</v>
      </c>
      <c r="K224" t="s">
        <v>4658</v>
      </c>
      <c r="L224" t="s">
        <v>4659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s="8" t="s">
        <v>4</v>
      </c>
      <c r="E225" s="8" t="s">
        <v>9</v>
      </c>
      <c r="F225" s="8"/>
      <c r="H225" s="8" t="s">
        <v>2936</v>
      </c>
      <c r="I225" s="8" t="s">
        <v>4660</v>
      </c>
      <c r="J225" s="8" t="s">
        <v>2993</v>
      </c>
      <c r="K225" t="s">
        <v>4661</v>
      </c>
      <c r="L225" t="s">
        <v>4662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s="8" t="s">
        <v>4</v>
      </c>
      <c r="E226" s="8" t="s">
        <v>9</v>
      </c>
      <c r="F226" s="8"/>
      <c r="H226" s="8" t="s">
        <v>2936</v>
      </c>
      <c r="I226" s="8" t="s">
        <v>4663</v>
      </c>
      <c r="J226" s="8" t="s">
        <v>2993</v>
      </c>
      <c r="K226" t="s">
        <v>4664</v>
      </c>
      <c r="L226" t="s">
        <v>4665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s="8" t="s">
        <v>4</v>
      </c>
      <c r="E227" s="8" t="s">
        <v>9</v>
      </c>
      <c r="F227" s="8"/>
      <c r="H227" s="8" t="s">
        <v>2936</v>
      </c>
      <c r="I227" s="8" t="s">
        <v>4666</v>
      </c>
      <c r="J227" s="8" t="s">
        <v>2993</v>
      </c>
      <c r="K227" t="s">
        <v>4667</v>
      </c>
      <c r="L227" t="s">
        <v>4668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s="8" t="s">
        <v>4</v>
      </c>
      <c r="E228" s="8" t="s">
        <v>9</v>
      </c>
      <c r="F228" s="8"/>
      <c r="H228" s="8" t="s">
        <v>2936</v>
      </c>
      <c r="I228" s="8" t="s">
        <v>4669</v>
      </c>
      <c r="J228" s="8" t="s">
        <v>2993</v>
      </c>
      <c r="K228" t="s">
        <v>4670</v>
      </c>
      <c r="L228" t="s">
        <v>4671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s="8" t="s">
        <v>4</v>
      </c>
      <c r="E229" s="8" t="s">
        <v>9</v>
      </c>
      <c r="F229" s="8"/>
      <c r="H229" s="8" t="s">
        <v>2936</v>
      </c>
      <c r="I229" s="8" t="s">
        <v>4672</v>
      </c>
      <c r="J229" s="8" t="s">
        <v>2993</v>
      </c>
      <c r="K229" t="s">
        <v>4673</v>
      </c>
      <c r="L229" t="s">
        <v>4674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s="8" t="s">
        <v>4</v>
      </c>
      <c r="E230" s="8" t="s">
        <v>9</v>
      </c>
      <c r="F230" s="8"/>
      <c r="H230" s="8" t="s">
        <v>2936</v>
      </c>
      <c r="I230" s="8" t="s">
        <v>4675</v>
      </c>
      <c r="J230" s="8" t="s">
        <v>2993</v>
      </c>
      <c r="K230" t="s">
        <v>4676</v>
      </c>
      <c r="L230" t="s">
        <v>4677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s="8" t="s">
        <v>1091</v>
      </c>
      <c r="E231" s="8" t="s">
        <v>1607</v>
      </c>
      <c r="F231" s="8" t="s">
        <v>58</v>
      </c>
      <c r="H231" s="8"/>
      <c r="I231" s="8" t="s">
        <v>4678</v>
      </c>
      <c r="J231" s="8" t="s">
        <v>2993</v>
      </c>
      <c r="K231" t="s">
        <v>4679</v>
      </c>
      <c r="L231" t="s">
        <v>4680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s="8" t="s">
        <v>4</v>
      </c>
      <c r="E232" s="8" t="s">
        <v>9</v>
      </c>
      <c r="F232" s="8"/>
      <c r="H232" s="8" t="s">
        <v>2936</v>
      </c>
      <c r="I232" s="8" t="s">
        <v>4681</v>
      </c>
      <c r="J232" s="8" t="s">
        <v>2993</v>
      </c>
      <c r="K232" t="s">
        <v>4682</v>
      </c>
      <c r="L232" t="s">
        <v>4683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s="8" t="s">
        <v>1091</v>
      </c>
      <c r="E233" s="8" t="s">
        <v>1607</v>
      </c>
      <c r="F233" s="8" t="s">
        <v>58</v>
      </c>
      <c r="H233" s="8"/>
      <c r="I233" s="8" t="s">
        <v>4684</v>
      </c>
      <c r="J233" s="8" t="s">
        <v>2993</v>
      </c>
      <c r="K233" t="s">
        <v>4685</v>
      </c>
      <c r="L233" t="s">
        <v>4686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s="8" t="s">
        <v>4</v>
      </c>
      <c r="E234" s="8" t="s">
        <v>9</v>
      </c>
      <c r="F234" s="8"/>
      <c r="H234" s="8" t="s">
        <v>2936</v>
      </c>
      <c r="I234" s="8" t="s">
        <v>4687</v>
      </c>
      <c r="J234" s="8" t="s">
        <v>2993</v>
      </c>
      <c r="K234" t="s">
        <v>4688</v>
      </c>
      <c r="L234" t="s">
        <v>4689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s="8" t="s">
        <v>1091</v>
      </c>
      <c r="E235" s="8" t="s">
        <v>1607</v>
      </c>
      <c r="F235" s="8" t="s">
        <v>58</v>
      </c>
      <c r="H235" s="8"/>
      <c r="I235" s="8" t="s">
        <v>4690</v>
      </c>
      <c r="J235" s="8" t="s">
        <v>2993</v>
      </c>
      <c r="K235" t="s">
        <v>4691</v>
      </c>
      <c r="L235" t="s">
        <v>4692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s="8" t="s">
        <v>4</v>
      </c>
      <c r="E236" s="8" t="s">
        <v>9</v>
      </c>
      <c r="F236" s="8"/>
      <c r="H236" s="8" t="s">
        <v>2936</v>
      </c>
      <c r="I236" s="8" t="s">
        <v>4693</v>
      </c>
      <c r="J236" s="8" t="s">
        <v>2993</v>
      </c>
      <c r="K236" t="s">
        <v>4694</v>
      </c>
      <c r="L236" t="s">
        <v>4695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s="8" t="s">
        <v>1091</v>
      </c>
      <c r="E237" s="8" t="s">
        <v>1607</v>
      </c>
      <c r="F237" s="8" t="s">
        <v>58</v>
      </c>
      <c r="H237" s="8"/>
      <c r="I237" s="8" t="s">
        <v>4696</v>
      </c>
      <c r="J237" s="8" t="s">
        <v>2993</v>
      </c>
      <c r="K237" t="s">
        <v>4697</v>
      </c>
      <c r="L237" t="s">
        <v>4698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s="8" t="s">
        <v>4</v>
      </c>
      <c r="E238" s="8" t="s">
        <v>9</v>
      </c>
      <c r="F238" s="8"/>
      <c r="H238" s="8"/>
      <c r="I238" s="8" t="s">
        <v>4699</v>
      </c>
      <c r="J238" s="8" t="s">
        <v>2993</v>
      </c>
      <c r="K238" t="s">
        <v>4700</v>
      </c>
      <c r="L238" t="s">
        <v>4701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s="8" t="s">
        <v>4</v>
      </c>
      <c r="E239" s="8" t="s">
        <v>9</v>
      </c>
      <c r="F239" s="8"/>
      <c r="H239" s="8" t="s">
        <v>2936</v>
      </c>
      <c r="I239" s="8" t="s">
        <v>4702</v>
      </c>
      <c r="J239" s="8" t="s">
        <v>2993</v>
      </c>
      <c r="K239" t="s">
        <v>4703</v>
      </c>
      <c r="L239" t="s">
        <v>4704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s="8" t="s">
        <v>4</v>
      </c>
      <c r="E240" s="8" t="s">
        <v>9</v>
      </c>
      <c r="F240" s="8"/>
      <c r="H240" s="8" t="s">
        <v>2936</v>
      </c>
      <c r="I240" s="8" t="s">
        <v>4705</v>
      </c>
      <c r="J240" s="8" t="s">
        <v>2993</v>
      </c>
      <c r="K240" t="s">
        <v>4706</v>
      </c>
      <c r="L240" t="s">
        <v>4707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s="8" t="s">
        <v>4</v>
      </c>
      <c r="E241" s="8" t="s">
        <v>9</v>
      </c>
      <c r="F241" s="8"/>
      <c r="H241" s="8" t="s">
        <v>2936</v>
      </c>
      <c r="I241" s="8" t="s">
        <v>4708</v>
      </c>
      <c r="J241" s="8" t="s">
        <v>2993</v>
      </c>
      <c r="K241" t="s">
        <v>4709</v>
      </c>
      <c r="L241" t="s">
        <v>4710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s="8" t="s">
        <v>4</v>
      </c>
      <c r="E242" s="8" t="s">
        <v>9</v>
      </c>
      <c r="F242" s="8"/>
      <c r="H242" s="8" t="s">
        <v>2936</v>
      </c>
      <c r="I242" s="8" t="s">
        <v>4711</v>
      </c>
      <c r="J242" s="8" t="s">
        <v>2993</v>
      </c>
      <c r="K242" t="s">
        <v>4712</v>
      </c>
      <c r="L242" t="s">
        <v>4713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s="8" t="s">
        <v>4</v>
      </c>
      <c r="E243" s="8" t="s">
        <v>9</v>
      </c>
      <c r="F243" s="8"/>
      <c r="H243" s="8" t="s">
        <v>2936</v>
      </c>
      <c r="I243" s="8" t="s">
        <v>4714</v>
      </c>
      <c r="J243" s="8" t="s">
        <v>2993</v>
      </c>
      <c r="K243" t="s">
        <v>4715</v>
      </c>
      <c r="L243" t="s">
        <v>4716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s="8" t="s">
        <v>1091</v>
      </c>
      <c r="E244" s="8" t="s">
        <v>531</v>
      </c>
      <c r="F244" s="8" t="s">
        <v>2944</v>
      </c>
      <c r="H244" s="8"/>
      <c r="I244" s="8" t="s">
        <v>4717</v>
      </c>
      <c r="J244" s="8" t="s">
        <v>2993</v>
      </c>
      <c r="K244" t="s">
        <v>4718</v>
      </c>
      <c r="L244" t="s">
        <v>4719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s="8" t="s">
        <v>4</v>
      </c>
      <c r="E245" s="8" t="s">
        <v>9</v>
      </c>
      <c r="F245" s="8"/>
      <c r="H245" s="8" t="s">
        <v>2936</v>
      </c>
      <c r="I245" s="8" t="s">
        <v>4720</v>
      </c>
      <c r="J245" s="8" t="s">
        <v>2993</v>
      </c>
      <c r="K245" t="s">
        <v>4721</v>
      </c>
      <c r="L245" t="s">
        <v>4722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s="8" t="s">
        <v>1091</v>
      </c>
      <c r="E246" s="8" t="s">
        <v>1607</v>
      </c>
      <c r="F246" s="8" t="s">
        <v>58</v>
      </c>
      <c r="H246" s="8"/>
      <c r="I246" s="8" t="s">
        <v>4723</v>
      </c>
      <c r="J246" s="8" t="s">
        <v>2993</v>
      </c>
      <c r="K246" t="s">
        <v>4724</v>
      </c>
      <c r="L246" t="s">
        <v>4725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s="8" t="s">
        <v>4</v>
      </c>
      <c r="E247" s="8" t="s">
        <v>9</v>
      </c>
      <c r="F247" s="8"/>
      <c r="H247" s="8" t="s">
        <v>2936</v>
      </c>
      <c r="I247" s="8" t="s">
        <v>4726</v>
      </c>
      <c r="J247" s="8" t="s">
        <v>2993</v>
      </c>
      <c r="K247" t="s">
        <v>4727</v>
      </c>
      <c r="L247" t="s">
        <v>4728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s="8" t="s">
        <v>1091</v>
      </c>
      <c r="E248" s="8" t="s">
        <v>1607</v>
      </c>
      <c r="F248" s="8" t="s">
        <v>58</v>
      </c>
      <c r="H248" s="8"/>
      <c r="I248" s="8" t="s">
        <v>4729</v>
      </c>
      <c r="J248" s="8" t="s">
        <v>2993</v>
      </c>
      <c r="K248" t="s">
        <v>4730</v>
      </c>
      <c r="L248" t="s">
        <v>4731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s="8" t="s">
        <v>4</v>
      </c>
      <c r="E249" s="8" t="s">
        <v>9</v>
      </c>
      <c r="F249" s="8"/>
      <c r="H249" s="8" t="s">
        <v>2936</v>
      </c>
      <c r="I249" s="8" t="s">
        <v>4732</v>
      </c>
      <c r="J249" s="8" t="s">
        <v>2993</v>
      </c>
      <c r="K249" t="s">
        <v>4733</v>
      </c>
      <c r="L249" t="s">
        <v>4734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s="8" t="s">
        <v>4</v>
      </c>
      <c r="E250" s="8" t="s">
        <v>9</v>
      </c>
      <c r="F250" s="8"/>
      <c r="H250" s="8" t="s">
        <v>2936</v>
      </c>
      <c r="I250" s="8" t="s">
        <v>4735</v>
      </c>
      <c r="J250" s="8" t="s">
        <v>2993</v>
      </c>
      <c r="K250" t="s">
        <v>4736</v>
      </c>
      <c r="L250" t="s">
        <v>4737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s="8" t="s">
        <v>4</v>
      </c>
      <c r="E251" s="8" t="s">
        <v>9</v>
      </c>
      <c r="F251" s="8"/>
      <c r="H251" s="8" t="s">
        <v>2936</v>
      </c>
      <c r="I251" s="8" t="s">
        <v>4738</v>
      </c>
      <c r="J251" s="8" t="s">
        <v>2993</v>
      </c>
      <c r="K251" t="s">
        <v>4739</v>
      </c>
      <c r="L251" t="s">
        <v>4740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s="8" t="s">
        <v>4</v>
      </c>
      <c r="E252" s="8" t="s">
        <v>9</v>
      </c>
      <c r="F252" s="8"/>
      <c r="H252" s="8" t="s">
        <v>2936</v>
      </c>
      <c r="I252" s="8" t="s">
        <v>4741</v>
      </c>
      <c r="J252" s="8" t="s">
        <v>2993</v>
      </c>
      <c r="K252" t="s">
        <v>4742</v>
      </c>
      <c r="L252" t="s">
        <v>4743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s="8" t="s">
        <v>4</v>
      </c>
      <c r="E253" s="8" t="s">
        <v>9</v>
      </c>
      <c r="F253" s="8"/>
      <c r="H253" s="8" t="s">
        <v>2936</v>
      </c>
      <c r="I253" s="8" t="s">
        <v>4744</v>
      </c>
      <c r="J253" s="8" t="s">
        <v>2993</v>
      </c>
      <c r="K253" t="s">
        <v>4745</v>
      </c>
      <c r="L253" t="s">
        <v>4746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s="8" t="s">
        <v>4</v>
      </c>
      <c r="E254" s="8" t="s">
        <v>9</v>
      </c>
      <c r="F254" s="8"/>
      <c r="H254" s="8" t="s">
        <v>2936</v>
      </c>
      <c r="I254" s="8" t="s">
        <v>4747</v>
      </c>
      <c r="J254" s="8" t="s">
        <v>2993</v>
      </c>
      <c r="K254" t="s">
        <v>4748</v>
      </c>
      <c r="L254" t="s">
        <v>4749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s="8" t="s">
        <v>4</v>
      </c>
      <c r="E255" s="8" t="s">
        <v>9</v>
      </c>
      <c r="F255" s="8"/>
      <c r="H255" s="8" t="s">
        <v>2936</v>
      </c>
      <c r="I255" s="8" t="s">
        <v>4750</v>
      </c>
      <c r="J255" s="8" t="s">
        <v>2993</v>
      </c>
      <c r="K255" t="s">
        <v>4751</v>
      </c>
      <c r="L255" t="s">
        <v>4752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s="8" t="s">
        <v>4</v>
      </c>
      <c r="E256" s="8" t="s">
        <v>531</v>
      </c>
      <c r="F256" s="8" t="s">
        <v>1099</v>
      </c>
      <c r="H256" s="8" t="s">
        <v>5138</v>
      </c>
      <c r="I256" s="8" t="s">
        <v>4753</v>
      </c>
      <c r="J256" s="8" t="s">
        <v>2993</v>
      </c>
      <c r="K256" t="s">
        <v>4754</v>
      </c>
      <c r="L256" t="s">
        <v>4755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s="8" t="s">
        <v>4</v>
      </c>
      <c r="E257" s="8" t="s">
        <v>9</v>
      </c>
      <c r="F257" s="8"/>
      <c r="H257" s="8" t="s">
        <v>2936</v>
      </c>
      <c r="I257" s="8" t="s">
        <v>4756</v>
      </c>
      <c r="J257" s="8" t="s">
        <v>2993</v>
      </c>
      <c r="K257" t="s">
        <v>4757</v>
      </c>
      <c r="L257" t="s">
        <v>4758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s="8" t="s">
        <v>1091</v>
      </c>
      <c r="E258" s="8" t="s">
        <v>1607</v>
      </c>
      <c r="F258" s="8" t="s">
        <v>58</v>
      </c>
      <c r="H258" s="8"/>
      <c r="I258" s="8" t="s">
        <v>4759</v>
      </c>
      <c r="J258" s="8" t="s">
        <v>2993</v>
      </c>
      <c r="K258" t="s">
        <v>4760</v>
      </c>
      <c r="L258" t="s">
        <v>4761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s="8" t="s">
        <v>4</v>
      </c>
      <c r="E259" s="8" t="s">
        <v>9</v>
      </c>
      <c r="F259" s="8"/>
      <c r="H259" s="8" t="s">
        <v>2936</v>
      </c>
      <c r="I259" s="8" t="s">
        <v>4762</v>
      </c>
      <c r="J259" s="8" t="s">
        <v>2993</v>
      </c>
      <c r="K259" t="s">
        <v>4763</v>
      </c>
      <c r="L259" t="s">
        <v>4764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s="8" t="s">
        <v>1091</v>
      </c>
      <c r="E260" s="8" t="s">
        <v>1607</v>
      </c>
      <c r="F260" s="8" t="s">
        <v>58</v>
      </c>
      <c r="H260" s="8"/>
      <c r="I260" s="8" t="s">
        <v>4765</v>
      </c>
      <c r="J260" s="8" t="s">
        <v>2993</v>
      </c>
      <c r="K260" t="s">
        <v>4766</v>
      </c>
      <c r="L260" t="s">
        <v>4767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s="8" t="s">
        <v>4</v>
      </c>
      <c r="E261" s="8" t="s">
        <v>9</v>
      </c>
      <c r="F261" s="8"/>
      <c r="H261" s="8" t="s">
        <v>2936</v>
      </c>
      <c r="I261" s="8" t="s">
        <v>4768</v>
      </c>
      <c r="J261" s="8" t="s">
        <v>2993</v>
      </c>
      <c r="K261" t="s">
        <v>4769</v>
      </c>
      <c r="L261" t="s">
        <v>4770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s="8" t="s">
        <v>4</v>
      </c>
      <c r="E262" s="8" t="s">
        <v>9</v>
      </c>
      <c r="F262" s="8"/>
      <c r="H262" s="8" t="s">
        <v>2936</v>
      </c>
      <c r="I262" s="8" t="s">
        <v>4771</v>
      </c>
      <c r="J262" s="8" t="s">
        <v>2993</v>
      </c>
      <c r="K262" t="s">
        <v>4772</v>
      </c>
      <c r="L262" t="s">
        <v>4773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s="8" t="s">
        <v>4</v>
      </c>
      <c r="E263" s="8" t="s">
        <v>9</v>
      </c>
      <c r="F263" s="8"/>
      <c r="H263" s="8" t="s">
        <v>2936</v>
      </c>
      <c r="I263" s="8" t="s">
        <v>4774</v>
      </c>
      <c r="J263" s="8" t="s">
        <v>2993</v>
      </c>
      <c r="K263" t="s">
        <v>4775</v>
      </c>
      <c r="L263" t="s">
        <v>4776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s="8" t="s">
        <v>4</v>
      </c>
      <c r="E264" s="8" t="s">
        <v>9</v>
      </c>
      <c r="F264" s="8"/>
      <c r="H264" s="8" t="s">
        <v>2936</v>
      </c>
      <c r="I264" s="8" t="s">
        <v>4777</v>
      </c>
      <c r="J264" s="8" t="s">
        <v>2993</v>
      </c>
      <c r="K264" t="s">
        <v>4778</v>
      </c>
      <c r="L264" t="s">
        <v>4779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s="8" t="s">
        <v>4</v>
      </c>
      <c r="E265" s="8" t="s">
        <v>9</v>
      </c>
      <c r="F265" s="8"/>
      <c r="H265" s="8" t="s">
        <v>2936</v>
      </c>
      <c r="I265" s="8" t="s">
        <v>4780</v>
      </c>
      <c r="J265" s="8" t="s">
        <v>2993</v>
      </c>
      <c r="K265" t="s">
        <v>4781</v>
      </c>
      <c r="L265" t="s">
        <v>4782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s="8" t="s">
        <v>1091</v>
      </c>
      <c r="E266" s="8" t="s">
        <v>1607</v>
      </c>
      <c r="F266" s="8" t="s">
        <v>58</v>
      </c>
      <c r="H266" s="8"/>
      <c r="I266" s="8" t="s">
        <v>4783</v>
      </c>
      <c r="J266" s="8" t="s">
        <v>2993</v>
      </c>
      <c r="K266" t="s">
        <v>4784</v>
      </c>
      <c r="L266" t="s">
        <v>4785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s="8" t="s">
        <v>4</v>
      </c>
      <c r="E267" s="8" t="s">
        <v>9</v>
      </c>
      <c r="F267" s="8"/>
      <c r="H267" s="8" t="s">
        <v>2936</v>
      </c>
      <c r="I267" s="8" t="s">
        <v>4786</v>
      </c>
      <c r="J267" s="8" t="s">
        <v>2993</v>
      </c>
      <c r="K267" t="s">
        <v>4787</v>
      </c>
      <c r="L267" t="s">
        <v>4788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s="8" t="s">
        <v>1091</v>
      </c>
      <c r="E268" s="8" t="s">
        <v>1607</v>
      </c>
      <c r="F268" s="8" t="s">
        <v>58</v>
      </c>
      <c r="H268" s="8"/>
      <c r="I268" s="8" t="s">
        <v>4789</v>
      </c>
      <c r="J268" s="8" t="s">
        <v>2993</v>
      </c>
      <c r="K268" t="s">
        <v>4790</v>
      </c>
      <c r="L268" t="s">
        <v>4791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s="8" t="s">
        <v>4</v>
      </c>
      <c r="E269" s="8" t="s">
        <v>9</v>
      </c>
      <c r="F269" s="8"/>
      <c r="H269" s="8" t="s">
        <v>2936</v>
      </c>
      <c r="I269" s="8" t="s">
        <v>4792</v>
      </c>
      <c r="J269" s="8" t="s">
        <v>2993</v>
      </c>
      <c r="K269" t="s">
        <v>4793</v>
      </c>
      <c r="L269" t="s">
        <v>4794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s="8" t="s">
        <v>4</v>
      </c>
      <c r="E270" s="8" t="s">
        <v>9</v>
      </c>
      <c r="F270" s="8"/>
      <c r="H270" s="8" t="s">
        <v>2936</v>
      </c>
      <c r="I270" s="8" t="s">
        <v>4795</v>
      </c>
      <c r="J270" s="8" t="s">
        <v>2993</v>
      </c>
      <c r="K270" t="s">
        <v>4796</v>
      </c>
      <c r="L270" t="s">
        <v>4797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s="8" t="s">
        <v>4</v>
      </c>
      <c r="E271" s="8" t="s">
        <v>9</v>
      </c>
      <c r="F271" s="8"/>
      <c r="H271" s="8" t="s">
        <v>2936</v>
      </c>
      <c r="I271" s="8" t="s">
        <v>4798</v>
      </c>
      <c r="J271" s="8" t="s">
        <v>2993</v>
      </c>
      <c r="K271" t="s">
        <v>4799</v>
      </c>
      <c r="L271" t="s">
        <v>4800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s="8" t="s">
        <v>4</v>
      </c>
      <c r="E272" s="8" t="s">
        <v>9</v>
      </c>
      <c r="F272" s="8"/>
      <c r="H272" s="8" t="s">
        <v>2936</v>
      </c>
      <c r="I272" s="8" t="s">
        <v>4801</v>
      </c>
      <c r="J272" s="8" t="s">
        <v>2993</v>
      </c>
      <c r="K272" t="s">
        <v>4802</v>
      </c>
      <c r="L272" t="s">
        <v>4803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s="8" t="s">
        <v>4</v>
      </c>
      <c r="E273" s="8" t="s">
        <v>9</v>
      </c>
      <c r="F273" s="8"/>
      <c r="H273" s="8" t="s">
        <v>2936</v>
      </c>
      <c r="I273" s="8" t="s">
        <v>4804</v>
      </c>
      <c r="J273" s="8" t="s">
        <v>2993</v>
      </c>
      <c r="K273" t="s">
        <v>4805</v>
      </c>
      <c r="L273" t="s">
        <v>4806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s="8" t="s">
        <v>4</v>
      </c>
      <c r="E274" s="8" t="s">
        <v>9</v>
      </c>
      <c r="F274" s="8"/>
      <c r="H274" s="8" t="s">
        <v>2936</v>
      </c>
      <c r="I274" s="8" t="s">
        <v>4807</v>
      </c>
      <c r="J274" s="8" t="s">
        <v>2993</v>
      </c>
      <c r="K274" t="s">
        <v>4808</v>
      </c>
      <c r="L274" t="s">
        <v>4809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s="8" t="s">
        <v>4</v>
      </c>
      <c r="E275" s="8" t="s">
        <v>9</v>
      </c>
      <c r="F275" s="8"/>
      <c r="H275" s="8" t="s">
        <v>2936</v>
      </c>
      <c r="I275" s="8" t="s">
        <v>4810</v>
      </c>
      <c r="J275" s="8" t="s">
        <v>2993</v>
      </c>
      <c r="K275" t="s">
        <v>4811</v>
      </c>
      <c r="L275" t="s">
        <v>4812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s="8" t="s">
        <v>4</v>
      </c>
      <c r="E276" s="8" t="s">
        <v>9</v>
      </c>
      <c r="F276" s="8"/>
      <c r="H276" s="8" t="s">
        <v>2936</v>
      </c>
      <c r="I276" s="8" t="s">
        <v>4813</v>
      </c>
      <c r="J276" s="8" t="s">
        <v>2993</v>
      </c>
      <c r="K276" t="s">
        <v>4814</v>
      </c>
      <c r="L276" t="s">
        <v>4815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s="8" t="s">
        <v>4</v>
      </c>
      <c r="E277" s="8" t="s">
        <v>9</v>
      </c>
      <c r="F277" s="8"/>
      <c r="H277" s="8" t="s">
        <v>2936</v>
      </c>
      <c r="I277" s="8" t="s">
        <v>4816</v>
      </c>
      <c r="J277" s="8" t="s">
        <v>2993</v>
      </c>
      <c r="K277" t="s">
        <v>4817</v>
      </c>
      <c r="L277" t="s">
        <v>4818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s="8" t="s">
        <v>4</v>
      </c>
      <c r="E278" s="8" t="s">
        <v>9</v>
      </c>
      <c r="F278" s="8"/>
      <c r="H278" s="8" t="s">
        <v>2936</v>
      </c>
      <c r="I278" s="8" t="s">
        <v>4819</v>
      </c>
      <c r="J278" s="8" t="s">
        <v>2993</v>
      </c>
      <c r="K278" t="s">
        <v>4820</v>
      </c>
      <c r="L278" t="s">
        <v>4821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s="8" t="s">
        <v>4</v>
      </c>
      <c r="E279" s="8" t="s">
        <v>9</v>
      </c>
      <c r="F279" s="8"/>
      <c r="H279" s="8" t="s">
        <v>2936</v>
      </c>
      <c r="I279" s="8" t="s">
        <v>4822</v>
      </c>
      <c r="J279" s="8" t="s">
        <v>2993</v>
      </c>
      <c r="K279" t="s">
        <v>4823</v>
      </c>
      <c r="L279" t="s">
        <v>4824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s="8" t="s">
        <v>4</v>
      </c>
      <c r="E280" s="8" t="s">
        <v>9</v>
      </c>
      <c r="F280" s="8"/>
      <c r="H280" s="8" t="s">
        <v>2936</v>
      </c>
      <c r="I280" s="8" t="s">
        <v>4825</v>
      </c>
      <c r="J280" s="8" t="s">
        <v>2993</v>
      </c>
      <c r="K280" t="s">
        <v>4826</v>
      </c>
      <c r="L280" t="s">
        <v>4827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s="8" t="s">
        <v>4</v>
      </c>
      <c r="E281" s="8" t="s">
        <v>9</v>
      </c>
      <c r="F281" s="8"/>
      <c r="H281" s="8" t="s">
        <v>2936</v>
      </c>
      <c r="I281" s="8" t="s">
        <v>4828</v>
      </c>
      <c r="J281" s="8" t="s">
        <v>2993</v>
      </c>
      <c r="K281" t="s">
        <v>4829</v>
      </c>
      <c r="L281" t="s">
        <v>4830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s="8" t="s">
        <v>4</v>
      </c>
      <c r="E282" s="8" t="s">
        <v>9</v>
      </c>
      <c r="F282" s="8"/>
      <c r="H282" s="8"/>
      <c r="I282" s="8" t="s">
        <v>5232</v>
      </c>
      <c r="J282" s="8" t="s">
        <v>2993</v>
      </c>
      <c r="K282" t="s">
        <v>5233</v>
      </c>
      <c r="L282" t="s">
        <v>5234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s="8" t="s">
        <v>4</v>
      </c>
      <c r="E283" s="8" t="s">
        <v>9</v>
      </c>
      <c r="F283" s="8"/>
      <c r="H283" s="8" t="s">
        <v>5264</v>
      </c>
      <c r="I283" s="8" t="s">
        <v>5235</v>
      </c>
      <c r="J283" s="8" t="s">
        <v>2993</v>
      </c>
      <c r="K283" t="s">
        <v>5236</v>
      </c>
      <c r="L283" t="s">
        <v>5237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s="8" t="s">
        <v>2024</v>
      </c>
      <c r="E284" s="8" t="s">
        <v>1304</v>
      </c>
      <c r="F284" s="8"/>
      <c r="H284" s="8"/>
      <c r="I284" s="8" t="s">
        <v>5238</v>
      </c>
      <c r="J284" s="8" t="s">
        <v>2993</v>
      </c>
      <c r="K284" t="s">
        <v>5239</v>
      </c>
      <c r="L284" t="s">
        <v>5240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s="8" t="s">
        <v>2024</v>
      </c>
      <c r="E285" s="8" t="s">
        <v>1304</v>
      </c>
      <c r="F285" s="8"/>
      <c r="H285" s="8"/>
      <c r="I285" s="8" t="s">
        <v>5241</v>
      </c>
      <c r="J285" s="8" t="s">
        <v>2993</v>
      </c>
      <c r="K285" t="s">
        <v>5242</v>
      </c>
      <c r="L285" t="s">
        <v>5243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s="8" t="s">
        <v>4</v>
      </c>
      <c r="E286" s="8" t="s">
        <v>9</v>
      </c>
      <c r="F286" s="8"/>
      <c r="H286" s="8" t="s">
        <v>2936</v>
      </c>
      <c r="I286" s="8" t="s">
        <v>5244</v>
      </c>
      <c r="J286" s="8" t="s">
        <v>2993</v>
      </c>
      <c r="K286" t="s">
        <v>5245</v>
      </c>
      <c r="L286" t="s">
        <v>5246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s="8" t="s">
        <v>4</v>
      </c>
      <c r="E287" s="8" t="s">
        <v>9</v>
      </c>
      <c r="F287" s="8"/>
      <c r="H287" s="8" t="s">
        <v>2936</v>
      </c>
      <c r="I287" s="8" t="s">
        <v>5247</v>
      </c>
      <c r="J287" s="8" t="s">
        <v>2993</v>
      </c>
      <c r="K287" t="s">
        <v>5248</v>
      </c>
      <c r="L287" t="s">
        <v>5249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s="8" t="s">
        <v>4</v>
      </c>
      <c r="E288" s="8" t="s">
        <v>9</v>
      </c>
      <c r="F288" s="8"/>
      <c r="H288" s="8" t="s">
        <v>2936</v>
      </c>
      <c r="I288" s="8" t="s">
        <v>5250</v>
      </c>
      <c r="J288" s="8" t="s">
        <v>2993</v>
      </c>
      <c r="K288" t="s">
        <v>5251</v>
      </c>
      <c r="L288" t="s">
        <v>5252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s="8" t="s">
        <v>4</v>
      </c>
      <c r="E289" s="8" t="s">
        <v>9</v>
      </c>
      <c r="F289" s="8"/>
      <c r="H289" s="8" t="s">
        <v>2936</v>
      </c>
      <c r="I289" s="8" t="s">
        <v>5253</v>
      </c>
      <c r="J289" s="8" t="s">
        <v>2993</v>
      </c>
      <c r="K289" t="s">
        <v>5254</v>
      </c>
      <c r="L289" t="s">
        <v>5255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s="8" t="s">
        <v>4</v>
      </c>
      <c r="E290" s="8" t="s">
        <v>9</v>
      </c>
      <c r="F290" s="8"/>
      <c r="H290" s="8" t="s">
        <v>2936</v>
      </c>
      <c r="I290" s="8" t="s">
        <v>5256</v>
      </c>
      <c r="J290" s="8" t="s">
        <v>2993</v>
      </c>
      <c r="K290" t="s">
        <v>5257</v>
      </c>
      <c r="L290" t="s">
        <v>5258</v>
      </c>
      <c r="M290" s="3" t="str">
        <f>HYPERLINK(склад2въезд13192021222[[#This Row],[RelativePath]])</f>
        <v>9 Ангар пилорама\E33149364_1_20251207T214851Z.jpg</v>
      </c>
    </row>
    <row r="291" spans="1:13" x14ac:dyDescent="0.25">
      <c r="A291" s="2" t="s">
        <v>13</v>
      </c>
      <c r="B291" s="4">
        <v>45999</v>
      </c>
      <c r="C291" s="5">
        <v>0.30021990740740739</v>
      </c>
      <c r="D291" s="8" t="s">
        <v>4</v>
      </c>
      <c r="E291" s="8" t="s">
        <v>9</v>
      </c>
      <c r="F291" s="8"/>
      <c r="H291" s="8"/>
      <c r="I291" s="8" t="s">
        <v>5328</v>
      </c>
      <c r="J291" s="8" t="s">
        <v>2993</v>
      </c>
      <c r="K291" t="s">
        <v>5329</v>
      </c>
      <c r="L291" t="s">
        <v>5330</v>
      </c>
      <c r="M291" s="3" t="str">
        <f>HYPERLINK(склад2въезд13192021222[[#This Row],[RelativePath]])</f>
        <v>9 Ангар пилорама\E33149364_1_20251208T071219Z.jpg</v>
      </c>
    </row>
    <row r="292" spans="1:13" x14ac:dyDescent="0.25">
      <c r="A292" s="2" t="s">
        <v>13</v>
      </c>
      <c r="B292" s="4">
        <v>45999</v>
      </c>
      <c r="C292" s="5">
        <v>0.31190972222222224</v>
      </c>
      <c r="D292" s="8" t="s">
        <v>4</v>
      </c>
      <c r="E292" s="8" t="s">
        <v>9</v>
      </c>
      <c r="F292" s="8"/>
      <c r="H292" s="8" t="s">
        <v>2936</v>
      </c>
      <c r="I292" s="8" t="s">
        <v>5331</v>
      </c>
      <c r="J292" s="8" t="s">
        <v>2993</v>
      </c>
      <c r="K292" t="s">
        <v>5332</v>
      </c>
      <c r="L292" t="s">
        <v>5333</v>
      </c>
      <c r="M292" s="3" t="str">
        <f>HYPERLINK(склад2въезд13192021222[[#This Row],[RelativePath]])</f>
        <v>9 Ангар пилорама\E33149364_1_20251208T072909Z.jpg</v>
      </c>
    </row>
    <row r="293" spans="1:13" x14ac:dyDescent="0.25">
      <c r="A293" s="2" t="s">
        <v>13</v>
      </c>
      <c r="B293" s="4">
        <v>45999</v>
      </c>
      <c r="C293" s="5">
        <v>0.32190972222222225</v>
      </c>
      <c r="D293" s="8" t="s">
        <v>4</v>
      </c>
      <c r="E293" s="8" t="s">
        <v>9</v>
      </c>
      <c r="F293" s="8"/>
      <c r="H293" s="8" t="s">
        <v>2936</v>
      </c>
      <c r="I293" s="8" t="s">
        <v>5334</v>
      </c>
      <c r="J293" s="8" t="s">
        <v>2993</v>
      </c>
      <c r="K293" t="s">
        <v>5335</v>
      </c>
      <c r="L293" t="s">
        <v>5336</v>
      </c>
      <c r="M293" s="3" t="str">
        <f>HYPERLINK(склад2въезд13192021222[[#This Row],[RelativePath]])</f>
        <v>9 Ангар пилорама\E33149364_1_20251208T074333Z.jpg</v>
      </c>
    </row>
    <row r="294" spans="1:13" x14ac:dyDescent="0.25">
      <c r="A294" s="2" t="s">
        <v>13</v>
      </c>
      <c r="B294" s="4">
        <v>45999</v>
      </c>
      <c r="C294" s="5">
        <v>0.36814814814814817</v>
      </c>
      <c r="D294" s="8" t="s">
        <v>5136</v>
      </c>
      <c r="E294" s="8"/>
      <c r="F294" s="8"/>
      <c r="H294" s="8"/>
      <c r="I294" s="8" t="s">
        <v>5337</v>
      </c>
      <c r="J294" s="8" t="s">
        <v>2993</v>
      </c>
      <c r="K294" t="s">
        <v>5338</v>
      </c>
      <c r="L294" t="s">
        <v>5339</v>
      </c>
      <c r="M294" s="3" t="str">
        <f>HYPERLINK(склад2въезд13192021222[[#This Row],[RelativePath]])</f>
        <v>9 Ангар пилорама\E33149364_1_20251208T085008Z.jpg</v>
      </c>
    </row>
    <row r="295" spans="1:13" x14ac:dyDescent="0.25">
      <c r="A295" s="2" t="s">
        <v>13</v>
      </c>
      <c r="B295" s="4">
        <v>45999</v>
      </c>
      <c r="C295" s="5">
        <v>0.38108796296296299</v>
      </c>
      <c r="D295" s="8" t="s">
        <v>4</v>
      </c>
      <c r="E295" s="8" t="s">
        <v>53</v>
      </c>
      <c r="F295" s="8"/>
      <c r="H295" s="8"/>
      <c r="I295" s="8" t="s">
        <v>5340</v>
      </c>
      <c r="J295" s="8" t="s">
        <v>2993</v>
      </c>
      <c r="K295" t="s">
        <v>5341</v>
      </c>
      <c r="L295" t="s">
        <v>5342</v>
      </c>
      <c r="M295" s="3" t="str">
        <f>HYPERLINK(склад2въезд13192021222[[#This Row],[RelativePath]])</f>
        <v>9 Ангар пилорама\E33149364_1_20251208T090846Z.jpg</v>
      </c>
    </row>
    <row r="296" spans="1:13" x14ac:dyDescent="0.25">
      <c r="A296" s="2" t="s">
        <v>13</v>
      </c>
      <c r="B296" s="4">
        <v>45999</v>
      </c>
      <c r="C296" s="5">
        <v>0.3870601851851852</v>
      </c>
      <c r="D296" s="8" t="s">
        <v>1091</v>
      </c>
      <c r="E296" s="8" t="s">
        <v>53</v>
      </c>
      <c r="F296" s="8"/>
      <c r="H296" s="8"/>
      <c r="I296" s="8" t="s">
        <v>5343</v>
      </c>
      <c r="J296" s="8" t="s">
        <v>2993</v>
      </c>
      <c r="K296" t="s">
        <v>5344</v>
      </c>
      <c r="L296" t="s">
        <v>5345</v>
      </c>
      <c r="M296" s="3" t="str">
        <f>HYPERLINK(склад2въезд13192021222[[#This Row],[RelativePath]])</f>
        <v>9 Ангар пилорама\E33149364_1_20251208T091722Z.jpg</v>
      </c>
    </row>
    <row r="297" spans="1:13" x14ac:dyDescent="0.25">
      <c r="A297" s="2" t="s">
        <v>13</v>
      </c>
      <c r="B297" s="4">
        <v>45999</v>
      </c>
      <c r="C297" s="5">
        <v>0.39564814814814814</v>
      </c>
      <c r="D297" s="8" t="s">
        <v>1091</v>
      </c>
      <c r="E297" s="8" t="s">
        <v>58</v>
      </c>
      <c r="F297" s="8"/>
      <c r="H297" s="8"/>
      <c r="I297" s="8" t="s">
        <v>5346</v>
      </c>
      <c r="J297" s="8" t="s">
        <v>2993</v>
      </c>
      <c r="K297" t="s">
        <v>5347</v>
      </c>
      <c r="L297" t="s">
        <v>5348</v>
      </c>
      <c r="M297" s="3" t="str">
        <f>HYPERLINK(склад2въезд13192021222[[#This Row],[RelativePath]])</f>
        <v>9 Ангар пилорама\E33149364_1_20251208T092944Z.jpg</v>
      </c>
    </row>
    <row r="298" spans="1:13" x14ac:dyDescent="0.25">
      <c r="A298" s="2" t="s">
        <v>13</v>
      </c>
      <c r="B298" s="4">
        <v>45999</v>
      </c>
      <c r="C298" s="5">
        <v>0.39848379629629632</v>
      </c>
      <c r="D298" s="8" t="s">
        <v>4</v>
      </c>
      <c r="E298" s="8" t="s">
        <v>9</v>
      </c>
      <c r="F298" s="8"/>
      <c r="H298" s="8" t="s">
        <v>2936</v>
      </c>
      <c r="I298" s="8" t="s">
        <v>5349</v>
      </c>
      <c r="J298" s="8" t="s">
        <v>2993</v>
      </c>
      <c r="K298" t="s">
        <v>5350</v>
      </c>
      <c r="L298" t="s">
        <v>5351</v>
      </c>
      <c r="M298" s="3" t="str">
        <f>HYPERLINK(склад2въезд13192021222[[#This Row],[RelativePath]])</f>
        <v>9 Ангар пилорама\E33149364_1_20251208T093349Z.jpg</v>
      </c>
    </row>
    <row r="299" spans="1:13" x14ac:dyDescent="0.25">
      <c r="A299" s="2" t="s">
        <v>13</v>
      </c>
      <c r="B299" s="4">
        <v>45999</v>
      </c>
      <c r="C299" s="5">
        <v>0.40478009259259257</v>
      </c>
      <c r="D299" s="8" t="s">
        <v>4</v>
      </c>
      <c r="E299" s="8" t="s">
        <v>9</v>
      </c>
      <c r="F299" s="8"/>
      <c r="H299" s="8" t="s">
        <v>2936</v>
      </c>
      <c r="I299" s="8" t="s">
        <v>5352</v>
      </c>
      <c r="J299" s="8" t="s">
        <v>2993</v>
      </c>
      <c r="K299" t="s">
        <v>5353</v>
      </c>
      <c r="L299" t="s">
        <v>5354</v>
      </c>
      <c r="M299" s="3" t="str">
        <f>HYPERLINK(склад2въезд13192021222[[#This Row],[RelativePath]])</f>
        <v>9 Ангар пилорама\E33149364_1_20251208T094253Z.jpg</v>
      </c>
    </row>
    <row r="300" spans="1:13" x14ac:dyDescent="0.25">
      <c r="A300" s="2" t="s">
        <v>13</v>
      </c>
      <c r="B300" s="4">
        <v>45999</v>
      </c>
      <c r="C300" s="5">
        <v>0.41697916666666668</v>
      </c>
      <c r="D300" s="8" t="s">
        <v>4</v>
      </c>
      <c r="E300" s="8" t="s">
        <v>9</v>
      </c>
      <c r="F300" s="8"/>
      <c r="H300" s="8" t="s">
        <v>2936</v>
      </c>
      <c r="I300" s="8" t="s">
        <v>5355</v>
      </c>
      <c r="J300" s="8" t="s">
        <v>2993</v>
      </c>
      <c r="K300" t="s">
        <v>5356</v>
      </c>
      <c r="L300" t="s">
        <v>5357</v>
      </c>
      <c r="M300" s="3" t="str">
        <f>HYPERLINK(склад2въезд13192021222[[#This Row],[RelativePath]])</f>
        <v>9 Ангар пилорама\E33149364_1_20251208T100027Z.jpg</v>
      </c>
    </row>
    <row r="301" spans="1:13" x14ac:dyDescent="0.25">
      <c r="A301" s="2" t="s">
        <v>13</v>
      </c>
      <c r="B301" s="4">
        <v>45999</v>
      </c>
      <c r="C301" s="5">
        <v>0.41915509259259259</v>
      </c>
      <c r="D301" s="8" t="s">
        <v>5476</v>
      </c>
      <c r="E301" s="8" t="s">
        <v>86</v>
      </c>
      <c r="F301" s="8" t="s">
        <v>58</v>
      </c>
      <c r="H301" s="8"/>
      <c r="I301" s="8" t="s">
        <v>5358</v>
      </c>
      <c r="J301" s="8" t="s">
        <v>2993</v>
      </c>
      <c r="K301" t="s">
        <v>5359</v>
      </c>
      <c r="L301" t="s">
        <v>5360</v>
      </c>
      <c r="M301" s="3" t="str">
        <f>HYPERLINK(склад2въезд13192021222[[#This Row],[RelativePath]])</f>
        <v>9 Ангар пилорама\E33149364_1_20251208T100335Z.jpg</v>
      </c>
    </row>
    <row r="302" spans="1:13" x14ac:dyDescent="0.25">
      <c r="A302" s="2" t="s">
        <v>13</v>
      </c>
      <c r="B302" s="4">
        <v>45999</v>
      </c>
      <c r="C302" s="5">
        <v>0.42311342592592593</v>
      </c>
      <c r="D302" s="8" t="s">
        <v>5476</v>
      </c>
      <c r="E302" s="8" t="s">
        <v>86</v>
      </c>
      <c r="F302" s="8" t="s">
        <v>58</v>
      </c>
      <c r="H302" s="8"/>
      <c r="I302" s="8" t="s">
        <v>5361</v>
      </c>
      <c r="J302" s="8" t="s">
        <v>2993</v>
      </c>
      <c r="K302" t="s">
        <v>5362</v>
      </c>
      <c r="L302" t="s">
        <v>5363</v>
      </c>
      <c r="M302" s="3" t="str">
        <f>HYPERLINK(склад2въезд13192021222[[#This Row],[RelativePath]])</f>
        <v>9 Ангар пилорама\E33149364_1_20251208T100917Z.jpg</v>
      </c>
    </row>
    <row r="303" spans="1:13" x14ac:dyDescent="0.25">
      <c r="A303" s="2" t="s">
        <v>13</v>
      </c>
      <c r="B303" s="4">
        <v>45999</v>
      </c>
      <c r="C303" s="5">
        <v>0.4281712962962963</v>
      </c>
      <c r="D303" s="8" t="s">
        <v>4</v>
      </c>
      <c r="E303" s="8" t="s">
        <v>5477</v>
      </c>
      <c r="F303" s="8"/>
      <c r="H303" s="8"/>
      <c r="I303" s="8" t="s">
        <v>5364</v>
      </c>
      <c r="J303" s="8" t="s">
        <v>2993</v>
      </c>
      <c r="K303" t="s">
        <v>5365</v>
      </c>
      <c r="L303" t="s">
        <v>5366</v>
      </c>
      <c r="M303" s="3" t="str">
        <f>HYPERLINK(склад2въезд13192021222[[#This Row],[RelativePath]])</f>
        <v>9 Ангар пилорама\E33149364_1_20251208T101634Z.jpg</v>
      </c>
    </row>
    <row r="304" spans="1:13" x14ac:dyDescent="0.25">
      <c r="A304" s="2" t="s">
        <v>13</v>
      </c>
      <c r="B304" s="4">
        <v>45999</v>
      </c>
      <c r="C304" s="5">
        <v>0.44516203703703705</v>
      </c>
      <c r="D304" s="8" t="s">
        <v>4</v>
      </c>
      <c r="E304" s="8" t="s">
        <v>9</v>
      </c>
      <c r="F304" s="8"/>
      <c r="H304" s="8"/>
      <c r="I304" s="8" t="s">
        <v>5367</v>
      </c>
      <c r="J304" s="8" t="s">
        <v>2993</v>
      </c>
      <c r="K304" t="s">
        <v>5368</v>
      </c>
      <c r="L304" t="s">
        <v>5369</v>
      </c>
      <c r="M304" s="3" t="str">
        <f>HYPERLINK(склад2въезд13192021222[[#This Row],[RelativePath]])</f>
        <v>9 Ангар пилорама\E33149364_1_20251208T104102Z.jpg</v>
      </c>
    </row>
    <row r="305" spans="1:13" x14ac:dyDescent="0.25">
      <c r="A305" s="2" t="s">
        <v>13</v>
      </c>
      <c r="B305" s="4">
        <v>45999</v>
      </c>
      <c r="C305" s="5">
        <v>0.45057870370370373</v>
      </c>
      <c r="D305" s="8" t="s">
        <v>4</v>
      </c>
      <c r="E305" s="8" t="s">
        <v>9</v>
      </c>
      <c r="F305" s="8"/>
      <c r="H305" s="8" t="s">
        <v>2936</v>
      </c>
      <c r="I305" s="8" t="s">
        <v>5370</v>
      </c>
      <c r="J305" s="8" t="s">
        <v>2993</v>
      </c>
      <c r="K305" t="s">
        <v>5371</v>
      </c>
      <c r="L305" t="s">
        <v>5372</v>
      </c>
      <c r="M305" s="3" t="str">
        <f>HYPERLINK(склад2въезд13192021222[[#This Row],[RelativePath]])</f>
        <v>9 Ангар пилорама\E33149364_1_20251208T104850Z.jpg</v>
      </c>
    </row>
    <row r="306" spans="1:13" x14ac:dyDescent="0.25">
      <c r="A306" s="2" t="s">
        <v>13</v>
      </c>
      <c r="B306" s="4">
        <v>45999</v>
      </c>
      <c r="C306" s="5">
        <v>0.46060185185185187</v>
      </c>
      <c r="D306" s="8" t="s">
        <v>4</v>
      </c>
      <c r="E306" s="8" t="s">
        <v>9</v>
      </c>
      <c r="F306" s="8"/>
      <c r="H306" s="8" t="s">
        <v>2936</v>
      </c>
      <c r="I306" s="8" t="s">
        <v>5373</v>
      </c>
      <c r="J306" s="8" t="s">
        <v>2993</v>
      </c>
      <c r="K306" t="s">
        <v>5374</v>
      </c>
      <c r="L306" t="s">
        <v>5375</v>
      </c>
      <c r="M306" s="3" t="str">
        <f>HYPERLINK(склад2въезд13192021222[[#This Row],[RelativePath]])</f>
        <v>9 Ангар пилорама\E33149364_1_20251208T110316Z.jpg</v>
      </c>
    </row>
    <row r="307" spans="1:13" x14ac:dyDescent="0.25">
      <c r="A307" s="2" t="s">
        <v>13</v>
      </c>
      <c r="B307" s="4">
        <v>45999</v>
      </c>
      <c r="C307" s="5">
        <v>0.46185185185185185</v>
      </c>
      <c r="D307" s="8" t="s">
        <v>5476</v>
      </c>
      <c r="E307" s="8" t="s">
        <v>86</v>
      </c>
      <c r="F307" s="8" t="s">
        <v>58</v>
      </c>
      <c r="H307" s="8"/>
      <c r="I307" s="8" t="s">
        <v>5376</v>
      </c>
      <c r="J307" s="8" t="s">
        <v>2993</v>
      </c>
      <c r="K307" t="s">
        <v>5377</v>
      </c>
      <c r="L307" t="s">
        <v>5378</v>
      </c>
      <c r="M307" s="3" t="str">
        <f>HYPERLINK(склад2въезд13192021222[[#This Row],[RelativePath]])</f>
        <v>9 Ангар пилорама\E33149364_1_20251208T110504Z.jpg</v>
      </c>
    </row>
    <row r="308" spans="1:13" x14ac:dyDescent="0.25">
      <c r="A308" s="2" t="s">
        <v>13</v>
      </c>
      <c r="B308" s="4">
        <v>45999</v>
      </c>
      <c r="C308" s="5">
        <v>0.58391203703703709</v>
      </c>
      <c r="D308" s="8" t="s">
        <v>4</v>
      </c>
      <c r="E308" s="8" t="s">
        <v>9</v>
      </c>
      <c r="F308" s="8"/>
      <c r="H308" s="8"/>
      <c r="I308" s="8" t="s">
        <v>5379</v>
      </c>
      <c r="J308" s="8" t="s">
        <v>2993</v>
      </c>
      <c r="K308" t="s">
        <v>5380</v>
      </c>
      <c r="L308" t="s">
        <v>5381</v>
      </c>
      <c r="M308" s="3" t="str">
        <f>HYPERLINK(склад2въезд13192021222[[#This Row],[RelativePath]])</f>
        <v>9 Ангар пилорама\E33149364_1_20251208T140050Z.jpg</v>
      </c>
    </row>
    <row r="309" spans="1:13" x14ac:dyDescent="0.25">
      <c r="A309" s="2" t="s">
        <v>13</v>
      </c>
      <c r="B309" s="4">
        <v>45999</v>
      </c>
      <c r="C309" s="5">
        <v>0.92942129629629633</v>
      </c>
      <c r="D309" s="8" t="s">
        <v>4</v>
      </c>
      <c r="E309" s="8" t="s">
        <v>9</v>
      </c>
      <c r="F309" s="8"/>
      <c r="H309" s="8"/>
      <c r="I309" s="8" t="s">
        <v>5382</v>
      </c>
      <c r="J309" s="8" t="s">
        <v>2993</v>
      </c>
      <c r="K309" t="s">
        <v>5383</v>
      </c>
      <c r="L309" t="s">
        <v>5384</v>
      </c>
      <c r="M309" s="3" t="str">
        <f>HYPERLINK(склад2въезд13192021222[[#This Row],[RelativePath]])</f>
        <v>9 Ангар пилорама\E33149364_1_20251208T221822Z.jpg</v>
      </c>
    </row>
    <row r="310" spans="1:13" x14ac:dyDescent="0.25">
      <c r="A310" s="2" t="s">
        <v>14</v>
      </c>
      <c r="B310" s="4">
        <v>46000</v>
      </c>
      <c r="C310" s="5">
        <v>0.52533564814814815</v>
      </c>
      <c r="D310" s="8" t="s">
        <v>4</v>
      </c>
      <c r="E310" s="8" t="s">
        <v>9</v>
      </c>
      <c r="F310" s="8"/>
      <c r="H310" s="8"/>
      <c r="I310" s="8" t="s">
        <v>5557</v>
      </c>
      <c r="J310" s="8" t="s">
        <v>2993</v>
      </c>
      <c r="K310" t="s">
        <v>5558</v>
      </c>
      <c r="L310" t="s">
        <v>5559</v>
      </c>
      <c r="M310" s="3" t="str">
        <f>HYPERLINK(склад2въезд13192021222[[#This Row],[RelativePath]])</f>
        <v>9 Ангар пилорама\E33149364_1_20251209T123629Z.jpg</v>
      </c>
    </row>
    <row r="311" spans="1:13" x14ac:dyDescent="0.25">
      <c r="A311" s="2" t="s">
        <v>14</v>
      </c>
      <c r="B311" s="4">
        <v>46000</v>
      </c>
      <c r="C311" s="5">
        <v>0.62208333333333332</v>
      </c>
      <c r="D311" s="8" t="s">
        <v>4</v>
      </c>
      <c r="E311" s="8" t="s">
        <v>86</v>
      </c>
      <c r="F311" s="8" t="s">
        <v>528</v>
      </c>
      <c r="H311" s="8" t="s">
        <v>6177</v>
      </c>
      <c r="I311" s="8" t="s">
        <v>5560</v>
      </c>
      <c r="J311" s="8" t="s">
        <v>2993</v>
      </c>
      <c r="K311" t="s">
        <v>5561</v>
      </c>
      <c r="L311" t="s">
        <v>5562</v>
      </c>
      <c r="M311" s="3" t="str">
        <f>HYPERLINK(склад2въезд13192021222[[#This Row],[RelativePath]])</f>
        <v>9 Ангар пилорама\E33149364_1_20251209T145548Z.jpg</v>
      </c>
    </row>
    <row r="312" spans="1:13" x14ac:dyDescent="0.25">
      <c r="A312" s="2" t="s">
        <v>14</v>
      </c>
      <c r="B312" s="4">
        <v>46000</v>
      </c>
      <c r="C312" s="5">
        <v>0.62842592592592594</v>
      </c>
      <c r="D312" s="8" t="s">
        <v>4</v>
      </c>
      <c r="E312" s="8" t="s">
        <v>9</v>
      </c>
      <c r="F312" s="8"/>
      <c r="H312" s="8" t="s">
        <v>2936</v>
      </c>
      <c r="I312" s="8" t="s">
        <v>5563</v>
      </c>
      <c r="J312" s="8" t="s">
        <v>2993</v>
      </c>
      <c r="K312" t="s">
        <v>5564</v>
      </c>
      <c r="L312" t="s">
        <v>5565</v>
      </c>
      <c r="M312" s="3" t="str">
        <f>HYPERLINK(склад2въезд13192021222[[#This Row],[RelativePath]])</f>
        <v>9 Ангар пилорама\E33149364_1_20251209T150456Z.jpg</v>
      </c>
    </row>
    <row r="313" spans="1:13" x14ac:dyDescent="0.25">
      <c r="A313" s="2" t="s">
        <v>14</v>
      </c>
      <c r="B313" s="4">
        <v>46000</v>
      </c>
      <c r="C313" s="5">
        <v>0.65432870370370366</v>
      </c>
      <c r="D313" s="8" t="s">
        <v>4</v>
      </c>
      <c r="E313" s="8" t="s">
        <v>9</v>
      </c>
      <c r="F313" s="8"/>
      <c r="H313" s="8" t="s">
        <v>2936</v>
      </c>
      <c r="I313" s="8" t="s">
        <v>5566</v>
      </c>
      <c r="J313" s="8" t="s">
        <v>2993</v>
      </c>
      <c r="K313" t="s">
        <v>5567</v>
      </c>
      <c r="L313" t="s">
        <v>5568</v>
      </c>
      <c r="M313" s="3" t="str">
        <f>HYPERLINK(склад2въезд13192021222[[#This Row],[RelativePath]])</f>
        <v>9 Ангар пилорама\E33149364_1_20251209T154214Z.jpg</v>
      </c>
    </row>
    <row r="314" spans="1:13" x14ac:dyDescent="0.25">
      <c r="A314" s="2" t="s">
        <v>14</v>
      </c>
      <c r="B314" s="4">
        <v>46000</v>
      </c>
      <c r="C314" s="5">
        <v>0.67598379629629635</v>
      </c>
      <c r="D314" s="8" t="s">
        <v>4</v>
      </c>
      <c r="E314" s="8" t="s">
        <v>9</v>
      </c>
      <c r="F314" s="8"/>
      <c r="H314" s="8" t="s">
        <v>2936</v>
      </c>
      <c r="I314" s="8" t="s">
        <v>5569</v>
      </c>
      <c r="J314" s="8" t="s">
        <v>2993</v>
      </c>
      <c r="K314" t="s">
        <v>5570</v>
      </c>
      <c r="L314" t="s">
        <v>5571</v>
      </c>
      <c r="M314" s="3" t="str">
        <f>HYPERLINK(склад2въезд13192021222[[#This Row],[RelativePath]])</f>
        <v>9 Ангар пилорама\E33149364_1_20251209T161325Z.jpg</v>
      </c>
    </row>
    <row r="315" spans="1:13" x14ac:dyDescent="0.25">
      <c r="A315" s="2" t="s">
        <v>14</v>
      </c>
      <c r="B315" s="4">
        <v>46000</v>
      </c>
      <c r="C315" s="5">
        <v>0.68395833333333333</v>
      </c>
      <c r="D315" s="8" t="s">
        <v>4</v>
      </c>
      <c r="E315" s="8" t="s">
        <v>9</v>
      </c>
      <c r="F315" s="8"/>
      <c r="H315" s="8" t="s">
        <v>2936</v>
      </c>
      <c r="I315" s="8" t="s">
        <v>5572</v>
      </c>
      <c r="J315" s="8" t="s">
        <v>2993</v>
      </c>
      <c r="K315" t="s">
        <v>5573</v>
      </c>
      <c r="L315" t="s">
        <v>5574</v>
      </c>
      <c r="M315" s="3" t="str">
        <f>HYPERLINK(склад2въезд13192021222[[#This Row],[RelativePath]])</f>
        <v>9 Ангар пилорама\E33149364_1_20251209T162454Z.jpg</v>
      </c>
    </row>
    <row r="316" spans="1:13" x14ac:dyDescent="0.25">
      <c r="A316" s="2" t="s">
        <v>14</v>
      </c>
      <c r="B316" s="4">
        <v>46000</v>
      </c>
      <c r="C316" s="5">
        <v>0.84094907407407404</v>
      </c>
      <c r="D316" s="8" t="s">
        <v>4</v>
      </c>
      <c r="E316" s="8" t="s">
        <v>9</v>
      </c>
      <c r="F316" s="8"/>
      <c r="H316" s="8" t="s">
        <v>2936</v>
      </c>
      <c r="I316" s="8" t="s">
        <v>5575</v>
      </c>
      <c r="J316" s="8" t="s">
        <v>2993</v>
      </c>
      <c r="K316" t="s">
        <v>5576</v>
      </c>
      <c r="L316" t="s">
        <v>5577</v>
      </c>
      <c r="M316" s="3" t="str">
        <f>HYPERLINK(склад2въезд13192021222[[#This Row],[RelativePath]])</f>
        <v>9 Ангар пилорама\E33149364_1_20251209T201058Z.jpg</v>
      </c>
    </row>
    <row r="317" spans="1:13" x14ac:dyDescent="0.25">
      <c r="A317" s="2" t="s">
        <v>14</v>
      </c>
      <c r="B317" s="4">
        <v>46000</v>
      </c>
      <c r="C317" s="5">
        <v>0.94755787037037043</v>
      </c>
      <c r="D317" s="8" t="s">
        <v>4</v>
      </c>
      <c r="E317" s="8" t="s">
        <v>9</v>
      </c>
      <c r="F317" s="8"/>
      <c r="H317" s="8" t="s">
        <v>2936</v>
      </c>
      <c r="I317" s="8" t="s">
        <v>5578</v>
      </c>
      <c r="J317" s="8" t="s">
        <v>2993</v>
      </c>
      <c r="K317" t="s">
        <v>5579</v>
      </c>
      <c r="L317" t="s">
        <v>5580</v>
      </c>
      <c r="M317" s="3" t="str">
        <f>HYPERLINK(склад2въезд13192021222[[#This Row],[RelativePath]])</f>
        <v>9 Ангар пилорама\E33149364_1_20251209T224429Z.jpg</v>
      </c>
    </row>
    <row r="318" spans="1:13" x14ac:dyDescent="0.25">
      <c r="A318" s="2" t="s">
        <v>14</v>
      </c>
      <c r="B318" s="4">
        <v>46000</v>
      </c>
      <c r="C318" s="5">
        <v>0.97392361111111114</v>
      </c>
      <c r="D318" s="8" t="s">
        <v>4</v>
      </c>
      <c r="E318" s="8" t="s">
        <v>9</v>
      </c>
      <c r="F318" s="8"/>
      <c r="H318" s="8" t="s">
        <v>2936</v>
      </c>
      <c r="I318" s="8" t="s">
        <v>5581</v>
      </c>
      <c r="J318" s="8" t="s">
        <v>2993</v>
      </c>
      <c r="K318" t="s">
        <v>5582</v>
      </c>
      <c r="L318" t="s">
        <v>5583</v>
      </c>
      <c r="M318" s="3" t="str">
        <f>HYPERLINK(склад2въезд13192021222[[#This Row],[RelativePath]])</f>
        <v>9 Ангар пилорама\E33149364_1_20251209T232227Z.jpg</v>
      </c>
    </row>
    <row r="319" spans="1:13" x14ac:dyDescent="0.25">
      <c r="A319" s="2" t="s">
        <v>15</v>
      </c>
      <c r="B319" s="4">
        <v>46001</v>
      </c>
      <c r="C319" s="5">
        <v>0.35613425925925923</v>
      </c>
      <c r="D319" s="8" t="s">
        <v>4</v>
      </c>
      <c r="E319" s="8" t="s">
        <v>9</v>
      </c>
      <c r="F319" s="8"/>
      <c r="H319" s="8" t="s">
        <v>2936</v>
      </c>
      <c r="I319" s="8" t="s">
        <v>5584</v>
      </c>
      <c r="J319" s="8" t="s">
        <v>2993</v>
      </c>
      <c r="K319" t="s">
        <v>5585</v>
      </c>
      <c r="L319" t="s">
        <v>5586</v>
      </c>
      <c r="M319" s="3" t="str">
        <f>HYPERLINK(склад2въезд13192021222[[#This Row],[RelativePath]])</f>
        <v>9 Ангар пилорама\E33149364_1_20251210T083250Z.jpg</v>
      </c>
    </row>
    <row r="320" spans="1:13" x14ac:dyDescent="0.25">
      <c r="A320" s="2" t="s">
        <v>15</v>
      </c>
      <c r="B320" s="4">
        <v>46001</v>
      </c>
      <c r="C320" s="5">
        <v>0.41414351851851849</v>
      </c>
      <c r="D320" s="8" t="s">
        <v>4</v>
      </c>
      <c r="E320" s="8" t="s">
        <v>9</v>
      </c>
      <c r="F320" s="8"/>
      <c r="H320" s="8" t="s">
        <v>2936</v>
      </c>
      <c r="I320" s="8" t="s">
        <v>5587</v>
      </c>
      <c r="J320" s="8" t="s">
        <v>2993</v>
      </c>
      <c r="K320" t="s">
        <v>5588</v>
      </c>
      <c r="L320" t="s">
        <v>5589</v>
      </c>
      <c r="M320" s="3" t="str">
        <f>HYPERLINK(склад2въезд13192021222[[#This Row],[RelativePath]])</f>
        <v>9 Ангар пилорама\E33149364_1_20251210T095622Z.jpg</v>
      </c>
    </row>
    <row r="321" spans="1:13" x14ac:dyDescent="0.25">
      <c r="A321" s="2" t="s">
        <v>15</v>
      </c>
      <c r="B321" s="4">
        <v>46001</v>
      </c>
      <c r="C321" s="5">
        <v>0.45811342592592591</v>
      </c>
      <c r="D321" s="8" t="s">
        <v>6178</v>
      </c>
      <c r="E321" s="8"/>
      <c r="F321" s="8"/>
      <c r="H321" s="8"/>
      <c r="I321" s="8" t="s">
        <v>5590</v>
      </c>
      <c r="J321" s="8" t="s">
        <v>2993</v>
      </c>
      <c r="K321" t="s">
        <v>5591</v>
      </c>
      <c r="L321" t="s">
        <v>5592</v>
      </c>
      <c r="M321" s="3" t="str">
        <f>HYPERLINK(склад2въезд13192021222[[#This Row],[RelativePath]])</f>
        <v>9 Ангар пилорама\E33149364_1_20251210T105941Z.jpg</v>
      </c>
    </row>
    <row r="322" spans="1:13" x14ac:dyDescent="0.25">
      <c r="A322" s="2" t="s">
        <v>15</v>
      </c>
      <c r="B322" s="4">
        <v>46001</v>
      </c>
      <c r="C322" s="5">
        <v>0.46269675925925924</v>
      </c>
      <c r="D322" s="8" t="s">
        <v>1091</v>
      </c>
      <c r="E322" s="8" t="s">
        <v>531</v>
      </c>
      <c r="F322" s="8" t="s">
        <v>6179</v>
      </c>
      <c r="H322" s="8"/>
      <c r="I322" s="8" t="s">
        <v>5593</v>
      </c>
      <c r="J322" s="8" t="s">
        <v>2993</v>
      </c>
      <c r="K322" t="s">
        <v>5594</v>
      </c>
      <c r="L322" t="s">
        <v>5595</v>
      </c>
      <c r="M322" s="3" t="str">
        <f>HYPERLINK(склад2въезд13192021222[[#This Row],[RelativePath]])</f>
        <v>9 Ангар пилорама\E33149364_1_20251210T110617Z.jpg</v>
      </c>
    </row>
    <row r="323" spans="1:13" x14ac:dyDescent="0.25">
      <c r="A323" s="2" t="s">
        <v>15</v>
      </c>
      <c r="B323" s="4">
        <v>46001</v>
      </c>
      <c r="C323" s="5">
        <v>0.49589120370370371</v>
      </c>
      <c r="D323" s="8" t="s">
        <v>4</v>
      </c>
      <c r="E323" s="8" t="s">
        <v>9</v>
      </c>
      <c r="F323" s="8"/>
      <c r="H323" s="8"/>
      <c r="I323" s="8" t="s">
        <v>5596</v>
      </c>
      <c r="J323" s="8" t="s">
        <v>2993</v>
      </c>
      <c r="K323" t="s">
        <v>5597</v>
      </c>
      <c r="L323" t="s">
        <v>5598</v>
      </c>
      <c r="M323" s="3" t="str">
        <f>HYPERLINK(склад2въезд13192021222[[#This Row],[RelativePath]])</f>
        <v>9 Ангар пилорама\E33149364_1_20251210T115405Z.jpg</v>
      </c>
    </row>
    <row r="324" spans="1:13" x14ac:dyDescent="0.25">
      <c r="A324" s="2" t="s">
        <v>15</v>
      </c>
      <c r="B324" s="4">
        <v>46001</v>
      </c>
      <c r="C324" s="5">
        <v>0.50521990740740741</v>
      </c>
      <c r="D324" s="8" t="s">
        <v>4</v>
      </c>
      <c r="E324" s="8" t="s">
        <v>9</v>
      </c>
      <c r="F324" s="8"/>
      <c r="H324" s="8"/>
      <c r="I324" s="8" t="s">
        <v>5599</v>
      </c>
      <c r="J324" s="8" t="s">
        <v>2993</v>
      </c>
      <c r="K324" t="s">
        <v>5600</v>
      </c>
      <c r="L324" t="s">
        <v>5601</v>
      </c>
      <c r="M324" s="3" t="str">
        <f>HYPERLINK(склад2въезд13192021222[[#This Row],[RelativePath]])</f>
        <v>9 Ангар пилорама\E33149364_1_20251210T120731Z.jpg</v>
      </c>
    </row>
    <row r="325" spans="1:13" x14ac:dyDescent="0.25">
      <c r="A325" s="2" t="s">
        <v>15</v>
      </c>
      <c r="B325" s="4">
        <v>46001</v>
      </c>
      <c r="C325" s="5">
        <v>0.5220717592592593</v>
      </c>
      <c r="D325" s="8" t="s">
        <v>4</v>
      </c>
      <c r="E325" s="8" t="s">
        <v>9</v>
      </c>
      <c r="F325" s="8"/>
      <c r="H325" s="8"/>
      <c r="I325" s="8" t="s">
        <v>5602</v>
      </c>
      <c r="J325" s="8" t="s">
        <v>2993</v>
      </c>
      <c r="K325" t="s">
        <v>5603</v>
      </c>
      <c r="L325" t="s">
        <v>5604</v>
      </c>
      <c r="M325" s="3" t="str">
        <f>HYPERLINK(склад2въезд13192021222[[#This Row],[RelativePath]])</f>
        <v>9 Ангар пилорама\E33149364_1_20251210T123147Z.jpg</v>
      </c>
    </row>
    <row r="326" spans="1:13" x14ac:dyDescent="0.25">
      <c r="A326" s="2" t="s">
        <v>15</v>
      </c>
      <c r="B326" s="4">
        <v>46001</v>
      </c>
      <c r="C326" s="5">
        <v>0.53940972222222228</v>
      </c>
      <c r="D326" s="8" t="s">
        <v>4</v>
      </c>
      <c r="E326" s="8" t="s">
        <v>9</v>
      </c>
      <c r="F326" s="8"/>
      <c r="H326" s="8"/>
      <c r="I326" s="8" t="s">
        <v>5605</v>
      </c>
      <c r="J326" s="8" t="s">
        <v>2993</v>
      </c>
      <c r="K326" t="s">
        <v>5606</v>
      </c>
      <c r="L326" t="s">
        <v>5607</v>
      </c>
      <c r="M326" s="3" t="str">
        <f>HYPERLINK(склад2въезд13192021222[[#This Row],[RelativePath]])</f>
        <v>9 Ангар пилорама\E33149364_1_20251210T125645Z.jpg</v>
      </c>
    </row>
    <row r="327" spans="1:13" x14ac:dyDescent="0.25">
      <c r="A327" s="2" t="s">
        <v>15</v>
      </c>
      <c r="B327" s="4">
        <v>46001</v>
      </c>
      <c r="C327" s="5">
        <v>0.65284722222222225</v>
      </c>
      <c r="D327" s="8" t="s">
        <v>6178</v>
      </c>
      <c r="E327" s="8"/>
      <c r="F327" s="8"/>
      <c r="H327" s="8"/>
      <c r="I327" s="8" t="s">
        <v>5608</v>
      </c>
      <c r="J327" s="8" t="s">
        <v>2993</v>
      </c>
      <c r="K327" t="s">
        <v>5609</v>
      </c>
      <c r="L327" t="s">
        <v>5610</v>
      </c>
      <c r="M327" s="3" t="str">
        <f>HYPERLINK(склад2въезд13192021222[[#This Row],[RelativePath]])</f>
        <v>9 Ангар пилорама\E33149364_1_20251210T154006Z.jpg</v>
      </c>
    </row>
    <row r="328" spans="1:13" x14ac:dyDescent="0.25">
      <c r="A328" s="2" t="s">
        <v>15</v>
      </c>
      <c r="B328" s="4">
        <v>46001</v>
      </c>
      <c r="C328" s="5">
        <v>0.65546296296296291</v>
      </c>
      <c r="D328" s="8" t="s">
        <v>6180</v>
      </c>
      <c r="E328" s="8" t="s">
        <v>531</v>
      </c>
      <c r="F328" s="8" t="s">
        <v>6179</v>
      </c>
      <c r="H328" s="8"/>
      <c r="I328" s="8" t="s">
        <v>5611</v>
      </c>
      <c r="J328" s="8" t="s">
        <v>2993</v>
      </c>
      <c r="K328" t="s">
        <v>5612</v>
      </c>
      <c r="L328" t="s">
        <v>5613</v>
      </c>
      <c r="M328" s="3" t="str">
        <f>HYPERLINK(склад2въезд13192021222[[#This Row],[RelativePath]])</f>
        <v>9 Ангар пилорама\E33149364_1_20251210T154352Z.jpg</v>
      </c>
    </row>
    <row r="329" spans="1:13" x14ac:dyDescent="0.25">
      <c r="A329" s="2" t="s">
        <v>15</v>
      </c>
      <c r="B329" s="4">
        <v>46001</v>
      </c>
      <c r="C329" s="5">
        <v>0.66635416666666669</v>
      </c>
      <c r="D329" s="8" t="s">
        <v>4</v>
      </c>
      <c r="E329" s="8" t="s">
        <v>9</v>
      </c>
      <c r="F329" s="8"/>
      <c r="H329" s="8"/>
      <c r="I329" s="8" t="s">
        <v>5614</v>
      </c>
      <c r="J329" s="8" t="s">
        <v>2993</v>
      </c>
      <c r="K329" t="s">
        <v>5615</v>
      </c>
      <c r="L329" t="s">
        <v>5616</v>
      </c>
      <c r="M329" s="3" t="str">
        <f>HYPERLINK(склад2въезд13192021222[[#This Row],[RelativePath]])</f>
        <v>9 Ангар пилорама\E33149364_1_20251210T155933Z.jpg</v>
      </c>
    </row>
    <row r="330" spans="1:13" x14ac:dyDescent="0.25">
      <c r="A330" s="2" t="s">
        <v>16</v>
      </c>
      <c r="B330" s="4">
        <v>46002</v>
      </c>
      <c r="C330" s="5">
        <v>0.3835763888888889</v>
      </c>
      <c r="D330" s="8" t="s">
        <v>4</v>
      </c>
      <c r="E330" s="8" t="s">
        <v>9</v>
      </c>
      <c r="F330" s="8"/>
      <c r="H330" s="8"/>
      <c r="I330" s="8" t="s">
        <v>5617</v>
      </c>
      <c r="J330" s="8" t="s">
        <v>2993</v>
      </c>
      <c r="K330" t="s">
        <v>5618</v>
      </c>
      <c r="L330" t="s">
        <v>5619</v>
      </c>
      <c r="M330" s="3" t="str">
        <f>HYPERLINK(склад2въезд13192021222[[#This Row],[RelativePath]])</f>
        <v>9 Ангар пилорама\E33149364_1_20251211T091221Z.jpg</v>
      </c>
    </row>
    <row r="331" spans="1:13" x14ac:dyDescent="0.25">
      <c r="A331" s="2" t="s">
        <v>16</v>
      </c>
      <c r="B331" s="4">
        <v>46002</v>
      </c>
      <c r="C331" s="5">
        <v>0.84232638888888889</v>
      </c>
      <c r="D331" s="8" t="s">
        <v>4</v>
      </c>
      <c r="E331" s="8" t="s">
        <v>9</v>
      </c>
      <c r="F331" s="8"/>
      <c r="H331" s="8" t="s">
        <v>2936</v>
      </c>
      <c r="I331" s="8" t="s">
        <v>5620</v>
      </c>
      <c r="J331" s="8" t="s">
        <v>2993</v>
      </c>
      <c r="K331" t="s">
        <v>5621</v>
      </c>
      <c r="L331" t="s">
        <v>5622</v>
      </c>
      <c r="M331" s="3" t="str">
        <f>HYPERLINK(склад2въезд13192021222[[#This Row],[RelativePath]])</f>
        <v>9 Ангар пилорама\E33149364_1_20251211T201257Z.jpg</v>
      </c>
    </row>
    <row r="332" spans="1:13" x14ac:dyDescent="0.25">
      <c r="A332" s="2" t="s">
        <v>16</v>
      </c>
      <c r="B332" s="4">
        <v>46002</v>
      </c>
      <c r="C332" s="5">
        <v>0.85605324074074074</v>
      </c>
      <c r="D332" s="8" t="s">
        <v>4</v>
      </c>
      <c r="E332" s="8" t="s">
        <v>9</v>
      </c>
      <c r="F332" s="8"/>
      <c r="H332" s="8" t="s">
        <v>2936</v>
      </c>
      <c r="I332" s="8" t="s">
        <v>5623</v>
      </c>
      <c r="J332" s="8" t="s">
        <v>2993</v>
      </c>
      <c r="K332" t="s">
        <v>5624</v>
      </c>
      <c r="L332" t="s">
        <v>5625</v>
      </c>
      <c r="M332" s="3" t="str">
        <f>HYPERLINK(склад2въезд13192021222[[#This Row],[RelativePath]])</f>
        <v>9 Ангар пилорама\E33149364_1_20251211T203243Z.jpg</v>
      </c>
    </row>
    <row r="333" spans="1:13" x14ac:dyDescent="0.25">
      <c r="A333" s="2" t="s">
        <v>16</v>
      </c>
      <c r="B333" s="4">
        <v>46002</v>
      </c>
      <c r="C333" s="5">
        <v>0.90348379629629627</v>
      </c>
      <c r="D333" s="8" t="s">
        <v>4</v>
      </c>
      <c r="E333" s="8" t="s">
        <v>9</v>
      </c>
      <c r="F333" s="8"/>
      <c r="H333" s="8" t="s">
        <v>2936</v>
      </c>
      <c r="I333" s="8" t="s">
        <v>5626</v>
      </c>
      <c r="J333" s="8" t="s">
        <v>2993</v>
      </c>
      <c r="K333" t="s">
        <v>5627</v>
      </c>
      <c r="L333" t="s">
        <v>5628</v>
      </c>
      <c r="M333" s="3" t="str">
        <f>HYPERLINK(склад2въезд13192021222[[#This Row],[RelativePath]])</f>
        <v>9 Ангар пилорама\E33149364_1_20251211T214101Z.jpg</v>
      </c>
    </row>
    <row r="334" spans="1:13" x14ac:dyDescent="0.25">
      <c r="A334" s="2" t="s">
        <v>16</v>
      </c>
      <c r="B334" s="4">
        <v>46002</v>
      </c>
      <c r="C334" s="5">
        <v>0.97010416666666666</v>
      </c>
      <c r="D334" s="8" t="s">
        <v>4</v>
      </c>
      <c r="E334" s="8" t="s">
        <v>9</v>
      </c>
      <c r="F334" s="8"/>
      <c r="H334" s="8" t="s">
        <v>2936</v>
      </c>
      <c r="I334" s="8" t="s">
        <v>5629</v>
      </c>
      <c r="J334" s="8" t="s">
        <v>2993</v>
      </c>
      <c r="K334" t="s">
        <v>5630</v>
      </c>
      <c r="L334" t="s">
        <v>5631</v>
      </c>
      <c r="M334" s="3" t="str">
        <f>HYPERLINK(склад2въезд13192021222[[#This Row],[RelativePath]])</f>
        <v>9 Ангар пилорама\E33149364_1_20251211T231657Z.jpg</v>
      </c>
    </row>
    <row r="335" spans="1:13" x14ac:dyDescent="0.25">
      <c r="A335" s="2" t="s">
        <v>17</v>
      </c>
      <c r="B335" s="4">
        <v>46003</v>
      </c>
      <c r="C335" s="5">
        <v>1.861111111111111E-2</v>
      </c>
      <c r="D335" s="8" t="s">
        <v>4</v>
      </c>
      <c r="E335" s="8" t="s">
        <v>9</v>
      </c>
      <c r="F335" s="8"/>
      <c r="H335" s="8" t="s">
        <v>2936</v>
      </c>
      <c r="I335" s="8" t="s">
        <v>5933</v>
      </c>
      <c r="J335" s="8" t="s">
        <v>2993</v>
      </c>
      <c r="K335" t="s">
        <v>5934</v>
      </c>
      <c r="L335" t="s">
        <v>5935</v>
      </c>
      <c r="M335" s="3" t="str">
        <f>HYPERLINK(склад2въезд13192021222[[#This Row],[RelativePath]])</f>
        <v>9 Ангар пилорама\E33149364_1_20251212T002648Z.jpg</v>
      </c>
    </row>
    <row r="336" spans="1:13" x14ac:dyDescent="0.25">
      <c r="A336" s="2" t="s">
        <v>17</v>
      </c>
      <c r="B336" s="4">
        <v>46003</v>
      </c>
      <c r="C336" s="5">
        <v>3.079861111111111E-2</v>
      </c>
      <c r="D336" s="8" t="s">
        <v>4</v>
      </c>
      <c r="E336" s="8" t="s">
        <v>9</v>
      </c>
      <c r="F336" s="8"/>
      <c r="H336" s="8" t="s">
        <v>2936</v>
      </c>
      <c r="I336" s="8" t="s">
        <v>5936</v>
      </c>
      <c r="J336" s="8" t="s">
        <v>2993</v>
      </c>
      <c r="K336" t="s">
        <v>5937</v>
      </c>
      <c r="L336" t="s">
        <v>5938</v>
      </c>
      <c r="M336" s="3" t="str">
        <f>HYPERLINK(склад2въезд13192021222[[#This Row],[RelativePath]])</f>
        <v>9 Ангар пилорама\E33149364_1_20251212T004421Z.jpg</v>
      </c>
    </row>
    <row r="337" spans="1:13" x14ac:dyDescent="0.25">
      <c r="A337" s="2" t="s">
        <v>17</v>
      </c>
      <c r="B337" s="4">
        <v>46003</v>
      </c>
      <c r="C337" s="5">
        <v>4.1053240740740737E-2</v>
      </c>
      <c r="D337" s="8" t="s">
        <v>4</v>
      </c>
      <c r="E337" s="8" t="s">
        <v>9</v>
      </c>
      <c r="F337" s="8"/>
      <c r="H337" s="8" t="s">
        <v>2936</v>
      </c>
      <c r="I337" s="8" t="s">
        <v>5939</v>
      </c>
      <c r="J337" s="8" t="s">
        <v>2993</v>
      </c>
      <c r="K337" t="s">
        <v>5940</v>
      </c>
      <c r="L337" t="s">
        <v>5941</v>
      </c>
      <c r="M337" s="3" t="str">
        <f>HYPERLINK(склад2въезд13192021222[[#This Row],[RelativePath]])</f>
        <v>9 Ангар пилорама\E33149364_1_20251212T005907Z.jpg</v>
      </c>
    </row>
    <row r="338" spans="1:13" x14ac:dyDescent="0.25">
      <c r="A338" s="2" t="s">
        <v>17</v>
      </c>
      <c r="B338" s="4">
        <v>46003</v>
      </c>
      <c r="C338" s="5">
        <v>0.30113425925925924</v>
      </c>
      <c r="D338" s="8" t="s">
        <v>4</v>
      </c>
      <c r="E338" s="8" t="s">
        <v>9</v>
      </c>
      <c r="F338" s="8"/>
      <c r="H338" s="8" t="s">
        <v>2936</v>
      </c>
      <c r="I338" s="8" t="s">
        <v>5942</v>
      </c>
      <c r="J338" s="8" t="s">
        <v>2993</v>
      </c>
      <c r="K338" t="s">
        <v>5943</v>
      </c>
      <c r="L338" t="s">
        <v>5944</v>
      </c>
      <c r="M338" s="3" t="str">
        <f>HYPERLINK(склад2въезд13192021222[[#This Row],[RelativePath]])</f>
        <v>9 Ангар пилорама\E33149364_1_20251212T071338Z.jpg</v>
      </c>
    </row>
    <row r="339" spans="1:13" x14ac:dyDescent="0.25">
      <c r="A339" s="2" t="s">
        <v>17</v>
      </c>
      <c r="B339" s="4">
        <v>46003</v>
      </c>
      <c r="C339" s="5">
        <v>0.32002314814814814</v>
      </c>
      <c r="D339" s="8" t="s">
        <v>4</v>
      </c>
      <c r="E339" s="8" t="s">
        <v>9</v>
      </c>
      <c r="F339" s="8"/>
      <c r="H339" s="8" t="s">
        <v>2936</v>
      </c>
      <c r="I339" s="8" t="s">
        <v>5945</v>
      </c>
      <c r="J339" s="8" t="s">
        <v>2993</v>
      </c>
      <c r="K339" t="s">
        <v>5946</v>
      </c>
      <c r="L339" t="s">
        <v>5947</v>
      </c>
      <c r="M339" s="3" t="str">
        <f>HYPERLINK(склад2въезд13192021222[[#This Row],[RelativePath]])</f>
        <v>9 Ангар пилорама\E33149364_1_20251212T074050Z.jpg</v>
      </c>
    </row>
    <row r="340" spans="1:13" x14ac:dyDescent="0.25">
      <c r="A340" s="2" t="s">
        <v>17</v>
      </c>
      <c r="B340" s="4">
        <v>46003</v>
      </c>
      <c r="C340" s="5">
        <v>0.35215277777777776</v>
      </c>
      <c r="D340" s="8" t="s">
        <v>4</v>
      </c>
      <c r="E340" s="8" t="s">
        <v>9</v>
      </c>
      <c r="F340" s="8"/>
      <c r="H340" s="8" t="s">
        <v>2936</v>
      </c>
      <c r="I340" s="8" t="s">
        <v>5948</v>
      </c>
      <c r="J340" s="8" t="s">
        <v>2993</v>
      </c>
      <c r="K340" t="s">
        <v>5949</v>
      </c>
      <c r="L340" t="s">
        <v>5950</v>
      </c>
      <c r="M340" s="3" t="str">
        <f>HYPERLINK(склад2въезд13192021222[[#This Row],[RelativePath]])</f>
        <v>9 Ангар пилорама\E33149364_1_20251212T082706Z.jpg</v>
      </c>
    </row>
    <row r="341" spans="1:13" x14ac:dyDescent="0.25">
      <c r="A341" s="2" t="s">
        <v>17</v>
      </c>
      <c r="B341" s="4">
        <v>46003</v>
      </c>
      <c r="C341" s="5">
        <v>0.35690972222222223</v>
      </c>
      <c r="D341" s="8" t="s">
        <v>4</v>
      </c>
      <c r="E341" s="8" t="s">
        <v>9</v>
      </c>
      <c r="F341" s="8"/>
      <c r="H341" s="8" t="s">
        <v>2936</v>
      </c>
      <c r="I341" s="8" t="s">
        <v>5951</v>
      </c>
      <c r="J341" s="8" t="s">
        <v>2993</v>
      </c>
      <c r="K341" t="s">
        <v>5952</v>
      </c>
      <c r="L341" t="s">
        <v>5953</v>
      </c>
      <c r="M341" s="3" t="str">
        <f>HYPERLINK(склад2въезд13192021222[[#This Row],[RelativePath]])</f>
        <v>9 Ангар пилорама\E33149364_1_20251212T083357Z.jpg</v>
      </c>
    </row>
    <row r="342" spans="1:13" x14ac:dyDescent="0.25">
      <c r="A342" s="2" t="s">
        <v>17</v>
      </c>
      <c r="B342" s="4">
        <v>46003</v>
      </c>
      <c r="C342" s="5">
        <v>0.36461805555555554</v>
      </c>
      <c r="D342" s="8" t="s">
        <v>4</v>
      </c>
      <c r="E342" s="8" t="s">
        <v>9</v>
      </c>
      <c r="F342" s="8"/>
      <c r="H342" s="8" t="s">
        <v>2936</v>
      </c>
      <c r="I342" s="8" t="s">
        <v>5954</v>
      </c>
      <c r="J342" s="8" t="s">
        <v>2993</v>
      </c>
      <c r="K342" t="s">
        <v>5955</v>
      </c>
      <c r="L342" t="s">
        <v>5956</v>
      </c>
      <c r="M342" s="3" t="str">
        <f>HYPERLINK(склад2въезд13192021222[[#This Row],[RelativePath]])</f>
        <v>9 Ангар пилорама\E33149364_1_20251212T084503Z.jpg</v>
      </c>
    </row>
    <row r="343" spans="1:13" x14ac:dyDescent="0.25">
      <c r="A343" s="2" t="s">
        <v>17</v>
      </c>
      <c r="B343" s="4">
        <v>46003</v>
      </c>
      <c r="C343" s="5">
        <v>0.36774305555555553</v>
      </c>
      <c r="D343" s="8" t="s">
        <v>4</v>
      </c>
      <c r="E343" s="8" t="s">
        <v>9</v>
      </c>
      <c r="F343" s="8"/>
      <c r="H343" s="8" t="s">
        <v>2936</v>
      </c>
      <c r="I343" s="8" t="s">
        <v>5957</v>
      </c>
      <c r="J343" s="8" t="s">
        <v>2993</v>
      </c>
      <c r="K343" t="s">
        <v>5958</v>
      </c>
      <c r="L343" t="s">
        <v>5959</v>
      </c>
      <c r="M343" s="3" t="str">
        <f>HYPERLINK(склад2въезд13192021222[[#This Row],[RelativePath]])</f>
        <v>9 Ангар пилорама\E33149364_1_20251212T084933Z.jpg</v>
      </c>
    </row>
    <row r="344" spans="1:13" x14ac:dyDescent="0.25">
      <c r="A344" s="2" t="s">
        <v>17</v>
      </c>
      <c r="B344" s="4">
        <v>46003</v>
      </c>
      <c r="C344" s="5">
        <v>0.37748842592592591</v>
      </c>
      <c r="D344" s="8" t="s">
        <v>1091</v>
      </c>
      <c r="E344" s="8" t="s">
        <v>58</v>
      </c>
      <c r="F344" s="8"/>
      <c r="H344" s="8"/>
      <c r="I344" s="8" t="s">
        <v>5960</v>
      </c>
      <c r="J344" s="8" t="s">
        <v>2993</v>
      </c>
      <c r="K344" t="s">
        <v>5961</v>
      </c>
      <c r="L344" t="s">
        <v>5962</v>
      </c>
      <c r="M344" s="3" t="str">
        <f>HYPERLINK(склад2въезд13192021222[[#This Row],[RelativePath]])</f>
        <v>9 Ангар пилорама\E33149364_1_20251212T090335Z.jpg</v>
      </c>
    </row>
    <row r="345" spans="1:13" x14ac:dyDescent="0.25">
      <c r="A345" s="2" t="s">
        <v>17</v>
      </c>
      <c r="B345" s="4">
        <v>46003</v>
      </c>
      <c r="C345" s="5">
        <v>0.38756944444444447</v>
      </c>
      <c r="D345" s="8" t="s">
        <v>1091</v>
      </c>
      <c r="E345" s="8" t="s">
        <v>6181</v>
      </c>
      <c r="F345" s="8"/>
      <c r="H345" s="8"/>
      <c r="I345" s="8" t="s">
        <v>5963</v>
      </c>
      <c r="J345" s="8" t="s">
        <v>2993</v>
      </c>
      <c r="K345" t="s">
        <v>5964</v>
      </c>
      <c r="L345" t="s">
        <v>5965</v>
      </c>
      <c r="M345" s="3" t="str">
        <f>HYPERLINK(склад2въезд13192021222[[#This Row],[RelativePath]])</f>
        <v>9 Ангар пилорама\E33149364_1_20251212T091806Z.jpg</v>
      </c>
    </row>
    <row r="346" spans="1:13" x14ac:dyDescent="0.25">
      <c r="A346" s="2" t="s">
        <v>17</v>
      </c>
      <c r="B346" s="4">
        <v>46003</v>
      </c>
      <c r="C346" s="5">
        <v>0.42334490740740743</v>
      </c>
      <c r="D346" s="8" t="s">
        <v>4</v>
      </c>
      <c r="E346" s="8" t="s">
        <v>9</v>
      </c>
      <c r="F346" s="8"/>
      <c r="H346" s="8"/>
      <c r="I346" s="8" t="s">
        <v>5966</v>
      </c>
      <c r="J346" s="8" t="s">
        <v>2993</v>
      </c>
      <c r="K346" t="s">
        <v>5967</v>
      </c>
      <c r="L346" t="s">
        <v>5968</v>
      </c>
      <c r="M346" s="3" t="str">
        <f>HYPERLINK(склад2въезд13192021222[[#This Row],[RelativePath]])</f>
        <v>9 Ангар пилорама\E33149364_1_20251212T100937Z.jpg</v>
      </c>
    </row>
    <row r="347" spans="1:13" x14ac:dyDescent="0.25">
      <c r="A347" s="2" t="s">
        <v>17</v>
      </c>
      <c r="B347" s="4">
        <v>46003</v>
      </c>
      <c r="C347" s="5">
        <v>0.44680555555555557</v>
      </c>
      <c r="D347" s="8" t="s">
        <v>4</v>
      </c>
      <c r="E347" s="8" t="s">
        <v>9</v>
      </c>
      <c r="F347" s="8"/>
      <c r="H347" s="8" t="s">
        <v>2936</v>
      </c>
      <c r="I347" s="8" t="s">
        <v>5969</v>
      </c>
      <c r="J347" s="8" t="s">
        <v>2993</v>
      </c>
      <c r="K347" t="s">
        <v>5970</v>
      </c>
      <c r="L347" t="s">
        <v>5971</v>
      </c>
      <c r="M347" s="3" t="str">
        <f>HYPERLINK(склад2въезд13192021222[[#This Row],[RelativePath]])</f>
        <v>9 Ангар пилорама\E33149364_1_20251212T104324Z.jpg</v>
      </c>
    </row>
    <row r="348" spans="1:13" x14ac:dyDescent="0.25">
      <c r="A348" s="2" t="s">
        <v>17</v>
      </c>
      <c r="B348" s="4">
        <v>46003</v>
      </c>
      <c r="C348" s="5">
        <v>0.51659722222222226</v>
      </c>
      <c r="D348" s="8" t="s">
        <v>4</v>
      </c>
      <c r="E348" s="8" t="s">
        <v>9</v>
      </c>
      <c r="F348" s="8"/>
      <c r="H348" s="8" t="s">
        <v>2936</v>
      </c>
      <c r="I348" s="8" t="s">
        <v>5972</v>
      </c>
      <c r="J348" s="8" t="s">
        <v>2993</v>
      </c>
      <c r="K348" t="s">
        <v>5973</v>
      </c>
      <c r="L348" t="s">
        <v>5974</v>
      </c>
      <c r="M348" s="3" t="str">
        <f>HYPERLINK(склад2въезд13192021222[[#This Row],[RelativePath]])</f>
        <v>9 Ангар пилорама\E33149364_1_20251212T122354Z.jpg</v>
      </c>
    </row>
    <row r="349" spans="1:13" x14ac:dyDescent="0.25">
      <c r="A349" s="2" t="s">
        <v>17</v>
      </c>
      <c r="B349" s="4">
        <v>46003</v>
      </c>
      <c r="C349" s="5">
        <v>0.82158564814814816</v>
      </c>
      <c r="D349" s="8" t="s">
        <v>4</v>
      </c>
      <c r="E349" s="8" t="s">
        <v>9</v>
      </c>
      <c r="F349" s="8"/>
      <c r="H349" s="8" t="s">
        <v>2936</v>
      </c>
      <c r="I349" s="8" t="s">
        <v>5975</v>
      </c>
      <c r="J349" s="8" t="s">
        <v>2993</v>
      </c>
      <c r="K349" t="s">
        <v>5976</v>
      </c>
      <c r="L349" t="s">
        <v>5977</v>
      </c>
      <c r="M349" s="3" t="str">
        <f>HYPERLINK(склад2въезд13192021222[[#This Row],[RelativePath]])</f>
        <v>9 Ангар пилорама\E33149364_1_20251212T194305Z.jpg</v>
      </c>
    </row>
    <row r="350" spans="1:13" x14ac:dyDescent="0.25">
      <c r="A350" s="2" t="s">
        <v>17</v>
      </c>
      <c r="B350" s="4">
        <v>46003</v>
      </c>
      <c r="C350" s="5">
        <v>0.84995370370370371</v>
      </c>
      <c r="D350" s="8" t="s">
        <v>4</v>
      </c>
      <c r="E350" s="8" t="s">
        <v>9</v>
      </c>
      <c r="F350" s="8"/>
      <c r="H350" s="8" t="s">
        <v>2936</v>
      </c>
      <c r="I350" s="8" t="s">
        <v>5978</v>
      </c>
      <c r="J350" s="8" t="s">
        <v>2993</v>
      </c>
      <c r="K350" t="s">
        <v>5979</v>
      </c>
      <c r="L350" t="s">
        <v>5980</v>
      </c>
      <c r="M350" s="3" t="str">
        <f>HYPERLINK(склад2въезд13192021222[[#This Row],[RelativePath]])</f>
        <v>9 Ангар пилорама\E33149364_1_20251212T202356Z.jpg</v>
      </c>
    </row>
    <row r="351" spans="1:13" x14ac:dyDescent="0.25">
      <c r="A351" s="2" t="s">
        <v>17</v>
      </c>
      <c r="B351" s="4">
        <v>46003</v>
      </c>
      <c r="C351" s="5">
        <v>0.87767361111111108</v>
      </c>
      <c r="D351" s="8" t="s">
        <v>4</v>
      </c>
      <c r="E351" s="8" t="s">
        <v>9</v>
      </c>
      <c r="F351" s="8"/>
      <c r="H351" s="8" t="s">
        <v>2936</v>
      </c>
      <c r="I351" s="8" t="s">
        <v>5981</v>
      </c>
      <c r="J351" s="8" t="s">
        <v>2993</v>
      </c>
      <c r="K351" t="s">
        <v>5982</v>
      </c>
      <c r="L351" t="s">
        <v>5983</v>
      </c>
      <c r="M351" s="3" t="str">
        <f>HYPERLINK(склад2въезд13192021222[[#This Row],[RelativePath]])</f>
        <v>9 Ангар пилорама\E33149364_1_20251212T210351Z.jpg</v>
      </c>
    </row>
    <row r="352" spans="1:13" x14ac:dyDescent="0.25">
      <c r="A352" s="2" t="s">
        <v>17</v>
      </c>
      <c r="B352" s="4">
        <v>46003</v>
      </c>
      <c r="C352" s="5">
        <v>0.93428240740740742</v>
      </c>
      <c r="D352" s="8" t="s">
        <v>4</v>
      </c>
      <c r="E352" s="8" t="s">
        <v>9</v>
      </c>
      <c r="F352" s="8"/>
      <c r="H352" s="8" t="s">
        <v>2936</v>
      </c>
      <c r="I352" s="8" t="s">
        <v>5984</v>
      </c>
      <c r="J352" s="8" t="s">
        <v>2993</v>
      </c>
      <c r="K352" t="s">
        <v>5985</v>
      </c>
      <c r="L352" t="s">
        <v>5986</v>
      </c>
      <c r="M352" s="3" t="str">
        <f>HYPERLINK(склад2въезд13192021222[[#This Row],[RelativePath]])</f>
        <v>9 Ангар пилорама\E33149364_1_20251212T222522Z.jpg</v>
      </c>
    </row>
    <row r="353" spans="1:13" x14ac:dyDescent="0.25">
      <c r="A353" s="2" t="s">
        <v>17</v>
      </c>
      <c r="B353" s="4">
        <v>46003</v>
      </c>
      <c r="C353" s="5">
        <v>0.95846064814814813</v>
      </c>
      <c r="D353" s="8" t="s">
        <v>4</v>
      </c>
      <c r="E353" s="8" t="s">
        <v>9</v>
      </c>
      <c r="F353" s="8"/>
      <c r="H353" s="8" t="s">
        <v>2936</v>
      </c>
      <c r="I353" s="8" t="s">
        <v>5987</v>
      </c>
      <c r="J353" s="8" t="s">
        <v>2993</v>
      </c>
      <c r="K353" t="s">
        <v>5988</v>
      </c>
      <c r="L353" t="s">
        <v>5989</v>
      </c>
      <c r="M353" s="3" t="str">
        <f>HYPERLINK(склад2въезд13192021222[[#This Row],[RelativePath]])</f>
        <v>9 Ангар пилорама\E33149364_1_20251212T230011Z.jpg</v>
      </c>
    </row>
    <row r="354" spans="1:13" x14ac:dyDescent="0.25">
      <c r="A354" s="2" t="s">
        <v>18</v>
      </c>
      <c r="B354" s="4">
        <v>46004</v>
      </c>
      <c r="C354" s="5">
        <v>0.35418981481481482</v>
      </c>
      <c r="D354" s="8" t="s">
        <v>4</v>
      </c>
      <c r="E354" s="8" t="s">
        <v>9</v>
      </c>
      <c r="F354" s="8"/>
      <c r="H354" s="8" t="s">
        <v>2936</v>
      </c>
      <c r="I354" s="8" t="s">
        <v>6083</v>
      </c>
      <c r="J354" s="8" t="s">
        <v>2993</v>
      </c>
      <c r="K354" t="s">
        <v>6084</v>
      </c>
      <c r="L354" t="s">
        <v>6085</v>
      </c>
      <c r="M354" s="3" t="str">
        <f>HYPERLINK(склад2въезд13192021222[[#This Row],[RelativePath]])</f>
        <v>9 Ангар пилорама\E33149364_1_20251213T083002Z.jpg</v>
      </c>
    </row>
    <row r="355" spans="1:13" x14ac:dyDescent="0.25">
      <c r="A355" s="2" t="s">
        <v>18</v>
      </c>
      <c r="B355" s="4">
        <v>46004</v>
      </c>
      <c r="C355" s="5">
        <v>0.37368055555555557</v>
      </c>
      <c r="D355" s="8" t="s">
        <v>4</v>
      </c>
      <c r="E355" s="8" t="s">
        <v>9</v>
      </c>
      <c r="F355" s="8"/>
      <c r="H355" s="8" t="s">
        <v>2936</v>
      </c>
      <c r="I355" s="8" t="s">
        <v>6086</v>
      </c>
      <c r="J355" s="8" t="s">
        <v>2993</v>
      </c>
      <c r="K355" t="s">
        <v>6087</v>
      </c>
      <c r="L355" t="s">
        <v>6088</v>
      </c>
      <c r="M355" s="3" t="str">
        <f>HYPERLINK(склад2въезд13192021222[[#This Row],[RelativePath]])</f>
        <v>9 Ангар пилорама\E33149364_1_20251213T085806Z.jpg</v>
      </c>
    </row>
    <row r="356" spans="1:13" x14ac:dyDescent="0.25">
      <c r="A356" s="2" t="s">
        <v>18</v>
      </c>
      <c r="B356" s="4">
        <v>46004</v>
      </c>
      <c r="C356" s="5">
        <v>0.4193634259259259</v>
      </c>
      <c r="D356" s="8" t="s">
        <v>4</v>
      </c>
      <c r="E356" s="8" t="s">
        <v>9</v>
      </c>
      <c r="F356" s="8"/>
      <c r="H356" s="8" t="s">
        <v>2936</v>
      </c>
      <c r="I356" s="8" t="s">
        <v>6089</v>
      </c>
      <c r="J356" s="8" t="s">
        <v>2993</v>
      </c>
      <c r="K356" t="s">
        <v>6090</v>
      </c>
      <c r="L356" t="s">
        <v>6091</v>
      </c>
      <c r="M356" s="3" t="str">
        <f>HYPERLINK(склад2въезд13192021222[[#This Row],[RelativePath]])</f>
        <v>9 Ангар пилорама\E33149364_1_20251213T100353Z.jpg</v>
      </c>
    </row>
    <row r="357" spans="1:13" x14ac:dyDescent="0.25">
      <c r="A357" s="2" t="s">
        <v>18</v>
      </c>
      <c r="B357" s="4">
        <v>46004</v>
      </c>
      <c r="C357" s="5">
        <v>0.68322916666666667</v>
      </c>
      <c r="D357" s="8" t="s">
        <v>4</v>
      </c>
      <c r="E357" s="8" t="s">
        <v>9</v>
      </c>
      <c r="F357" s="8"/>
      <c r="H357" s="8"/>
      <c r="I357" s="8" t="s">
        <v>6092</v>
      </c>
      <c r="J357" s="8" t="s">
        <v>2993</v>
      </c>
      <c r="K357" t="s">
        <v>6093</v>
      </c>
      <c r="L357" t="s">
        <v>6094</v>
      </c>
      <c r="M357" s="3" t="str">
        <f>HYPERLINK(склад2въезд13192021222[[#This Row],[RelativePath]])</f>
        <v>9 Ангар пилорама\E33149364_1_20251213T162351Z.jpg</v>
      </c>
    </row>
    <row r="358" spans="1:13" x14ac:dyDescent="0.25">
      <c r="A358" s="2" t="s">
        <v>22</v>
      </c>
      <c r="B358" s="4">
        <v>46005</v>
      </c>
      <c r="C358" s="5">
        <v>0.3691550925925926</v>
      </c>
      <c r="D358" s="8" t="s">
        <v>4</v>
      </c>
      <c r="E358" s="8" t="s">
        <v>9</v>
      </c>
      <c r="F358" s="8"/>
      <c r="H358" s="8"/>
      <c r="I358" s="8" t="s">
        <v>6213</v>
      </c>
      <c r="J358" s="8" t="s">
        <v>2993</v>
      </c>
      <c r="K358" t="s">
        <v>6214</v>
      </c>
      <c r="L358" t="s">
        <v>6215</v>
      </c>
      <c r="M358" s="3" t="str">
        <f>HYPERLINK(склад2въезд13192021222[[#This Row],[RelativePath]])</f>
        <v>9 Ангар пилорама\E33149364_1_20251214T085135Z.jpg</v>
      </c>
    </row>
    <row r="359" spans="1:13" x14ac:dyDescent="0.25">
      <c r="A359" s="2" t="s">
        <v>22</v>
      </c>
      <c r="B359" s="4">
        <v>46005</v>
      </c>
      <c r="C359" s="5">
        <v>0.40965277777777775</v>
      </c>
      <c r="D359" s="8" t="s">
        <v>2024</v>
      </c>
      <c r="E359" s="8" t="s">
        <v>1304</v>
      </c>
      <c r="F359" s="8"/>
      <c r="H359" s="8"/>
      <c r="I359" s="8" t="s">
        <v>6216</v>
      </c>
      <c r="J359" s="8" t="s">
        <v>2993</v>
      </c>
      <c r="K359" t="s">
        <v>6217</v>
      </c>
      <c r="L359" t="s">
        <v>6218</v>
      </c>
      <c r="M359" s="3" t="str">
        <f>HYPERLINK(склад2въезд13192021222[[#This Row],[RelativePath]])</f>
        <v>9 Ангар пилорама\E33149364_1_20251214T094954Z.jpg</v>
      </c>
    </row>
    <row r="360" spans="1:13" x14ac:dyDescent="0.25">
      <c r="A360" s="2" t="s">
        <v>22</v>
      </c>
      <c r="B360" s="4">
        <v>46005</v>
      </c>
      <c r="C360" s="5">
        <v>0.42396990740740742</v>
      </c>
      <c r="D360" s="8" t="s">
        <v>4</v>
      </c>
      <c r="E360" s="8" t="s">
        <v>9</v>
      </c>
      <c r="F360" s="8"/>
      <c r="H360" s="8"/>
      <c r="I360" s="8" t="s">
        <v>6219</v>
      </c>
      <c r="J360" s="8" t="s">
        <v>2993</v>
      </c>
      <c r="K360" t="s">
        <v>6220</v>
      </c>
      <c r="L360" t="s">
        <v>6221</v>
      </c>
      <c r="M360" s="3" t="str">
        <f>HYPERLINK(склад2въезд13192021222[[#This Row],[RelativePath]])</f>
        <v>9 Ангар пилорама\E33149364_1_20251214T101031Z.jpg</v>
      </c>
    </row>
    <row r="361" spans="1:13" x14ac:dyDescent="0.25">
      <c r="A361" s="2" t="s">
        <v>22</v>
      </c>
      <c r="B361" s="4">
        <v>46005</v>
      </c>
      <c r="C361" s="5">
        <v>0.58008101851851857</v>
      </c>
      <c r="D361" s="8" t="s">
        <v>2024</v>
      </c>
      <c r="E361" s="8" t="s">
        <v>1304</v>
      </c>
      <c r="F361" s="8"/>
      <c r="H361" s="8"/>
      <c r="I361" s="8" t="s">
        <v>6222</v>
      </c>
      <c r="J361" s="8" t="s">
        <v>2993</v>
      </c>
      <c r="K361" t="s">
        <v>6223</v>
      </c>
      <c r="L361" t="s">
        <v>6224</v>
      </c>
      <c r="M361" s="3" t="str">
        <f>HYPERLINK(склад2въезд13192021222[[#This Row],[RelativePath]])</f>
        <v>9 Ангар пилорама\E33149364_1_20251214T135519Z.jpg</v>
      </c>
    </row>
    <row r="362" spans="1:13" x14ac:dyDescent="0.25">
      <c r="A362" s="2" t="s">
        <v>22</v>
      </c>
      <c r="B362" s="4">
        <v>46005</v>
      </c>
      <c r="C362" s="5">
        <v>0.60313657407407406</v>
      </c>
      <c r="D362" s="8" t="s">
        <v>2024</v>
      </c>
      <c r="E362" s="8" t="s">
        <v>1304</v>
      </c>
      <c r="F362" s="8"/>
      <c r="H362" s="8" t="s">
        <v>2936</v>
      </c>
      <c r="I362" s="8" t="s">
        <v>6225</v>
      </c>
      <c r="J362" s="8" t="s">
        <v>2993</v>
      </c>
      <c r="K362" t="s">
        <v>6226</v>
      </c>
      <c r="L362" t="s">
        <v>6227</v>
      </c>
      <c r="M362" s="3" t="str">
        <f>HYPERLINK(склад2въезд13192021222[[#This Row],[RelativePath]])</f>
        <v>9 Ангар пилорама\E33149364_1_20251214T142831Z.jpg</v>
      </c>
    </row>
    <row r="363" spans="1:13" x14ac:dyDescent="0.25">
      <c r="A363" s="2" t="s">
        <v>22</v>
      </c>
      <c r="B363" s="4">
        <v>46005</v>
      </c>
      <c r="C363" s="5">
        <v>0.62960648148148146</v>
      </c>
      <c r="D363" s="8" t="s">
        <v>2024</v>
      </c>
      <c r="E363" s="8" t="s">
        <v>1304</v>
      </c>
      <c r="F363" s="8"/>
      <c r="H363" s="8" t="s">
        <v>2936</v>
      </c>
      <c r="I363" s="8" t="s">
        <v>6228</v>
      </c>
      <c r="J363" s="8" t="s">
        <v>2993</v>
      </c>
      <c r="K363" t="s">
        <v>6229</v>
      </c>
      <c r="L363" t="s">
        <v>6230</v>
      </c>
      <c r="M363" s="3" t="str">
        <f>HYPERLINK(склад2въезд13192021222[[#This Row],[RelativePath]])</f>
        <v>9 Ангар пилорама\E33149364_1_20251214T150638Z.jpg</v>
      </c>
    </row>
    <row r="364" spans="1:13" x14ac:dyDescent="0.25">
      <c r="A364" s="2" t="s">
        <v>22</v>
      </c>
      <c r="B364" s="4">
        <v>46005</v>
      </c>
      <c r="C364" s="5">
        <v>0.66469907407407403</v>
      </c>
      <c r="D364" s="8" t="s">
        <v>4</v>
      </c>
      <c r="E364" s="8" t="s">
        <v>9</v>
      </c>
      <c r="F364" s="8"/>
      <c r="H364" s="8" t="s">
        <v>2936</v>
      </c>
      <c r="I364" s="8" t="s">
        <v>6231</v>
      </c>
      <c r="J364" s="8" t="s">
        <v>2993</v>
      </c>
      <c r="K364" t="s">
        <v>6232</v>
      </c>
      <c r="L364" t="s">
        <v>6233</v>
      </c>
      <c r="M364" s="3" t="str">
        <f>HYPERLINK(склад2въезд13192021222[[#This Row],[RelativePath]])</f>
        <v>9 Ангар пилорама\E33149364_1_20251214T155710Z.jpg</v>
      </c>
    </row>
    <row r="365" spans="1:13" x14ac:dyDescent="0.25">
      <c r="A365" s="2" t="s">
        <v>22</v>
      </c>
      <c r="B365" s="4">
        <v>46005</v>
      </c>
      <c r="C365" s="5">
        <v>0.70594907407407403</v>
      </c>
      <c r="D365" s="8" t="s">
        <v>2024</v>
      </c>
      <c r="E365" s="8" t="s">
        <v>1304</v>
      </c>
      <c r="F365" s="8"/>
      <c r="H365" s="8" t="s">
        <v>2936</v>
      </c>
      <c r="I365" s="8" t="s">
        <v>6234</v>
      </c>
      <c r="J365" s="8" t="s">
        <v>2993</v>
      </c>
      <c r="K365" t="s">
        <v>6235</v>
      </c>
      <c r="L365" t="s">
        <v>6236</v>
      </c>
      <c r="M365" s="3" t="str">
        <f>HYPERLINK(склад2въезд13192021222[[#This Row],[RelativePath]])</f>
        <v>9 Ангар пилорама\E33149364_1_20251214T165634Z.jpg</v>
      </c>
    </row>
    <row r="366" spans="1:13" x14ac:dyDescent="0.25">
      <c r="A366" s="2" t="s">
        <v>22</v>
      </c>
      <c r="B366" s="4">
        <v>46005</v>
      </c>
      <c r="C366" s="5">
        <v>0.74064814814814817</v>
      </c>
      <c r="D366" s="8" t="s">
        <v>2024</v>
      </c>
      <c r="E366" s="8" t="s">
        <v>1304</v>
      </c>
      <c r="F366" s="8"/>
      <c r="H366" s="8" t="s">
        <v>2936</v>
      </c>
      <c r="I366" s="8" t="s">
        <v>6237</v>
      </c>
      <c r="J366" s="8" t="s">
        <v>2993</v>
      </c>
      <c r="K366" t="s">
        <v>6238</v>
      </c>
      <c r="L366" t="s">
        <v>6239</v>
      </c>
      <c r="M366" s="3" t="str">
        <f>HYPERLINK(склад2въезд13192021222[[#This Row],[RelativePath]])</f>
        <v>9 Ангар пилорама\E33149364_1_20251214T174632Z.jpg</v>
      </c>
    </row>
    <row r="367" spans="1:13" x14ac:dyDescent="0.25">
      <c r="A367" s="2" t="s">
        <v>22</v>
      </c>
      <c r="B367" s="4">
        <v>46005</v>
      </c>
      <c r="C367" s="5">
        <v>0.80040509259259263</v>
      </c>
      <c r="D367" s="8" t="s">
        <v>2024</v>
      </c>
      <c r="E367" s="8" t="s">
        <v>1304</v>
      </c>
      <c r="F367" s="8"/>
      <c r="H367" s="8" t="s">
        <v>2936</v>
      </c>
      <c r="I367" s="8" t="s">
        <v>6240</v>
      </c>
      <c r="J367" s="8" t="s">
        <v>2993</v>
      </c>
      <c r="K367" t="s">
        <v>6241</v>
      </c>
      <c r="L367" t="s">
        <v>6242</v>
      </c>
      <c r="M367" s="3" t="str">
        <f>HYPERLINK(склад2въезд13192021222[[#This Row],[RelativePath]])</f>
        <v>9 Ангар пилорама\E33149364_1_20251214T191235Z.jpg</v>
      </c>
    </row>
    <row r="368" spans="1:13" x14ac:dyDescent="0.25">
      <c r="A368" s="2" t="s">
        <v>22</v>
      </c>
      <c r="B368" s="4">
        <v>46005</v>
      </c>
      <c r="C368" s="5">
        <v>0.85261574074074076</v>
      </c>
      <c r="D368" s="8" t="s">
        <v>2024</v>
      </c>
      <c r="E368" s="8" t="s">
        <v>1304</v>
      </c>
      <c r="F368" s="8"/>
      <c r="H368" s="8" t="s">
        <v>2936</v>
      </c>
      <c r="I368" s="8" t="s">
        <v>6243</v>
      </c>
      <c r="J368" s="8" t="s">
        <v>2993</v>
      </c>
      <c r="K368" t="s">
        <v>6244</v>
      </c>
      <c r="L368" t="s">
        <v>6245</v>
      </c>
      <c r="M368" s="3" t="str">
        <f>HYPERLINK(склад2въезд13192021222[[#This Row],[RelativePath]])</f>
        <v>9 Ангар пилорама\E33149364_1_20251214T202746Z.jpg</v>
      </c>
    </row>
    <row r="369" spans="1:13" x14ac:dyDescent="0.25">
      <c r="A369" s="2" t="s">
        <v>22</v>
      </c>
      <c r="B369" s="4">
        <v>46005</v>
      </c>
      <c r="C369" s="5">
        <v>0.89166666666666672</v>
      </c>
      <c r="D369" s="8" t="s">
        <v>2024</v>
      </c>
      <c r="E369" s="8" t="s">
        <v>1304</v>
      </c>
      <c r="F369" s="8"/>
      <c r="H369" s="8" t="s">
        <v>2936</v>
      </c>
      <c r="I369" s="8" t="s">
        <v>6246</v>
      </c>
      <c r="J369" s="8" t="s">
        <v>2993</v>
      </c>
      <c r="K369" t="s">
        <v>6247</v>
      </c>
      <c r="L369" t="s">
        <v>6248</v>
      </c>
      <c r="M369" s="3" t="str">
        <f>HYPERLINK(склад2въезд13192021222[[#This Row],[RelativePath]])</f>
        <v>9 Ангар пилорама\E33149364_1_20251214T212400Z.jpg</v>
      </c>
    </row>
    <row r="370" spans="1:13" x14ac:dyDescent="0.25">
      <c r="A370" s="2" t="s">
        <v>13</v>
      </c>
      <c r="B370" s="4">
        <v>46006</v>
      </c>
      <c r="C370" s="5">
        <v>0.38805555555555554</v>
      </c>
      <c r="D370" s="8" t="s">
        <v>4</v>
      </c>
      <c r="E370" s="8" t="s">
        <v>9</v>
      </c>
      <c r="F370" s="8"/>
      <c r="H370" s="8"/>
      <c r="I370" s="8" t="s">
        <v>6352</v>
      </c>
      <c r="J370" s="8" t="s">
        <v>2993</v>
      </c>
      <c r="K370" t="s">
        <v>6353</v>
      </c>
      <c r="L370" t="s">
        <v>6354</v>
      </c>
      <c r="M370" s="3" t="str">
        <f>HYPERLINK(склад2въезд13192021222[[#This Row],[RelativePath]])</f>
        <v>9 Ангар пилорама\E33149364_1_20251215T091848Z.jpg</v>
      </c>
    </row>
    <row r="371" spans="1:13" x14ac:dyDescent="0.25">
      <c r="A371" s="2" t="s">
        <v>13</v>
      </c>
      <c r="B371" s="4">
        <v>46006</v>
      </c>
      <c r="C371" s="5">
        <v>0.41413194444444446</v>
      </c>
      <c r="D371" s="8" t="s">
        <v>4</v>
      </c>
      <c r="E371" s="8" t="s">
        <v>9</v>
      </c>
      <c r="F371" s="8"/>
      <c r="H371" s="8" t="s">
        <v>2936</v>
      </c>
      <c r="I371" s="8" t="s">
        <v>6355</v>
      </c>
      <c r="J371" s="8" t="s">
        <v>2993</v>
      </c>
      <c r="K371" t="s">
        <v>6356</v>
      </c>
      <c r="L371" t="s">
        <v>6357</v>
      </c>
      <c r="M371" s="3" t="str">
        <f>HYPERLINK(склад2въезд13192021222[[#This Row],[RelativePath]])</f>
        <v>9 Ангар пилорама\E33149364_1_20251215T095621Z.jpg</v>
      </c>
    </row>
    <row r="372" spans="1:13" x14ac:dyDescent="0.25">
      <c r="A372" s="2" t="s">
        <v>13</v>
      </c>
      <c r="B372" s="4">
        <v>46006</v>
      </c>
      <c r="C372" s="5">
        <v>0.43663194444444442</v>
      </c>
      <c r="D372" s="8" t="s">
        <v>4</v>
      </c>
      <c r="E372" s="8" t="s">
        <v>9</v>
      </c>
      <c r="F372" s="8"/>
      <c r="H372" s="8" t="s">
        <v>2936</v>
      </c>
      <c r="I372" s="8" t="s">
        <v>6358</v>
      </c>
      <c r="J372" s="8" t="s">
        <v>2993</v>
      </c>
      <c r="K372" t="s">
        <v>6359</v>
      </c>
      <c r="L372" t="s">
        <v>6360</v>
      </c>
      <c r="M372" s="3" t="str">
        <f>HYPERLINK(склад2въезд13192021222[[#This Row],[RelativePath]])</f>
        <v>9 Ангар пилорама\E33149364_1_20251215T102845Z.jpg</v>
      </c>
    </row>
    <row r="373" spans="1:13" x14ac:dyDescent="0.25">
      <c r="A373" s="2" t="s">
        <v>13</v>
      </c>
      <c r="B373" s="4">
        <v>46006</v>
      </c>
      <c r="C373" s="5">
        <v>0.46731481481481479</v>
      </c>
      <c r="D373" s="8" t="s">
        <v>1091</v>
      </c>
      <c r="E373" s="8" t="s">
        <v>58</v>
      </c>
      <c r="F373" s="8"/>
      <c r="H373" s="8"/>
      <c r="I373" s="8" t="s">
        <v>6361</v>
      </c>
      <c r="J373" s="8" t="s">
        <v>2993</v>
      </c>
      <c r="K373" t="s">
        <v>6362</v>
      </c>
      <c r="L373" t="s">
        <v>6363</v>
      </c>
      <c r="M373" s="3" t="str">
        <f>HYPERLINK(склад2въезд13192021222[[#This Row],[RelativePath]])</f>
        <v>9 Ангар пилорама\E33149364_1_20251215T111256Z.jpg</v>
      </c>
    </row>
    <row r="374" spans="1:13" x14ac:dyDescent="0.25">
      <c r="A374" s="2" t="s">
        <v>13</v>
      </c>
      <c r="B374" s="4">
        <v>46006</v>
      </c>
      <c r="C374" s="5">
        <v>0.46868055555555554</v>
      </c>
      <c r="D374" s="8" t="s">
        <v>4</v>
      </c>
      <c r="E374" s="8" t="s">
        <v>9</v>
      </c>
      <c r="F374" s="8"/>
      <c r="H374" s="8" t="s">
        <v>2936</v>
      </c>
      <c r="I374" s="8" t="s">
        <v>6364</v>
      </c>
      <c r="J374" s="8" t="s">
        <v>2993</v>
      </c>
      <c r="K374" t="s">
        <v>6365</v>
      </c>
      <c r="L374" t="s">
        <v>6366</v>
      </c>
      <c r="M374" s="3" t="str">
        <f>HYPERLINK(склад2въезд13192021222[[#This Row],[RelativePath]])</f>
        <v>9 Ангар пилорама\E33149364_1_20251215T111454Z.jpg</v>
      </c>
    </row>
    <row r="375" spans="1:13" x14ac:dyDescent="0.25">
      <c r="A375" s="2" t="s">
        <v>13</v>
      </c>
      <c r="B375" s="4">
        <v>46006</v>
      </c>
      <c r="C375" s="5">
        <v>0.46912037037037035</v>
      </c>
      <c r="D375" s="8" t="s">
        <v>1091</v>
      </c>
      <c r="E375" s="8" t="s">
        <v>58</v>
      </c>
      <c r="F375" s="8"/>
      <c r="H375" s="8"/>
      <c r="I375" s="8" t="s">
        <v>6367</v>
      </c>
      <c r="J375" s="8" t="s">
        <v>2993</v>
      </c>
      <c r="K375" t="s">
        <v>6368</v>
      </c>
      <c r="L375" t="s">
        <v>6369</v>
      </c>
      <c r="M375" s="3" t="str">
        <f>HYPERLINK(склад2въезд13192021222[[#This Row],[RelativePath]])</f>
        <v>9 Ангар пилорама\E33149364_1_20251215T111532Z.jpg</v>
      </c>
    </row>
    <row r="376" spans="1:13" x14ac:dyDescent="0.25">
      <c r="A376" s="2" t="s">
        <v>13</v>
      </c>
      <c r="B376" s="4">
        <v>46006</v>
      </c>
      <c r="C376" s="5">
        <v>0.47025462962962961</v>
      </c>
      <c r="D376" s="8" t="s">
        <v>1091</v>
      </c>
      <c r="E376" s="8" t="s">
        <v>58</v>
      </c>
      <c r="F376" s="8"/>
      <c r="H376" s="8"/>
      <c r="I376" s="8" t="s">
        <v>6370</v>
      </c>
      <c r="J376" s="8" t="s">
        <v>2993</v>
      </c>
      <c r="K376" t="s">
        <v>6371</v>
      </c>
      <c r="L376" t="s">
        <v>6372</v>
      </c>
      <c r="M376" s="3" t="str">
        <f>HYPERLINK(склад2въезд13192021222[[#This Row],[RelativePath]])</f>
        <v>9 Ангар пилорама\E33149364_1_20251215T111710Z.jpg</v>
      </c>
    </row>
    <row r="377" spans="1:13" x14ac:dyDescent="0.25">
      <c r="A377" s="2" t="s">
        <v>13</v>
      </c>
      <c r="B377" s="4">
        <v>46006</v>
      </c>
      <c r="C377" s="5">
        <v>0.51065972222222222</v>
      </c>
      <c r="D377" s="8" t="s">
        <v>4</v>
      </c>
      <c r="E377" s="8" t="s">
        <v>9</v>
      </c>
      <c r="F377" s="8"/>
      <c r="H377" s="8"/>
      <c r="I377" s="8" t="s">
        <v>6373</v>
      </c>
      <c r="J377" s="8" t="s">
        <v>2993</v>
      </c>
      <c r="K377" t="s">
        <v>6374</v>
      </c>
      <c r="L377" t="s">
        <v>6375</v>
      </c>
      <c r="M377" s="3" t="str">
        <f>HYPERLINK(склад2въезд13192021222[[#This Row],[RelativePath]])</f>
        <v>9 Ангар пилорама\E33149364_1_20251215T121521Z.jpg</v>
      </c>
    </row>
    <row r="378" spans="1:13" x14ac:dyDescent="0.25">
      <c r="A378" s="2" t="s">
        <v>13</v>
      </c>
      <c r="B378" s="4">
        <v>46006</v>
      </c>
      <c r="C378" s="5">
        <v>0.61063657407407412</v>
      </c>
      <c r="D378" s="8" t="s">
        <v>1091</v>
      </c>
      <c r="E378" s="8" t="s">
        <v>53</v>
      </c>
      <c r="F378" s="8"/>
      <c r="H378" s="8"/>
      <c r="I378" s="8" t="s">
        <v>6376</v>
      </c>
      <c r="J378" s="8" t="s">
        <v>2993</v>
      </c>
      <c r="K378" t="s">
        <v>6377</v>
      </c>
      <c r="L378" t="s">
        <v>6378</v>
      </c>
      <c r="M378" s="3" t="str">
        <f>HYPERLINK(склад2въезд13192021222[[#This Row],[RelativePath]])</f>
        <v>9 Ангар пилорама\E33149364_1_20251215T143919Z.jpg</v>
      </c>
    </row>
    <row r="379" spans="1:13" x14ac:dyDescent="0.25">
      <c r="A379" s="2" t="s">
        <v>13</v>
      </c>
      <c r="B379" s="4">
        <v>46006</v>
      </c>
      <c r="C379" s="5">
        <v>0.67107638888888888</v>
      </c>
      <c r="D379" s="8" t="s">
        <v>4</v>
      </c>
      <c r="E379" s="8" t="s">
        <v>9</v>
      </c>
      <c r="F379" s="8"/>
      <c r="H379" s="8"/>
      <c r="I379" s="8" t="s">
        <v>6379</v>
      </c>
      <c r="J379" s="8" t="s">
        <v>2993</v>
      </c>
      <c r="K379" t="s">
        <v>6380</v>
      </c>
      <c r="L379" t="s">
        <v>6381</v>
      </c>
      <c r="M379" s="3" t="str">
        <f>HYPERLINK(склад2въезд13192021222[[#This Row],[RelativePath]])</f>
        <v>9 Ангар пилорама\E33149364_1_20251215T160621Z.jpg</v>
      </c>
    </row>
    <row r="380" spans="1:13" x14ac:dyDescent="0.25">
      <c r="A380" s="2" t="s">
        <v>13</v>
      </c>
      <c r="B380" s="4">
        <v>46006</v>
      </c>
      <c r="C380" s="5">
        <v>0.69133101851851853</v>
      </c>
      <c r="D380" s="8" t="s">
        <v>4</v>
      </c>
      <c r="E380" s="8" t="s">
        <v>9</v>
      </c>
      <c r="F380" s="8"/>
      <c r="H380" s="8" t="s">
        <v>2936</v>
      </c>
      <c r="I380" s="8" t="s">
        <v>6382</v>
      </c>
      <c r="J380" s="8" t="s">
        <v>2993</v>
      </c>
      <c r="K380" t="s">
        <v>6383</v>
      </c>
      <c r="L380" t="s">
        <v>6384</v>
      </c>
      <c r="M380" s="3" t="str">
        <f>HYPERLINK(склад2въезд13192021222[[#This Row],[RelativePath]])</f>
        <v>9 Ангар пилорама\E33149364_1_20251215T163531Z.jpg</v>
      </c>
    </row>
    <row r="381" spans="1:13" x14ac:dyDescent="0.25">
      <c r="A381" s="2" t="s">
        <v>13</v>
      </c>
      <c r="B381" s="4">
        <v>46006</v>
      </c>
      <c r="C381" s="5">
        <v>0.71236111111111111</v>
      </c>
      <c r="D381" s="8" t="s">
        <v>4</v>
      </c>
      <c r="E381" s="8" t="s">
        <v>9</v>
      </c>
      <c r="F381" s="8"/>
      <c r="H381" s="8" t="s">
        <v>2936</v>
      </c>
      <c r="I381" s="8" t="s">
        <v>6385</v>
      </c>
      <c r="J381" s="8" t="s">
        <v>2993</v>
      </c>
      <c r="K381" t="s">
        <v>6386</v>
      </c>
      <c r="L381" t="s">
        <v>6387</v>
      </c>
      <c r="M381" s="3" t="str">
        <f>HYPERLINK(склад2въезд13192021222[[#This Row],[RelativePath]])</f>
        <v>9 Ангар пилорама\E33149364_1_20251215T170548Z.jpg</v>
      </c>
    </row>
    <row r="382" spans="1:13" x14ac:dyDescent="0.25">
      <c r="A382" s="2" t="s">
        <v>13</v>
      </c>
      <c r="B382" s="4">
        <v>46006</v>
      </c>
      <c r="C382" s="5">
        <v>0.71415509259259258</v>
      </c>
      <c r="D382" s="8" t="s">
        <v>4</v>
      </c>
      <c r="E382" s="8" t="s">
        <v>9</v>
      </c>
      <c r="F382" s="8"/>
      <c r="H382" s="8" t="s">
        <v>2936</v>
      </c>
      <c r="I382" s="8" t="s">
        <v>6388</v>
      </c>
      <c r="J382" s="8" t="s">
        <v>2993</v>
      </c>
      <c r="K382" t="s">
        <v>6389</v>
      </c>
      <c r="L382" t="s">
        <v>6390</v>
      </c>
      <c r="M382" s="3" t="str">
        <f>HYPERLINK(склад2въезд13192021222[[#This Row],[RelativePath]])</f>
        <v>9 Ангар пилорама\E33149364_1_20251215T170823Z.jpg</v>
      </c>
    </row>
    <row r="383" spans="1:13" x14ac:dyDescent="0.25">
      <c r="A383" s="2" t="s">
        <v>14</v>
      </c>
      <c r="B383" s="4">
        <v>46007</v>
      </c>
      <c r="C383" s="5">
        <v>0.2507523148148148</v>
      </c>
      <c r="D383" s="8" t="s">
        <v>4</v>
      </c>
      <c r="E383" s="8" t="s">
        <v>9</v>
      </c>
      <c r="F383" s="8"/>
      <c r="H383" s="8"/>
      <c r="I383" s="8" t="s">
        <v>6584</v>
      </c>
      <c r="J383" s="8" t="s">
        <v>2993</v>
      </c>
      <c r="K383" t="s">
        <v>6585</v>
      </c>
      <c r="L383" t="s">
        <v>6586</v>
      </c>
      <c r="M383" s="3" t="str">
        <f>HYPERLINK(склад2въезд13192021222[[#This Row],[RelativePath]])</f>
        <v>9 Ангар пилорама\E33149364_1_20251216T060105Z.jpg</v>
      </c>
    </row>
    <row r="384" spans="1:13" x14ac:dyDescent="0.25">
      <c r="A384" s="2" t="s">
        <v>14</v>
      </c>
      <c r="B384" s="4">
        <v>46007</v>
      </c>
      <c r="C384" s="5">
        <v>0.31835648148148149</v>
      </c>
      <c r="D384" s="8" t="s">
        <v>4</v>
      </c>
      <c r="E384" s="8" t="s">
        <v>9</v>
      </c>
      <c r="F384" s="8"/>
      <c r="H384" s="8" t="s">
        <v>2936</v>
      </c>
      <c r="I384" s="8" t="s">
        <v>6587</v>
      </c>
      <c r="J384" s="8" t="s">
        <v>2993</v>
      </c>
      <c r="K384" t="s">
        <v>6588</v>
      </c>
      <c r="L384" t="s">
        <v>6589</v>
      </c>
      <c r="M384" s="3" t="str">
        <f>HYPERLINK(склад2въезд13192021222[[#This Row],[RelativePath]])</f>
        <v>9 Ангар пилорама\E33149364_1_20251216T073826Z.jpg</v>
      </c>
    </row>
    <row r="385" spans="1:13" x14ac:dyDescent="0.25">
      <c r="A385" s="2" t="s">
        <v>14</v>
      </c>
      <c r="B385" s="4">
        <v>46007</v>
      </c>
      <c r="C385" s="5">
        <v>0.38035879629629632</v>
      </c>
      <c r="D385" s="8" t="s">
        <v>4</v>
      </c>
      <c r="E385" s="8" t="s">
        <v>9</v>
      </c>
      <c r="F385" s="8"/>
      <c r="H385" s="8" t="s">
        <v>2936</v>
      </c>
      <c r="I385" s="8" t="s">
        <v>6590</v>
      </c>
      <c r="J385" s="8" t="s">
        <v>2993</v>
      </c>
      <c r="K385" t="s">
        <v>6591</v>
      </c>
      <c r="L385" t="s">
        <v>6592</v>
      </c>
      <c r="M385" s="3" t="str">
        <f>HYPERLINK(склад2въезд13192021222[[#This Row],[RelativePath]])</f>
        <v>9 Ангар пилорама\E33149364_1_20251216T090743Z.jpg</v>
      </c>
    </row>
    <row r="386" spans="1:13" x14ac:dyDescent="0.25">
      <c r="A386" s="2" t="s">
        <v>14</v>
      </c>
      <c r="B386" s="4">
        <v>46007</v>
      </c>
      <c r="C386" s="5">
        <v>0.39677083333333335</v>
      </c>
      <c r="D386" s="8" t="s">
        <v>4</v>
      </c>
      <c r="E386" s="8" t="s">
        <v>9</v>
      </c>
      <c r="F386" s="8"/>
      <c r="H386" s="8" t="s">
        <v>2936</v>
      </c>
      <c r="I386" s="8" t="s">
        <v>6593</v>
      </c>
      <c r="J386" s="8" t="s">
        <v>2993</v>
      </c>
      <c r="K386" t="s">
        <v>6594</v>
      </c>
      <c r="L386" t="s">
        <v>6595</v>
      </c>
      <c r="M386" s="3" t="str">
        <f>HYPERLINK(склад2въезд13192021222[[#This Row],[RelativePath]])</f>
        <v>9 Ангар пилорама\E33149364_1_20251216T093121Z.jpg</v>
      </c>
    </row>
    <row r="387" spans="1:13" x14ac:dyDescent="0.25">
      <c r="A387" s="2" t="s">
        <v>14</v>
      </c>
      <c r="B387" s="4">
        <v>46007</v>
      </c>
      <c r="C387" s="5">
        <v>0.41668981481481482</v>
      </c>
      <c r="D387" s="8" t="s">
        <v>4</v>
      </c>
      <c r="E387" s="8" t="s">
        <v>9</v>
      </c>
      <c r="F387" s="8"/>
      <c r="H387" s="8" t="s">
        <v>2936</v>
      </c>
      <c r="I387" s="8" t="s">
        <v>6596</v>
      </c>
      <c r="J387" s="8" t="s">
        <v>2993</v>
      </c>
      <c r="K387" t="s">
        <v>6597</v>
      </c>
      <c r="L387" t="s">
        <v>6598</v>
      </c>
      <c r="M387" s="3" t="str">
        <f>HYPERLINK(склад2въезд13192021222[[#This Row],[RelativePath]])</f>
        <v>9 Ангар пилорама\E33149364_1_20251216T100002Z.jpg</v>
      </c>
    </row>
    <row r="388" spans="1:13" x14ac:dyDescent="0.25">
      <c r="A388" s="2" t="s">
        <v>14</v>
      </c>
      <c r="B388" s="4">
        <v>46007</v>
      </c>
      <c r="C388" s="5">
        <v>0.53457175925925926</v>
      </c>
      <c r="D388" s="8" t="s">
        <v>4</v>
      </c>
      <c r="E388" s="8" t="s">
        <v>9</v>
      </c>
      <c r="F388" s="8"/>
      <c r="H388" s="8" t="s">
        <v>2936</v>
      </c>
      <c r="I388" s="8" t="s">
        <v>6599</v>
      </c>
      <c r="J388" s="8" t="s">
        <v>2993</v>
      </c>
      <c r="K388" t="s">
        <v>6600</v>
      </c>
      <c r="L388" t="s">
        <v>6601</v>
      </c>
      <c r="M388" s="3" t="str">
        <f>HYPERLINK(склад2въезд13192021222[[#This Row],[RelativePath]])</f>
        <v>9 Ангар пилорама\E33149364_1_20251216T124947Z.jpg</v>
      </c>
    </row>
    <row r="389" spans="1:13" x14ac:dyDescent="0.25">
      <c r="A389" s="2" t="s">
        <v>14</v>
      </c>
      <c r="B389" s="4">
        <v>46007</v>
      </c>
      <c r="C389" s="5">
        <v>0.58635416666666662</v>
      </c>
      <c r="D389" s="8" t="s">
        <v>4</v>
      </c>
      <c r="E389" s="8" t="s">
        <v>9</v>
      </c>
      <c r="F389" s="8"/>
      <c r="H389" s="8"/>
      <c r="I389" s="8" t="s">
        <v>6602</v>
      </c>
      <c r="J389" s="8" t="s">
        <v>2993</v>
      </c>
      <c r="K389" t="s">
        <v>6603</v>
      </c>
      <c r="L389" t="s">
        <v>6604</v>
      </c>
      <c r="M389" s="3" t="str">
        <f>HYPERLINK(склад2въезд13192021222[[#This Row],[RelativePath]])</f>
        <v>9 Ангар пилорама\E33149364_1_20251216T140421Z.jpg</v>
      </c>
    </row>
    <row r="390" spans="1:13" x14ac:dyDescent="0.25">
      <c r="A390" s="2" t="s">
        <v>14</v>
      </c>
      <c r="B390" s="4">
        <v>46007</v>
      </c>
      <c r="C390" s="5">
        <v>0.70187500000000003</v>
      </c>
      <c r="D390" s="8" t="s">
        <v>4</v>
      </c>
      <c r="E390" s="8" t="s">
        <v>9</v>
      </c>
      <c r="F390" s="8"/>
      <c r="H390" s="8"/>
      <c r="I390" s="8" t="s">
        <v>6605</v>
      </c>
      <c r="J390" s="8" t="s">
        <v>2993</v>
      </c>
      <c r="K390" t="s">
        <v>6606</v>
      </c>
      <c r="L390" t="s">
        <v>6607</v>
      </c>
      <c r="M390" s="3" t="str">
        <f>HYPERLINK(склад2въезд13192021222[[#This Row],[RelativePath]])</f>
        <v>9 Ангар пилорама\E33149364_1_20251216T165042Z.jpg</v>
      </c>
    </row>
    <row r="391" spans="1:13" x14ac:dyDescent="0.25">
      <c r="A391" s="2" t="s">
        <v>15</v>
      </c>
      <c r="B391" s="4">
        <v>46008</v>
      </c>
      <c r="C391" s="5">
        <v>0.37550925925925926</v>
      </c>
      <c r="D391" s="8" t="s">
        <v>4</v>
      </c>
      <c r="E391" s="8" t="s">
        <v>9</v>
      </c>
      <c r="F391" s="8"/>
      <c r="H391" s="8"/>
      <c r="I391" s="8" t="s">
        <v>6724</v>
      </c>
      <c r="J391" s="8" t="s">
        <v>2993</v>
      </c>
      <c r="K391" t="s">
        <v>6725</v>
      </c>
      <c r="L391" t="s">
        <v>6726</v>
      </c>
      <c r="M391" s="3" t="str">
        <f>HYPERLINK(склад2въезд13192021222[[#This Row],[RelativePath]])</f>
        <v>9 Ангар пилорама\E33149364_1_20251217T090044Z.jpg</v>
      </c>
    </row>
    <row r="392" spans="1:13" x14ac:dyDescent="0.25">
      <c r="A392" s="2" t="s">
        <v>15</v>
      </c>
      <c r="B392" s="4">
        <v>46008</v>
      </c>
      <c r="C392" s="5">
        <v>0.42748842592592595</v>
      </c>
      <c r="D392" s="8" t="s">
        <v>4</v>
      </c>
      <c r="E392" s="8" t="s">
        <v>6869</v>
      </c>
      <c r="F392" s="8"/>
      <c r="H392" s="8"/>
      <c r="I392" s="8" t="s">
        <v>6727</v>
      </c>
      <c r="J392" s="8" t="s">
        <v>2993</v>
      </c>
      <c r="K392" t="s">
        <v>6728</v>
      </c>
      <c r="L392" t="s">
        <v>6729</v>
      </c>
      <c r="M392" s="3" t="str">
        <f>HYPERLINK(склад2въезд13192021222[[#This Row],[RelativePath]])</f>
        <v>9 Ангар пилорама\E33149364_1_20251217T101535Z.jpg</v>
      </c>
    </row>
    <row r="393" spans="1:13" x14ac:dyDescent="0.25">
      <c r="A393" s="2" t="s">
        <v>15</v>
      </c>
      <c r="B393" s="4">
        <v>46008</v>
      </c>
      <c r="C393" s="5">
        <v>0.43063657407407407</v>
      </c>
      <c r="D393" s="8" t="s">
        <v>1091</v>
      </c>
      <c r="E393" s="8" t="s">
        <v>58</v>
      </c>
      <c r="F393" s="8"/>
      <c r="H393" s="8"/>
      <c r="I393" s="8" t="s">
        <v>6730</v>
      </c>
      <c r="J393" s="8" t="s">
        <v>2993</v>
      </c>
      <c r="K393" t="s">
        <v>6731</v>
      </c>
      <c r="L393" t="s">
        <v>6732</v>
      </c>
      <c r="M393" s="3" t="str">
        <f>HYPERLINK(склад2въезд13192021222[[#This Row],[RelativePath]])</f>
        <v>9 Ангар пилорама\E33149364_1_20251217T102007Z.jpg</v>
      </c>
    </row>
    <row r="394" spans="1:13" x14ac:dyDescent="0.25">
      <c r="A394" s="2" t="s">
        <v>15</v>
      </c>
      <c r="B394" s="4">
        <v>46008</v>
      </c>
      <c r="C394" s="5">
        <v>0.45927083333333335</v>
      </c>
      <c r="D394" s="8" t="s">
        <v>4</v>
      </c>
      <c r="E394" s="8" t="s">
        <v>9</v>
      </c>
      <c r="F394" s="8"/>
      <c r="H394" s="8" t="s">
        <v>2936</v>
      </c>
      <c r="I394" s="8" t="s">
        <v>6733</v>
      </c>
      <c r="J394" s="8" t="s">
        <v>2993</v>
      </c>
      <c r="K394" t="s">
        <v>6734</v>
      </c>
      <c r="L394" t="s">
        <v>6735</v>
      </c>
      <c r="M394" s="3" t="str">
        <f>HYPERLINK(склад2въезд13192021222[[#This Row],[RelativePath]])</f>
        <v>9 Ангар пилорама\E33149364_1_20251217T110121Z.jpg</v>
      </c>
    </row>
    <row r="395" spans="1:13" x14ac:dyDescent="0.25">
      <c r="A395" s="2" t="s">
        <v>15</v>
      </c>
      <c r="B395" s="4">
        <v>46008</v>
      </c>
      <c r="C395" s="5">
        <v>0.47336805555555556</v>
      </c>
      <c r="D395" s="8" t="s">
        <v>1091</v>
      </c>
      <c r="E395" s="8" t="s">
        <v>58</v>
      </c>
      <c r="F395" s="8"/>
      <c r="H395" s="8"/>
      <c r="I395" s="8" t="s">
        <v>6736</v>
      </c>
      <c r="J395" s="8" t="s">
        <v>2993</v>
      </c>
      <c r="K395" t="s">
        <v>6737</v>
      </c>
      <c r="L395" t="s">
        <v>6738</v>
      </c>
      <c r="M395" s="3" t="str">
        <f>HYPERLINK(склад2въезд13192021222[[#This Row],[RelativePath]])</f>
        <v>9 Ангар пилорама\E33149364_1_20251217T112139Z.jpg</v>
      </c>
    </row>
    <row r="396" spans="1:13" x14ac:dyDescent="0.25">
      <c r="A396" s="2" t="s">
        <v>15</v>
      </c>
      <c r="B396" s="4">
        <v>46008</v>
      </c>
      <c r="C396" s="5">
        <v>0.4846064814814815</v>
      </c>
      <c r="D396" s="8" t="s">
        <v>4</v>
      </c>
      <c r="E396" s="8" t="s">
        <v>9</v>
      </c>
      <c r="F396" s="8"/>
      <c r="H396" s="8" t="s">
        <v>2936</v>
      </c>
      <c r="I396" s="8" t="s">
        <v>6739</v>
      </c>
      <c r="J396" s="8" t="s">
        <v>2993</v>
      </c>
      <c r="K396" t="s">
        <v>6740</v>
      </c>
      <c r="L396" t="s">
        <v>6741</v>
      </c>
      <c r="M396" s="3" t="str">
        <f>HYPERLINK(склад2въезд13192021222[[#This Row],[RelativePath]])</f>
        <v>9 Ангар пилорама\E33149364_1_20251217T113750Z.jpg</v>
      </c>
    </row>
    <row r="397" spans="1:13" x14ac:dyDescent="0.25">
      <c r="A397" s="2" t="s">
        <v>15</v>
      </c>
      <c r="B397" s="4">
        <v>46008</v>
      </c>
      <c r="C397" s="5">
        <v>0.48640046296296297</v>
      </c>
      <c r="D397" s="8" t="s">
        <v>1091</v>
      </c>
      <c r="E397" s="8" t="s">
        <v>53</v>
      </c>
      <c r="F397" s="8"/>
      <c r="H397" s="8"/>
      <c r="I397" s="8" t="s">
        <v>6742</v>
      </c>
      <c r="J397" s="8" t="s">
        <v>2993</v>
      </c>
      <c r="K397" t="s">
        <v>6743</v>
      </c>
      <c r="L397" t="s">
        <v>6744</v>
      </c>
      <c r="M397" s="3" t="str">
        <f>HYPERLINK(склад2въезд13192021222[[#This Row],[RelativePath]])</f>
        <v>9 Ангар пилорама\E33149364_1_20251217T114025Z.jpg</v>
      </c>
    </row>
    <row r="398" spans="1:13" x14ac:dyDescent="0.25">
      <c r="A398" s="2" t="s">
        <v>15</v>
      </c>
      <c r="B398" s="4">
        <v>46008</v>
      </c>
      <c r="C398" s="5">
        <v>0.51541666666666663</v>
      </c>
      <c r="D398" s="8" t="s">
        <v>1091</v>
      </c>
      <c r="E398" s="8" t="s">
        <v>58</v>
      </c>
      <c r="F398" s="8"/>
      <c r="H398" s="8"/>
      <c r="I398" s="8" t="s">
        <v>6745</v>
      </c>
      <c r="J398" s="8" t="s">
        <v>2993</v>
      </c>
      <c r="K398" t="s">
        <v>6746</v>
      </c>
      <c r="L398" t="s">
        <v>6747</v>
      </c>
      <c r="M398" s="3" t="str">
        <f>HYPERLINK(склад2въезд13192021222[[#This Row],[RelativePath]])</f>
        <v>9 Ангар пилорама\E33149364_1_20251217T122212Z.jpg</v>
      </c>
    </row>
    <row r="399" spans="1:13" x14ac:dyDescent="0.25">
      <c r="A399" s="2" t="s">
        <v>15</v>
      </c>
      <c r="B399" s="4">
        <v>46008</v>
      </c>
      <c r="C399" s="5">
        <v>0.51849537037037041</v>
      </c>
      <c r="D399" s="8" t="s">
        <v>4</v>
      </c>
      <c r="E399" s="8" t="s">
        <v>9</v>
      </c>
      <c r="F399" s="8"/>
      <c r="H399" s="8" t="s">
        <v>2936</v>
      </c>
      <c r="I399" s="8" t="s">
        <v>6748</v>
      </c>
      <c r="J399" s="8" t="s">
        <v>2993</v>
      </c>
      <c r="K399" t="s">
        <v>6749</v>
      </c>
      <c r="L399" t="s">
        <v>6750</v>
      </c>
      <c r="M399" s="3" t="str">
        <f>HYPERLINK(склад2въезд13192021222[[#This Row],[RelativePath]])</f>
        <v>9 Ангар пилорама\E33149364_1_20251217T122638Z.jpg</v>
      </c>
    </row>
    <row r="400" spans="1:13" x14ac:dyDescent="0.25">
      <c r="A400" s="2" t="s">
        <v>15</v>
      </c>
      <c r="B400" s="4">
        <v>46008</v>
      </c>
      <c r="C400" s="5">
        <v>0.53151620370370367</v>
      </c>
      <c r="D400" s="8" t="s">
        <v>4</v>
      </c>
      <c r="E400" s="8" t="s">
        <v>9</v>
      </c>
      <c r="F400" s="8"/>
      <c r="H400" s="8" t="s">
        <v>2936</v>
      </c>
      <c r="I400" s="8" t="s">
        <v>6751</v>
      </c>
      <c r="J400" s="8" t="s">
        <v>2993</v>
      </c>
      <c r="K400" t="s">
        <v>6752</v>
      </c>
      <c r="L400" t="s">
        <v>6753</v>
      </c>
      <c r="M400" s="3" t="str">
        <f>HYPERLINK(склад2въезд13192021222[[#This Row],[RelativePath]])</f>
        <v>9 Ангар пилорама\E33149364_1_20251217T124523Z.jpg</v>
      </c>
    </row>
    <row r="401" spans="1:13" x14ac:dyDescent="0.25">
      <c r="A401" s="2" t="s">
        <v>15</v>
      </c>
      <c r="B401" s="4">
        <v>46008</v>
      </c>
      <c r="C401" s="5">
        <v>0.62016203703703698</v>
      </c>
      <c r="D401" s="8" t="s">
        <v>4</v>
      </c>
      <c r="E401" s="8" t="s">
        <v>9</v>
      </c>
      <c r="F401" s="8"/>
      <c r="H401" s="8" t="s">
        <v>2936</v>
      </c>
      <c r="I401" s="8" t="s">
        <v>6754</v>
      </c>
      <c r="J401" s="8" t="s">
        <v>2993</v>
      </c>
      <c r="K401" t="s">
        <v>6755</v>
      </c>
      <c r="L401" t="s">
        <v>6756</v>
      </c>
      <c r="M401" s="3" t="str">
        <f>HYPERLINK(склад2въезд13192021222[[#This Row],[RelativePath]])</f>
        <v>9 Ангар пилорама\E33149364_1_20251217T145302Z.jpg</v>
      </c>
    </row>
    <row r="402" spans="1:13" x14ac:dyDescent="0.25">
      <c r="A402" s="2" t="s">
        <v>15</v>
      </c>
      <c r="B402" s="4">
        <v>46008</v>
      </c>
      <c r="C402" s="5">
        <v>0.62037037037037035</v>
      </c>
      <c r="D402" s="8" t="s">
        <v>1091</v>
      </c>
      <c r="E402" s="8" t="s">
        <v>53</v>
      </c>
      <c r="F402" s="8"/>
      <c r="H402" s="8"/>
      <c r="I402" s="8" t="s">
        <v>6757</v>
      </c>
      <c r="J402" s="8" t="s">
        <v>2993</v>
      </c>
      <c r="K402" t="s">
        <v>6758</v>
      </c>
      <c r="L402" t="s">
        <v>6759</v>
      </c>
      <c r="M402" s="3" t="str">
        <f>HYPERLINK(склад2въезд13192021222[[#This Row],[RelativePath]])</f>
        <v>9 Ангар пилорама\E33149364_1_20251217T145320Z.jpg</v>
      </c>
    </row>
    <row r="403" spans="1:13" x14ac:dyDescent="0.25">
      <c r="A403" s="2" t="s">
        <v>15</v>
      </c>
      <c r="B403" s="4">
        <v>46008</v>
      </c>
      <c r="C403" s="5">
        <v>0.62105324074074075</v>
      </c>
      <c r="D403" s="8" t="s">
        <v>4</v>
      </c>
      <c r="E403" s="8" t="s">
        <v>6870</v>
      </c>
      <c r="F403" s="8"/>
      <c r="H403" s="8"/>
      <c r="I403" s="8" t="s">
        <v>6760</v>
      </c>
      <c r="J403" s="8" t="s">
        <v>2993</v>
      </c>
      <c r="K403" t="s">
        <v>6761</v>
      </c>
      <c r="L403" t="s">
        <v>6762</v>
      </c>
      <c r="M403" s="3" t="str">
        <f>HYPERLINK(склад2въезд13192021222[[#This Row],[RelativePath]])</f>
        <v>9 Ангар пилорама\E33149364_1_20251217T145419Z.jpg</v>
      </c>
    </row>
    <row r="404" spans="1:13" x14ac:dyDescent="0.25">
      <c r="A404" s="2" t="s">
        <v>15</v>
      </c>
      <c r="B404" s="4">
        <v>46008</v>
      </c>
      <c r="C404" s="5">
        <v>0.65487268518518515</v>
      </c>
      <c r="D404" s="8" t="s">
        <v>1091</v>
      </c>
      <c r="E404" s="8" t="s">
        <v>53</v>
      </c>
      <c r="F404" s="8"/>
      <c r="H404" s="8"/>
      <c r="I404" s="8" t="s">
        <v>6763</v>
      </c>
      <c r="J404" s="8" t="s">
        <v>2993</v>
      </c>
      <c r="K404" t="s">
        <v>6764</v>
      </c>
      <c r="L404" t="s">
        <v>6765</v>
      </c>
      <c r="M404" s="3" t="str">
        <f>HYPERLINK(склад2въезд13192021222[[#This Row],[RelativePath]])</f>
        <v>9 Ангар пилорама\E33149364_1_20251217T154301Z.jpg</v>
      </c>
    </row>
    <row r="405" spans="1:13" x14ac:dyDescent="0.25">
      <c r="A405" s="2" t="s">
        <v>15</v>
      </c>
      <c r="B405" s="4">
        <v>46008</v>
      </c>
      <c r="C405" s="5">
        <v>0.65680555555555553</v>
      </c>
      <c r="D405" s="8" t="s">
        <v>4</v>
      </c>
      <c r="E405" s="8" t="s">
        <v>9</v>
      </c>
      <c r="F405" s="8"/>
      <c r="H405" s="8"/>
      <c r="I405" s="8" t="s">
        <v>6766</v>
      </c>
      <c r="J405" s="8" t="s">
        <v>2993</v>
      </c>
      <c r="K405" t="s">
        <v>6767</v>
      </c>
      <c r="L405" t="s">
        <v>6768</v>
      </c>
      <c r="M405" s="3" t="str">
        <f>HYPERLINK(склад2въезд13192021222[[#This Row],[RelativePath]])</f>
        <v>9 Ангар пилорама\E33149364_1_20251217T154548Z.jpg</v>
      </c>
    </row>
    <row r="406" spans="1:13" x14ac:dyDescent="0.25">
      <c r="A406" s="2" t="s">
        <v>15</v>
      </c>
      <c r="B406" s="4">
        <v>46008</v>
      </c>
      <c r="C406" s="5">
        <v>0.6839467592592593</v>
      </c>
      <c r="D406" s="8" t="s">
        <v>1091</v>
      </c>
      <c r="E406" s="8" t="s">
        <v>58</v>
      </c>
      <c r="F406" s="8"/>
      <c r="H406" s="8"/>
      <c r="I406" s="8" t="s">
        <v>6769</v>
      </c>
      <c r="J406" s="8" t="s">
        <v>2993</v>
      </c>
      <c r="K406" t="s">
        <v>6770</v>
      </c>
      <c r="L406" t="s">
        <v>6771</v>
      </c>
      <c r="M406" s="3" t="str">
        <f>HYPERLINK(склад2въезд13192021222[[#This Row],[RelativePath]])</f>
        <v>9 Ангар пилорама\E33149364_1_20251217T162453Z.jpg</v>
      </c>
    </row>
    <row r="407" spans="1:13" x14ac:dyDescent="0.25">
      <c r="A407" s="2" t="s">
        <v>15</v>
      </c>
      <c r="B407" s="4">
        <v>46008</v>
      </c>
      <c r="C407" s="5">
        <v>0.68918981481481478</v>
      </c>
      <c r="D407" s="8" t="s">
        <v>1091</v>
      </c>
      <c r="E407" s="8" t="s">
        <v>58</v>
      </c>
      <c r="F407" s="8"/>
      <c r="H407" s="8"/>
      <c r="I407" s="8" t="s">
        <v>6772</v>
      </c>
      <c r="J407" s="8" t="s">
        <v>2993</v>
      </c>
      <c r="K407" t="s">
        <v>6773</v>
      </c>
      <c r="L407" t="s">
        <v>6774</v>
      </c>
      <c r="M407" s="3" t="str">
        <f>HYPERLINK(склад2въезд13192021222[[#This Row],[RelativePath]])</f>
        <v>9 Ангар пилорама\E33149364_1_20251217T163226Z.jpg</v>
      </c>
    </row>
    <row r="408" spans="1:13" x14ac:dyDescent="0.25">
      <c r="A408" s="2" t="s">
        <v>15</v>
      </c>
      <c r="B408" s="4">
        <v>46008</v>
      </c>
      <c r="C408" s="5">
        <v>0.69075231481481481</v>
      </c>
      <c r="D408" s="8" t="s">
        <v>1091</v>
      </c>
      <c r="E408" s="8" t="s">
        <v>58</v>
      </c>
      <c r="F408" s="8"/>
      <c r="H408" s="8"/>
      <c r="I408" s="8" t="s">
        <v>6775</v>
      </c>
      <c r="J408" s="8" t="s">
        <v>2993</v>
      </c>
      <c r="K408" t="s">
        <v>6776</v>
      </c>
      <c r="L408" t="s">
        <v>6777</v>
      </c>
      <c r="M408" s="3" t="str">
        <f>HYPERLINK(склад2въезд13192021222[[#This Row],[RelativePath]])</f>
        <v>9 Ангар пилорама\E33149364_1_20251217T163441Z.jpg</v>
      </c>
    </row>
    <row r="409" spans="1:13" x14ac:dyDescent="0.25">
      <c r="A409" s="2" t="s">
        <v>15</v>
      </c>
      <c r="B409" s="4">
        <v>46008</v>
      </c>
      <c r="C409" s="5">
        <v>0.70381944444444444</v>
      </c>
      <c r="D409" s="8" t="s">
        <v>4</v>
      </c>
      <c r="E409" s="8" t="s">
        <v>9</v>
      </c>
      <c r="F409" s="8"/>
      <c r="H409" s="8" t="s">
        <v>2936</v>
      </c>
      <c r="I409" s="8" t="s">
        <v>6778</v>
      </c>
      <c r="J409" s="8" t="s">
        <v>2993</v>
      </c>
      <c r="K409" t="s">
        <v>6779</v>
      </c>
      <c r="L409" t="s">
        <v>6780</v>
      </c>
      <c r="M409" s="3" t="str">
        <f>HYPERLINK(склад2въезд13192021222[[#This Row],[RelativePath]])</f>
        <v>9 Ангар пилорама\E33149364_1_20251217T165330Z.jpg</v>
      </c>
    </row>
    <row r="410" spans="1:13" x14ac:dyDescent="0.25">
      <c r="A410" s="2" t="s">
        <v>16</v>
      </c>
      <c r="B410" s="4">
        <v>46009</v>
      </c>
      <c r="C410" s="5">
        <v>0.36901620370370369</v>
      </c>
      <c r="D410" s="8" t="s">
        <v>4</v>
      </c>
      <c r="E410" s="8" t="s">
        <v>9</v>
      </c>
      <c r="F410" s="8"/>
      <c r="H410" s="8"/>
      <c r="I410" s="8" t="s">
        <v>6947</v>
      </c>
      <c r="J410" s="8" t="s">
        <v>2993</v>
      </c>
      <c r="K410" t="s">
        <v>6948</v>
      </c>
      <c r="L410" t="s">
        <v>6949</v>
      </c>
      <c r="M410" s="3" t="str">
        <f>HYPERLINK(склад2въезд13192021222[[#This Row],[RelativePath]])</f>
        <v>9 Ангар пилорама\E33149364_1_20251218T085123Z.jpg</v>
      </c>
    </row>
    <row r="411" spans="1:13" x14ac:dyDescent="0.25">
      <c r="A411" s="2" t="s">
        <v>16</v>
      </c>
      <c r="B411" s="4">
        <v>46009</v>
      </c>
      <c r="C411" s="5">
        <v>0.39912037037037035</v>
      </c>
      <c r="D411" s="8" t="s">
        <v>4</v>
      </c>
      <c r="E411" s="8" t="s">
        <v>9</v>
      </c>
      <c r="F411" s="8"/>
      <c r="H411" s="8" t="s">
        <v>2936</v>
      </c>
      <c r="I411" s="8" t="s">
        <v>6950</v>
      </c>
      <c r="J411" s="8" t="s">
        <v>2993</v>
      </c>
      <c r="K411" t="s">
        <v>6951</v>
      </c>
      <c r="L411" t="s">
        <v>6952</v>
      </c>
      <c r="M411" s="3" t="str">
        <f>HYPERLINK(склад2въезд13192021222[[#This Row],[RelativePath]])</f>
        <v>9 Ангар пилорама\E33149364_1_20251218T093444Z.jpg</v>
      </c>
    </row>
    <row r="412" spans="1:13" x14ac:dyDescent="0.25">
      <c r="A412" s="2" t="s">
        <v>16</v>
      </c>
      <c r="B412" s="4">
        <v>46009</v>
      </c>
      <c r="C412" s="5">
        <v>0.39923611111111112</v>
      </c>
      <c r="D412" s="8" t="s">
        <v>1091</v>
      </c>
      <c r="E412" s="8" t="s">
        <v>58</v>
      </c>
      <c r="F412" s="8"/>
      <c r="H412" s="8"/>
      <c r="I412" s="8" t="s">
        <v>6953</v>
      </c>
      <c r="J412" s="8" t="s">
        <v>2993</v>
      </c>
      <c r="K412" t="s">
        <v>6954</v>
      </c>
      <c r="L412" t="s">
        <v>6955</v>
      </c>
      <c r="M412" s="3" t="str">
        <f>HYPERLINK(склад2въезд13192021222[[#This Row],[RelativePath]])</f>
        <v>9 Ангар пилорама\E33149364_1_20251218T093454Z.jpg</v>
      </c>
    </row>
    <row r="413" spans="1:13" x14ac:dyDescent="0.25">
      <c r="A413" s="2" t="s">
        <v>16</v>
      </c>
      <c r="B413" s="4">
        <v>46009</v>
      </c>
      <c r="C413" s="5">
        <v>0.40178240740740739</v>
      </c>
      <c r="D413" s="8" t="s">
        <v>1091</v>
      </c>
      <c r="E413" s="8" t="s">
        <v>58</v>
      </c>
      <c r="F413" s="8"/>
      <c r="H413" s="8"/>
      <c r="I413" s="8" t="s">
        <v>6956</v>
      </c>
      <c r="J413" s="8" t="s">
        <v>2993</v>
      </c>
      <c r="K413" t="s">
        <v>6957</v>
      </c>
      <c r="L413" t="s">
        <v>6958</v>
      </c>
      <c r="M413" s="3" t="str">
        <f>HYPERLINK(склад2въезд13192021222[[#This Row],[RelativePath]])</f>
        <v>9 Ангар пилорама\E33149364_1_20251218T093834Z.jpg</v>
      </c>
    </row>
    <row r="414" spans="1:13" x14ac:dyDescent="0.25">
      <c r="A414" s="2" t="s">
        <v>16</v>
      </c>
      <c r="B414" s="4">
        <v>46009</v>
      </c>
      <c r="C414" s="5">
        <v>0.40280092592592592</v>
      </c>
      <c r="D414" s="8" t="s">
        <v>1091</v>
      </c>
      <c r="E414" s="8" t="s">
        <v>58</v>
      </c>
      <c r="F414" s="8"/>
      <c r="H414" s="8"/>
      <c r="I414" s="8" t="s">
        <v>6959</v>
      </c>
      <c r="J414" s="8" t="s">
        <v>2993</v>
      </c>
      <c r="K414" t="s">
        <v>6960</v>
      </c>
      <c r="L414" t="s">
        <v>6961</v>
      </c>
      <c r="M414" s="3" t="str">
        <f>HYPERLINK(склад2въезд13192021222[[#This Row],[RelativePath]])</f>
        <v>9 Ангар пилорама\E33149364_1_20251218T094002Z.jpg</v>
      </c>
    </row>
    <row r="415" spans="1:13" x14ac:dyDescent="0.25">
      <c r="A415" s="2" t="s">
        <v>16</v>
      </c>
      <c r="B415" s="4">
        <v>46009</v>
      </c>
      <c r="C415" s="5">
        <v>0.41087962962962965</v>
      </c>
      <c r="D415" s="8" t="s">
        <v>1091</v>
      </c>
      <c r="E415" s="8" t="s">
        <v>58</v>
      </c>
      <c r="F415" s="8"/>
      <c r="H415" s="8"/>
      <c r="I415" s="8" t="s">
        <v>6962</v>
      </c>
      <c r="J415" s="8" t="s">
        <v>2993</v>
      </c>
      <c r="K415" t="s">
        <v>6963</v>
      </c>
      <c r="L415" t="s">
        <v>6964</v>
      </c>
      <c r="M415" s="3" t="str">
        <f>HYPERLINK(склад2въезд13192021222[[#This Row],[RelativePath]])</f>
        <v>9 Ангар пилорама\E33149364_1_20251218T095140Z.jpg</v>
      </c>
    </row>
    <row r="416" spans="1:13" x14ac:dyDescent="0.25">
      <c r="A416" s="2" t="s">
        <v>16</v>
      </c>
      <c r="B416" s="4">
        <v>46009</v>
      </c>
      <c r="C416" s="5">
        <v>0.42708333333333331</v>
      </c>
      <c r="D416" s="8" t="s">
        <v>4</v>
      </c>
      <c r="E416" s="8" t="s">
        <v>9</v>
      </c>
      <c r="F416" s="8"/>
      <c r="H416" s="8" t="s">
        <v>2936</v>
      </c>
      <c r="I416" s="8" t="s">
        <v>6965</v>
      </c>
      <c r="J416" s="8" t="s">
        <v>2993</v>
      </c>
      <c r="K416" t="s">
        <v>6966</v>
      </c>
      <c r="L416" t="s">
        <v>6967</v>
      </c>
      <c r="M416" s="3" t="str">
        <f>HYPERLINK(склад2въезд13192021222[[#This Row],[RelativePath]])</f>
        <v>9 Ангар пилорама\E33149364_1_20251218T101500Z.jpg</v>
      </c>
    </row>
    <row r="417" spans="1:13" x14ac:dyDescent="0.25">
      <c r="A417" s="2" t="s">
        <v>16</v>
      </c>
      <c r="B417" s="4">
        <v>46009</v>
      </c>
      <c r="C417" s="5">
        <v>0.43113425925925924</v>
      </c>
      <c r="D417" s="8" t="s">
        <v>4</v>
      </c>
      <c r="E417" s="8" t="s">
        <v>9</v>
      </c>
      <c r="F417" s="8"/>
      <c r="H417" s="8" t="s">
        <v>2936</v>
      </c>
      <c r="I417" s="8" t="s">
        <v>6968</v>
      </c>
      <c r="J417" s="8" t="s">
        <v>2993</v>
      </c>
      <c r="K417" t="s">
        <v>6969</v>
      </c>
      <c r="L417" t="s">
        <v>6970</v>
      </c>
      <c r="M417" s="3" t="str">
        <f>HYPERLINK(склад2въезд13192021222[[#This Row],[RelativePath]])</f>
        <v>9 Ангар пилорама\E33149364_1_20251218T102050Z.jpg</v>
      </c>
    </row>
    <row r="418" spans="1:13" x14ac:dyDescent="0.25">
      <c r="A418" s="2" t="s">
        <v>16</v>
      </c>
      <c r="B418" s="4">
        <v>46009</v>
      </c>
      <c r="C418" s="5">
        <v>0.53173611111111108</v>
      </c>
      <c r="D418" s="8" t="s">
        <v>4</v>
      </c>
      <c r="E418" s="8" t="s">
        <v>9</v>
      </c>
      <c r="F418" s="8"/>
      <c r="H418" s="8" t="s">
        <v>2936</v>
      </c>
      <c r="I418" s="8" t="s">
        <v>6971</v>
      </c>
      <c r="J418" s="8" t="s">
        <v>2993</v>
      </c>
      <c r="K418" t="s">
        <v>6972</v>
      </c>
      <c r="L418" t="s">
        <v>6973</v>
      </c>
      <c r="M418" s="3" t="str">
        <f>HYPERLINK(склад2въезд13192021222[[#This Row],[RelativePath]])</f>
        <v>9 Ангар пилорама\E33149364_1_20251218T124542Z.jpg</v>
      </c>
    </row>
    <row r="419" spans="1:13" x14ac:dyDescent="0.25">
      <c r="A419" s="2" t="s">
        <v>16</v>
      </c>
      <c r="B419" s="4">
        <v>46009</v>
      </c>
      <c r="C419" s="5">
        <v>0.6004976851851852</v>
      </c>
      <c r="D419" s="8" t="s">
        <v>4221</v>
      </c>
      <c r="E419" s="8" t="s">
        <v>5480</v>
      </c>
      <c r="F419" s="8" t="s">
        <v>6188</v>
      </c>
      <c r="H419" s="8"/>
      <c r="I419" s="8" t="s">
        <v>6974</v>
      </c>
      <c r="J419" s="8" t="s">
        <v>2993</v>
      </c>
      <c r="K419" t="s">
        <v>6975</v>
      </c>
      <c r="L419" t="s">
        <v>6976</v>
      </c>
      <c r="M419" s="3" t="str">
        <f>HYPERLINK(склад2въезд13192021222[[#This Row],[RelativePath]])</f>
        <v>9 Ангар пилорама\E33149364_1_20251218T142443Z.jpg</v>
      </c>
    </row>
    <row r="420" spans="1:13" x14ac:dyDescent="0.25">
      <c r="A420" s="2" t="s">
        <v>16</v>
      </c>
      <c r="B420" s="4">
        <v>46009</v>
      </c>
      <c r="C420" s="5">
        <v>0.60859953703703706</v>
      </c>
      <c r="D420" s="8" t="s">
        <v>4221</v>
      </c>
      <c r="E420" s="8" t="s">
        <v>5480</v>
      </c>
      <c r="F420" s="8" t="s">
        <v>6188</v>
      </c>
      <c r="H420" s="8"/>
      <c r="I420" s="8" t="s">
        <v>6977</v>
      </c>
      <c r="J420" s="8" t="s">
        <v>2993</v>
      </c>
      <c r="K420" t="s">
        <v>6978</v>
      </c>
      <c r="L420" t="s">
        <v>6979</v>
      </c>
      <c r="M420" s="3" t="str">
        <f>HYPERLINK(склад2въезд13192021222[[#This Row],[RelativePath]])</f>
        <v>9 Ангар пилорама\E33149364_1_20251218T143623Z.jpg</v>
      </c>
    </row>
    <row r="421" spans="1:13" x14ac:dyDescent="0.25">
      <c r="A421" s="2" t="s">
        <v>16</v>
      </c>
      <c r="B421" s="4">
        <v>46009</v>
      </c>
      <c r="C421" s="5">
        <v>0.61283564814814817</v>
      </c>
      <c r="D421" s="8" t="s">
        <v>4221</v>
      </c>
      <c r="E421" s="8" t="s">
        <v>5480</v>
      </c>
      <c r="F421" s="8" t="s">
        <v>6188</v>
      </c>
      <c r="H421" s="8"/>
      <c r="I421" s="8" t="s">
        <v>6980</v>
      </c>
      <c r="J421" s="8" t="s">
        <v>2993</v>
      </c>
      <c r="K421" t="s">
        <v>6981</v>
      </c>
      <c r="L421" t="s">
        <v>6982</v>
      </c>
      <c r="M421" s="3" t="str">
        <f>HYPERLINK(склад2въезд13192021222[[#This Row],[RelativePath]])</f>
        <v>9 Ангар пилорама\E33149364_1_20251218T144229Z.jpg</v>
      </c>
    </row>
    <row r="422" spans="1:13" x14ac:dyDescent="0.25">
      <c r="A422" s="2" t="s">
        <v>16</v>
      </c>
      <c r="B422" s="4">
        <v>46009</v>
      </c>
      <c r="C422" s="5">
        <v>0.61603009259259256</v>
      </c>
      <c r="D422" s="8" t="s">
        <v>4</v>
      </c>
      <c r="E422" s="8" t="s">
        <v>9</v>
      </c>
      <c r="F422" s="8"/>
      <c r="H422" s="8"/>
      <c r="I422" s="8" t="s">
        <v>6983</v>
      </c>
      <c r="J422" s="8" t="s">
        <v>2993</v>
      </c>
      <c r="K422" t="s">
        <v>6984</v>
      </c>
      <c r="L422" t="s">
        <v>6985</v>
      </c>
      <c r="M422" s="3" t="str">
        <f>HYPERLINK(склад2въезд13192021222[[#This Row],[RelativePath]])</f>
        <v>9 Ангар пилорама\E33149364_1_20251218T144705Z.jpg</v>
      </c>
    </row>
    <row r="423" spans="1:13" x14ac:dyDescent="0.25">
      <c r="A423" s="2" t="s">
        <v>16</v>
      </c>
      <c r="B423" s="4">
        <v>46009</v>
      </c>
      <c r="C423" s="5">
        <v>0.67634259259259255</v>
      </c>
      <c r="D423" s="8" t="s">
        <v>1091</v>
      </c>
      <c r="E423" s="8" t="s">
        <v>58</v>
      </c>
      <c r="F423" s="8"/>
      <c r="H423" s="8"/>
      <c r="I423" s="8" t="s">
        <v>6986</v>
      </c>
      <c r="J423" s="8" t="s">
        <v>2993</v>
      </c>
      <c r="K423" t="s">
        <v>6987</v>
      </c>
      <c r="L423" t="s">
        <v>6988</v>
      </c>
      <c r="M423" s="3" t="str">
        <f>HYPERLINK(склад2въезд13192021222[[#This Row],[RelativePath]])</f>
        <v>9 Ангар пилорама\E33149364_1_20251218T161356Z.jpg</v>
      </c>
    </row>
    <row r="424" spans="1:13" x14ac:dyDescent="0.25">
      <c r="A424" s="2" t="s">
        <v>16</v>
      </c>
      <c r="B424" s="4">
        <v>46009</v>
      </c>
      <c r="C424" s="5">
        <v>0.68135416666666671</v>
      </c>
      <c r="D424" s="8" t="s">
        <v>4</v>
      </c>
      <c r="E424" s="8" t="s">
        <v>9</v>
      </c>
      <c r="F424" s="8"/>
      <c r="H424" s="8"/>
      <c r="I424" s="8" t="s">
        <v>6989</v>
      </c>
      <c r="J424" s="8" t="s">
        <v>2993</v>
      </c>
      <c r="K424" t="s">
        <v>6990</v>
      </c>
      <c r="L424" t="s">
        <v>6991</v>
      </c>
      <c r="M424" s="3" t="str">
        <f>HYPERLINK(склад2въезд13192021222[[#This Row],[RelativePath]])</f>
        <v>9 Ангар пилорама\E33149364_1_20251218T162109Z.jpg</v>
      </c>
    </row>
    <row r="425" spans="1:13" x14ac:dyDescent="0.25">
      <c r="A425" s="2" t="s">
        <v>16</v>
      </c>
      <c r="B425" s="4">
        <v>46009</v>
      </c>
      <c r="C425" s="5">
        <v>0.8699189814814815</v>
      </c>
      <c r="D425" s="8" t="s">
        <v>4</v>
      </c>
      <c r="E425" s="8" t="s">
        <v>9</v>
      </c>
      <c r="F425" s="8"/>
      <c r="H425" s="8" t="s">
        <v>2936</v>
      </c>
      <c r="I425" s="8" t="s">
        <v>6992</v>
      </c>
      <c r="J425" s="8" t="s">
        <v>2993</v>
      </c>
      <c r="K425" t="s">
        <v>6993</v>
      </c>
      <c r="L425" t="s">
        <v>6994</v>
      </c>
      <c r="M425" s="3" t="str">
        <f>HYPERLINK(склад2въезд13192021222[[#This Row],[RelativePath]])</f>
        <v>9 Ангар пилорама\E33149364_1_20251218T205241Z.jpg</v>
      </c>
    </row>
    <row r="426" spans="1:13" x14ac:dyDescent="0.25">
      <c r="A426" s="2" t="s">
        <v>16</v>
      </c>
      <c r="B426" s="4">
        <v>46009</v>
      </c>
      <c r="C426" s="5">
        <v>0.93030092592592595</v>
      </c>
      <c r="D426" s="8" t="s">
        <v>4</v>
      </c>
      <c r="E426" s="8" t="s">
        <v>9</v>
      </c>
      <c r="F426" s="8"/>
      <c r="H426" s="8" t="s">
        <v>2936</v>
      </c>
      <c r="I426" s="8" t="s">
        <v>6995</v>
      </c>
      <c r="J426" s="8" t="s">
        <v>2993</v>
      </c>
      <c r="K426" t="s">
        <v>6996</v>
      </c>
      <c r="L426" t="s">
        <v>6997</v>
      </c>
      <c r="M426" s="3" t="str">
        <f>HYPERLINK(склад2въезд13192021222[[#This Row],[RelativePath]])</f>
        <v>9 Ангар пилорама\E33149364_1_20251218T221938Z.jpg</v>
      </c>
    </row>
    <row r="427" spans="1:13" x14ac:dyDescent="0.25">
      <c r="A427" s="2" t="s">
        <v>16</v>
      </c>
      <c r="B427" s="4">
        <v>46009</v>
      </c>
      <c r="C427" s="5">
        <v>0.96598379629629627</v>
      </c>
      <c r="D427" s="8" t="s">
        <v>4</v>
      </c>
      <c r="E427" s="8" t="s">
        <v>9</v>
      </c>
      <c r="F427" s="8"/>
      <c r="H427" s="8" t="s">
        <v>2936</v>
      </c>
      <c r="I427" s="8" t="s">
        <v>6998</v>
      </c>
      <c r="J427" s="8" t="s">
        <v>2993</v>
      </c>
      <c r="K427" t="s">
        <v>6999</v>
      </c>
      <c r="L427" t="s">
        <v>7000</v>
      </c>
      <c r="M427" s="3" t="str">
        <f>HYPERLINK(склад2въезд13192021222[[#This Row],[RelativePath]])</f>
        <v>9 Ангар пилорама\E33149364_1_20251218T231101Z.jpg</v>
      </c>
    </row>
    <row r="428" spans="1:13" x14ac:dyDescent="0.25">
      <c r="A428" s="2" t="s">
        <v>17</v>
      </c>
      <c r="B428" s="4">
        <v>46010</v>
      </c>
      <c r="C428" s="5">
        <v>0.38917824074074076</v>
      </c>
      <c r="D428" s="8" t="s">
        <v>4</v>
      </c>
      <c r="E428" s="8" t="s">
        <v>9</v>
      </c>
      <c r="F428" s="8"/>
      <c r="H428" s="8" t="s">
        <v>2936</v>
      </c>
      <c r="I428" s="8" t="s">
        <v>7001</v>
      </c>
      <c r="J428" s="8" t="s">
        <v>2993</v>
      </c>
      <c r="K428" t="s">
        <v>7002</v>
      </c>
      <c r="L428" t="s">
        <v>7003</v>
      </c>
      <c r="M428" s="3" t="str">
        <f>HYPERLINK(склад2въезд13192021222[[#This Row],[RelativePath]])</f>
        <v>9 Ангар пилорама\E33149364_1_20251219T092025Z.jpg</v>
      </c>
    </row>
    <row r="429" spans="1:13" x14ac:dyDescent="0.25">
      <c r="A429" s="2" t="s">
        <v>17</v>
      </c>
      <c r="B429" s="4">
        <v>46010</v>
      </c>
      <c r="C429" s="5">
        <v>0.46508101851851852</v>
      </c>
      <c r="D429" s="8" t="s">
        <v>4</v>
      </c>
      <c r="E429" s="8" t="s">
        <v>9</v>
      </c>
      <c r="F429" s="8"/>
      <c r="H429" s="8" t="s">
        <v>2936</v>
      </c>
      <c r="I429" s="8" t="s">
        <v>7004</v>
      </c>
      <c r="J429" s="8" t="s">
        <v>2993</v>
      </c>
      <c r="K429" t="s">
        <v>7005</v>
      </c>
      <c r="L429" t="s">
        <v>7006</v>
      </c>
      <c r="M429" s="3" t="str">
        <f>HYPERLINK(склад2въезд13192021222[[#This Row],[RelativePath]])</f>
        <v>9 Ангар пилорама\E33149364_1_20251219T110943Z.jpg</v>
      </c>
    </row>
    <row r="430" spans="1:13" x14ac:dyDescent="0.25">
      <c r="A430" s="2" t="s">
        <v>17</v>
      </c>
      <c r="B430" s="4">
        <v>46010</v>
      </c>
      <c r="C430" s="5">
        <v>0.5122106481481481</v>
      </c>
      <c r="D430" s="8" t="s">
        <v>4</v>
      </c>
      <c r="E430" s="8" t="s">
        <v>9</v>
      </c>
      <c r="F430" s="8"/>
      <c r="H430" s="8" t="s">
        <v>2936</v>
      </c>
      <c r="I430" s="8" t="s">
        <v>7007</v>
      </c>
      <c r="J430" s="8" t="s">
        <v>2993</v>
      </c>
      <c r="K430" t="s">
        <v>7008</v>
      </c>
      <c r="L430" t="s">
        <v>7009</v>
      </c>
      <c r="M430" s="3" t="str">
        <f>HYPERLINK(склад2въезд13192021222[[#This Row],[RelativePath]])</f>
        <v>9 Ангар пилорама\E33149364_1_20251219T121735Z.jpg</v>
      </c>
    </row>
    <row r="431" spans="1:13" x14ac:dyDescent="0.25">
      <c r="A431" s="2" t="s">
        <v>17</v>
      </c>
      <c r="B431" s="4">
        <v>46010</v>
      </c>
      <c r="C431" s="5">
        <v>0.51262731481481483</v>
      </c>
      <c r="D431" s="8" t="s">
        <v>4</v>
      </c>
      <c r="E431" s="8" t="s">
        <v>1607</v>
      </c>
      <c r="F431" s="8" t="s">
        <v>7168</v>
      </c>
      <c r="H431" s="8"/>
      <c r="I431" s="8" t="s">
        <v>7010</v>
      </c>
      <c r="J431" s="8" t="s">
        <v>2993</v>
      </c>
      <c r="K431" t="s">
        <v>7011</v>
      </c>
      <c r="L431" t="s">
        <v>7012</v>
      </c>
      <c r="M431" s="3" t="str">
        <f>HYPERLINK(склад2въезд13192021222[[#This Row],[RelativePath]])</f>
        <v>9 Ангар пилорама\E33149364_1_20251219T121811Z.jpg</v>
      </c>
    </row>
    <row r="432" spans="1:13" x14ac:dyDescent="0.25">
      <c r="A432" s="2" t="s">
        <v>17</v>
      </c>
      <c r="B432" s="4">
        <v>46010</v>
      </c>
      <c r="C432" s="5">
        <v>0.6617939814814815</v>
      </c>
      <c r="D432" s="8" t="s">
        <v>4</v>
      </c>
      <c r="E432" s="8" t="s">
        <v>1607</v>
      </c>
      <c r="F432" s="8" t="s">
        <v>3076</v>
      </c>
      <c r="H432" s="8"/>
      <c r="I432" s="8" t="s">
        <v>7013</v>
      </c>
      <c r="J432" s="8" t="s">
        <v>2993</v>
      </c>
      <c r="K432" t="s">
        <v>7014</v>
      </c>
      <c r="L432" t="s">
        <v>7015</v>
      </c>
      <c r="M432" s="3" t="str">
        <f>HYPERLINK(склад2въезд13192021222[[#This Row],[RelativePath]])</f>
        <v>9 Ангар пилорама\E33149364_1_20251219T155259Z.jpg</v>
      </c>
    </row>
    <row r="433" spans="1:13" x14ac:dyDescent="0.25">
      <c r="A433" s="2" t="s">
        <v>17</v>
      </c>
      <c r="B433" s="4">
        <v>46010</v>
      </c>
      <c r="C433" s="5">
        <v>0.68521990740740746</v>
      </c>
      <c r="D433" s="8" t="s">
        <v>4</v>
      </c>
      <c r="E433" s="8" t="s">
        <v>9</v>
      </c>
      <c r="F433" s="8"/>
      <c r="H433" s="8"/>
      <c r="I433" s="8" t="s">
        <v>7016</v>
      </c>
      <c r="J433" s="8" t="s">
        <v>2993</v>
      </c>
      <c r="K433" t="s">
        <v>7017</v>
      </c>
      <c r="L433" t="s">
        <v>7018</v>
      </c>
      <c r="M433" s="3" t="str">
        <f>HYPERLINK(склад2въезд13192021222[[#This Row],[RelativePath]])</f>
        <v>9 Ангар пилорама\E33149364_1_20251219T162643Z.jpg</v>
      </c>
    </row>
    <row r="434" spans="1:13" x14ac:dyDescent="0.25">
      <c r="A434" s="2" t="s">
        <v>18</v>
      </c>
      <c r="B434" s="4">
        <v>46011</v>
      </c>
      <c r="C434" s="5">
        <v>0.50359953703703708</v>
      </c>
      <c r="D434" s="8" t="s">
        <v>2004</v>
      </c>
      <c r="E434" s="8" t="s">
        <v>9</v>
      </c>
      <c r="F434" s="8"/>
      <c r="H434" s="8"/>
      <c r="I434" s="8" t="s">
        <v>7019</v>
      </c>
      <c r="J434" s="8" t="s">
        <v>2993</v>
      </c>
      <c r="K434" t="s">
        <v>7020</v>
      </c>
      <c r="L434" t="s">
        <v>7021</v>
      </c>
      <c r="M434" s="3" t="str">
        <f>HYPERLINK(склад2въезд13192021222[[#This Row],[RelativePath]])</f>
        <v>9 Ангар пилорама\E33149364_1_20251220T120511Z.jpg</v>
      </c>
    </row>
    <row r="435" spans="1:13" x14ac:dyDescent="0.25">
      <c r="A435" s="2" t="s">
        <v>18</v>
      </c>
      <c r="B435" s="4">
        <v>46011</v>
      </c>
      <c r="C435" s="5">
        <v>0.71201388888888884</v>
      </c>
      <c r="D435" s="8" t="s">
        <v>2004</v>
      </c>
      <c r="E435" s="8" t="s">
        <v>9</v>
      </c>
      <c r="F435" s="8"/>
      <c r="H435" s="8"/>
      <c r="I435" s="8" t="s">
        <v>7022</v>
      </c>
      <c r="J435" s="8" t="s">
        <v>2993</v>
      </c>
      <c r="K435" t="s">
        <v>7023</v>
      </c>
      <c r="L435" t="s">
        <v>7024</v>
      </c>
      <c r="M435" s="3" t="str">
        <f>HYPERLINK(склад2въезд13192021222[[#This Row],[RelativePath]])</f>
        <v>9 Ангар пилорама\E33149364_1_20251220T170518Z.jpg</v>
      </c>
    </row>
    <row r="436" spans="1:13" x14ac:dyDescent="0.25">
      <c r="A436" s="2" t="s">
        <v>22</v>
      </c>
      <c r="B436" s="4">
        <v>46012</v>
      </c>
      <c r="C436" s="5">
        <v>0.44805555555555554</v>
      </c>
      <c r="D436" s="8" t="s">
        <v>4</v>
      </c>
      <c r="E436" s="8" t="s">
        <v>9</v>
      </c>
      <c r="F436" s="8"/>
      <c r="H436" s="8"/>
      <c r="I436" s="8" t="s">
        <v>7193</v>
      </c>
      <c r="J436" s="8" t="s">
        <v>2993</v>
      </c>
      <c r="K436" t="s">
        <v>7194</v>
      </c>
      <c r="L436" t="s">
        <v>7195</v>
      </c>
      <c r="M436" s="3" t="str">
        <f>HYPERLINK(склад2въезд13192021222[[#This Row],[RelativePath]])</f>
        <v>9 Ангар пилорама\E33149364_1_20251221T104512Z.jpg</v>
      </c>
    </row>
    <row r="437" spans="1:13" x14ac:dyDescent="0.25">
      <c r="A437" s="2" t="s">
        <v>22</v>
      </c>
      <c r="B437" s="4">
        <v>46012</v>
      </c>
      <c r="C437" s="5">
        <v>0.59471064814814811</v>
      </c>
      <c r="D437" s="8" t="s">
        <v>4</v>
      </c>
      <c r="E437" s="8" t="s">
        <v>7217</v>
      </c>
      <c r="F437" s="8"/>
      <c r="H437" s="8"/>
      <c r="I437" s="8" t="s">
        <v>7196</v>
      </c>
      <c r="J437" s="8" t="s">
        <v>2993</v>
      </c>
      <c r="K437" t="s">
        <v>7197</v>
      </c>
      <c r="L437" t="s">
        <v>7198</v>
      </c>
      <c r="M437" s="3" t="str">
        <f>HYPERLINK(склад2въезд13192021222[[#This Row],[RelativePath]])</f>
        <v>9 Ангар пилорама\E33149364_1_20251221T141623Z.jpg</v>
      </c>
    </row>
    <row r="438" spans="1:13" x14ac:dyDescent="0.25">
      <c r="A438" s="2" t="s">
        <v>22</v>
      </c>
      <c r="B438" s="4">
        <v>46012</v>
      </c>
      <c r="C438" s="5">
        <v>0.69439814814814815</v>
      </c>
      <c r="D438" s="8" t="s">
        <v>4</v>
      </c>
      <c r="E438" s="8" t="s">
        <v>7217</v>
      </c>
      <c r="F438" s="8"/>
      <c r="H438" s="8" t="s">
        <v>2936</v>
      </c>
      <c r="I438" s="8" t="s">
        <v>7199</v>
      </c>
      <c r="J438" s="8" t="s">
        <v>2993</v>
      </c>
      <c r="K438" t="s">
        <v>7200</v>
      </c>
      <c r="L438" t="s">
        <v>7201</v>
      </c>
      <c r="M438" s="3" t="str">
        <f>HYPERLINK(склад2въезд13192021222[[#This Row],[RelativePath]])</f>
        <v>9 Ангар пилорама\E33149364_1_20251221T163956Z.jpg</v>
      </c>
    </row>
    <row r="439" spans="1:13" x14ac:dyDescent="0.25">
      <c r="A439" s="2" t="s">
        <v>13</v>
      </c>
      <c r="B439" s="4">
        <v>46013</v>
      </c>
      <c r="C439" s="5">
        <v>0.41359953703703706</v>
      </c>
      <c r="D439" s="8" t="s">
        <v>4</v>
      </c>
      <c r="E439" s="8" t="s">
        <v>9</v>
      </c>
      <c r="F439" s="8"/>
      <c r="H439" s="8"/>
      <c r="I439" s="8" t="s">
        <v>7269</v>
      </c>
      <c r="J439" s="8" t="s">
        <v>2993</v>
      </c>
      <c r="K439" t="s">
        <v>7270</v>
      </c>
      <c r="L439" t="s">
        <v>7271</v>
      </c>
      <c r="M439" s="3" t="str">
        <f>HYPERLINK(склад2въезд13192021222[[#This Row],[RelativePath]])</f>
        <v>9 Ангар пилорама\E33149364_1_20251222T095535Z.jpg</v>
      </c>
    </row>
    <row r="440" spans="1:13" x14ac:dyDescent="0.25">
      <c r="A440" s="2" t="s">
        <v>13</v>
      </c>
      <c r="B440" s="4">
        <v>46013</v>
      </c>
      <c r="C440" s="5">
        <v>0.44239583333333332</v>
      </c>
      <c r="D440" s="8" t="s">
        <v>4</v>
      </c>
      <c r="E440" s="8" t="s">
        <v>7217</v>
      </c>
      <c r="F440" s="8"/>
      <c r="H440" s="8"/>
      <c r="I440" s="8" t="s">
        <v>7272</v>
      </c>
      <c r="J440" s="8" t="s">
        <v>2993</v>
      </c>
      <c r="K440" t="s">
        <v>7273</v>
      </c>
      <c r="L440" t="s">
        <v>7274</v>
      </c>
      <c r="M440" s="3" t="str">
        <f>HYPERLINK(склад2въезд13192021222[[#This Row],[RelativePath]])</f>
        <v>9 Ангар пилорама\E33149364_1_20251222T103703Z.jpg</v>
      </c>
    </row>
    <row r="441" spans="1:13" x14ac:dyDescent="0.25">
      <c r="A441" s="2" t="s">
        <v>13</v>
      </c>
      <c r="B441" s="4">
        <v>46013</v>
      </c>
      <c r="C441" s="5">
        <v>0.45758101851851851</v>
      </c>
      <c r="D441" s="8" t="s">
        <v>4</v>
      </c>
      <c r="E441" s="8" t="s">
        <v>9</v>
      </c>
      <c r="F441" s="8"/>
      <c r="H441" s="8"/>
      <c r="I441" s="8" t="s">
        <v>7275</v>
      </c>
      <c r="J441" s="8" t="s">
        <v>2993</v>
      </c>
      <c r="K441" t="s">
        <v>7276</v>
      </c>
      <c r="L441" t="s">
        <v>7277</v>
      </c>
      <c r="M441" s="3" t="str">
        <f>HYPERLINK(склад2въезд13192021222[[#This Row],[RelativePath]])</f>
        <v>9 Ангар пилорама\E33149364_1_20251222T105855Z.jpg</v>
      </c>
    </row>
    <row r="442" spans="1:13" x14ac:dyDescent="0.25">
      <c r="A442" s="2" t="s">
        <v>13</v>
      </c>
      <c r="B442" s="4">
        <v>46013</v>
      </c>
      <c r="C442" s="5">
        <v>0.52186342592592594</v>
      </c>
      <c r="D442" s="8" t="s">
        <v>4</v>
      </c>
      <c r="E442" s="8" t="s">
        <v>9</v>
      </c>
      <c r="F442" s="8"/>
      <c r="H442" s="8" t="s">
        <v>2936</v>
      </c>
      <c r="I442" s="8" t="s">
        <v>7278</v>
      </c>
      <c r="J442" s="8" t="s">
        <v>2993</v>
      </c>
      <c r="K442" t="s">
        <v>7279</v>
      </c>
      <c r="L442" t="s">
        <v>7280</v>
      </c>
      <c r="M442" s="3" t="str">
        <f>HYPERLINK(склад2въезд13192021222[[#This Row],[RelativePath]])</f>
        <v>9 Ангар пилорама\E33149364_1_20251222T123129Z.jpg</v>
      </c>
    </row>
    <row r="443" spans="1:13" x14ac:dyDescent="0.25">
      <c r="A443" s="2" t="s">
        <v>13</v>
      </c>
      <c r="B443" s="4">
        <v>46013</v>
      </c>
      <c r="C443" s="5">
        <v>0.52649305555555559</v>
      </c>
      <c r="D443" s="8" t="s">
        <v>4</v>
      </c>
      <c r="E443" s="8" t="s">
        <v>9</v>
      </c>
      <c r="F443" s="8"/>
      <c r="H443" s="8" t="s">
        <v>2936</v>
      </c>
      <c r="I443" s="8" t="s">
        <v>7281</v>
      </c>
      <c r="J443" s="8" t="s">
        <v>2993</v>
      </c>
      <c r="K443" t="s">
        <v>7282</v>
      </c>
      <c r="L443" t="s">
        <v>7283</v>
      </c>
      <c r="M443" s="3" t="str">
        <f>HYPERLINK(склад2въезд13192021222[[#This Row],[RelativePath]])</f>
        <v>9 Ангар пилорама\E33149364_1_20251222T123809Z.jpg</v>
      </c>
    </row>
    <row r="444" spans="1:13" x14ac:dyDescent="0.25">
      <c r="A444" s="2" t="s">
        <v>13</v>
      </c>
      <c r="B444" s="4">
        <v>46013</v>
      </c>
      <c r="C444" s="5">
        <v>0.57959490740740738</v>
      </c>
      <c r="D444" s="8" t="s">
        <v>4</v>
      </c>
      <c r="E444" s="8" t="s">
        <v>7217</v>
      </c>
      <c r="F444" s="8"/>
      <c r="H444" s="8"/>
      <c r="I444" s="8" t="s">
        <v>7284</v>
      </c>
      <c r="J444" s="8" t="s">
        <v>2993</v>
      </c>
      <c r="K444" t="s">
        <v>7285</v>
      </c>
      <c r="L444" t="s">
        <v>7286</v>
      </c>
      <c r="M444" s="3" t="str">
        <f>HYPERLINK(склад2въезд13192021222[[#This Row],[RelativePath]])</f>
        <v>9 Ангар пилорама\E33149364_1_20251222T135437Z.jpg</v>
      </c>
    </row>
    <row r="445" spans="1:13" x14ac:dyDescent="0.25">
      <c r="A445" s="2" t="s">
        <v>13</v>
      </c>
      <c r="B445" s="4">
        <v>46013</v>
      </c>
      <c r="C445" s="5">
        <v>0.58578703703703705</v>
      </c>
      <c r="D445" s="8" t="s">
        <v>4</v>
      </c>
      <c r="E445" s="8" t="s">
        <v>9</v>
      </c>
      <c r="F445" s="8"/>
      <c r="H445" s="8" t="s">
        <v>2936</v>
      </c>
      <c r="I445" s="8" t="s">
        <v>7287</v>
      </c>
      <c r="J445" s="8" t="s">
        <v>2993</v>
      </c>
      <c r="K445" t="s">
        <v>7288</v>
      </c>
      <c r="L445" t="s">
        <v>7289</v>
      </c>
      <c r="M445" s="3" t="str">
        <f>HYPERLINK(склад2въезд13192021222[[#This Row],[RelativePath]])</f>
        <v>9 Ангар пилорама\E33149364_1_20251222T140332Z.jpg</v>
      </c>
    </row>
    <row r="446" spans="1:13" x14ac:dyDescent="0.25">
      <c r="A446" s="2" t="s">
        <v>13</v>
      </c>
      <c r="B446" s="4">
        <v>46013</v>
      </c>
      <c r="C446" s="5">
        <v>0.6206828703703704</v>
      </c>
      <c r="D446" s="8" t="s">
        <v>4</v>
      </c>
      <c r="E446" s="8" t="s">
        <v>9</v>
      </c>
      <c r="F446" s="8"/>
      <c r="H446" s="8" t="s">
        <v>2936</v>
      </c>
      <c r="I446" s="8" t="s">
        <v>7290</v>
      </c>
      <c r="J446" s="8" t="s">
        <v>2993</v>
      </c>
      <c r="K446" t="s">
        <v>7291</v>
      </c>
      <c r="L446" t="s">
        <v>7292</v>
      </c>
      <c r="M446" s="3" t="str">
        <f>HYPERLINK(склад2въезд13192021222[[#This Row],[RelativePath]])</f>
        <v>9 Ангар пилорама\E33149364_1_20251222T145347Z.jpg</v>
      </c>
    </row>
    <row r="447" spans="1:13" x14ac:dyDescent="0.25">
      <c r="A447" s="2" t="s">
        <v>14</v>
      </c>
      <c r="B447" s="4">
        <v>46014</v>
      </c>
      <c r="C447" s="5">
        <v>0.37344907407407407</v>
      </c>
      <c r="D447" s="8" t="s">
        <v>4</v>
      </c>
      <c r="E447" s="8" t="s">
        <v>9</v>
      </c>
      <c r="F447" s="8"/>
      <c r="H447" s="8" t="s">
        <v>2936</v>
      </c>
      <c r="I447" s="8" t="s">
        <v>7293</v>
      </c>
      <c r="J447" s="8" t="s">
        <v>2993</v>
      </c>
      <c r="K447" t="s">
        <v>7294</v>
      </c>
      <c r="L447" t="s">
        <v>7295</v>
      </c>
      <c r="M447" s="3" t="str">
        <f>HYPERLINK(склад2въезд13192021222[[#This Row],[RelativePath]])</f>
        <v>9 Ангар пилорама\E33149364_1_20251223T085746Z.jpg</v>
      </c>
    </row>
    <row r="448" spans="1:13" x14ac:dyDescent="0.25">
      <c r="A448" s="2" t="s">
        <v>14</v>
      </c>
      <c r="B448" s="4">
        <v>46014</v>
      </c>
      <c r="C448" s="5">
        <v>0.82148148148148148</v>
      </c>
      <c r="D448" s="8" t="s">
        <v>4</v>
      </c>
      <c r="E448" s="8" t="s">
        <v>86</v>
      </c>
      <c r="F448" s="8"/>
      <c r="H448" s="8" t="s">
        <v>7710</v>
      </c>
      <c r="I448" s="8" t="s">
        <v>7296</v>
      </c>
      <c r="J448" s="8" t="s">
        <v>2993</v>
      </c>
      <c r="K448" t="s">
        <v>7297</v>
      </c>
      <c r="L448" t="s">
        <v>7298</v>
      </c>
      <c r="M448" s="3" t="str">
        <f>HYPERLINK(склад2въезд13192021222[[#This Row],[RelativePath]])</f>
        <v>9 Ангар пилорама\E33149364_1_20251223T194256Z.jpg</v>
      </c>
    </row>
    <row r="449" spans="1:13" x14ac:dyDescent="0.25">
      <c r="A449" s="2" t="s">
        <v>15</v>
      </c>
      <c r="B449" s="4">
        <v>46015</v>
      </c>
      <c r="C449" s="5">
        <v>0.42211805555555554</v>
      </c>
      <c r="D449" s="8" t="s">
        <v>4</v>
      </c>
      <c r="E449" s="8" t="s">
        <v>86</v>
      </c>
      <c r="F449" s="8"/>
      <c r="H449" s="8" t="s">
        <v>7710</v>
      </c>
      <c r="I449" s="8" t="s">
        <v>7451</v>
      </c>
      <c r="J449" s="8" t="s">
        <v>2993</v>
      </c>
      <c r="K449" t="s">
        <v>7452</v>
      </c>
      <c r="L449" t="s">
        <v>7453</v>
      </c>
      <c r="M449" s="3" t="str">
        <f>HYPERLINK(склад2въезд13192021222[[#This Row],[RelativePath]])</f>
        <v>9 Ангар пилорама\E33149364_1_20251224T100751Z.jpg</v>
      </c>
    </row>
    <row r="450" spans="1:13" x14ac:dyDescent="0.25">
      <c r="A450" s="2" t="s">
        <v>15</v>
      </c>
      <c r="B450" s="4">
        <v>46015</v>
      </c>
      <c r="C450" s="5">
        <v>0.69784722222222217</v>
      </c>
      <c r="D450" s="8" t="s">
        <v>4</v>
      </c>
      <c r="E450" s="8" t="s">
        <v>7709</v>
      </c>
      <c r="F450" s="8"/>
      <c r="H450" s="8"/>
      <c r="I450" s="8" t="s">
        <v>7454</v>
      </c>
      <c r="J450" s="8" t="s">
        <v>2993</v>
      </c>
      <c r="K450" t="s">
        <v>7455</v>
      </c>
      <c r="L450" t="s">
        <v>7456</v>
      </c>
      <c r="M450" s="3" t="str">
        <f>HYPERLINK(склад2въезд13192021222[[#This Row],[RelativePath]])</f>
        <v>9 Ангар пилорама\E33149364_1_20251224T164454Z.jpg</v>
      </c>
    </row>
    <row r="451" spans="1:13" x14ac:dyDescent="0.25">
      <c r="A451" s="2" t="s">
        <v>15</v>
      </c>
      <c r="B451" s="4">
        <v>46015</v>
      </c>
      <c r="C451" s="5">
        <v>0.92019675925925926</v>
      </c>
      <c r="D451" s="8" t="s">
        <v>4</v>
      </c>
      <c r="E451" s="8" t="s">
        <v>86</v>
      </c>
      <c r="F451" s="8"/>
      <c r="H451" s="8" t="s">
        <v>7710</v>
      </c>
      <c r="I451" s="8" t="s">
        <v>7457</v>
      </c>
      <c r="J451" s="8" t="s">
        <v>2993</v>
      </c>
      <c r="K451" t="s">
        <v>7458</v>
      </c>
      <c r="L451" t="s">
        <v>7459</v>
      </c>
      <c r="M451" s="3" t="str">
        <f>HYPERLINK(склад2въезд13192021222[[#This Row],[RelativePath]])</f>
        <v>9 Ангар пилорама\E33149364_1_20251224T220505Z.jpg</v>
      </c>
    </row>
    <row r="452" spans="1:13" x14ac:dyDescent="0.25">
      <c r="A452" s="2" t="s">
        <v>16</v>
      </c>
      <c r="B452" s="4">
        <v>46016</v>
      </c>
      <c r="C452" s="5">
        <v>0.14521990740740739</v>
      </c>
      <c r="D452" s="8" t="s">
        <v>4</v>
      </c>
      <c r="E452" s="8" t="s">
        <v>86</v>
      </c>
      <c r="F452" s="8"/>
      <c r="H452" s="8" t="s">
        <v>7710</v>
      </c>
      <c r="I452" s="8" t="s">
        <v>7460</v>
      </c>
      <c r="J452" s="8" t="s">
        <v>2993</v>
      </c>
      <c r="K452" t="s">
        <v>7461</v>
      </c>
      <c r="L452" t="s">
        <v>7462</v>
      </c>
      <c r="M452" s="3" t="str">
        <f>HYPERLINK(склад2въезд13192021222[[#This Row],[RelativePath]])</f>
        <v>9 Ангар пилорама\E33149364_1_20251225T032907Z.jpg</v>
      </c>
    </row>
    <row r="453" spans="1:13" x14ac:dyDescent="0.25">
      <c r="A453" s="2" t="s">
        <v>16</v>
      </c>
      <c r="B453" s="4">
        <v>46016</v>
      </c>
      <c r="C453" s="5">
        <v>0.40482638888888889</v>
      </c>
      <c r="D453" s="8" t="s">
        <v>4</v>
      </c>
      <c r="E453" s="8" t="s">
        <v>7709</v>
      </c>
      <c r="F453" s="8"/>
      <c r="H453" s="8"/>
      <c r="I453" s="8" t="s">
        <v>7463</v>
      </c>
      <c r="J453" s="8" t="s">
        <v>2993</v>
      </c>
      <c r="K453" t="s">
        <v>7464</v>
      </c>
      <c r="L453" t="s">
        <v>7465</v>
      </c>
      <c r="M453" s="3" t="str">
        <f>HYPERLINK(склад2въезд13192021222[[#This Row],[RelativePath]])</f>
        <v>9 Ангар пилорама\E33149364_1_20251225T094257Z.jpg</v>
      </c>
    </row>
    <row r="454" spans="1:13" x14ac:dyDescent="0.25">
      <c r="A454" s="2" t="s">
        <v>16</v>
      </c>
      <c r="B454" s="4">
        <v>46016</v>
      </c>
      <c r="C454" s="5">
        <v>0.42539351851851853</v>
      </c>
      <c r="D454" s="8" t="s">
        <v>4</v>
      </c>
      <c r="E454" s="8" t="s">
        <v>7709</v>
      </c>
      <c r="F454" s="8"/>
      <c r="H454" s="8"/>
      <c r="I454" s="8" t="s">
        <v>7466</v>
      </c>
      <c r="J454" s="8" t="s">
        <v>2993</v>
      </c>
      <c r="K454" t="s">
        <v>7467</v>
      </c>
      <c r="L454" t="s">
        <v>7468</v>
      </c>
      <c r="M454" s="3" t="str">
        <f>HYPERLINK(склад2въезд13192021222[[#This Row],[RelativePath]])</f>
        <v>9 Ангар пилорама\E33149364_1_20251225T101234Z.jpg</v>
      </c>
    </row>
    <row r="455" spans="1:13" x14ac:dyDescent="0.25">
      <c r="A455" s="2" t="s">
        <v>16</v>
      </c>
      <c r="B455" s="4">
        <v>46016</v>
      </c>
      <c r="C455" s="5">
        <v>0.48836805555555557</v>
      </c>
      <c r="D455" s="8" t="s">
        <v>4</v>
      </c>
      <c r="E455" s="8" t="s">
        <v>86</v>
      </c>
      <c r="F455" s="8"/>
      <c r="H455" s="8" t="s">
        <v>7710</v>
      </c>
      <c r="I455" s="8" t="s">
        <v>7469</v>
      </c>
      <c r="J455" s="8" t="s">
        <v>2993</v>
      </c>
      <c r="K455" t="s">
        <v>7470</v>
      </c>
      <c r="L455" t="s">
        <v>7471</v>
      </c>
      <c r="M455" s="3" t="str">
        <f>HYPERLINK(склад2въезд13192021222[[#This Row],[RelativePath]])</f>
        <v>9 Ангар пилорама\E33149364_1_20251225T114315Z.jpg</v>
      </c>
    </row>
    <row r="456" spans="1:13" x14ac:dyDescent="0.25">
      <c r="A456" s="2" t="s">
        <v>16</v>
      </c>
      <c r="B456" s="4">
        <v>46016</v>
      </c>
      <c r="C456" s="5">
        <v>0.65744212962962967</v>
      </c>
      <c r="D456" s="8" t="s">
        <v>4</v>
      </c>
      <c r="E456" s="8" t="s">
        <v>7709</v>
      </c>
      <c r="F456" s="8"/>
      <c r="H456" s="8"/>
      <c r="I456" s="8" t="s">
        <v>7472</v>
      </c>
      <c r="J456" s="8" t="s">
        <v>2993</v>
      </c>
      <c r="K456" t="s">
        <v>7473</v>
      </c>
      <c r="L456" t="s">
        <v>7474</v>
      </c>
      <c r="M456" s="3" t="str">
        <f>HYPERLINK(склад2въезд13192021222[[#This Row],[RelativePath]])</f>
        <v>9 Ангар пилорама\E33149364_1_20251225T154643Z.jpg</v>
      </c>
    </row>
    <row r="457" spans="1:13" x14ac:dyDescent="0.25">
      <c r="A457" s="2" t="s">
        <v>16</v>
      </c>
      <c r="B457" s="4">
        <v>46016</v>
      </c>
      <c r="C457" s="5">
        <v>0.7091319444444445</v>
      </c>
      <c r="D457" s="8" t="s">
        <v>4</v>
      </c>
      <c r="E457" s="8" t="s">
        <v>86</v>
      </c>
      <c r="F457" s="8"/>
      <c r="H457" s="8" t="s">
        <v>7710</v>
      </c>
      <c r="I457" s="8" t="s">
        <v>7475</v>
      </c>
      <c r="J457" s="8" t="s">
        <v>2993</v>
      </c>
      <c r="K457" t="s">
        <v>7476</v>
      </c>
      <c r="L457" t="s">
        <v>7477</v>
      </c>
      <c r="M457" s="3" t="str">
        <f>HYPERLINK(склад2въезд13192021222[[#This Row],[RelativePath]])</f>
        <v>9 Ангар пилорама\E33149364_1_20251225T170109Z.jpg</v>
      </c>
    </row>
    <row r="458" spans="1:13" x14ac:dyDescent="0.25">
      <c r="A458" s="2" t="s">
        <v>17</v>
      </c>
      <c r="B458" s="4">
        <v>46017</v>
      </c>
      <c r="C458" s="5">
        <v>0.36872685185185183</v>
      </c>
      <c r="D458" s="8" t="s">
        <v>4</v>
      </c>
      <c r="E458" s="8" t="s">
        <v>86</v>
      </c>
      <c r="F458" s="8"/>
      <c r="H458" s="8" t="s">
        <v>7710</v>
      </c>
      <c r="I458" s="8" t="s">
        <v>7729</v>
      </c>
      <c r="J458" s="8" t="s">
        <v>2993</v>
      </c>
      <c r="K458" t="s">
        <v>7730</v>
      </c>
      <c r="L458" t="s">
        <v>7731</v>
      </c>
      <c r="M458" s="3" t="str">
        <f>HYPERLINK(склад2въезд13192021222[[#This Row],[RelativePath]])</f>
        <v>9 Ангар пилорама\E33149364_1_20251226T085058Z.jpg</v>
      </c>
    </row>
    <row r="459" spans="1:13" x14ac:dyDescent="0.25">
      <c r="A459" s="2" t="s">
        <v>17</v>
      </c>
      <c r="B459" s="4">
        <v>46017</v>
      </c>
      <c r="C459" s="5">
        <v>0.41701388888888891</v>
      </c>
      <c r="D459" s="8" t="s">
        <v>4</v>
      </c>
      <c r="E459" s="8" t="s">
        <v>7709</v>
      </c>
      <c r="F459" s="8"/>
      <c r="H459" s="8"/>
      <c r="I459" s="8" t="s">
        <v>7732</v>
      </c>
      <c r="J459" s="8" t="s">
        <v>2993</v>
      </c>
      <c r="K459" t="s">
        <v>7733</v>
      </c>
      <c r="L459" t="s">
        <v>7734</v>
      </c>
      <c r="M459" s="3" t="str">
        <f>HYPERLINK(склад2въезд13192021222[[#This Row],[RelativePath]])</f>
        <v>9 Ангар пилорама\E33149364_1_20251226T100030Z.jpg</v>
      </c>
    </row>
    <row r="460" spans="1:13" x14ac:dyDescent="0.25">
      <c r="A460" s="2" t="s">
        <v>17</v>
      </c>
      <c r="B460" s="4">
        <v>46017</v>
      </c>
      <c r="C460" s="5">
        <v>0.53240740740740744</v>
      </c>
      <c r="D460" s="8" t="s">
        <v>4</v>
      </c>
      <c r="E460" s="8" t="s">
        <v>86</v>
      </c>
      <c r="F460" s="8"/>
      <c r="H460" s="8" t="s">
        <v>7710</v>
      </c>
      <c r="I460" s="8" t="s">
        <v>7735</v>
      </c>
      <c r="J460" s="8" t="s">
        <v>2993</v>
      </c>
      <c r="K460" t="s">
        <v>7736</v>
      </c>
      <c r="L460" t="s">
        <v>7737</v>
      </c>
      <c r="M460" s="3" t="str">
        <f>HYPERLINK(склад2въезд13192021222[[#This Row],[RelativePath]])</f>
        <v>9 Ангар пилорама\E33149364_1_20251226T124640Z.jpg</v>
      </c>
    </row>
    <row r="461" spans="1:13" x14ac:dyDescent="0.25">
      <c r="A461" s="2" t="s">
        <v>17</v>
      </c>
      <c r="B461" s="4">
        <v>46017</v>
      </c>
      <c r="C461" s="5">
        <v>0.59583333333333333</v>
      </c>
      <c r="D461" s="8" t="s">
        <v>4</v>
      </c>
      <c r="E461" s="8" t="s">
        <v>7709</v>
      </c>
      <c r="F461" s="8"/>
      <c r="H461" s="8"/>
      <c r="I461" s="8" t="s">
        <v>7738</v>
      </c>
      <c r="J461" s="8" t="s">
        <v>2993</v>
      </c>
      <c r="K461" t="s">
        <v>7739</v>
      </c>
      <c r="L461" t="s">
        <v>7740</v>
      </c>
      <c r="M461" s="3" t="str">
        <f>HYPERLINK(склад2въезд13192021222[[#This Row],[RelativePath]])</f>
        <v>9 Ангар пилорама\E33149364_1_20251226T141800Z.jpg</v>
      </c>
    </row>
    <row r="462" spans="1:13" x14ac:dyDescent="0.25">
      <c r="A462" s="2" t="s">
        <v>17</v>
      </c>
      <c r="B462" s="4">
        <v>46017</v>
      </c>
      <c r="C462" s="5">
        <v>0.98486111111111108</v>
      </c>
      <c r="D462" s="8" t="s">
        <v>4</v>
      </c>
      <c r="E462" s="8" t="s">
        <v>86</v>
      </c>
      <c r="F462" s="8"/>
      <c r="H462" s="8" t="s">
        <v>7710</v>
      </c>
      <c r="I462" s="8" t="s">
        <v>7741</v>
      </c>
      <c r="J462" s="8" t="s">
        <v>2993</v>
      </c>
      <c r="K462" t="s">
        <v>7742</v>
      </c>
      <c r="L462" t="s">
        <v>7743</v>
      </c>
      <c r="M462" s="3" t="str">
        <f>HYPERLINK(склад2въезд13192021222[[#This Row],[RelativePath]])</f>
        <v>9 Ангар пилорама\E33149364_1_20251226T233812Z.jpg</v>
      </c>
    </row>
    <row r="463" spans="1:13" x14ac:dyDescent="0.25">
      <c r="A463" s="2" t="s">
        <v>18</v>
      </c>
      <c r="B463" s="4">
        <v>46018</v>
      </c>
      <c r="C463" s="5">
        <v>0.45038194444444446</v>
      </c>
      <c r="D463" s="8" t="s">
        <v>2004</v>
      </c>
      <c r="E463" s="8" t="s">
        <v>86</v>
      </c>
      <c r="F463" s="8"/>
      <c r="H463" s="8"/>
      <c r="I463" s="8" t="s">
        <v>7956</v>
      </c>
      <c r="J463" s="8" t="s">
        <v>2993</v>
      </c>
      <c r="K463" t="s">
        <v>7957</v>
      </c>
      <c r="L463" t="s">
        <v>7958</v>
      </c>
      <c r="M463" s="3" t="str">
        <f>HYPERLINK(склад2въезд13192021222[[#This Row],[RelativePath]])</f>
        <v>9 Ангар пилорама\E33149364_1_20251227T104833Z.jpg</v>
      </c>
    </row>
    <row r="464" spans="1:13" x14ac:dyDescent="0.25">
      <c r="A464" s="2" t="s">
        <v>22</v>
      </c>
      <c r="B464" s="4">
        <v>46019</v>
      </c>
      <c r="C464" s="5">
        <v>0.97547453703703701</v>
      </c>
      <c r="D464" s="8" t="s">
        <v>2004</v>
      </c>
      <c r="E464" s="8" t="s">
        <v>86</v>
      </c>
      <c r="F464" s="8"/>
      <c r="H464" s="8"/>
      <c r="I464" s="8" t="s">
        <v>7959</v>
      </c>
      <c r="J464" s="8" t="s">
        <v>2993</v>
      </c>
      <c r="K464" t="s">
        <v>7960</v>
      </c>
      <c r="L464" t="s">
        <v>7961</v>
      </c>
      <c r="M464" s="3" t="str">
        <f>HYPERLINK(склад2въезд13192021222[[#This Row],[RelativePath]])</f>
        <v>9 Ангар пилорама\E33149364_1_20251228T232441Z.jpg</v>
      </c>
    </row>
    <row r="465" spans="1:13" x14ac:dyDescent="0.25">
      <c r="A465" s="2" t="s">
        <v>13</v>
      </c>
      <c r="B465" s="4">
        <v>46020</v>
      </c>
      <c r="C465" s="5">
        <v>0.39093749999999999</v>
      </c>
      <c r="D465" s="8" t="s">
        <v>4</v>
      </c>
      <c r="E465" s="8" t="s">
        <v>8335</v>
      </c>
      <c r="F465" s="8"/>
      <c r="H465" s="8"/>
      <c r="I465" s="8" t="s">
        <v>8120</v>
      </c>
      <c r="J465" s="8" t="s">
        <v>2993</v>
      </c>
      <c r="K465" t="s">
        <v>8121</v>
      </c>
      <c r="L465" t="s">
        <v>8122</v>
      </c>
      <c r="M465" s="3" t="str">
        <f>HYPERLINK(склад2въезд13192021222[[#This Row],[RelativePath]])</f>
        <v>9 Ангар пилорама\E33149364_1_20251229T092257Z.jpg</v>
      </c>
    </row>
    <row r="466" spans="1:13" x14ac:dyDescent="0.25">
      <c r="A466" s="2" t="s">
        <v>13</v>
      </c>
      <c r="B466" s="4">
        <v>46020</v>
      </c>
      <c r="C466" s="5">
        <v>0.41165509259259259</v>
      </c>
      <c r="D466" s="8" t="s">
        <v>1091</v>
      </c>
      <c r="E466" s="8" t="s">
        <v>8335</v>
      </c>
      <c r="F466" s="8" t="s">
        <v>53</v>
      </c>
      <c r="G466">
        <v>2</v>
      </c>
      <c r="H466" s="8" t="s">
        <v>8362</v>
      </c>
      <c r="I466" s="8" t="s">
        <v>8123</v>
      </c>
      <c r="J466" s="8" t="s">
        <v>2993</v>
      </c>
      <c r="K466" t="s">
        <v>8124</v>
      </c>
      <c r="L466" t="s">
        <v>8125</v>
      </c>
      <c r="M466" s="3" t="str">
        <f>HYPERLINK(склад2въезд13192021222[[#This Row],[RelativePath]])</f>
        <v>9 Ангар пилорама\E33149364_1_20251229T095247Z.jpg</v>
      </c>
    </row>
    <row r="467" spans="1:13" x14ac:dyDescent="0.25">
      <c r="A467" s="2" t="s">
        <v>13</v>
      </c>
      <c r="B467" s="4">
        <v>46020</v>
      </c>
      <c r="C467" s="5">
        <v>0.41174768518518517</v>
      </c>
      <c r="D467" s="8" t="s">
        <v>1091</v>
      </c>
      <c r="E467" s="8" t="s">
        <v>8335</v>
      </c>
      <c r="F467" s="8" t="s">
        <v>53</v>
      </c>
      <c r="G467">
        <v>1</v>
      </c>
      <c r="H467" s="8"/>
      <c r="I467" s="8" t="s">
        <v>8126</v>
      </c>
      <c r="J467" s="8" t="s">
        <v>2993</v>
      </c>
      <c r="K467" t="s">
        <v>8127</v>
      </c>
      <c r="L467" t="s">
        <v>8128</v>
      </c>
      <c r="M467" s="3" t="str">
        <f>HYPERLINK(склад2въезд13192021222[[#This Row],[RelativePath]])</f>
        <v>9 Ангар пилорама\E33149364_1_20251229T095255Z.jpg</v>
      </c>
    </row>
    <row r="468" spans="1:13" x14ac:dyDescent="0.25">
      <c r="A468" s="2" t="s">
        <v>13</v>
      </c>
      <c r="B468" s="4">
        <v>46020</v>
      </c>
      <c r="C468" s="5">
        <v>0.41200231481481481</v>
      </c>
      <c r="D468" s="8" t="s">
        <v>1091</v>
      </c>
      <c r="E468" s="8" t="s">
        <v>8335</v>
      </c>
      <c r="F468" s="8" t="s">
        <v>53</v>
      </c>
      <c r="G468">
        <v>2</v>
      </c>
      <c r="H468" s="8"/>
      <c r="I468" s="8" t="s">
        <v>8129</v>
      </c>
      <c r="J468" s="8" t="s">
        <v>2993</v>
      </c>
      <c r="K468" t="s">
        <v>8130</v>
      </c>
      <c r="L468" t="s">
        <v>8131</v>
      </c>
      <c r="M468" s="3" t="str">
        <f>HYPERLINK(склад2въезд13192021222[[#This Row],[RelativePath]])</f>
        <v>9 Ангар пилорама\E33149364_1_20251229T095317Z.jpg</v>
      </c>
    </row>
    <row r="469" spans="1:13" x14ac:dyDescent="0.25">
      <c r="A469" s="2" t="s">
        <v>13</v>
      </c>
      <c r="B469" s="4">
        <v>46020</v>
      </c>
      <c r="C469" s="5">
        <v>0.49380787037037038</v>
      </c>
      <c r="D469" s="8" t="s">
        <v>4</v>
      </c>
      <c r="E469" s="8" t="s">
        <v>1607</v>
      </c>
      <c r="F469" s="8"/>
      <c r="H469" s="8"/>
      <c r="I469" s="8" t="s">
        <v>8132</v>
      </c>
      <c r="J469" s="8" t="s">
        <v>2993</v>
      </c>
      <c r="K469" t="s">
        <v>8133</v>
      </c>
      <c r="L469" t="s">
        <v>8134</v>
      </c>
      <c r="M469" s="3" t="str">
        <f>HYPERLINK(склад2въезд13192021222[[#This Row],[RelativePath]])</f>
        <v>9 Ангар пилорама\E33149364_1_20251229T115105Z.jpg</v>
      </c>
    </row>
    <row r="470" spans="1:13" x14ac:dyDescent="0.25">
      <c r="A470" s="2" t="s">
        <v>14</v>
      </c>
      <c r="B470" s="4">
        <v>46021</v>
      </c>
      <c r="C470" s="5">
        <v>0.6925810185185185</v>
      </c>
      <c r="D470" s="8" t="s">
        <v>2004</v>
      </c>
      <c r="E470" s="8" t="s">
        <v>86</v>
      </c>
      <c r="F470" s="8"/>
      <c r="H470" s="8" t="s">
        <v>5479</v>
      </c>
      <c r="I470" s="8" t="s">
        <v>8135</v>
      </c>
      <c r="J470" s="8" t="s">
        <v>2993</v>
      </c>
      <c r="K470" t="s">
        <v>8136</v>
      </c>
      <c r="L470" t="s">
        <v>8137</v>
      </c>
      <c r="M470" s="3" t="str">
        <f>HYPERLINK(склад2въезд13192021222[[#This Row],[RelativePath]])</f>
        <v>9 Ангар пилорама\E33149364_1_20251230T163719Z.jpg</v>
      </c>
    </row>
    <row r="471" spans="1:13" x14ac:dyDescent="0.25">
      <c r="A471" s="2" t="s">
        <v>15</v>
      </c>
      <c r="B471" s="4">
        <v>46022</v>
      </c>
      <c r="C471" s="5">
        <v>0.70347222222222228</v>
      </c>
      <c r="D471" s="8" t="s">
        <v>2004</v>
      </c>
      <c r="E471" s="8" t="s">
        <v>86</v>
      </c>
      <c r="F471" s="8"/>
      <c r="H471" s="8" t="s">
        <v>5479</v>
      </c>
      <c r="I471" s="8" t="s">
        <v>8138</v>
      </c>
      <c r="J471" s="8" t="s">
        <v>2993</v>
      </c>
      <c r="K471" t="s">
        <v>8139</v>
      </c>
      <c r="L471" t="s">
        <v>8140</v>
      </c>
      <c r="M471" s="3" t="str">
        <f>HYPERLINK(склад2въезд13192021222[[#This Row],[RelativePath]])</f>
        <v>9 Ангар пилорама\E33149364_1_20251231T165300Z.jpg</v>
      </c>
    </row>
    <row r="472" spans="1:13" x14ac:dyDescent="0.25">
      <c r="A472" s="2" t="s">
        <v>16</v>
      </c>
      <c r="B472" s="4">
        <v>46023</v>
      </c>
      <c r="C472" s="5">
        <v>0.71578703703703705</v>
      </c>
      <c r="D472" s="8" t="s">
        <v>2004</v>
      </c>
      <c r="E472" s="8" t="s">
        <v>86</v>
      </c>
      <c r="F472" s="8"/>
      <c r="H472" s="8" t="s">
        <v>5479</v>
      </c>
      <c r="I472" s="8" t="s">
        <v>8141</v>
      </c>
      <c r="J472" s="8" t="s">
        <v>2993</v>
      </c>
      <c r="K472" t="s">
        <v>8142</v>
      </c>
      <c r="L472" t="s">
        <v>8143</v>
      </c>
      <c r="M472" s="3" t="str">
        <f>HYPERLINK(склад2въезд13192021222[[#This Row],[RelativePath]])</f>
        <v>9 Ангар пилорама\E33149364_1_20260101T171044Z.jpg</v>
      </c>
    </row>
    <row r="473" spans="1:13" x14ac:dyDescent="0.25">
      <c r="A473" s="2" t="s">
        <v>17</v>
      </c>
      <c r="B473" s="4">
        <v>46024</v>
      </c>
      <c r="C473" s="5">
        <v>0.71284722222222219</v>
      </c>
      <c r="D473" s="8" t="s">
        <v>2004</v>
      </c>
      <c r="E473" s="8" t="s">
        <v>86</v>
      </c>
      <c r="F473" s="8"/>
      <c r="H473" s="8" t="s">
        <v>5479</v>
      </c>
      <c r="I473" s="8" t="s">
        <v>8420</v>
      </c>
      <c r="J473" s="8" t="s">
        <v>2993</v>
      </c>
      <c r="K473" t="s">
        <v>8421</v>
      </c>
      <c r="L473" t="s">
        <v>8422</v>
      </c>
      <c r="M473" s="3" t="str">
        <f>HYPERLINK(склад2въезд13192021222[[#This Row],[RelativePath]])</f>
        <v>9 Ангар пилорама\E33149364_1_20260102T170630Z.jpg</v>
      </c>
    </row>
    <row r="474" spans="1:13" x14ac:dyDescent="0.25">
      <c r="A474" s="2" t="s">
        <v>18</v>
      </c>
      <c r="B474" s="4">
        <v>46025</v>
      </c>
      <c r="C474" s="5">
        <v>0.71440972222222221</v>
      </c>
      <c r="D474" s="8" t="s">
        <v>2004</v>
      </c>
      <c r="E474" s="8" t="s">
        <v>86</v>
      </c>
      <c r="F474" s="8"/>
      <c r="H474" s="8" t="s">
        <v>5479</v>
      </c>
      <c r="I474" s="8" t="s">
        <v>8423</v>
      </c>
      <c r="J474" s="8" t="s">
        <v>2993</v>
      </c>
      <c r="K474" t="s">
        <v>8424</v>
      </c>
      <c r="L474" t="s">
        <v>8425</v>
      </c>
      <c r="M474" s="3" t="str">
        <f>HYPERLINK(склад2въезд13192021222[[#This Row],[RelativePath]])</f>
        <v>9 Ангар пилорама\E33149364_1_20260103T170845Z.jpg</v>
      </c>
    </row>
    <row r="475" spans="1:13" x14ac:dyDescent="0.25">
      <c r="A475" s="2" t="s">
        <v>22</v>
      </c>
      <c r="B475" s="4">
        <v>46026</v>
      </c>
      <c r="C475" s="5">
        <v>0.70715277777777774</v>
      </c>
      <c r="D475" s="8" t="s">
        <v>2004</v>
      </c>
      <c r="E475" s="8" t="s">
        <v>86</v>
      </c>
      <c r="F475" s="8"/>
      <c r="H475" s="8" t="s">
        <v>5479</v>
      </c>
      <c r="I475" s="8" t="s">
        <v>8426</v>
      </c>
      <c r="J475" s="8" t="s">
        <v>2993</v>
      </c>
      <c r="K475" t="s">
        <v>8427</v>
      </c>
      <c r="L475" t="s">
        <v>8428</v>
      </c>
      <c r="M475" s="3" t="str">
        <f>HYPERLINK(склад2въезд13192021222[[#This Row],[RelativePath]])</f>
        <v>9 Ангар пилорама\E33149364_1_20260104T165818Z.jpg</v>
      </c>
    </row>
    <row r="476" spans="1:13" x14ac:dyDescent="0.25">
      <c r="A476" s="2" t="s">
        <v>13</v>
      </c>
      <c r="B476" s="4">
        <v>46027</v>
      </c>
      <c r="C476" s="5">
        <v>0.70526620370370374</v>
      </c>
      <c r="D476" s="8" t="s">
        <v>2004</v>
      </c>
      <c r="E476" s="8" t="s">
        <v>86</v>
      </c>
      <c r="F476" s="8"/>
      <c r="H476" s="8" t="s">
        <v>5479</v>
      </c>
      <c r="I476" s="8" t="s">
        <v>8682</v>
      </c>
      <c r="J476" s="8" t="s">
        <v>2993</v>
      </c>
      <c r="K476" t="s">
        <v>8683</v>
      </c>
      <c r="L476" t="s">
        <v>8684</v>
      </c>
      <c r="M476" s="3" t="str">
        <f>HYPERLINK(склад2въезд13192021222[[#This Row],[RelativePath]])</f>
        <v>9 Ангар пилорама\E33149364_1_20260105T165535Z.jpg</v>
      </c>
    </row>
    <row r="477" spans="1:13" x14ac:dyDescent="0.25">
      <c r="A477" s="2" t="s">
        <v>14</v>
      </c>
      <c r="B477" s="4">
        <v>46028</v>
      </c>
      <c r="C477" s="5">
        <v>0.42364583333333333</v>
      </c>
      <c r="D477" s="8" t="s">
        <v>2004</v>
      </c>
      <c r="E477" s="8" t="s">
        <v>86</v>
      </c>
      <c r="F477" s="8"/>
      <c r="H477" s="8" t="s">
        <v>5479</v>
      </c>
      <c r="I477" s="8" t="s">
        <v>8685</v>
      </c>
      <c r="J477" s="8" t="s">
        <v>2993</v>
      </c>
      <c r="K477" t="s">
        <v>8686</v>
      </c>
      <c r="L477" t="s">
        <v>8687</v>
      </c>
      <c r="M477" s="3" t="str">
        <f>HYPERLINK(склад2въезд13192021222[[#This Row],[RelativePath]])</f>
        <v>9 Ангар пилорама\E33149364_1_20260106T101003Z.jpg</v>
      </c>
    </row>
    <row r="478" spans="1:13" x14ac:dyDescent="0.25">
      <c r="A478" s="2" t="s">
        <v>15</v>
      </c>
      <c r="B478" s="4">
        <v>46029</v>
      </c>
      <c r="C478" s="5">
        <v>0.50497685185185182</v>
      </c>
      <c r="D478" s="8" t="s">
        <v>2004</v>
      </c>
      <c r="E478" s="8" t="s">
        <v>8825</v>
      </c>
      <c r="F478" s="8"/>
      <c r="H478" s="8" t="s">
        <v>5479</v>
      </c>
      <c r="I478" s="8" t="s">
        <v>8688</v>
      </c>
      <c r="J478" s="8" t="s">
        <v>2993</v>
      </c>
      <c r="K478" t="s">
        <v>8689</v>
      </c>
      <c r="L478" t="s">
        <v>8690</v>
      </c>
      <c r="M478" s="3" t="str">
        <f>HYPERLINK(склад2въезд13192021222[[#This Row],[RelativePath]])</f>
        <v>9 Ангар пилорама\E33149364_1_20260107T120710Z.jpg</v>
      </c>
    </row>
    <row r="479" spans="1:13" x14ac:dyDescent="0.25">
      <c r="A479" s="2" t="s">
        <v>16</v>
      </c>
      <c r="B479" s="4">
        <v>46030</v>
      </c>
      <c r="C479" s="5">
        <v>0.71959490740740739</v>
      </c>
      <c r="D479" s="8" t="s">
        <v>2004</v>
      </c>
      <c r="E479" s="8" t="s">
        <v>86</v>
      </c>
      <c r="F479" s="8"/>
      <c r="H479" s="8" t="s">
        <v>5479</v>
      </c>
      <c r="I479" s="8" t="s">
        <v>8691</v>
      </c>
      <c r="J479" s="8" t="s">
        <v>2993</v>
      </c>
      <c r="K479" t="s">
        <v>8692</v>
      </c>
      <c r="L479" t="s">
        <v>8693</v>
      </c>
      <c r="M479" s="3" t="str">
        <f>HYPERLINK(склад2въезд13192021222[[#This Row],[RelativePath]])</f>
        <v>9 Ангар пилорама\E33149364_1_20260108T171613Z.jpg</v>
      </c>
    </row>
    <row r="480" spans="1:13" x14ac:dyDescent="0.25">
      <c r="A480" s="2" t="s">
        <v>17</v>
      </c>
      <c r="B480" s="4">
        <v>46031</v>
      </c>
      <c r="C480" s="5">
        <v>0.57805555555555554</v>
      </c>
      <c r="D480" s="8" t="s">
        <v>2004</v>
      </c>
      <c r="E480" s="8" t="s">
        <v>86</v>
      </c>
      <c r="F480" s="8"/>
      <c r="H480" s="8" t="s">
        <v>5479</v>
      </c>
      <c r="I480" s="8" t="s">
        <v>8694</v>
      </c>
      <c r="J480" s="8" t="s">
        <v>2993</v>
      </c>
      <c r="K480" t="s">
        <v>8695</v>
      </c>
      <c r="L480" t="s">
        <v>8696</v>
      </c>
      <c r="M480" s="3" t="str">
        <f>HYPERLINK(склад2въезд13192021222[[#This Row],[RelativePath]])</f>
        <v>9 Ангар пилорама\E33149364_1_20260109T135224Z.jpg</v>
      </c>
    </row>
    <row r="481" spans="1:13" x14ac:dyDescent="0.25">
      <c r="A481" s="2" t="s">
        <v>18</v>
      </c>
      <c r="B481" s="4">
        <v>46032</v>
      </c>
      <c r="C481" s="5">
        <v>0.40118055555555554</v>
      </c>
      <c r="D481" s="8" t="s">
        <v>2004</v>
      </c>
      <c r="E481" s="8" t="s">
        <v>86</v>
      </c>
      <c r="F481" s="8"/>
      <c r="H481" s="8" t="s">
        <v>5479</v>
      </c>
      <c r="I481" s="8" t="s">
        <v>8697</v>
      </c>
      <c r="J481" s="8" t="s">
        <v>2993</v>
      </c>
      <c r="K481" t="s">
        <v>8698</v>
      </c>
      <c r="L481" t="s">
        <v>8699</v>
      </c>
      <c r="M481" s="3" t="str">
        <f>HYPERLINK(склад2въезд13192021222[[#This Row],[RelativePath]])</f>
        <v>9 Ангар пилорама\E33149364_1_20260110T093742Z.jpg</v>
      </c>
    </row>
    <row r="482" spans="1:13" x14ac:dyDescent="0.25">
      <c r="A482" s="2" t="s">
        <v>22</v>
      </c>
      <c r="B482" s="4">
        <v>46033</v>
      </c>
      <c r="C482" s="5">
        <v>0.63531249999999995</v>
      </c>
      <c r="D482" s="8" t="s">
        <v>2004</v>
      </c>
      <c r="E482" s="8" t="s">
        <v>86</v>
      </c>
      <c r="F482" s="8"/>
      <c r="H482" s="8" t="s">
        <v>5479</v>
      </c>
      <c r="I482" s="8" t="s">
        <v>8700</v>
      </c>
      <c r="J482" s="8" t="s">
        <v>2993</v>
      </c>
      <c r="K482" t="s">
        <v>8701</v>
      </c>
      <c r="L482" t="s">
        <v>8702</v>
      </c>
      <c r="M482" s="3" t="str">
        <f>HYPERLINK(склад2въезд13192021222[[#This Row],[RelativePath]])</f>
        <v>9 Ангар пилорама\E33149364_1_20260111T151451Z.jpg</v>
      </c>
    </row>
  </sheetData>
  <conditionalFormatting sqref="D483:D493 E483:E496 G2:H482 D2:E482">
    <cfRule type="containsText" dxfId="620" priority="14" operator="containsText" text="Выезд с территории">
      <formula>NOT(ISERROR(SEARCH("Выезд с территории",D2)))</formula>
    </cfRule>
  </conditionalFormatting>
  <conditionalFormatting sqref="F2:F482">
    <cfRule type="notContainsText" dxfId="619" priority="13" operator="notContains" text="порожний">
      <formula>ISERROR(SEARCH("порожний",F2))</formula>
    </cfRule>
  </conditionalFormatting>
  <conditionalFormatting sqref="E2:E496">
    <cfRule type="containsText" dxfId="618" priority="11" operator="containsText" text="Газель базы">
      <formula>NOT(ISERROR(SEARCH("Газель базы",E2)))</formula>
    </cfRule>
    <cfRule type="containsText" dxfId="617" priority="12" operator="containsText" text="Погрузчик базы">
      <formula>NOT(ISERROR(SEARCH("Погрузчик базы",E2)))</formula>
    </cfRule>
  </conditionalFormatting>
  <conditionalFormatting sqref="E2:E496">
    <cfRule type="containsText" dxfId="616" priority="10" operator="containsText" text="Трактор базы">
      <formula>NOT(ISERROR(SEARCH("Трактор базы",E2)))</formula>
    </cfRule>
  </conditionalFormatting>
  <conditionalFormatting sqref="A2:C482">
    <cfRule type="expression" dxfId="615" priority="9">
      <formula>$A2="пн"</formula>
    </cfRule>
  </conditionalFormatting>
  <conditionalFormatting sqref="A2:C484">
    <cfRule type="expression" dxfId="614" priority="3">
      <formula>$A2="вс"</formula>
    </cfRule>
    <cfRule type="expression" dxfId="613" priority="4">
      <formula>$A2="сб"</formula>
    </cfRule>
    <cfRule type="expression" dxfId="612" priority="5">
      <formula>$A2="пт"</formula>
    </cfRule>
    <cfRule type="expression" dxfId="611" priority="6">
      <formula>$A2="чт"</formula>
    </cfRule>
    <cfRule type="expression" dxfId="610" priority="7">
      <formula>$A2="ср"</formula>
    </cfRule>
    <cfRule type="expression" dxfId="609" priority="8">
      <formula>$A2="вт"</formula>
    </cfRule>
  </conditionalFormatting>
  <conditionalFormatting sqref="D2:D493">
    <cfRule type="containsText" dxfId="60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93">
    <cfRule type="containsText" dxfId="60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492"/>
  <sheetViews>
    <sheetView zoomScale="90" zoomScaleNormal="90" workbookViewId="0">
      <pane ySplit="1" topLeftCell="A472" activePane="bottomLeft" state="frozen"/>
      <selection pane="bottomLeft" activeCell="I486" sqref="I486:I49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6" bestFit="1" customWidth="1"/>
    <col min="5" max="5" width="39.28515625" bestFit="1" customWidth="1"/>
    <col min="6" max="6" width="25.140625" bestFit="1" customWidth="1"/>
    <col min="7" max="7" width="7.28515625" bestFit="1" customWidth="1"/>
    <col min="8" max="8" width="46.7109375" bestFit="1" customWidth="1"/>
    <col min="9" max="9" width="35.42578125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s="8" t="s">
        <v>4</v>
      </c>
      <c r="E2" s="8" t="s">
        <v>8</v>
      </c>
      <c r="F2" s="8"/>
      <c r="H2" s="8" t="s">
        <v>5</v>
      </c>
      <c r="I2" s="8" t="s">
        <v>1307</v>
      </c>
      <c r="J2" s="8" t="s">
        <v>2985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s="8" t="s">
        <v>4</v>
      </c>
      <c r="E3" s="8" t="s">
        <v>8</v>
      </c>
      <c r="F3" s="8"/>
      <c r="H3" s="8"/>
      <c r="I3" s="8" t="s">
        <v>1311</v>
      </c>
      <c r="J3" s="8" t="s">
        <v>2985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s="8" t="s">
        <v>4</v>
      </c>
      <c r="E4" s="8" t="s">
        <v>8</v>
      </c>
      <c r="F4" s="8"/>
      <c r="H4" s="8"/>
      <c r="I4" s="8" t="s">
        <v>1314</v>
      </c>
      <c r="J4" s="8" t="s">
        <v>2985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s="8" t="s">
        <v>1604</v>
      </c>
      <c r="E5" s="8" t="s">
        <v>1097</v>
      </c>
      <c r="F5" s="8"/>
      <c r="H5" s="8"/>
      <c r="I5" s="8" t="s">
        <v>1317</v>
      </c>
      <c r="J5" s="8" t="s">
        <v>2985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s="8" t="s">
        <v>1604</v>
      </c>
      <c r="E6" s="8" t="s">
        <v>1097</v>
      </c>
      <c r="F6" s="8"/>
      <c r="H6" s="8"/>
      <c r="I6" s="8" t="s">
        <v>1320</v>
      </c>
      <c r="J6" s="8" t="s">
        <v>2985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s="8" t="s">
        <v>1604</v>
      </c>
      <c r="E7" s="8" t="s">
        <v>1097</v>
      </c>
      <c r="F7" s="8"/>
      <c r="H7" s="8"/>
      <c r="I7" s="8" t="s">
        <v>1323</v>
      </c>
      <c r="J7" s="8" t="s">
        <v>2985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s="8" t="s">
        <v>1604</v>
      </c>
      <c r="E8" s="8" t="s">
        <v>1097</v>
      </c>
      <c r="F8" s="8"/>
      <c r="H8" s="8"/>
      <c r="I8" s="8" t="s">
        <v>1326</v>
      </c>
      <c r="J8" s="8" t="s">
        <v>2985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s="8" t="s">
        <v>159</v>
      </c>
      <c r="E9" s="8" t="s">
        <v>86</v>
      </c>
      <c r="F9" s="8" t="s">
        <v>60</v>
      </c>
      <c r="H9" s="8" t="s">
        <v>1605</v>
      </c>
      <c r="I9" s="8" t="s">
        <v>1329</v>
      </c>
      <c r="J9" s="8" t="s">
        <v>2985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s="8" t="s">
        <v>1094</v>
      </c>
      <c r="E10" s="8" t="s">
        <v>1095</v>
      </c>
      <c r="F10" s="8"/>
      <c r="H10" s="8"/>
      <c r="I10" s="8" t="s">
        <v>1332</v>
      </c>
      <c r="J10" s="8" t="s">
        <v>2985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s="8" t="s">
        <v>1094</v>
      </c>
      <c r="E11" s="8" t="s">
        <v>1095</v>
      </c>
      <c r="F11" s="8"/>
      <c r="H11" s="8"/>
      <c r="I11" s="8" t="s">
        <v>1335</v>
      </c>
      <c r="J11" s="8" t="s">
        <v>2985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s="8" t="s">
        <v>159</v>
      </c>
      <c r="E12" s="8" t="s">
        <v>86</v>
      </c>
      <c r="F12" s="8" t="s">
        <v>51</v>
      </c>
      <c r="H12" s="8"/>
      <c r="I12" s="8" t="s">
        <v>1338</v>
      </c>
      <c r="J12" s="8" t="s">
        <v>2985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s="8" t="s">
        <v>1606</v>
      </c>
      <c r="E13" s="8" t="s">
        <v>86</v>
      </c>
      <c r="F13" s="8" t="s">
        <v>51</v>
      </c>
      <c r="H13" s="8"/>
      <c r="I13" s="8" t="s">
        <v>1341</v>
      </c>
      <c r="J13" s="8" t="s">
        <v>2985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s="8" t="s">
        <v>289</v>
      </c>
      <c r="E14" s="8" t="s">
        <v>86</v>
      </c>
      <c r="F14" s="8" t="s">
        <v>53</v>
      </c>
      <c r="G14">
        <v>1</v>
      </c>
      <c r="H14" s="8"/>
      <c r="I14" s="8" t="s">
        <v>1344</v>
      </c>
      <c r="J14" s="8" t="s">
        <v>2985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s="8" t="s">
        <v>650</v>
      </c>
      <c r="E15" s="8" t="s">
        <v>86</v>
      </c>
      <c r="F15" s="8" t="s">
        <v>1609</v>
      </c>
      <c r="H15" s="8"/>
      <c r="I15" s="8" t="s">
        <v>1347</v>
      </c>
      <c r="J15" s="8" t="s">
        <v>2985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s="8" t="s">
        <v>4</v>
      </c>
      <c r="E16" s="8" t="s">
        <v>8</v>
      </c>
      <c r="F16" s="8"/>
      <c r="H16" s="8"/>
      <c r="I16" s="8" t="s">
        <v>1350</v>
      </c>
      <c r="J16" s="8" t="s">
        <v>2985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s="8" t="s">
        <v>1606</v>
      </c>
      <c r="E17" s="8" t="s">
        <v>86</v>
      </c>
      <c r="F17" s="8" t="s">
        <v>51</v>
      </c>
      <c r="H17" s="8"/>
      <c r="I17" s="8" t="s">
        <v>1353</v>
      </c>
      <c r="J17" s="8" t="s">
        <v>2985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s="8" t="s">
        <v>289</v>
      </c>
      <c r="E18" s="8" t="s">
        <v>86</v>
      </c>
      <c r="F18" s="8" t="s">
        <v>53</v>
      </c>
      <c r="G18">
        <v>1</v>
      </c>
      <c r="H18" s="8"/>
      <c r="I18" s="8" t="s">
        <v>1356</v>
      </c>
      <c r="J18" s="8" t="s">
        <v>2985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s="8" t="s">
        <v>650</v>
      </c>
      <c r="E19" s="8" t="s">
        <v>86</v>
      </c>
      <c r="F19" s="8" t="s">
        <v>1609</v>
      </c>
      <c r="H19" s="8"/>
      <c r="I19" s="8" t="s">
        <v>1359</v>
      </c>
      <c r="J19" s="8" t="s">
        <v>2985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s="8" t="s">
        <v>1606</v>
      </c>
      <c r="E20" s="8" t="s">
        <v>86</v>
      </c>
      <c r="F20" s="8" t="s">
        <v>51</v>
      </c>
      <c r="H20" s="8"/>
      <c r="I20" s="8" t="s">
        <v>1362</v>
      </c>
      <c r="J20" s="8" t="s">
        <v>2985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s="8" t="s">
        <v>289</v>
      </c>
      <c r="E21" s="8" t="s">
        <v>86</v>
      </c>
      <c r="F21" s="8" t="s">
        <v>53</v>
      </c>
      <c r="G21">
        <v>1</v>
      </c>
      <c r="H21" s="8"/>
      <c r="I21" s="8" t="s">
        <v>1365</v>
      </c>
      <c r="J21" s="8" t="s">
        <v>2985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s="8" t="s">
        <v>650</v>
      </c>
      <c r="E22" s="8" t="s">
        <v>86</v>
      </c>
      <c r="F22" s="8" t="s">
        <v>1609</v>
      </c>
      <c r="H22" s="8"/>
      <c r="I22" s="8" t="s">
        <v>1368</v>
      </c>
      <c r="J22" s="8" t="s">
        <v>2985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s="8" t="s">
        <v>4</v>
      </c>
      <c r="E23" s="8" t="s">
        <v>1607</v>
      </c>
      <c r="F23" s="8" t="s">
        <v>1608</v>
      </c>
      <c r="H23" s="8"/>
      <c r="I23" s="8" t="s">
        <v>1371</v>
      </c>
      <c r="J23" s="8" t="s">
        <v>2985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s="8" t="s">
        <v>4</v>
      </c>
      <c r="E24" s="8" t="s">
        <v>1607</v>
      </c>
      <c r="F24" s="8" t="s">
        <v>1608</v>
      </c>
      <c r="H24" s="8"/>
      <c r="I24" s="8" t="s">
        <v>1374</v>
      </c>
      <c r="J24" s="8" t="s">
        <v>2985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s="8" t="s">
        <v>159</v>
      </c>
      <c r="E25" s="8" t="s">
        <v>86</v>
      </c>
      <c r="F25" s="8" t="s">
        <v>60</v>
      </c>
      <c r="H25" s="8" t="s">
        <v>1605</v>
      </c>
      <c r="I25" s="8" t="s">
        <v>1377</v>
      </c>
      <c r="J25" s="8" t="s">
        <v>2985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s="8" t="s">
        <v>4</v>
      </c>
      <c r="E26" s="8" t="s">
        <v>8</v>
      </c>
      <c r="F26" s="8"/>
      <c r="H26" s="8"/>
      <c r="I26" s="8" t="s">
        <v>1380</v>
      </c>
      <c r="J26" s="8" t="s">
        <v>2985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s="8" t="s">
        <v>1606</v>
      </c>
      <c r="E27" s="8" t="s">
        <v>86</v>
      </c>
      <c r="F27" s="8" t="s">
        <v>51</v>
      </c>
      <c r="H27" s="8"/>
      <c r="I27" s="8" t="s">
        <v>1383</v>
      </c>
      <c r="J27" s="8" t="s">
        <v>2985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s="8" t="s">
        <v>4</v>
      </c>
      <c r="E28" s="8" t="s">
        <v>8</v>
      </c>
      <c r="F28" s="8"/>
      <c r="H28" s="8"/>
      <c r="I28" s="8" t="s">
        <v>1386</v>
      </c>
      <c r="J28" s="8" t="s">
        <v>2985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s="8" t="s">
        <v>650</v>
      </c>
      <c r="E29" s="8" t="s">
        <v>86</v>
      </c>
      <c r="F29" s="8" t="s">
        <v>51</v>
      </c>
      <c r="H29" s="8"/>
      <c r="I29" s="8" t="s">
        <v>1389</v>
      </c>
      <c r="J29" s="8" t="s">
        <v>2985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s="8" t="s">
        <v>4</v>
      </c>
      <c r="E30" s="8" t="s">
        <v>8</v>
      </c>
      <c r="F30" s="8"/>
      <c r="H30" s="8"/>
      <c r="I30" s="8" t="s">
        <v>1392</v>
      </c>
      <c r="J30" s="8" t="s">
        <v>2985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s="8" t="s">
        <v>1606</v>
      </c>
      <c r="E31" s="8" t="s">
        <v>56</v>
      </c>
      <c r="F31" s="8" t="s">
        <v>51</v>
      </c>
      <c r="H31" s="8"/>
      <c r="I31" s="8" t="s">
        <v>1395</v>
      </c>
      <c r="J31" s="8" t="s">
        <v>2985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s="8" t="s">
        <v>289</v>
      </c>
      <c r="E32" s="8" t="s">
        <v>56</v>
      </c>
      <c r="F32" s="8" t="s">
        <v>53</v>
      </c>
      <c r="G32">
        <v>3</v>
      </c>
      <c r="H32" s="8"/>
      <c r="I32" s="8" t="s">
        <v>1398</v>
      </c>
      <c r="J32" s="8" t="s">
        <v>2985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s="8" t="s">
        <v>650</v>
      </c>
      <c r="E33" s="8" t="s">
        <v>56</v>
      </c>
      <c r="F33" s="8" t="s">
        <v>1609</v>
      </c>
      <c r="H33" s="8"/>
      <c r="I33" s="8" t="s">
        <v>1401</v>
      </c>
      <c r="J33" s="8" t="s">
        <v>2985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s="8" t="s">
        <v>533</v>
      </c>
      <c r="E34" s="8" t="s">
        <v>531</v>
      </c>
      <c r="F34" s="8" t="s">
        <v>58</v>
      </c>
      <c r="H34" s="8" t="s">
        <v>1612</v>
      </c>
      <c r="I34" s="8" t="s">
        <v>1404</v>
      </c>
      <c r="J34" s="8" t="s">
        <v>2985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s="8" t="s">
        <v>533</v>
      </c>
      <c r="E35" s="8" t="s">
        <v>531</v>
      </c>
      <c r="F35" s="8" t="s">
        <v>58</v>
      </c>
      <c r="H35" s="8" t="s">
        <v>1612</v>
      </c>
      <c r="I35" s="8" t="s">
        <v>1407</v>
      </c>
      <c r="J35" s="8" t="s">
        <v>2985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s="8" t="s">
        <v>533</v>
      </c>
      <c r="E36" s="8" t="s">
        <v>531</v>
      </c>
      <c r="F36" s="8" t="s">
        <v>58</v>
      </c>
      <c r="H36" s="8" t="s">
        <v>1612</v>
      </c>
      <c r="I36" s="8" t="s">
        <v>1410</v>
      </c>
      <c r="J36" s="8" t="s">
        <v>2985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s="8" t="s">
        <v>533</v>
      </c>
      <c r="E37" s="8" t="s">
        <v>531</v>
      </c>
      <c r="F37" s="8" t="s">
        <v>58</v>
      </c>
      <c r="H37" s="8" t="s">
        <v>1612</v>
      </c>
      <c r="I37" s="8" t="s">
        <v>1413</v>
      </c>
      <c r="J37" s="8" t="s">
        <v>2985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s="8" t="s">
        <v>4</v>
      </c>
      <c r="E38" s="8" t="s">
        <v>8</v>
      </c>
      <c r="F38" s="8"/>
      <c r="H38" s="8"/>
      <c r="I38" s="8" t="s">
        <v>1416</v>
      </c>
      <c r="J38" s="8" t="s">
        <v>2985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s="8" t="s">
        <v>533</v>
      </c>
      <c r="E39" s="8" t="s">
        <v>1610</v>
      </c>
      <c r="F39" s="8" t="s">
        <v>58</v>
      </c>
      <c r="H39" s="8" t="s">
        <v>1611</v>
      </c>
      <c r="I39" s="8" t="s">
        <v>1419</v>
      </c>
      <c r="J39" s="8" t="s">
        <v>2985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s="8" t="s">
        <v>533</v>
      </c>
      <c r="E40" s="8" t="s">
        <v>1610</v>
      </c>
      <c r="F40" s="8" t="s">
        <v>58</v>
      </c>
      <c r="H40" s="8" t="s">
        <v>1611</v>
      </c>
      <c r="I40" s="8" t="s">
        <v>1422</v>
      </c>
      <c r="J40" s="8" t="s">
        <v>2985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s="8" t="s">
        <v>533</v>
      </c>
      <c r="E41" s="8" t="s">
        <v>1610</v>
      </c>
      <c r="F41" s="8" t="s">
        <v>58</v>
      </c>
      <c r="H41" s="8" t="s">
        <v>1611</v>
      </c>
      <c r="I41" s="8" t="s">
        <v>1425</v>
      </c>
      <c r="J41" s="8" t="s">
        <v>2985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s="8" t="s">
        <v>533</v>
      </c>
      <c r="E42" s="8" t="s">
        <v>531</v>
      </c>
      <c r="F42" s="8" t="s">
        <v>58</v>
      </c>
      <c r="H42" s="8" t="s">
        <v>1612</v>
      </c>
      <c r="I42" s="8" t="s">
        <v>1428</v>
      </c>
      <c r="J42" s="8" t="s">
        <v>2985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s="8" t="s">
        <v>533</v>
      </c>
      <c r="E43" s="8" t="s">
        <v>531</v>
      </c>
      <c r="F43" s="8" t="s">
        <v>58</v>
      </c>
      <c r="H43" s="8" t="s">
        <v>1612</v>
      </c>
      <c r="I43" s="8" t="s">
        <v>1432</v>
      </c>
      <c r="J43" s="8" t="s">
        <v>2985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s="8" t="s">
        <v>4</v>
      </c>
      <c r="E44" s="8" t="s">
        <v>8</v>
      </c>
      <c r="F44" s="8"/>
      <c r="H44" s="8" t="s">
        <v>5</v>
      </c>
      <c r="I44" s="8" t="s">
        <v>1435</v>
      </c>
      <c r="J44" s="8" t="s">
        <v>2985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s="8" t="s">
        <v>4</v>
      </c>
      <c r="E45" s="8" t="s">
        <v>8</v>
      </c>
      <c r="F45" s="8"/>
      <c r="H45" s="8"/>
      <c r="I45" s="8" t="s">
        <v>1438</v>
      </c>
      <c r="J45" s="8" t="s">
        <v>2985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s="8" t="s">
        <v>289</v>
      </c>
      <c r="E46" s="8" t="s">
        <v>86</v>
      </c>
      <c r="F46" s="8" t="s">
        <v>1097</v>
      </c>
      <c r="H46" s="8"/>
      <c r="I46" s="8" t="s">
        <v>1441</v>
      </c>
      <c r="J46" s="8" t="s">
        <v>2985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s="8" t="s">
        <v>289</v>
      </c>
      <c r="E47" s="8" t="s">
        <v>86</v>
      </c>
      <c r="F47" s="8" t="s">
        <v>1095</v>
      </c>
      <c r="H47" s="8"/>
      <c r="I47" s="8" t="s">
        <v>1444</v>
      </c>
      <c r="J47" s="8" t="s">
        <v>2985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s="8" t="s">
        <v>533</v>
      </c>
      <c r="E48" s="8" t="s">
        <v>86</v>
      </c>
      <c r="F48" s="8" t="s">
        <v>1613</v>
      </c>
      <c r="H48" s="8" t="s">
        <v>1612</v>
      </c>
      <c r="I48" s="8" t="s">
        <v>1447</v>
      </c>
      <c r="J48" s="8" t="s">
        <v>2985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s="8" t="s">
        <v>1615</v>
      </c>
      <c r="E49" s="8" t="s">
        <v>86</v>
      </c>
      <c r="F49" s="8" t="s">
        <v>1614</v>
      </c>
      <c r="H49" s="8"/>
      <c r="I49" s="8" t="s">
        <v>1450</v>
      </c>
      <c r="J49" s="8" t="s">
        <v>2985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s="8" t="s">
        <v>1606</v>
      </c>
      <c r="E50" s="8" t="s">
        <v>63</v>
      </c>
      <c r="F50" s="8" t="s">
        <v>51</v>
      </c>
      <c r="H50" s="8"/>
      <c r="I50" s="8" t="s">
        <v>1453</v>
      </c>
      <c r="J50" s="8" t="s">
        <v>2985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s="8" t="s">
        <v>289</v>
      </c>
      <c r="E51" s="8" t="s">
        <v>63</v>
      </c>
      <c r="F51" s="8" t="s">
        <v>58</v>
      </c>
      <c r="H51" s="8" t="s">
        <v>1620</v>
      </c>
      <c r="I51" s="8" t="s">
        <v>1456</v>
      </c>
      <c r="J51" s="8" t="s">
        <v>2985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s="8" t="s">
        <v>1999</v>
      </c>
      <c r="E52" s="8" t="s">
        <v>63</v>
      </c>
      <c r="F52" s="8" t="s">
        <v>58</v>
      </c>
      <c r="H52" s="8" t="s">
        <v>1620</v>
      </c>
      <c r="I52" s="8" t="s">
        <v>1459</v>
      </c>
      <c r="J52" s="8" t="s">
        <v>2985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s="8" t="s">
        <v>1999</v>
      </c>
      <c r="E53" s="8" t="s">
        <v>63</v>
      </c>
      <c r="F53" s="8" t="s">
        <v>58</v>
      </c>
      <c r="H53" s="8" t="s">
        <v>1620</v>
      </c>
      <c r="I53" s="8" t="s">
        <v>1462</v>
      </c>
      <c r="J53" s="8" t="s">
        <v>2985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s="8" t="s">
        <v>650</v>
      </c>
      <c r="E54" s="8" t="s">
        <v>63</v>
      </c>
      <c r="F54" s="8" t="s">
        <v>58</v>
      </c>
      <c r="H54" s="8"/>
      <c r="I54" s="8" t="s">
        <v>1465</v>
      </c>
      <c r="J54" s="8" t="s">
        <v>2985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s="8" t="s">
        <v>1606</v>
      </c>
      <c r="E55" s="8" t="s">
        <v>55</v>
      </c>
      <c r="F55" s="8" t="s">
        <v>51</v>
      </c>
      <c r="H55" s="8"/>
      <c r="I55" s="8" t="s">
        <v>1468</v>
      </c>
      <c r="J55" s="8" t="s">
        <v>2985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s="8" t="s">
        <v>289</v>
      </c>
      <c r="E56" s="8" t="s">
        <v>55</v>
      </c>
      <c r="F56" s="8" t="s">
        <v>1617</v>
      </c>
      <c r="H56" s="8" t="s">
        <v>1618</v>
      </c>
      <c r="I56" s="8" t="s">
        <v>1471</v>
      </c>
      <c r="J56" s="8" t="s">
        <v>2985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s="8" t="s">
        <v>1616</v>
      </c>
      <c r="E57" s="8" t="s">
        <v>55</v>
      </c>
      <c r="F57" s="8" t="s">
        <v>1617</v>
      </c>
      <c r="H57" s="8" t="s">
        <v>1618</v>
      </c>
      <c r="I57" s="8" t="s">
        <v>1474</v>
      </c>
      <c r="J57" s="8" t="s">
        <v>2985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s="8" t="s">
        <v>1616</v>
      </c>
      <c r="E58" s="8" t="s">
        <v>55</v>
      </c>
      <c r="F58" s="8" t="s">
        <v>1617</v>
      </c>
      <c r="H58" s="8" t="s">
        <v>1618</v>
      </c>
      <c r="I58" s="8" t="s">
        <v>1477</v>
      </c>
      <c r="J58" s="8" t="s">
        <v>2985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s="8" t="s">
        <v>1616</v>
      </c>
      <c r="E59" s="8" t="s">
        <v>55</v>
      </c>
      <c r="F59" s="8" t="s">
        <v>1619</v>
      </c>
      <c r="H59" s="8" t="s">
        <v>1620</v>
      </c>
      <c r="I59" s="8" t="s">
        <v>1480</v>
      </c>
      <c r="J59" s="8" t="s">
        <v>2985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s="8" t="s">
        <v>1616</v>
      </c>
      <c r="E60" s="8" t="s">
        <v>55</v>
      </c>
      <c r="F60" s="8" t="s">
        <v>1621</v>
      </c>
      <c r="H60" s="8"/>
      <c r="I60" s="8" t="s">
        <v>1483</v>
      </c>
      <c r="J60" s="8" t="s">
        <v>2985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s="8" t="s">
        <v>1616</v>
      </c>
      <c r="E61" s="8" t="s">
        <v>55</v>
      </c>
      <c r="F61" s="8" t="s">
        <v>1622</v>
      </c>
      <c r="H61" s="8"/>
      <c r="I61" s="8" t="s">
        <v>1486</v>
      </c>
      <c r="J61" s="8" t="s">
        <v>2985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s="8" t="s">
        <v>650</v>
      </c>
      <c r="E62" s="8" t="s">
        <v>55</v>
      </c>
      <c r="F62" s="8" t="s">
        <v>1622</v>
      </c>
      <c r="G62">
        <v>6</v>
      </c>
      <c r="H62" s="8" t="s">
        <v>1620</v>
      </c>
      <c r="I62" s="8" t="s">
        <v>1489</v>
      </c>
      <c r="J62" s="8" t="s">
        <v>2985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s="8" t="s">
        <v>4</v>
      </c>
      <c r="E63" s="8" t="s">
        <v>8</v>
      </c>
      <c r="F63" s="8"/>
      <c r="H63" s="8"/>
      <c r="I63" s="8" t="s">
        <v>1492</v>
      </c>
      <c r="J63" s="8" t="s">
        <v>2985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s="8" t="s">
        <v>159</v>
      </c>
      <c r="E64" s="8" t="s">
        <v>86</v>
      </c>
      <c r="F64" s="8" t="s">
        <v>60</v>
      </c>
      <c r="H64" s="8" t="s">
        <v>1605</v>
      </c>
      <c r="I64" s="8" t="s">
        <v>1495</v>
      </c>
      <c r="J64" s="8" t="s">
        <v>2985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s="8" t="s">
        <v>159</v>
      </c>
      <c r="E65" s="8" t="s">
        <v>86</v>
      </c>
      <c r="F65" s="8" t="s">
        <v>60</v>
      </c>
      <c r="H65" s="8" t="s">
        <v>1605</v>
      </c>
      <c r="I65" s="8" t="s">
        <v>1498</v>
      </c>
      <c r="J65" s="8" t="s">
        <v>2985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s="8" t="s">
        <v>159</v>
      </c>
      <c r="E66" s="8" t="s">
        <v>86</v>
      </c>
      <c r="F66" s="8" t="s">
        <v>60</v>
      </c>
      <c r="H66" s="8" t="s">
        <v>1605</v>
      </c>
      <c r="I66" s="8" t="s">
        <v>1501</v>
      </c>
      <c r="J66" s="8" t="s">
        <v>2985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s="8" t="s">
        <v>159</v>
      </c>
      <c r="E67" s="8" t="s">
        <v>86</v>
      </c>
      <c r="F67" s="8" t="s">
        <v>60</v>
      </c>
      <c r="H67" s="8" t="s">
        <v>1605</v>
      </c>
      <c r="I67" s="8" t="s">
        <v>1504</v>
      </c>
      <c r="J67" s="8" t="s">
        <v>2985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s="8" t="s">
        <v>159</v>
      </c>
      <c r="E68" s="8" t="s">
        <v>86</v>
      </c>
      <c r="F68" s="8" t="s">
        <v>1621</v>
      </c>
      <c r="H68" s="8" t="s">
        <v>1605</v>
      </c>
      <c r="I68" s="8" t="s">
        <v>1507</v>
      </c>
      <c r="J68" s="8" t="s">
        <v>2985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s="8" t="s">
        <v>4</v>
      </c>
      <c r="E69" s="8" t="s">
        <v>8</v>
      </c>
      <c r="F69" s="8"/>
      <c r="H69" s="8"/>
      <c r="I69" s="8" t="s">
        <v>1510</v>
      </c>
      <c r="J69" s="8" t="s">
        <v>2985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s="8" t="s">
        <v>1623</v>
      </c>
      <c r="E70" s="8"/>
      <c r="F70" s="8"/>
      <c r="H70" s="8"/>
      <c r="I70" s="8" t="s">
        <v>1513</v>
      </c>
      <c r="J70" s="8" t="s">
        <v>2985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s="8" t="s">
        <v>533</v>
      </c>
      <c r="E71" s="8" t="s">
        <v>531</v>
      </c>
      <c r="F71" s="8" t="s">
        <v>1624</v>
      </c>
      <c r="H71" s="8"/>
      <c r="I71" s="8" t="s">
        <v>1516</v>
      </c>
      <c r="J71" s="8" t="s">
        <v>2985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s="8" t="s">
        <v>1606</v>
      </c>
      <c r="E72" s="8" t="s">
        <v>70</v>
      </c>
      <c r="F72" s="8" t="s">
        <v>51</v>
      </c>
      <c r="H72" s="8"/>
      <c r="I72" s="8" t="s">
        <v>1519</v>
      </c>
      <c r="J72" s="8" t="s">
        <v>2985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s="8" t="s">
        <v>466</v>
      </c>
      <c r="E73" s="8" t="s">
        <v>70</v>
      </c>
      <c r="F73" s="8" t="s">
        <v>58</v>
      </c>
      <c r="H73" s="8" t="s">
        <v>1620</v>
      </c>
      <c r="I73" s="8" t="s">
        <v>1522</v>
      </c>
      <c r="J73" s="8" t="s">
        <v>2985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s="8" t="s">
        <v>466</v>
      </c>
      <c r="E74" s="8" t="s">
        <v>70</v>
      </c>
      <c r="F74" s="8" t="s">
        <v>58</v>
      </c>
      <c r="H74" s="8" t="s">
        <v>1620</v>
      </c>
      <c r="I74" s="8" t="s">
        <v>1525</v>
      </c>
      <c r="J74" s="8" t="s">
        <v>2985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s="8" t="s">
        <v>4</v>
      </c>
      <c r="E75" s="8" t="s">
        <v>8</v>
      </c>
      <c r="F75" s="8"/>
      <c r="H75" s="8"/>
      <c r="I75" s="8" t="s">
        <v>1528</v>
      </c>
      <c r="J75" s="8" t="s">
        <v>2985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s="8" t="s">
        <v>159</v>
      </c>
      <c r="E76" s="8" t="s">
        <v>86</v>
      </c>
      <c r="F76" s="8" t="s">
        <v>60</v>
      </c>
      <c r="H76" s="8" t="s">
        <v>1605</v>
      </c>
      <c r="I76" s="8" t="s">
        <v>1531</v>
      </c>
      <c r="J76" s="8" t="s">
        <v>2985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s="8" t="s">
        <v>4</v>
      </c>
      <c r="E77" s="8" t="s">
        <v>8</v>
      </c>
      <c r="F77" s="8"/>
      <c r="H77" s="8" t="s">
        <v>1625</v>
      </c>
      <c r="I77" s="8" t="s">
        <v>1534</v>
      </c>
      <c r="J77" s="8" t="s">
        <v>2985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s="8" t="s">
        <v>4</v>
      </c>
      <c r="E78" s="8" t="s">
        <v>8</v>
      </c>
      <c r="F78" s="8"/>
      <c r="H78" s="8" t="s">
        <v>5</v>
      </c>
      <c r="I78" s="8" t="s">
        <v>1537</v>
      </c>
      <c r="J78" s="8" t="s">
        <v>2985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s="8" t="s">
        <v>1623</v>
      </c>
      <c r="E79" s="8"/>
      <c r="F79" s="8"/>
      <c r="H79" s="8"/>
      <c r="I79" s="8" t="s">
        <v>1540</v>
      </c>
      <c r="J79" s="8" t="s">
        <v>2985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s="8" t="s">
        <v>159</v>
      </c>
      <c r="E80" s="8" t="s">
        <v>86</v>
      </c>
      <c r="F80" s="8" t="s">
        <v>200</v>
      </c>
      <c r="H80" s="8"/>
      <c r="I80" s="8" t="s">
        <v>1543</v>
      </c>
      <c r="J80" s="8" t="s">
        <v>2985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s="8" t="s">
        <v>159</v>
      </c>
      <c r="E81" s="8" t="s">
        <v>86</v>
      </c>
      <c r="F81" s="8" t="s">
        <v>200</v>
      </c>
      <c r="H81" s="8"/>
      <c r="I81" s="8" t="s">
        <v>1546</v>
      </c>
      <c r="J81" s="8" t="s">
        <v>2985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s="8" t="s">
        <v>159</v>
      </c>
      <c r="E82" s="8" t="s">
        <v>86</v>
      </c>
      <c r="F82" s="8" t="s">
        <v>200</v>
      </c>
      <c r="H82" s="8"/>
      <c r="I82" s="8" t="s">
        <v>1549</v>
      </c>
      <c r="J82" s="8" t="s">
        <v>2985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s="8" t="s">
        <v>4</v>
      </c>
      <c r="E83" s="8" t="s">
        <v>8</v>
      </c>
      <c r="F83" s="8"/>
      <c r="H83" s="8"/>
      <c r="I83" s="8" t="s">
        <v>1552</v>
      </c>
      <c r="J83" s="8" t="s">
        <v>2985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s="8" t="s">
        <v>159</v>
      </c>
      <c r="E84" s="8" t="s">
        <v>86</v>
      </c>
      <c r="F84" s="8" t="s">
        <v>60</v>
      </c>
      <c r="H84" s="8"/>
      <c r="I84" s="8" t="s">
        <v>1555</v>
      </c>
      <c r="J84" s="8" t="s">
        <v>2985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s="8" t="s">
        <v>159</v>
      </c>
      <c r="E85" s="8" t="s">
        <v>86</v>
      </c>
      <c r="F85" s="8" t="s">
        <v>200</v>
      </c>
      <c r="H85" s="8"/>
      <c r="I85" s="8" t="s">
        <v>1558</v>
      </c>
      <c r="J85" s="8" t="s">
        <v>2985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s="8" t="s">
        <v>159</v>
      </c>
      <c r="E86" s="8" t="s">
        <v>86</v>
      </c>
      <c r="F86" s="8" t="s">
        <v>200</v>
      </c>
      <c r="H86" s="8"/>
      <c r="I86" s="8" t="s">
        <v>1561</v>
      </c>
      <c r="J86" s="8" t="s">
        <v>2985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s="8" t="s">
        <v>159</v>
      </c>
      <c r="E87" s="8" t="s">
        <v>86</v>
      </c>
      <c r="F87" s="8" t="s">
        <v>200</v>
      </c>
      <c r="H87" s="8"/>
      <c r="I87" s="8" t="s">
        <v>1564</v>
      </c>
      <c r="J87" s="8" t="s">
        <v>2985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s="8" t="s">
        <v>159</v>
      </c>
      <c r="E88" s="8" t="s">
        <v>86</v>
      </c>
      <c r="F88" s="8" t="s">
        <v>87</v>
      </c>
      <c r="H88" s="8" t="s">
        <v>1626</v>
      </c>
      <c r="I88" s="8" t="s">
        <v>1567</v>
      </c>
      <c r="J88" s="8" t="s">
        <v>2985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s="8" t="s">
        <v>1623</v>
      </c>
      <c r="E89" s="8"/>
      <c r="F89" s="8"/>
      <c r="H89" s="8"/>
      <c r="I89" s="8" t="s">
        <v>1570</v>
      </c>
      <c r="J89" s="8" t="s">
        <v>2985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s="8" t="s">
        <v>4</v>
      </c>
      <c r="E90" s="8" t="s">
        <v>8</v>
      </c>
      <c r="F90" s="8"/>
      <c r="H90" s="8" t="s">
        <v>1625</v>
      </c>
      <c r="I90" s="8" t="s">
        <v>1573</v>
      </c>
      <c r="J90" s="8" t="s">
        <v>2985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s="8" t="s">
        <v>4</v>
      </c>
      <c r="E91" s="8" t="s">
        <v>8</v>
      </c>
      <c r="F91" s="8"/>
      <c r="H91" s="8" t="s">
        <v>5</v>
      </c>
      <c r="I91" s="8" t="s">
        <v>1576</v>
      </c>
      <c r="J91" s="8" t="s">
        <v>2985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s="8" t="s">
        <v>1623</v>
      </c>
      <c r="E92" s="8"/>
      <c r="F92" s="8"/>
      <c r="H92" s="8"/>
      <c r="I92" s="8" t="s">
        <v>1579</v>
      </c>
      <c r="J92" s="8" t="s">
        <v>2985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s="8" t="s">
        <v>4</v>
      </c>
      <c r="E93" s="8" t="s">
        <v>8</v>
      </c>
      <c r="F93" s="8"/>
      <c r="H93" s="8"/>
      <c r="I93" s="8" t="s">
        <v>1582</v>
      </c>
      <c r="J93" s="8" t="s">
        <v>2985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s="8" t="s">
        <v>4</v>
      </c>
      <c r="E94" s="8" t="s">
        <v>8</v>
      </c>
      <c r="F94" s="8"/>
      <c r="H94" s="8" t="s">
        <v>1625</v>
      </c>
      <c r="I94" s="8" t="s">
        <v>1585</v>
      </c>
      <c r="J94" s="8" t="s">
        <v>2985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s="8" t="s">
        <v>4</v>
      </c>
      <c r="E95" s="8" t="s">
        <v>8</v>
      </c>
      <c r="F95" s="8"/>
      <c r="H95" s="8" t="s">
        <v>5</v>
      </c>
      <c r="I95" s="8" t="s">
        <v>1588</v>
      </c>
      <c r="J95" s="8" t="s">
        <v>2985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s="8" t="s">
        <v>1623</v>
      </c>
      <c r="E96" s="8"/>
      <c r="F96" s="8"/>
      <c r="H96" s="8"/>
      <c r="I96" s="8" t="s">
        <v>1591</v>
      </c>
      <c r="J96" s="8" t="s">
        <v>2985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s="8" t="s">
        <v>4</v>
      </c>
      <c r="E97" s="8" t="s">
        <v>8</v>
      </c>
      <c r="F97" s="8"/>
      <c r="H97" s="8"/>
      <c r="I97" s="8" t="s">
        <v>1594</v>
      </c>
      <c r="J97" s="8" t="s">
        <v>2985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s="8" t="s">
        <v>4</v>
      </c>
      <c r="E98" s="8" t="s">
        <v>8</v>
      </c>
      <c r="F98" s="8"/>
      <c r="H98" s="8" t="s">
        <v>1625</v>
      </c>
      <c r="I98" s="8" t="s">
        <v>1597</v>
      </c>
      <c r="J98" s="8" t="s">
        <v>2985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s="8" t="s">
        <v>1623</v>
      </c>
      <c r="E99" s="8"/>
      <c r="F99" s="8"/>
      <c r="H99" s="8"/>
      <c r="I99" s="8" t="s">
        <v>1600</v>
      </c>
      <c r="J99" s="8" t="s">
        <v>2985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s="8" t="s">
        <v>533</v>
      </c>
      <c r="E100" s="8" t="s">
        <v>531</v>
      </c>
      <c r="F100" s="8" t="s">
        <v>58</v>
      </c>
      <c r="H100" s="8" t="s">
        <v>2948</v>
      </c>
      <c r="I100" s="8" t="s">
        <v>2631</v>
      </c>
      <c r="J100" s="8" t="s">
        <v>2985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s="8" t="s">
        <v>533</v>
      </c>
      <c r="E101" s="8" t="s">
        <v>531</v>
      </c>
      <c r="F101" s="8" t="s">
        <v>58</v>
      </c>
      <c r="H101" s="8" t="s">
        <v>2948</v>
      </c>
      <c r="I101" s="8" t="s">
        <v>2634</v>
      </c>
      <c r="J101" s="8" t="s">
        <v>2985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s="8" t="s">
        <v>533</v>
      </c>
      <c r="E102" s="8" t="s">
        <v>531</v>
      </c>
      <c r="F102" s="8" t="s">
        <v>58</v>
      </c>
      <c r="H102" s="8" t="s">
        <v>1620</v>
      </c>
      <c r="I102" s="8" t="s">
        <v>2637</v>
      </c>
      <c r="J102" s="8" t="s">
        <v>2985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s="8" t="s">
        <v>533</v>
      </c>
      <c r="E103" s="8" t="s">
        <v>531</v>
      </c>
      <c r="F103" s="8" t="s">
        <v>58</v>
      </c>
      <c r="H103" s="8" t="s">
        <v>1620</v>
      </c>
      <c r="I103" s="8" t="s">
        <v>2640</v>
      </c>
      <c r="J103" s="8" t="s">
        <v>2985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s="8" t="s">
        <v>533</v>
      </c>
      <c r="E104" s="8" t="s">
        <v>531</v>
      </c>
      <c r="F104" s="8" t="s">
        <v>58</v>
      </c>
      <c r="H104" s="8" t="s">
        <v>1611</v>
      </c>
      <c r="I104" s="8" t="s">
        <v>2643</v>
      </c>
      <c r="J104" s="8" t="s">
        <v>2985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s="8" t="s">
        <v>533</v>
      </c>
      <c r="E105" s="8" t="s">
        <v>531</v>
      </c>
      <c r="F105" s="8" t="s">
        <v>58</v>
      </c>
      <c r="H105" s="8" t="s">
        <v>1611</v>
      </c>
      <c r="I105" s="8" t="s">
        <v>2646</v>
      </c>
      <c r="J105" s="8" t="s">
        <v>2985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s="8" t="s">
        <v>533</v>
      </c>
      <c r="E106" s="8" t="s">
        <v>531</v>
      </c>
      <c r="F106" s="8" t="s">
        <v>58</v>
      </c>
      <c r="H106" s="8" t="s">
        <v>2949</v>
      </c>
      <c r="I106" s="8" t="s">
        <v>2649</v>
      </c>
      <c r="J106" s="8" t="s">
        <v>2985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s="8" t="s">
        <v>4</v>
      </c>
      <c r="E107" s="8" t="s">
        <v>8</v>
      </c>
      <c r="F107" s="8"/>
      <c r="H107" s="8"/>
      <c r="I107" s="8" t="s">
        <v>2652</v>
      </c>
      <c r="J107" s="8" t="s">
        <v>2985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s="8" t="s">
        <v>1606</v>
      </c>
      <c r="E108" s="8" t="s">
        <v>70</v>
      </c>
      <c r="F108" s="8" t="s">
        <v>51</v>
      </c>
      <c r="H108" s="8"/>
      <c r="I108" s="8" t="s">
        <v>2655</v>
      </c>
      <c r="J108" s="8" t="s">
        <v>2985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s="8" t="s">
        <v>289</v>
      </c>
      <c r="E109" s="8" t="s">
        <v>70</v>
      </c>
      <c r="F109" s="8" t="s">
        <v>58</v>
      </c>
      <c r="H109" s="8" t="s">
        <v>2956</v>
      </c>
      <c r="I109" s="8" t="s">
        <v>2658</v>
      </c>
      <c r="J109" s="8" t="s">
        <v>2985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s="8" t="s">
        <v>1999</v>
      </c>
      <c r="E110" s="8" t="s">
        <v>70</v>
      </c>
      <c r="F110" s="8" t="s">
        <v>58</v>
      </c>
      <c r="H110" s="8" t="s">
        <v>2956</v>
      </c>
      <c r="I110" s="8" t="s">
        <v>2661</v>
      </c>
      <c r="J110" s="8" t="s">
        <v>2985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s="8" t="s">
        <v>1999</v>
      </c>
      <c r="E111" s="8" t="s">
        <v>70</v>
      </c>
      <c r="F111" s="8" t="s">
        <v>58</v>
      </c>
      <c r="H111" s="8" t="s">
        <v>2956</v>
      </c>
      <c r="I111" s="8" t="s">
        <v>2664</v>
      </c>
      <c r="J111" s="8" t="s">
        <v>2985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s="8" t="s">
        <v>1999</v>
      </c>
      <c r="E112" s="8" t="s">
        <v>70</v>
      </c>
      <c r="F112" s="8" t="s">
        <v>58</v>
      </c>
      <c r="H112" s="8" t="s">
        <v>2956</v>
      </c>
      <c r="I112" s="8" t="s">
        <v>2667</v>
      </c>
      <c r="J112" s="8" t="s">
        <v>2985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s="8" t="s">
        <v>1999</v>
      </c>
      <c r="E113" s="8" t="s">
        <v>70</v>
      </c>
      <c r="F113" s="8" t="s">
        <v>58</v>
      </c>
      <c r="H113" s="8" t="s">
        <v>2956</v>
      </c>
      <c r="I113" s="8" t="s">
        <v>2670</v>
      </c>
      <c r="J113" s="8" t="s">
        <v>2985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s="8" t="s">
        <v>1999</v>
      </c>
      <c r="E114" s="8" t="s">
        <v>70</v>
      </c>
      <c r="F114" s="8" t="s">
        <v>2950</v>
      </c>
      <c r="H114" s="8" t="s">
        <v>2956</v>
      </c>
      <c r="I114" s="8" t="s">
        <v>2673</v>
      </c>
      <c r="J114" s="8" t="s">
        <v>2985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s="8" t="s">
        <v>1999</v>
      </c>
      <c r="E115" s="8" t="s">
        <v>70</v>
      </c>
      <c r="F115" s="8" t="s">
        <v>2951</v>
      </c>
      <c r="H115" s="8" t="s">
        <v>2956</v>
      </c>
      <c r="I115" s="8" t="s">
        <v>2676</v>
      </c>
      <c r="J115" s="8" t="s">
        <v>2985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s="8" t="s">
        <v>1999</v>
      </c>
      <c r="E116" s="8" t="s">
        <v>70</v>
      </c>
      <c r="F116" s="8" t="s">
        <v>2952</v>
      </c>
      <c r="H116" s="8" t="s">
        <v>2956</v>
      </c>
      <c r="I116" s="8" t="s">
        <v>2679</v>
      </c>
      <c r="J116" s="8" t="s">
        <v>2985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s="8" t="s">
        <v>2953</v>
      </c>
      <c r="E117" s="8" t="s">
        <v>70</v>
      </c>
      <c r="F117" s="8"/>
      <c r="H117" s="8"/>
      <c r="I117" s="8" t="s">
        <v>2682</v>
      </c>
      <c r="J117" s="8" t="s">
        <v>2985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s="8" t="s">
        <v>533</v>
      </c>
      <c r="E118" s="8" t="s">
        <v>1607</v>
      </c>
      <c r="F118" s="8" t="s">
        <v>58</v>
      </c>
      <c r="H118" s="8" t="s">
        <v>2954</v>
      </c>
      <c r="I118" s="8" t="s">
        <v>2685</v>
      </c>
      <c r="J118" s="8" t="s">
        <v>2985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s="8" t="s">
        <v>533</v>
      </c>
      <c r="E119" s="8" t="s">
        <v>1607</v>
      </c>
      <c r="F119" s="8" t="s">
        <v>58</v>
      </c>
      <c r="H119" s="8" t="s">
        <v>2954</v>
      </c>
      <c r="I119" s="8" t="s">
        <v>2688</v>
      </c>
      <c r="J119" s="8" t="s">
        <v>2985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s="8" t="s">
        <v>159</v>
      </c>
      <c r="E120" s="8" t="s">
        <v>2920</v>
      </c>
      <c r="F120" s="8"/>
      <c r="H120" s="8"/>
      <c r="I120" s="8" t="s">
        <v>2691</v>
      </c>
      <c r="J120" s="8" t="s">
        <v>2985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s="8" t="s">
        <v>1606</v>
      </c>
      <c r="E121" s="8" t="s">
        <v>2920</v>
      </c>
      <c r="F121" s="8"/>
      <c r="H121" s="8" t="s">
        <v>2955</v>
      </c>
      <c r="I121" s="8" t="s">
        <v>2694</v>
      </c>
      <c r="J121" s="8" t="s">
        <v>2985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s="8" t="s">
        <v>289</v>
      </c>
      <c r="E122" s="8" t="s">
        <v>2920</v>
      </c>
      <c r="F122" s="8" t="s">
        <v>58</v>
      </c>
      <c r="H122" s="8" t="s">
        <v>2957</v>
      </c>
      <c r="I122" s="8" t="s">
        <v>2697</v>
      </c>
      <c r="J122" s="8" t="s">
        <v>2985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s="8" t="s">
        <v>1999</v>
      </c>
      <c r="E123" s="8" t="s">
        <v>2920</v>
      </c>
      <c r="F123" s="8" t="s">
        <v>58</v>
      </c>
      <c r="H123" s="8" t="s">
        <v>2957</v>
      </c>
      <c r="I123" s="8" t="s">
        <v>2699</v>
      </c>
      <c r="J123" s="8" t="s">
        <v>2985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s="8" t="s">
        <v>1999</v>
      </c>
      <c r="E124" s="8" t="s">
        <v>2920</v>
      </c>
      <c r="F124" s="8" t="s">
        <v>58</v>
      </c>
      <c r="H124" s="8" t="s">
        <v>2957</v>
      </c>
      <c r="I124" s="8" t="s">
        <v>2701</v>
      </c>
      <c r="J124" s="8" t="s">
        <v>2985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s="8" t="s">
        <v>533</v>
      </c>
      <c r="E125" s="8" t="s">
        <v>1607</v>
      </c>
      <c r="F125" s="8" t="s">
        <v>58</v>
      </c>
      <c r="H125" s="8" t="s">
        <v>2958</v>
      </c>
      <c r="I125" s="8" t="s">
        <v>2704</v>
      </c>
      <c r="J125" s="8" t="s">
        <v>2985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s="8" t="s">
        <v>533</v>
      </c>
      <c r="E126" s="8" t="s">
        <v>1607</v>
      </c>
      <c r="F126" s="8" t="s">
        <v>58</v>
      </c>
      <c r="H126" s="8" t="s">
        <v>2958</v>
      </c>
      <c r="I126" s="8" t="s">
        <v>2707</v>
      </c>
      <c r="J126" s="8" t="s">
        <v>2985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s="8" t="s">
        <v>533</v>
      </c>
      <c r="E127" s="8" t="s">
        <v>1607</v>
      </c>
      <c r="F127" s="8" t="s">
        <v>58</v>
      </c>
      <c r="H127" s="8" t="s">
        <v>2958</v>
      </c>
      <c r="I127" s="8" t="s">
        <v>2710</v>
      </c>
      <c r="J127" s="8" t="s">
        <v>2985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s="8" t="s">
        <v>533</v>
      </c>
      <c r="E128" s="8" t="s">
        <v>1607</v>
      </c>
      <c r="F128" s="8" t="s">
        <v>58</v>
      </c>
      <c r="H128" s="8" t="s">
        <v>2954</v>
      </c>
      <c r="I128" s="8" t="s">
        <v>2713</v>
      </c>
      <c r="J128" s="8" t="s">
        <v>2985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s="8" t="s">
        <v>533</v>
      </c>
      <c r="E129" s="8" t="s">
        <v>1607</v>
      </c>
      <c r="F129" s="8" t="s">
        <v>58</v>
      </c>
      <c r="H129" s="8" t="s">
        <v>2954</v>
      </c>
      <c r="I129" s="8" t="s">
        <v>2959</v>
      </c>
      <c r="J129" s="8" t="s">
        <v>2985</v>
      </c>
      <c r="K129" t="s">
        <v>2960</v>
      </c>
      <c r="L129" t="s">
        <v>2961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s="8" t="s">
        <v>4</v>
      </c>
      <c r="E130" s="8" t="s">
        <v>8</v>
      </c>
      <c r="F130" s="8"/>
      <c r="H130" s="8"/>
      <c r="I130" s="8" t="s">
        <v>2716</v>
      </c>
      <c r="J130" s="8" t="s">
        <v>2985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s="8" t="s">
        <v>533</v>
      </c>
      <c r="E131" s="8" t="s">
        <v>1607</v>
      </c>
      <c r="F131" s="8" t="s">
        <v>2962</v>
      </c>
      <c r="H131" s="8" t="s">
        <v>2954</v>
      </c>
      <c r="I131" s="8" t="s">
        <v>2719</v>
      </c>
      <c r="J131" s="8" t="s">
        <v>2985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s="8" t="s">
        <v>533</v>
      </c>
      <c r="E132" s="8" t="s">
        <v>1607</v>
      </c>
      <c r="F132" s="8" t="s">
        <v>2962</v>
      </c>
      <c r="H132" s="8" t="s">
        <v>2954</v>
      </c>
      <c r="I132" s="8" t="s">
        <v>2722</v>
      </c>
      <c r="J132" s="8" t="s">
        <v>2985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s="8" t="s">
        <v>533</v>
      </c>
      <c r="E133" s="8" t="s">
        <v>1607</v>
      </c>
      <c r="F133" s="8" t="s">
        <v>2962</v>
      </c>
      <c r="H133" s="8" t="s">
        <v>2954</v>
      </c>
      <c r="I133" s="8" t="s">
        <v>2725</v>
      </c>
      <c r="J133" s="8" t="s">
        <v>2985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s="8" t="s">
        <v>1606</v>
      </c>
      <c r="E134" s="8" t="s">
        <v>70</v>
      </c>
      <c r="F134" s="8" t="s">
        <v>51</v>
      </c>
      <c r="H134" s="8"/>
      <c r="I134" s="8" t="s">
        <v>2728</v>
      </c>
      <c r="J134" s="8" t="s">
        <v>2985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s="8" t="s">
        <v>289</v>
      </c>
      <c r="E135" s="8" t="s">
        <v>70</v>
      </c>
      <c r="F135" s="8" t="s">
        <v>58</v>
      </c>
      <c r="H135" s="8" t="s">
        <v>2956</v>
      </c>
      <c r="I135" s="8" t="s">
        <v>2731</v>
      </c>
      <c r="J135" s="8" t="s">
        <v>2985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s="8" t="s">
        <v>1999</v>
      </c>
      <c r="E136" s="8" t="s">
        <v>70</v>
      </c>
      <c r="F136" s="8" t="s">
        <v>58</v>
      </c>
      <c r="H136" s="8" t="s">
        <v>2956</v>
      </c>
      <c r="I136" s="8" t="s">
        <v>2734</v>
      </c>
      <c r="J136" s="8" t="s">
        <v>2985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s="8" t="s">
        <v>1999</v>
      </c>
      <c r="E137" s="8" t="s">
        <v>70</v>
      </c>
      <c r="F137" s="8" t="s">
        <v>58</v>
      </c>
      <c r="H137" s="8" t="s">
        <v>2956</v>
      </c>
      <c r="I137" s="8" t="s">
        <v>2737</v>
      </c>
      <c r="J137" s="8" t="s">
        <v>2985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s="8" t="s">
        <v>1999</v>
      </c>
      <c r="E138" s="8" t="s">
        <v>70</v>
      </c>
      <c r="F138" s="8" t="s">
        <v>58</v>
      </c>
      <c r="H138" s="8" t="s">
        <v>2956</v>
      </c>
      <c r="I138" s="8" t="s">
        <v>2740</v>
      </c>
      <c r="J138" s="8" t="s">
        <v>2985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s="8" t="s">
        <v>1999</v>
      </c>
      <c r="E139" s="8" t="s">
        <v>70</v>
      </c>
      <c r="F139" s="8" t="s">
        <v>58</v>
      </c>
      <c r="H139" s="8" t="s">
        <v>2956</v>
      </c>
      <c r="I139" s="8" t="s">
        <v>2743</v>
      </c>
      <c r="J139" s="8" t="s">
        <v>2985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s="8" t="s">
        <v>1999</v>
      </c>
      <c r="E140" s="8" t="s">
        <v>70</v>
      </c>
      <c r="F140" s="8" t="s">
        <v>58</v>
      </c>
      <c r="H140" s="8" t="s">
        <v>2956</v>
      </c>
      <c r="I140" s="8" t="s">
        <v>2746</v>
      </c>
      <c r="J140" s="8" t="s">
        <v>2985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s="8" t="s">
        <v>1999</v>
      </c>
      <c r="E141" s="8" t="s">
        <v>70</v>
      </c>
      <c r="F141" s="8" t="s">
        <v>58</v>
      </c>
      <c r="H141" s="8" t="s">
        <v>2956</v>
      </c>
      <c r="I141" s="8" t="s">
        <v>2749</v>
      </c>
      <c r="J141" s="8" t="s">
        <v>2985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s="8" t="s">
        <v>1999</v>
      </c>
      <c r="E142" s="8" t="s">
        <v>70</v>
      </c>
      <c r="F142" s="8" t="s">
        <v>58</v>
      </c>
      <c r="H142" s="8" t="s">
        <v>2956</v>
      </c>
      <c r="I142" s="8" t="s">
        <v>2752</v>
      </c>
      <c r="J142" s="8" t="s">
        <v>2985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s="8" t="s">
        <v>1999</v>
      </c>
      <c r="E143" s="8" t="s">
        <v>70</v>
      </c>
      <c r="F143" s="8" t="s">
        <v>58</v>
      </c>
      <c r="H143" s="8" t="s">
        <v>2956</v>
      </c>
      <c r="I143" s="8" t="s">
        <v>2755</v>
      </c>
      <c r="J143" s="8" t="s">
        <v>2985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s="8" t="s">
        <v>1999</v>
      </c>
      <c r="E144" s="8" t="s">
        <v>70</v>
      </c>
      <c r="F144" s="8" t="s">
        <v>58</v>
      </c>
      <c r="H144" s="8" t="s">
        <v>2956</v>
      </c>
      <c r="I144" s="8" t="s">
        <v>2758</v>
      </c>
      <c r="J144" s="8" t="s">
        <v>2985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s="8" t="s">
        <v>1999</v>
      </c>
      <c r="E145" s="8" t="s">
        <v>70</v>
      </c>
      <c r="F145" s="8" t="s">
        <v>58</v>
      </c>
      <c r="H145" s="8" t="s">
        <v>2963</v>
      </c>
      <c r="I145" s="8" t="s">
        <v>2761</v>
      </c>
      <c r="J145" s="8" t="s">
        <v>2985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s="8" t="s">
        <v>1999</v>
      </c>
      <c r="E146" s="8" t="s">
        <v>70</v>
      </c>
      <c r="F146" s="8" t="s">
        <v>2962</v>
      </c>
      <c r="H146" s="8" t="s">
        <v>2956</v>
      </c>
      <c r="I146" s="8" t="s">
        <v>2764</v>
      </c>
      <c r="J146" s="8" t="s">
        <v>2985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s="8" t="s">
        <v>1999</v>
      </c>
      <c r="E147" s="8" t="s">
        <v>70</v>
      </c>
      <c r="F147" s="8" t="s">
        <v>58</v>
      </c>
      <c r="H147" s="8" t="s">
        <v>2963</v>
      </c>
      <c r="I147" s="8" t="s">
        <v>2767</v>
      </c>
      <c r="J147" s="8" t="s">
        <v>2985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s="8" t="s">
        <v>1999</v>
      </c>
      <c r="E148" s="8" t="s">
        <v>70</v>
      </c>
      <c r="F148" s="8" t="s">
        <v>58</v>
      </c>
      <c r="H148" s="8" t="s">
        <v>2963</v>
      </c>
      <c r="I148" s="8" t="s">
        <v>2770</v>
      </c>
      <c r="J148" s="8" t="s">
        <v>2985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s="8" t="s">
        <v>1999</v>
      </c>
      <c r="E149" s="8" t="s">
        <v>70</v>
      </c>
      <c r="F149" s="8" t="s">
        <v>58</v>
      </c>
      <c r="H149" s="8" t="s">
        <v>2963</v>
      </c>
      <c r="I149" s="8" t="s">
        <v>2773</v>
      </c>
      <c r="J149" s="8" t="s">
        <v>2985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s="8" t="s">
        <v>1999</v>
      </c>
      <c r="E150" s="8" t="s">
        <v>70</v>
      </c>
      <c r="F150" s="8" t="s">
        <v>58</v>
      </c>
      <c r="H150" s="8" t="s">
        <v>2957</v>
      </c>
      <c r="I150" s="8" t="s">
        <v>2776</v>
      </c>
      <c r="J150" s="8" t="s">
        <v>2985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s="8" t="s">
        <v>1999</v>
      </c>
      <c r="E151" s="8" t="s">
        <v>70</v>
      </c>
      <c r="F151" s="8" t="s">
        <v>2962</v>
      </c>
      <c r="H151" s="8" t="s">
        <v>2957</v>
      </c>
      <c r="I151" s="8" t="s">
        <v>2779</v>
      </c>
      <c r="J151" s="8" t="s">
        <v>2985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s="8" t="s">
        <v>1999</v>
      </c>
      <c r="E152" s="8" t="s">
        <v>70</v>
      </c>
      <c r="F152" s="8" t="s">
        <v>2962</v>
      </c>
      <c r="H152" s="8" t="s">
        <v>2957</v>
      </c>
      <c r="I152" s="8" t="s">
        <v>2782</v>
      </c>
      <c r="J152" s="8" t="s">
        <v>2985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s="8" t="s">
        <v>1999</v>
      </c>
      <c r="E153" s="8" t="s">
        <v>70</v>
      </c>
      <c r="F153" s="8" t="s">
        <v>2962</v>
      </c>
      <c r="H153" s="8" t="s">
        <v>2957</v>
      </c>
      <c r="I153" s="8" t="s">
        <v>2785</v>
      </c>
      <c r="J153" s="8" t="s">
        <v>2985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s="8" t="s">
        <v>1999</v>
      </c>
      <c r="E154" s="8" t="s">
        <v>70</v>
      </c>
      <c r="F154" s="8" t="s">
        <v>2962</v>
      </c>
      <c r="H154" s="8" t="s">
        <v>2957</v>
      </c>
      <c r="I154" s="8" t="s">
        <v>2788</v>
      </c>
      <c r="J154" s="8" t="s">
        <v>2985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s="8" t="s">
        <v>1999</v>
      </c>
      <c r="E155" s="8" t="s">
        <v>70</v>
      </c>
      <c r="F155" s="8" t="s">
        <v>2962</v>
      </c>
      <c r="H155" s="8" t="s">
        <v>2957</v>
      </c>
      <c r="I155" s="8" t="s">
        <v>2791</v>
      </c>
      <c r="J155" s="8" t="s">
        <v>2985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s="8" t="s">
        <v>2953</v>
      </c>
      <c r="E156" s="8" t="s">
        <v>70</v>
      </c>
      <c r="F156" s="8"/>
      <c r="H156" s="8"/>
      <c r="I156" s="8" t="s">
        <v>2794</v>
      </c>
      <c r="J156" s="8" t="s">
        <v>2985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s="8" t="s">
        <v>533</v>
      </c>
      <c r="E157" s="8" t="s">
        <v>1607</v>
      </c>
      <c r="F157" s="8" t="s">
        <v>58</v>
      </c>
      <c r="H157" s="8" t="s">
        <v>1611</v>
      </c>
      <c r="I157" s="8" t="s">
        <v>2797</v>
      </c>
      <c r="J157" s="8" t="s">
        <v>2985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s="8" t="s">
        <v>533</v>
      </c>
      <c r="E158" s="8" t="s">
        <v>1607</v>
      </c>
      <c r="F158" s="8" t="s">
        <v>58</v>
      </c>
      <c r="H158" s="8" t="s">
        <v>1611</v>
      </c>
      <c r="I158" s="8" t="s">
        <v>2800</v>
      </c>
      <c r="J158" s="8" t="s">
        <v>2985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s="8" t="s">
        <v>533</v>
      </c>
      <c r="E159" s="8" t="s">
        <v>1607</v>
      </c>
      <c r="F159" s="8" t="s">
        <v>58</v>
      </c>
      <c r="H159" s="8" t="s">
        <v>1611</v>
      </c>
      <c r="I159" s="8" t="s">
        <v>2803</v>
      </c>
      <c r="J159" s="8" t="s">
        <v>2985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s="8" t="s">
        <v>4</v>
      </c>
      <c r="E160" s="8" t="s">
        <v>8</v>
      </c>
      <c r="F160" s="8"/>
      <c r="H160" s="8"/>
      <c r="I160" s="8" t="s">
        <v>2806</v>
      </c>
      <c r="J160" s="8" t="s">
        <v>2985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s="8" t="s">
        <v>533</v>
      </c>
      <c r="E161" s="8" t="s">
        <v>1607</v>
      </c>
      <c r="F161" s="8" t="s">
        <v>2944</v>
      </c>
      <c r="H161" s="8" t="s">
        <v>2949</v>
      </c>
      <c r="I161" s="8" t="s">
        <v>2809</v>
      </c>
      <c r="J161" s="8" t="s">
        <v>2985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s="8" t="s">
        <v>533</v>
      </c>
      <c r="E162" s="8" t="s">
        <v>1607</v>
      </c>
      <c r="F162" s="8" t="s">
        <v>2944</v>
      </c>
      <c r="H162" s="8" t="s">
        <v>2949</v>
      </c>
      <c r="I162" s="8" t="s">
        <v>2812</v>
      </c>
      <c r="J162" s="8" t="s">
        <v>2985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s="8" t="s">
        <v>533</v>
      </c>
      <c r="E163" s="8" t="s">
        <v>531</v>
      </c>
      <c r="F163" s="8" t="s">
        <v>58</v>
      </c>
      <c r="H163" s="8" t="s">
        <v>2958</v>
      </c>
      <c r="I163" s="8" t="s">
        <v>2815</v>
      </c>
      <c r="J163" s="8" t="s">
        <v>2985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s="8" t="s">
        <v>533</v>
      </c>
      <c r="E164" s="8" t="s">
        <v>531</v>
      </c>
      <c r="F164" s="8" t="s">
        <v>58</v>
      </c>
      <c r="H164" s="8" t="s">
        <v>2958</v>
      </c>
      <c r="I164" s="8" t="s">
        <v>2818</v>
      </c>
      <c r="J164" s="8" t="s">
        <v>2985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s="8" t="s">
        <v>533</v>
      </c>
      <c r="E165" s="8" t="s">
        <v>531</v>
      </c>
      <c r="F165" s="8" t="s">
        <v>58</v>
      </c>
      <c r="H165" s="8" t="s">
        <v>2958</v>
      </c>
      <c r="I165" s="8" t="s">
        <v>2821</v>
      </c>
      <c r="J165" s="8" t="s">
        <v>2985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s="8" t="s">
        <v>533</v>
      </c>
      <c r="E166" s="8" t="s">
        <v>531</v>
      </c>
      <c r="F166" s="8" t="s">
        <v>2964</v>
      </c>
      <c r="H166" s="8" t="s">
        <v>2958</v>
      </c>
      <c r="I166" s="8" t="s">
        <v>2824</v>
      </c>
      <c r="J166" s="8" t="s">
        <v>2985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s="8" t="s">
        <v>533</v>
      </c>
      <c r="E167" s="8" t="s">
        <v>1607</v>
      </c>
      <c r="F167" s="8" t="s">
        <v>58</v>
      </c>
      <c r="H167" s="8" t="s">
        <v>2949</v>
      </c>
      <c r="I167" s="8" t="s">
        <v>2827</v>
      </c>
      <c r="J167" s="8" t="s">
        <v>2985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s="8" t="s">
        <v>533</v>
      </c>
      <c r="E168" s="8" t="s">
        <v>1607</v>
      </c>
      <c r="F168" s="8" t="s">
        <v>58</v>
      </c>
      <c r="H168" s="8" t="s">
        <v>2949</v>
      </c>
      <c r="I168" s="8" t="s">
        <v>2830</v>
      </c>
      <c r="J168" s="8" t="s">
        <v>2985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s="8" t="s">
        <v>2965</v>
      </c>
      <c r="E169" s="8"/>
      <c r="F169" s="8"/>
      <c r="H169" s="8"/>
      <c r="I169" s="8" t="s">
        <v>2833</v>
      </c>
      <c r="J169" s="8" t="s">
        <v>2985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s="8" t="s">
        <v>2965</v>
      </c>
      <c r="E170" s="8"/>
      <c r="F170" s="8"/>
      <c r="H170" s="8"/>
      <c r="I170" s="8" t="s">
        <v>2836</v>
      </c>
      <c r="J170" s="8" t="s">
        <v>2985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s="8" t="s">
        <v>4</v>
      </c>
      <c r="E171" s="8" t="s">
        <v>8</v>
      </c>
      <c r="F171" s="8"/>
      <c r="H171" s="9" t="s">
        <v>2967</v>
      </c>
      <c r="I171" s="8" t="s">
        <v>2839</v>
      </c>
      <c r="J171" s="8" t="s">
        <v>2985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s="8" t="s">
        <v>533</v>
      </c>
      <c r="E172" s="8" t="s">
        <v>531</v>
      </c>
      <c r="F172" s="8" t="s">
        <v>58</v>
      </c>
      <c r="H172" s="8" t="s">
        <v>2954</v>
      </c>
      <c r="I172" s="8" t="s">
        <v>2842</v>
      </c>
      <c r="J172" s="8" t="s">
        <v>2985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s="8" t="s">
        <v>533</v>
      </c>
      <c r="E173" s="8" t="s">
        <v>531</v>
      </c>
      <c r="F173" s="8" t="s">
        <v>58</v>
      </c>
      <c r="H173" s="8" t="s">
        <v>2954</v>
      </c>
      <c r="I173" s="8" t="s">
        <v>2845</v>
      </c>
      <c r="J173" s="8" t="s">
        <v>2985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s="8" t="s">
        <v>533</v>
      </c>
      <c r="E174" s="8" t="s">
        <v>531</v>
      </c>
      <c r="F174" s="8" t="s">
        <v>58</v>
      </c>
      <c r="H174" s="8" t="s">
        <v>2954</v>
      </c>
      <c r="I174" s="8" t="s">
        <v>2848</v>
      </c>
      <c r="J174" s="8" t="s">
        <v>2985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s="8" t="s">
        <v>4</v>
      </c>
      <c r="E175" s="8" t="s">
        <v>8</v>
      </c>
      <c r="F175" s="8"/>
      <c r="H175" s="8" t="s">
        <v>2936</v>
      </c>
      <c r="I175" s="8" t="s">
        <v>2851</v>
      </c>
      <c r="J175" s="8" t="s">
        <v>2985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s="8" t="s">
        <v>4</v>
      </c>
      <c r="E176" s="8" t="s">
        <v>8</v>
      </c>
      <c r="F176" s="8"/>
      <c r="H176" s="9" t="s">
        <v>2967</v>
      </c>
      <c r="I176" s="8" t="s">
        <v>2854</v>
      </c>
      <c r="J176" s="8" t="s">
        <v>2985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s="8" t="s">
        <v>533</v>
      </c>
      <c r="E177" s="8" t="s">
        <v>1607</v>
      </c>
      <c r="F177" s="8" t="s">
        <v>58</v>
      </c>
      <c r="H177" s="8" t="s">
        <v>2958</v>
      </c>
      <c r="I177" s="8" t="s">
        <v>2857</v>
      </c>
      <c r="J177" s="8" t="s">
        <v>2985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s="8" t="s">
        <v>2966</v>
      </c>
      <c r="E178" s="8" t="s">
        <v>1607</v>
      </c>
      <c r="F178" s="8" t="s">
        <v>58</v>
      </c>
      <c r="H178" s="8" t="s">
        <v>2958</v>
      </c>
      <c r="I178" s="8" t="s">
        <v>2860</v>
      </c>
      <c r="J178" s="8" t="s">
        <v>2985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s="8" t="s">
        <v>533</v>
      </c>
      <c r="E179" s="8" t="s">
        <v>1607</v>
      </c>
      <c r="F179" s="8" t="s">
        <v>58</v>
      </c>
      <c r="H179" s="8" t="s">
        <v>2954</v>
      </c>
      <c r="I179" s="8" t="s">
        <v>2863</v>
      </c>
      <c r="J179" s="8" t="s">
        <v>2985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s="8" t="s">
        <v>2966</v>
      </c>
      <c r="E180" s="8" t="s">
        <v>1607</v>
      </c>
      <c r="F180" s="8" t="s">
        <v>58</v>
      </c>
      <c r="H180" s="8" t="s">
        <v>2954</v>
      </c>
      <c r="I180" s="8" t="s">
        <v>2866</v>
      </c>
      <c r="J180" s="8" t="s">
        <v>2985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s="8" t="s">
        <v>2966</v>
      </c>
      <c r="E181" s="8" t="s">
        <v>1607</v>
      </c>
      <c r="F181" s="8" t="s">
        <v>58</v>
      </c>
      <c r="H181" s="8" t="s">
        <v>2954</v>
      </c>
      <c r="I181" s="8" t="s">
        <v>2869</v>
      </c>
      <c r="J181" s="8" t="s">
        <v>2985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s="8" t="s">
        <v>2966</v>
      </c>
      <c r="E182" s="8" t="s">
        <v>1607</v>
      </c>
      <c r="F182" s="8" t="s">
        <v>58</v>
      </c>
      <c r="H182" s="8" t="s">
        <v>2954</v>
      </c>
      <c r="I182" s="8" t="s">
        <v>2872</v>
      </c>
      <c r="J182" s="8" t="s">
        <v>2985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s="8" t="s">
        <v>533</v>
      </c>
      <c r="E183" s="8" t="s">
        <v>1607</v>
      </c>
      <c r="F183" s="8" t="s">
        <v>58</v>
      </c>
      <c r="H183" s="8" t="s">
        <v>1611</v>
      </c>
      <c r="I183" s="8" t="s">
        <v>2875</v>
      </c>
      <c r="J183" s="8" t="s">
        <v>2985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s="8" t="s">
        <v>533</v>
      </c>
      <c r="E184" s="8" t="s">
        <v>1607</v>
      </c>
      <c r="F184" s="8" t="s">
        <v>58</v>
      </c>
      <c r="H184" s="8" t="s">
        <v>1611</v>
      </c>
      <c r="I184" s="8" t="s">
        <v>2878</v>
      </c>
      <c r="J184" s="8" t="s">
        <v>2985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s="8" t="s">
        <v>4</v>
      </c>
      <c r="E185" s="8" t="s">
        <v>8</v>
      </c>
      <c r="F185" s="8"/>
      <c r="H185" s="8"/>
      <c r="I185" s="8" t="s">
        <v>2881</v>
      </c>
      <c r="J185" s="8" t="s">
        <v>2985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s="8" t="s">
        <v>4</v>
      </c>
      <c r="E186" s="8" t="s">
        <v>8</v>
      </c>
      <c r="F186" s="8"/>
      <c r="H186" s="8"/>
      <c r="I186" s="8" t="s">
        <v>2884</v>
      </c>
      <c r="J186" s="8" t="s">
        <v>2985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s="8" t="s">
        <v>2004</v>
      </c>
      <c r="E187" s="8"/>
      <c r="F187" s="8"/>
      <c r="H187" s="8"/>
      <c r="I187" s="8" t="s">
        <v>2887</v>
      </c>
      <c r="J187" s="8" t="s">
        <v>2985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s="8" t="s">
        <v>4</v>
      </c>
      <c r="E188" s="8" t="s">
        <v>8</v>
      </c>
      <c r="F188" s="8"/>
      <c r="H188" s="8"/>
      <c r="I188" s="8" t="s">
        <v>2890</v>
      </c>
      <c r="J188" s="8" t="s">
        <v>2985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s="8" t="s">
        <v>2004</v>
      </c>
      <c r="E189" s="8"/>
      <c r="F189" s="8"/>
      <c r="H189" s="8"/>
      <c r="I189" s="8" t="s">
        <v>2893</v>
      </c>
      <c r="J189" s="8" t="s">
        <v>2985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s="8" t="s">
        <v>4223</v>
      </c>
      <c r="E190" s="8" t="s">
        <v>86</v>
      </c>
      <c r="F190" s="8" t="s">
        <v>200</v>
      </c>
      <c r="H190" s="8" t="s">
        <v>4224</v>
      </c>
      <c r="I190" s="8" t="s">
        <v>3868</v>
      </c>
      <c r="J190" s="8" t="s">
        <v>2985</v>
      </c>
      <c r="K190" t="s">
        <v>3869</v>
      </c>
      <c r="L190" t="s">
        <v>3870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s="8" t="s">
        <v>4225</v>
      </c>
      <c r="E191" s="8" t="s">
        <v>86</v>
      </c>
      <c r="F191" s="8"/>
      <c r="H191" s="8"/>
      <c r="I191" s="8" t="s">
        <v>3871</v>
      </c>
      <c r="J191" s="8" t="s">
        <v>2985</v>
      </c>
      <c r="K191" t="s">
        <v>3872</v>
      </c>
      <c r="L191" t="s">
        <v>3873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s="8" t="s">
        <v>4223</v>
      </c>
      <c r="E192" s="8" t="s">
        <v>86</v>
      </c>
      <c r="F192" s="8" t="s">
        <v>200</v>
      </c>
      <c r="H192" s="8" t="s">
        <v>1605</v>
      </c>
      <c r="I192" s="8" t="s">
        <v>3874</v>
      </c>
      <c r="J192" s="8" t="s">
        <v>2985</v>
      </c>
      <c r="K192" t="s">
        <v>3875</v>
      </c>
      <c r="L192" t="s">
        <v>3876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s="8" t="s">
        <v>1606</v>
      </c>
      <c r="E193" s="8" t="s">
        <v>70</v>
      </c>
      <c r="F193" s="8" t="s">
        <v>1609</v>
      </c>
      <c r="H193" s="8"/>
      <c r="I193" s="8" t="s">
        <v>3877</v>
      </c>
      <c r="J193" s="8" t="s">
        <v>2985</v>
      </c>
      <c r="K193" t="s">
        <v>3878</v>
      </c>
      <c r="L193" t="s">
        <v>3879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s="8" t="s">
        <v>4226</v>
      </c>
      <c r="E194" s="8" t="s">
        <v>70</v>
      </c>
      <c r="F194" s="8" t="s">
        <v>58</v>
      </c>
      <c r="H194" s="8"/>
      <c r="I194" s="8" t="s">
        <v>3880</v>
      </c>
      <c r="J194" s="8" t="s">
        <v>2985</v>
      </c>
      <c r="K194" t="s">
        <v>3881</v>
      </c>
      <c r="L194" t="s">
        <v>3882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s="8" t="s">
        <v>650</v>
      </c>
      <c r="E195" s="8" t="s">
        <v>70</v>
      </c>
      <c r="F195" s="8"/>
      <c r="H195" s="8"/>
      <c r="I195" s="8" t="s">
        <v>3883</v>
      </c>
      <c r="J195" s="8" t="s">
        <v>2985</v>
      </c>
      <c r="K195" t="s">
        <v>3884</v>
      </c>
      <c r="L195" t="s">
        <v>3885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s="8" t="s">
        <v>4</v>
      </c>
      <c r="E196" s="8" t="s">
        <v>8</v>
      </c>
      <c r="F196" s="8"/>
      <c r="H196" s="8"/>
      <c r="I196" s="8" t="s">
        <v>3886</v>
      </c>
      <c r="J196" s="8" t="s">
        <v>2985</v>
      </c>
      <c r="K196" t="s">
        <v>3887</v>
      </c>
      <c r="L196" t="s">
        <v>3888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s="8" t="s">
        <v>4227</v>
      </c>
      <c r="E197" s="8" t="s">
        <v>4228</v>
      </c>
      <c r="F197" s="8" t="s">
        <v>58</v>
      </c>
      <c r="H197" s="8" t="s">
        <v>4229</v>
      </c>
      <c r="I197" s="8" t="s">
        <v>3889</v>
      </c>
      <c r="J197" s="8" t="s">
        <v>2985</v>
      </c>
      <c r="K197" t="s">
        <v>3890</v>
      </c>
      <c r="L197" t="s">
        <v>3891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s="8" t="s">
        <v>4</v>
      </c>
      <c r="E198" s="8" t="s">
        <v>8</v>
      </c>
      <c r="F198" s="8"/>
      <c r="H198" s="8"/>
      <c r="I198" s="8" t="s">
        <v>3892</v>
      </c>
      <c r="J198" s="8" t="s">
        <v>2985</v>
      </c>
      <c r="K198" t="s">
        <v>3893</v>
      </c>
      <c r="L198" t="s">
        <v>3894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s="8" t="s">
        <v>4</v>
      </c>
      <c r="E199" s="8" t="s">
        <v>8</v>
      </c>
      <c r="F199" s="8"/>
      <c r="H199" s="8" t="s">
        <v>2936</v>
      </c>
      <c r="I199" s="8" t="s">
        <v>3895</v>
      </c>
      <c r="J199" s="8" t="s">
        <v>2985</v>
      </c>
      <c r="K199" t="s">
        <v>3896</v>
      </c>
      <c r="L199" t="s">
        <v>3897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s="8" t="s">
        <v>4</v>
      </c>
      <c r="E200" s="8" t="s">
        <v>8</v>
      </c>
      <c r="F200" s="8"/>
      <c r="H200" s="8" t="s">
        <v>2936</v>
      </c>
      <c r="I200" s="8" t="s">
        <v>3898</v>
      </c>
      <c r="J200" s="8" t="s">
        <v>2985</v>
      </c>
      <c r="K200" t="s">
        <v>3899</v>
      </c>
      <c r="L200" t="s">
        <v>3900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s="8" t="s">
        <v>4223</v>
      </c>
      <c r="E201" s="8" t="s">
        <v>86</v>
      </c>
      <c r="F201" s="8" t="s">
        <v>528</v>
      </c>
      <c r="H201" s="8" t="s">
        <v>1605</v>
      </c>
      <c r="I201" s="8" t="s">
        <v>3901</v>
      </c>
      <c r="J201" s="8" t="s">
        <v>2985</v>
      </c>
      <c r="K201" t="s">
        <v>3902</v>
      </c>
      <c r="L201" t="s">
        <v>3903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s="8" t="s">
        <v>1606</v>
      </c>
      <c r="E202" s="8" t="s">
        <v>70</v>
      </c>
      <c r="F202" s="8" t="s">
        <v>1609</v>
      </c>
      <c r="H202" s="8"/>
      <c r="I202" s="8" t="s">
        <v>3904</v>
      </c>
      <c r="J202" s="8" t="s">
        <v>2985</v>
      </c>
      <c r="K202" t="s">
        <v>3905</v>
      </c>
      <c r="L202" t="s">
        <v>3906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s="8" t="s">
        <v>4</v>
      </c>
      <c r="E203" s="8" t="s">
        <v>70</v>
      </c>
      <c r="F203" s="8"/>
      <c r="H203" s="8" t="s">
        <v>4230</v>
      </c>
      <c r="I203" s="8" t="s">
        <v>3907</v>
      </c>
      <c r="J203" s="8" t="s">
        <v>2985</v>
      </c>
      <c r="K203" t="s">
        <v>3908</v>
      </c>
      <c r="L203" t="s">
        <v>3909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s="8" t="s">
        <v>533</v>
      </c>
      <c r="E204" s="8" t="s">
        <v>1607</v>
      </c>
      <c r="F204" s="8" t="s">
        <v>58</v>
      </c>
      <c r="H204" s="8" t="s">
        <v>1605</v>
      </c>
      <c r="I204" s="8" t="s">
        <v>3910</v>
      </c>
      <c r="J204" s="8" t="s">
        <v>2985</v>
      </c>
      <c r="K204" t="s">
        <v>3911</v>
      </c>
      <c r="L204" t="s">
        <v>3912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s="8" t="s">
        <v>533</v>
      </c>
      <c r="E205" s="8" t="s">
        <v>1607</v>
      </c>
      <c r="F205" s="8" t="s">
        <v>58</v>
      </c>
      <c r="H205" s="8" t="s">
        <v>1605</v>
      </c>
      <c r="I205" s="8" t="s">
        <v>3913</v>
      </c>
      <c r="J205" s="8" t="s">
        <v>2985</v>
      </c>
      <c r="K205" t="s">
        <v>3914</v>
      </c>
      <c r="L205" t="s">
        <v>3915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s="8" t="s">
        <v>290</v>
      </c>
      <c r="E206" s="8" t="s">
        <v>70</v>
      </c>
      <c r="F206" s="8" t="s">
        <v>4231</v>
      </c>
      <c r="H206" s="8" t="s">
        <v>1611</v>
      </c>
      <c r="I206" s="8" t="s">
        <v>3916</v>
      </c>
      <c r="J206" s="8" t="s">
        <v>2985</v>
      </c>
      <c r="K206" t="s">
        <v>3917</v>
      </c>
      <c r="L206" t="s">
        <v>3918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s="8" t="s">
        <v>290</v>
      </c>
      <c r="E207" s="8" t="s">
        <v>70</v>
      </c>
      <c r="F207" s="8" t="s">
        <v>4231</v>
      </c>
      <c r="H207" s="8" t="s">
        <v>2936</v>
      </c>
      <c r="I207" s="8" t="s">
        <v>3919</v>
      </c>
      <c r="J207" s="8" t="s">
        <v>2985</v>
      </c>
      <c r="K207" t="s">
        <v>3920</v>
      </c>
      <c r="L207" t="s">
        <v>3921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s="8" t="s">
        <v>290</v>
      </c>
      <c r="E208" s="8" t="s">
        <v>70</v>
      </c>
      <c r="F208" s="8" t="s">
        <v>4231</v>
      </c>
      <c r="H208" s="8" t="s">
        <v>1611</v>
      </c>
      <c r="I208" s="8" t="s">
        <v>3922</v>
      </c>
      <c r="J208" s="8" t="s">
        <v>2985</v>
      </c>
      <c r="K208" t="s">
        <v>3923</v>
      </c>
      <c r="L208" t="s">
        <v>3924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s="8" t="s">
        <v>290</v>
      </c>
      <c r="E209" s="8" t="s">
        <v>70</v>
      </c>
      <c r="F209" s="8" t="s">
        <v>4231</v>
      </c>
      <c r="H209" s="8" t="s">
        <v>2954</v>
      </c>
      <c r="I209" s="8" t="s">
        <v>3925</v>
      </c>
      <c r="J209" s="8" t="s">
        <v>2985</v>
      </c>
      <c r="K209" t="s">
        <v>3926</v>
      </c>
      <c r="L209" t="s">
        <v>3927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s="8" t="s">
        <v>289</v>
      </c>
      <c r="E210" s="8" t="s">
        <v>70</v>
      </c>
      <c r="F210" s="8" t="s">
        <v>58</v>
      </c>
      <c r="H210" s="8" t="s">
        <v>1620</v>
      </c>
      <c r="I210" s="8" t="s">
        <v>3928</v>
      </c>
      <c r="J210" s="8" t="s">
        <v>2985</v>
      </c>
      <c r="K210" t="s">
        <v>3929</v>
      </c>
      <c r="L210" t="s">
        <v>3930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s="8" t="s">
        <v>289</v>
      </c>
      <c r="E211" s="8" t="s">
        <v>70</v>
      </c>
      <c r="F211" s="8" t="s">
        <v>58</v>
      </c>
      <c r="H211" s="8" t="s">
        <v>2936</v>
      </c>
      <c r="I211" s="8" t="s">
        <v>3931</v>
      </c>
      <c r="J211" s="8" t="s">
        <v>2985</v>
      </c>
      <c r="K211" t="s">
        <v>3932</v>
      </c>
      <c r="L211" t="s">
        <v>3933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s="8" t="s">
        <v>289</v>
      </c>
      <c r="E212" s="8" t="s">
        <v>70</v>
      </c>
      <c r="F212" s="8" t="s">
        <v>58</v>
      </c>
      <c r="H212" s="8" t="s">
        <v>2936</v>
      </c>
      <c r="I212" s="8" t="s">
        <v>3934</v>
      </c>
      <c r="J212" s="8" t="s">
        <v>2985</v>
      </c>
      <c r="K212" t="s">
        <v>3935</v>
      </c>
      <c r="L212" t="s">
        <v>3936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s="8" t="s">
        <v>289</v>
      </c>
      <c r="E213" s="8" t="s">
        <v>70</v>
      </c>
      <c r="F213" s="8" t="s">
        <v>58</v>
      </c>
      <c r="H213" s="8" t="s">
        <v>2936</v>
      </c>
      <c r="I213" s="8" t="s">
        <v>3937</v>
      </c>
      <c r="J213" s="8" t="s">
        <v>2985</v>
      </c>
      <c r="K213" t="s">
        <v>3938</v>
      </c>
      <c r="L213" t="s">
        <v>3939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s="8" t="s">
        <v>289</v>
      </c>
      <c r="E214" s="8" t="s">
        <v>70</v>
      </c>
      <c r="F214" s="8" t="s">
        <v>58</v>
      </c>
      <c r="H214" s="8" t="s">
        <v>2936</v>
      </c>
      <c r="I214" s="8" t="s">
        <v>3940</v>
      </c>
      <c r="J214" s="8" t="s">
        <v>2985</v>
      </c>
      <c r="K214" t="s">
        <v>3941</v>
      </c>
      <c r="L214" t="s">
        <v>3942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s="8" t="s">
        <v>289</v>
      </c>
      <c r="E215" s="8" t="s">
        <v>70</v>
      </c>
      <c r="F215" s="8" t="s">
        <v>58</v>
      </c>
      <c r="H215" s="8" t="s">
        <v>2936</v>
      </c>
      <c r="I215" s="8" t="s">
        <v>3943</v>
      </c>
      <c r="J215" s="8" t="s">
        <v>2985</v>
      </c>
      <c r="K215" t="s">
        <v>3944</v>
      </c>
      <c r="L215" t="s">
        <v>3945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s="8" t="s">
        <v>289</v>
      </c>
      <c r="E216" s="8" t="s">
        <v>70</v>
      </c>
      <c r="F216" s="8" t="s">
        <v>58</v>
      </c>
      <c r="H216" s="8" t="s">
        <v>2936</v>
      </c>
      <c r="I216" s="8" t="s">
        <v>3946</v>
      </c>
      <c r="J216" s="8" t="s">
        <v>2985</v>
      </c>
      <c r="K216" t="s">
        <v>3947</v>
      </c>
      <c r="L216" t="s">
        <v>3948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s="8" t="s">
        <v>289</v>
      </c>
      <c r="E217" s="8" t="s">
        <v>70</v>
      </c>
      <c r="F217" s="8" t="s">
        <v>58</v>
      </c>
      <c r="H217" s="8" t="s">
        <v>2936</v>
      </c>
      <c r="I217" s="8" t="s">
        <v>3949</v>
      </c>
      <c r="J217" s="8" t="s">
        <v>2985</v>
      </c>
      <c r="K217" t="s">
        <v>3950</v>
      </c>
      <c r="L217" t="s">
        <v>3951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s="8" t="s">
        <v>4232</v>
      </c>
      <c r="E218" s="8" t="s">
        <v>70</v>
      </c>
      <c r="F218" s="8" t="s">
        <v>58</v>
      </c>
      <c r="H218" s="8"/>
      <c r="I218" s="8" t="s">
        <v>3952</v>
      </c>
      <c r="J218" s="8" t="s">
        <v>2985</v>
      </c>
      <c r="K218" t="s">
        <v>3953</v>
      </c>
      <c r="L218" t="s">
        <v>3954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s="8" t="s">
        <v>289</v>
      </c>
      <c r="E219" s="8" t="s">
        <v>70</v>
      </c>
      <c r="F219" s="8" t="s">
        <v>4233</v>
      </c>
      <c r="H219" s="8" t="s">
        <v>1618</v>
      </c>
      <c r="I219" s="8" t="s">
        <v>3955</v>
      </c>
      <c r="J219" s="8" t="s">
        <v>2985</v>
      </c>
      <c r="K219" t="s">
        <v>3956</v>
      </c>
      <c r="L219" t="s">
        <v>3957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s="8" t="s">
        <v>4235</v>
      </c>
      <c r="E220" s="8" t="s">
        <v>70</v>
      </c>
      <c r="F220" s="8" t="s">
        <v>4233</v>
      </c>
      <c r="H220" s="8"/>
      <c r="I220" s="8" t="s">
        <v>3958</v>
      </c>
      <c r="J220" s="8" t="s">
        <v>2985</v>
      </c>
      <c r="K220" t="s">
        <v>3959</v>
      </c>
      <c r="L220" t="s">
        <v>3960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s="8" t="s">
        <v>1606</v>
      </c>
      <c r="E221" s="8" t="s">
        <v>4192</v>
      </c>
      <c r="F221" s="8"/>
      <c r="H221" s="8"/>
      <c r="I221" s="8" t="s">
        <v>3962</v>
      </c>
      <c r="J221" s="8" t="s">
        <v>2985</v>
      </c>
      <c r="K221" t="s">
        <v>3963</v>
      </c>
      <c r="L221" t="s">
        <v>3964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s="8" t="s">
        <v>289</v>
      </c>
      <c r="E222" s="8" t="s">
        <v>4192</v>
      </c>
      <c r="F222" s="8" t="s">
        <v>58</v>
      </c>
      <c r="H222" s="8" t="s">
        <v>1620</v>
      </c>
      <c r="I222" s="8" t="s">
        <v>3965</v>
      </c>
      <c r="J222" s="8" t="s">
        <v>2985</v>
      </c>
      <c r="K222" t="s">
        <v>3966</v>
      </c>
      <c r="L222" t="s">
        <v>3967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s="8" t="s">
        <v>289</v>
      </c>
      <c r="E223" s="8" t="s">
        <v>4192</v>
      </c>
      <c r="F223" s="8" t="s">
        <v>58</v>
      </c>
      <c r="H223" s="8" t="s">
        <v>2936</v>
      </c>
      <c r="I223" s="8" t="s">
        <v>3968</v>
      </c>
      <c r="J223" s="8" t="s">
        <v>2985</v>
      </c>
      <c r="K223" t="s">
        <v>3969</v>
      </c>
      <c r="L223" t="s">
        <v>3970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s="8" t="s">
        <v>289</v>
      </c>
      <c r="E224" s="8" t="s">
        <v>4192</v>
      </c>
      <c r="F224" s="8" t="s">
        <v>58</v>
      </c>
      <c r="H224" s="8" t="s">
        <v>2936</v>
      </c>
      <c r="I224" s="8" t="s">
        <v>3971</v>
      </c>
      <c r="J224" s="8" t="s">
        <v>2985</v>
      </c>
      <c r="K224" t="s">
        <v>3972</v>
      </c>
      <c r="L224" t="s">
        <v>3973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s="8" t="s">
        <v>289</v>
      </c>
      <c r="E225" s="8" t="s">
        <v>4192</v>
      </c>
      <c r="F225" s="8" t="s">
        <v>58</v>
      </c>
      <c r="H225" s="8" t="s">
        <v>2936</v>
      </c>
      <c r="I225" s="8" t="s">
        <v>3974</v>
      </c>
      <c r="J225" s="8" t="s">
        <v>2985</v>
      </c>
      <c r="K225" t="s">
        <v>3975</v>
      </c>
      <c r="L225" t="s">
        <v>3976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s="8" t="s">
        <v>289</v>
      </c>
      <c r="E226" s="8" t="s">
        <v>4192</v>
      </c>
      <c r="F226" s="8" t="s">
        <v>58</v>
      </c>
      <c r="H226" s="8" t="s">
        <v>2936</v>
      </c>
      <c r="I226" s="8" t="s">
        <v>3977</v>
      </c>
      <c r="J226" s="8" t="s">
        <v>2985</v>
      </c>
      <c r="K226" t="s">
        <v>3978</v>
      </c>
      <c r="L226" t="s">
        <v>3979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s="8" t="s">
        <v>289</v>
      </c>
      <c r="E227" s="8" t="s">
        <v>4192</v>
      </c>
      <c r="F227" s="8" t="s">
        <v>58</v>
      </c>
      <c r="H227" s="8" t="s">
        <v>2936</v>
      </c>
      <c r="I227" s="8" t="s">
        <v>3980</v>
      </c>
      <c r="J227" s="8" t="s">
        <v>2985</v>
      </c>
      <c r="K227" t="s">
        <v>3981</v>
      </c>
      <c r="L227" t="s">
        <v>3982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s="8" t="s">
        <v>289</v>
      </c>
      <c r="E228" s="8" t="s">
        <v>4192</v>
      </c>
      <c r="F228" s="8" t="s">
        <v>58</v>
      </c>
      <c r="H228" s="8" t="s">
        <v>2936</v>
      </c>
      <c r="I228" s="8" t="s">
        <v>3983</v>
      </c>
      <c r="J228" s="8" t="s">
        <v>2985</v>
      </c>
      <c r="K228" t="s">
        <v>3984</v>
      </c>
      <c r="L228" t="s">
        <v>3985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s="8" t="s">
        <v>2013</v>
      </c>
      <c r="E229" s="8" t="s">
        <v>4192</v>
      </c>
      <c r="F229" s="8"/>
      <c r="H229" s="8" t="s">
        <v>4236</v>
      </c>
      <c r="I229" s="8" t="s">
        <v>3986</v>
      </c>
      <c r="J229" s="8" t="s">
        <v>2985</v>
      </c>
      <c r="K229" t="s">
        <v>3987</v>
      </c>
      <c r="L229" t="s">
        <v>3988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s="8" t="s">
        <v>289</v>
      </c>
      <c r="E230" s="8" t="s">
        <v>4192</v>
      </c>
      <c r="F230" s="8" t="s">
        <v>58</v>
      </c>
      <c r="H230" s="8"/>
      <c r="I230" s="8" t="s">
        <v>3989</v>
      </c>
      <c r="J230" s="8" t="s">
        <v>2985</v>
      </c>
      <c r="K230" t="s">
        <v>3990</v>
      </c>
      <c r="L230" t="s">
        <v>3991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s="8" t="s">
        <v>289</v>
      </c>
      <c r="E231" s="8" t="s">
        <v>4192</v>
      </c>
      <c r="F231" s="8" t="s">
        <v>58</v>
      </c>
      <c r="H231" s="8" t="s">
        <v>2936</v>
      </c>
      <c r="I231" s="8" t="s">
        <v>3992</v>
      </c>
      <c r="J231" s="8" t="s">
        <v>2985</v>
      </c>
      <c r="K231" t="s">
        <v>3993</v>
      </c>
      <c r="L231" t="s">
        <v>3994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s="8" t="s">
        <v>289</v>
      </c>
      <c r="E232" s="8" t="s">
        <v>4192</v>
      </c>
      <c r="F232" s="8" t="s">
        <v>58</v>
      </c>
      <c r="H232" s="8" t="s">
        <v>2936</v>
      </c>
      <c r="I232" s="8" t="s">
        <v>3995</v>
      </c>
      <c r="J232" s="8" t="s">
        <v>2985</v>
      </c>
      <c r="K232" t="s">
        <v>3996</v>
      </c>
      <c r="L232" t="s">
        <v>3997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s="8" t="s">
        <v>4232</v>
      </c>
      <c r="E233" s="8" t="s">
        <v>4192</v>
      </c>
      <c r="F233" s="8" t="s">
        <v>58</v>
      </c>
      <c r="H233" s="8"/>
      <c r="I233" s="8" t="s">
        <v>3998</v>
      </c>
      <c r="J233" s="8" t="s">
        <v>2985</v>
      </c>
      <c r="K233" t="s">
        <v>3999</v>
      </c>
      <c r="L233" t="s">
        <v>4000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s="8" t="s">
        <v>2013</v>
      </c>
      <c r="E234" s="8" t="s">
        <v>4192</v>
      </c>
      <c r="F234" s="8"/>
      <c r="H234" s="8" t="s">
        <v>4237</v>
      </c>
      <c r="I234" s="8" t="s">
        <v>4001</v>
      </c>
      <c r="J234" s="8" t="s">
        <v>2985</v>
      </c>
      <c r="K234" t="s">
        <v>4002</v>
      </c>
      <c r="L234" t="s">
        <v>4003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s="8" t="s">
        <v>289</v>
      </c>
      <c r="E235" s="8" t="s">
        <v>4192</v>
      </c>
      <c r="F235" s="8" t="s">
        <v>58</v>
      </c>
      <c r="H235" s="8"/>
      <c r="I235" s="8" t="s">
        <v>4004</v>
      </c>
      <c r="J235" s="8" t="s">
        <v>2985</v>
      </c>
      <c r="K235" t="s">
        <v>4005</v>
      </c>
      <c r="L235" t="s">
        <v>4006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s="8" t="s">
        <v>289</v>
      </c>
      <c r="E236" s="8" t="s">
        <v>4192</v>
      </c>
      <c r="F236" s="8" t="s">
        <v>58</v>
      </c>
      <c r="H236" s="8" t="s">
        <v>2936</v>
      </c>
      <c r="I236" s="8" t="s">
        <v>4007</v>
      </c>
      <c r="J236" s="8" t="s">
        <v>2985</v>
      </c>
      <c r="K236" t="s">
        <v>4008</v>
      </c>
      <c r="L236" t="s">
        <v>4009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s="8" t="s">
        <v>289</v>
      </c>
      <c r="E237" s="8" t="s">
        <v>4192</v>
      </c>
      <c r="F237" s="8" t="s">
        <v>58</v>
      </c>
      <c r="H237" s="8" t="s">
        <v>2936</v>
      </c>
      <c r="I237" s="8" t="s">
        <v>4010</v>
      </c>
      <c r="J237" s="8" t="s">
        <v>2985</v>
      </c>
      <c r="K237" t="s">
        <v>4011</v>
      </c>
      <c r="L237" t="s">
        <v>4012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s="8" t="s">
        <v>289</v>
      </c>
      <c r="E238" s="8" t="s">
        <v>4192</v>
      </c>
      <c r="F238" s="8" t="s">
        <v>58</v>
      </c>
      <c r="H238" s="8" t="s">
        <v>2936</v>
      </c>
      <c r="I238" s="8" t="s">
        <v>4013</v>
      </c>
      <c r="J238" s="8" t="s">
        <v>2985</v>
      </c>
      <c r="K238" t="s">
        <v>4014</v>
      </c>
      <c r="L238" t="s">
        <v>4015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s="8" t="s">
        <v>4235</v>
      </c>
      <c r="E239" s="8" t="s">
        <v>4192</v>
      </c>
      <c r="F239" s="8" t="s">
        <v>58</v>
      </c>
      <c r="H239" s="8"/>
      <c r="I239" s="8" t="s">
        <v>4016</v>
      </c>
      <c r="J239" s="8" t="s">
        <v>2985</v>
      </c>
      <c r="K239" t="s">
        <v>4017</v>
      </c>
      <c r="L239" t="s">
        <v>4018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s="8" t="s">
        <v>4</v>
      </c>
      <c r="E240" s="8" t="s">
        <v>86</v>
      </c>
      <c r="F240" s="8" t="s">
        <v>4238</v>
      </c>
      <c r="H240" s="8" t="s">
        <v>4239</v>
      </c>
      <c r="I240" s="8" t="s">
        <v>4019</v>
      </c>
      <c r="J240" s="8" t="s">
        <v>2985</v>
      </c>
      <c r="K240" t="s">
        <v>4020</v>
      </c>
      <c r="L240" t="s">
        <v>4021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s="8" t="s">
        <v>289</v>
      </c>
      <c r="E241" s="8" t="s">
        <v>86</v>
      </c>
      <c r="F241" s="8" t="s">
        <v>4240</v>
      </c>
      <c r="H241" s="8"/>
      <c r="I241" s="8" t="s">
        <v>4022</v>
      </c>
      <c r="J241" s="8" t="s">
        <v>2985</v>
      </c>
      <c r="K241" t="s">
        <v>4023</v>
      </c>
      <c r="L241" t="s">
        <v>4024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s="8" t="s">
        <v>4241</v>
      </c>
      <c r="E242" s="8" t="s">
        <v>86</v>
      </c>
      <c r="F242" s="8" t="s">
        <v>4240</v>
      </c>
      <c r="H242" s="8" t="s">
        <v>4236</v>
      </c>
      <c r="I242" s="8" t="s">
        <v>4025</v>
      </c>
      <c r="J242" s="8" t="s">
        <v>2985</v>
      </c>
      <c r="K242" t="s">
        <v>4026</v>
      </c>
      <c r="L242" t="s">
        <v>4027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s="8" t="s">
        <v>3073</v>
      </c>
      <c r="E243" s="8" t="s">
        <v>86</v>
      </c>
      <c r="F243" s="8" t="s">
        <v>58</v>
      </c>
      <c r="H243" s="8" t="s">
        <v>1620</v>
      </c>
      <c r="I243" s="8" t="s">
        <v>4028</v>
      </c>
      <c r="J243" s="8" t="s">
        <v>2985</v>
      </c>
      <c r="K243" t="s">
        <v>4029</v>
      </c>
      <c r="L243" t="s">
        <v>4030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s="8" t="s">
        <v>1094</v>
      </c>
      <c r="E244" s="8" t="s">
        <v>86</v>
      </c>
      <c r="F244" s="8" t="s">
        <v>58</v>
      </c>
      <c r="H244" s="8" t="s">
        <v>2954</v>
      </c>
      <c r="I244" s="8" t="s">
        <v>4031</v>
      </c>
      <c r="J244" s="8" t="s">
        <v>2985</v>
      </c>
      <c r="K244" t="s">
        <v>4032</v>
      </c>
      <c r="L244" t="s">
        <v>4033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s="8" t="s">
        <v>533</v>
      </c>
      <c r="E245" s="8" t="s">
        <v>1607</v>
      </c>
      <c r="F245" s="8" t="s">
        <v>58</v>
      </c>
      <c r="H245" s="8" t="s">
        <v>2958</v>
      </c>
      <c r="I245" s="8" t="s">
        <v>4034</v>
      </c>
      <c r="J245" s="8" t="s">
        <v>2985</v>
      </c>
      <c r="K245" t="s">
        <v>4035</v>
      </c>
      <c r="L245" t="s">
        <v>4036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s="8" t="s">
        <v>533</v>
      </c>
      <c r="E246" s="8" t="s">
        <v>1607</v>
      </c>
      <c r="F246" s="8" t="s">
        <v>58</v>
      </c>
      <c r="H246" s="8" t="s">
        <v>2958</v>
      </c>
      <c r="I246" s="8" t="s">
        <v>4037</v>
      </c>
      <c r="J246" s="8" t="s">
        <v>2985</v>
      </c>
      <c r="K246" t="s">
        <v>4038</v>
      </c>
      <c r="L246" t="s">
        <v>4039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s="8" t="s">
        <v>533</v>
      </c>
      <c r="E247" s="8" t="s">
        <v>1607</v>
      </c>
      <c r="F247" s="8" t="s">
        <v>58</v>
      </c>
      <c r="H247" s="8" t="s">
        <v>2958</v>
      </c>
      <c r="I247" s="8" t="s">
        <v>4040</v>
      </c>
      <c r="J247" s="8" t="s">
        <v>2985</v>
      </c>
      <c r="K247" t="s">
        <v>4041</v>
      </c>
      <c r="L247" t="s">
        <v>4042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s="8" t="s">
        <v>533</v>
      </c>
      <c r="E248" s="8" t="s">
        <v>1607</v>
      </c>
      <c r="F248" s="8" t="s">
        <v>58</v>
      </c>
      <c r="H248" s="8" t="s">
        <v>2958</v>
      </c>
      <c r="I248" s="8" t="s">
        <v>4043</v>
      </c>
      <c r="J248" s="8" t="s">
        <v>2985</v>
      </c>
      <c r="K248" t="s">
        <v>4044</v>
      </c>
      <c r="L248" t="s">
        <v>4045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s="8" t="s">
        <v>533</v>
      </c>
      <c r="E249" s="8" t="s">
        <v>1607</v>
      </c>
      <c r="F249" s="8" t="s">
        <v>58</v>
      </c>
      <c r="H249" s="8" t="s">
        <v>2958</v>
      </c>
      <c r="I249" s="8" t="s">
        <v>4046</v>
      </c>
      <c r="J249" s="8" t="s">
        <v>2985</v>
      </c>
      <c r="K249" t="s">
        <v>4047</v>
      </c>
      <c r="L249" t="s">
        <v>4048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s="8" t="s">
        <v>533</v>
      </c>
      <c r="E250" s="8" t="s">
        <v>1607</v>
      </c>
      <c r="F250" s="8" t="s">
        <v>58</v>
      </c>
      <c r="H250" s="8" t="s">
        <v>2958</v>
      </c>
      <c r="I250" s="8" t="s">
        <v>4049</v>
      </c>
      <c r="J250" s="8" t="s">
        <v>2985</v>
      </c>
      <c r="K250" t="s">
        <v>4050</v>
      </c>
      <c r="L250" t="s">
        <v>4051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s="8" t="s">
        <v>533</v>
      </c>
      <c r="E251" s="8" t="s">
        <v>1607</v>
      </c>
      <c r="F251" s="8" t="s">
        <v>58</v>
      </c>
      <c r="H251" s="8" t="s">
        <v>2958</v>
      </c>
      <c r="I251" s="8" t="s">
        <v>4052</v>
      </c>
      <c r="J251" s="8" t="s">
        <v>2985</v>
      </c>
      <c r="K251" t="s">
        <v>4053</v>
      </c>
      <c r="L251" t="s">
        <v>4054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s="8" t="s">
        <v>533</v>
      </c>
      <c r="E252" s="8" t="s">
        <v>1607</v>
      </c>
      <c r="F252" s="8" t="s">
        <v>58</v>
      </c>
      <c r="H252" s="8" t="s">
        <v>2958</v>
      </c>
      <c r="I252" s="8" t="s">
        <v>4055</v>
      </c>
      <c r="J252" s="8" t="s">
        <v>2985</v>
      </c>
      <c r="K252" t="s">
        <v>4056</v>
      </c>
      <c r="L252" t="s">
        <v>4057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s="8" t="s">
        <v>533</v>
      </c>
      <c r="E253" s="8" t="s">
        <v>1607</v>
      </c>
      <c r="F253" s="8" t="s">
        <v>58</v>
      </c>
      <c r="H253" s="8" t="s">
        <v>2958</v>
      </c>
      <c r="I253" s="8" t="s">
        <v>4058</v>
      </c>
      <c r="J253" s="8" t="s">
        <v>2985</v>
      </c>
      <c r="K253" t="s">
        <v>4059</v>
      </c>
      <c r="L253" t="s">
        <v>4060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s="8" t="s">
        <v>533</v>
      </c>
      <c r="E254" s="8" t="s">
        <v>1607</v>
      </c>
      <c r="F254" s="8" t="s">
        <v>58</v>
      </c>
      <c r="H254" s="8" t="s">
        <v>2958</v>
      </c>
      <c r="I254" s="8" t="s">
        <v>4061</v>
      </c>
      <c r="J254" s="8" t="s">
        <v>2985</v>
      </c>
      <c r="K254" t="s">
        <v>4062</v>
      </c>
      <c r="L254" t="s">
        <v>4063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s="8" t="s">
        <v>533</v>
      </c>
      <c r="E255" s="8" t="s">
        <v>1607</v>
      </c>
      <c r="F255" s="8" t="s">
        <v>58</v>
      </c>
      <c r="H255" s="8" t="s">
        <v>2958</v>
      </c>
      <c r="I255" s="8" t="s">
        <v>4064</v>
      </c>
      <c r="J255" s="8" t="s">
        <v>2985</v>
      </c>
      <c r="K255" t="s">
        <v>4065</v>
      </c>
      <c r="L255" t="s">
        <v>4066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s="8" t="s">
        <v>533</v>
      </c>
      <c r="E256" s="8" t="s">
        <v>1607</v>
      </c>
      <c r="F256" s="8" t="s">
        <v>1099</v>
      </c>
      <c r="H256" s="8" t="s">
        <v>1620</v>
      </c>
      <c r="I256" s="8" t="s">
        <v>4067</v>
      </c>
      <c r="J256" s="8" t="s">
        <v>2985</v>
      </c>
      <c r="K256" t="s">
        <v>4068</v>
      </c>
      <c r="L256" t="s">
        <v>4069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s="8" t="s">
        <v>2004</v>
      </c>
      <c r="E257" s="8"/>
      <c r="F257" s="8"/>
      <c r="H257" s="8"/>
      <c r="I257" s="8" t="s">
        <v>4285</v>
      </c>
      <c r="J257" s="8" t="s">
        <v>2985</v>
      </c>
      <c r="K257" t="s">
        <v>4286</v>
      </c>
      <c r="L257" t="s">
        <v>4287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s="8" t="s">
        <v>533</v>
      </c>
      <c r="E258" s="8" t="s">
        <v>1607</v>
      </c>
      <c r="F258" s="8" t="s">
        <v>1099</v>
      </c>
      <c r="H258" s="8" t="s">
        <v>1620</v>
      </c>
      <c r="I258" s="8" t="s">
        <v>4831</v>
      </c>
      <c r="J258" s="8" t="s">
        <v>2985</v>
      </c>
      <c r="K258" t="s">
        <v>4832</v>
      </c>
      <c r="L258" t="s">
        <v>4833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s="8" t="s">
        <v>4</v>
      </c>
      <c r="E259" s="8" t="s">
        <v>8</v>
      </c>
      <c r="F259" s="8"/>
      <c r="H259" s="8"/>
      <c r="I259" s="8" t="s">
        <v>4834</v>
      </c>
      <c r="J259" s="8" t="s">
        <v>2985</v>
      </c>
      <c r="K259" t="s">
        <v>4835</v>
      </c>
      <c r="L259" t="s">
        <v>4836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s="8" t="s">
        <v>533</v>
      </c>
      <c r="E260" s="8" t="s">
        <v>531</v>
      </c>
      <c r="F260" s="8" t="s">
        <v>58</v>
      </c>
      <c r="H260" s="8" t="s">
        <v>4236</v>
      </c>
      <c r="I260" s="8" t="s">
        <v>4837</v>
      </c>
      <c r="J260" s="8" t="s">
        <v>2985</v>
      </c>
      <c r="K260" t="s">
        <v>4838</v>
      </c>
      <c r="L260" t="s">
        <v>4839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s="8" t="s">
        <v>4</v>
      </c>
      <c r="E261" s="8" t="s">
        <v>8</v>
      </c>
      <c r="F261" s="8"/>
      <c r="H261" s="8"/>
      <c r="I261" s="8" t="s">
        <v>4840</v>
      </c>
      <c r="J261" s="8" t="s">
        <v>2985</v>
      </c>
      <c r="K261" t="s">
        <v>4841</v>
      </c>
      <c r="L261" t="s">
        <v>4842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s="8" t="s">
        <v>533</v>
      </c>
      <c r="E262" s="8" t="s">
        <v>531</v>
      </c>
      <c r="F262" s="8" t="s">
        <v>58</v>
      </c>
      <c r="H262" s="8" t="s">
        <v>4236</v>
      </c>
      <c r="I262" s="8" t="s">
        <v>4843</v>
      </c>
      <c r="J262" s="8" t="s">
        <v>2985</v>
      </c>
      <c r="K262" t="s">
        <v>4844</v>
      </c>
      <c r="L262" t="s">
        <v>4845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s="8" t="s">
        <v>289</v>
      </c>
      <c r="E263" s="8" t="s">
        <v>86</v>
      </c>
      <c r="F263" s="8" t="s">
        <v>4240</v>
      </c>
      <c r="H263" s="8"/>
      <c r="I263" s="8" t="s">
        <v>4846</v>
      </c>
      <c r="J263" s="8" t="s">
        <v>2985</v>
      </c>
      <c r="K263" t="s">
        <v>4847</v>
      </c>
      <c r="L263" t="s">
        <v>4848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s="8" t="s">
        <v>289</v>
      </c>
      <c r="E264" s="8" t="s">
        <v>86</v>
      </c>
      <c r="F264" s="8" t="s">
        <v>4240</v>
      </c>
      <c r="H264" s="8" t="s">
        <v>2936</v>
      </c>
      <c r="I264" s="8" t="s">
        <v>4849</v>
      </c>
      <c r="J264" s="8" t="s">
        <v>2985</v>
      </c>
      <c r="K264" t="s">
        <v>4850</v>
      </c>
      <c r="L264" t="s">
        <v>4851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s="8" t="s">
        <v>289</v>
      </c>
      <c r="E265" s="8" t="s">
        <v>86</v>
      </c>
      <c r="F265" s="8" t="s">
        <v>4240</v>
      </c>
      <c r="H265" s="8"/>
      <c r="I265" s="8" t="s">
        <v>4852</v>
      </c>
      <c r="J265" s="8" t="s">
        <v>2985</v>
      </c>
      <c r="K265" t="s">
        <v>4853</v>
      </c>
      <c r="L265" t="s">
        <v>4854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s="8" t="s">
        <v>4241</v>
      </c>
      <c r="E266" s="8" t="s">
        <v>86</v>
      </c>
      <c r="F266" s="8" t="s">
        <v>4240</v>
      </c>
      <c r="H266" s="8" t="s">
        <v>4236</v>
      </c>
      <c r="I266" s="8" t="s">
        <v>4855</v>
      </c>
      <c r="J266" s="8" t="s">
        <v>2985</v>
      </c>
      <c r="K266" t="s">
        <v>4856</v>
      </c>
      <c r="L266" t="s">
        <v>4857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s="8" t="s">
        <v>533</v>
      </c>
      <c r="E267" s="8" t="s">
        <v>531</v>
      </c>
      <c r="F267" s="8" t="s">
        <v>58</v>
      </c>
      <c r="H267" s="8" t="s">
        <v>4236</v>
      </c>
      <c r="I267" s="8" t="s">
        <v>4858</v>
      </c>
      <c r="J267" s="8" t="s">
        <v>2985</v>
      </c>
      <c r="K267" t="s">
        <v>4859</v>
      </c>
      <c r="L267" t="s">
        <v>4860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s="8" t="s">
        <v>533</v>
      </c>
      <c r="E268" s="8" t="s">
        <v>531</v>
      </c>
      <c r="F268" s="8" t="s">
        <v>58</v>
      </c>
      <c r="H268" s="8" t="s">
        <v>4236</v>
      </c>
      <c r="I268" s="8" t="s">
        <v>4861</v>
      </c>
      <c r="J268" s="8" t="s">
        <v>2985</v>
      </c>
      <c r="K268" t="s">
        <v>4862</v>
      </c>
      <c r="L268" t="s">
        <v>4863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s="8" t="s">
        <v>533</v>
      </c>
      <c r="E269" s="8" t="s">
        <v>531</v>
      </c>
      <c r="F269" s="8" t="s">
        <v>58</v>
      </c>
      <c r="H269" s="8" t="s">
        <v>4236</v>
      </c>
      <c r="I269" s="8" t="s">
        <v>4864</v>
      </c>
      <c r="J269" s="8" t="s">
        <v>2985</v>
      </c>
      <c r="K269" t="s">
        <v>4865</v>
      </c>
      <c r="L269" t="s">
        <v>4866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s="8" t="s">
        <v>289</v>
      </c>
      <c r="E270" s="8" t="s">
        <v>86</v>
      </c>
      <c r="F270" s="8" t="s">
        <v>4240</v>
      </c>
      <c r="H270" s="8"/>
      <c r="I270" s="8" t="s">
        <v>4867</v>
      </c>
      <c r="J270" s="8" t="s">
        <v>2985</v>
      </c>
      <c r="K270" t="s">
        <v>4868</v>
      </c>
      <c r="L270" t="s">
        <v>4869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s="8" t="s">
        <v>4241</v>
      </c>
      <c r="E271" s="8" t="s">
        <v>86</v>
      </c>
      <c r="F271" s="8" t="s">
        <v>4240</v>
      </c>
      <c r="H271" s="8" t="s">
        <v>4236</v>
      </c>
      <c r="I271" s="8" t="s">
        <v>4870</v>
      </c>
      <c r="J271" s="8" t="s">
        <v>2985</v>
      </c>
      <c r="K271" t="s">
        <v>4871</v>
      </c>
      <c r="L271" t="s">
        <v>4872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s="8" t="s">
        <v>533</v>
      </c>
      <c r="E272" s="8" t="s">
        <v>531</v>
      </c>
      <c r="F272" s="8" t="s">
        <v>58</v>
      </c>
      <c r="H272" s="8" t="s">
        <v>4236</v>
      </c>
      <c r="I272" s="8" t="s">
        <v>4873</v>
      </c>
      <c r="J272" s="8" t="s">
        <v>2985</v>
      </c>
      <c r="K272" t="s">
        <v>4874</v>
      </c>
      <c r="L272" t="s">
        <v>4875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s="8" t="s">
        <v>533</v>
      </c>
      <c r="E273" s="8" t="s">
        <v>531</v>
      </c>
      <c r="F273" s="8" t="s">
        <v>58</v>
      </c>
      <c r="H273" s="8" t="s">
        <v>4236</v>
      </c>
      <c r="I273" s="8" t="s">
        <v>4876</v>
      </c>
      <c r="J273" s="8" t="s">
        <v>2985</v>
      </c>
      <c r="K273" t="s">
        <v>4877</v>
      </c>
      <c r="L273" t="s">
        <v>4878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s="8" t="s">
        <v>289</v>
      </c>
      <c r="E274" s="8" t="s">
        <v>86</v>
      </c>
      <c r="F274" s="8" t="s">
        <v>4240</v>
      </c>
      <c r="H274" s="8"/>
      <c r="I274" s="8" t="s">
        <v>4879</v>
      </c>
      <c r="J274" s="8" t="s">
        <v>2985</v>
      </c>
      <c r="K274" t="s">
        <v>4880</v>
      </c>
      <c r="L274" t="s">
        <v>4881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s="8" t="s">
        <v>4241</v>
      </c>
      <c r="E275" s="8" t="s">
        <v>86</v>
      </c>
      <c r="F275" s="8" t="s">
        <v>4240</v>
      </c>
      <c r="H275" s="8" t="s">
        <v>4236</v>
      </c>
      <c r="I275" s="8" t="s">
        <v>4882</v>
      </c>
      <c r="J275" s="8" t="s">
        <v>2985</v>
      </c>
      <c r="K275" t="s">
        <v>4883</v>
      </c>
      <c r="L275" t="s">
        <v>4884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s="8" t="s">
        <v>533</v>
      </c>
      <c r="E276" s="8" t="s">
        <v>531</v>
      </c>
      <c r="F276" s="8" t="s">
        <v>1099</v>
      </c>
      <c r="H276" s="8" t="s">
        <v>4236</v>
      </c>
      <c r="I276" s="8" t="s">
        <v>4885</v>
      </c>
      <c r="J276" s="8" t="s">
        <v>2985</v>
      </c>
      <c r="K276" t="s">
        <v>4886</v>
      </c>
      <c r="L276" t="s">
        <v>4887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s="8" t="s">
        <v>533</v>
      </c>
      <c r="E277" s="8" t="s">
        <v>531</v>
      </c>
      <c r="F277" s="8" t="s">
        <v>58</v>
      </c>
      <c r="H277" s="8" t="s">
        <v>4236</v>
      </c>
      <c r="I277" s="8" t="s">
        <v>4888</v>
      </c>
      <c r="J277" s="8" t="s">
        <v>2985</v>
      </c>
      <c r="K277" t="s">
        <v>4889</v>
      </c>
      <c r="L277" t="s">
        <v>4890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s="8" t="s">
        <v>4227</v>
      </c>
      <c r="E278" s="8" t="s">
        <v>531</v>
      </c>
      <c r="F278" s="8" t="s">
        <v>4233</v>
      </c>
      <c r="H278" s="8" t="s">
        <v>2957</v>
      </c>
      <c r="I278" s="8" t="s">
        <v>4891</v>
      </c>
      <c r="J278" s="8" t="s">
        <v>2985</v>
      </c>
      <c r="K278" t="s">
        <v>4892</v>
      </c>
      <c r="L278" t="s">
        <v>4893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s="8" t="s">
        <v>4</v>
      </c>
      <c r="E279" s="8" t="s">
        <v>8</v>
      </c>
      <c r="F279" s="8"/>
      <c r="H279" s="8"/>
      <c r="I279" s="8" t="s">
        <v>4894</v>
      </c>
      <c r="J279" s="8" t="s">
        <v>2985</v>
      </c>
      <c r="K279" t="s">
        <v>4895</v>
      </c>
      <c r="L279" t="s">
        <v>4896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s="8" t="s">
        <v>2004</v>
      </c>
      <c r="E280" s="8" t="s">
        <v>8</v>
      </c>
      <c r="F280" s="8"/>
      <c r="H280" s="8"/>
      <c r="I280" s="8" t="s">
        <v>4897</v>
      </c>
      <c r="J280" s="8" t="s">
        <v>2985</v>
      </c>
      <c r="K280" t="s">
        <v>4898</v>
      </c>
      <c r="L280" t="s">
        <v>4899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s="8" t="s">
        <v>4</v>
      </c>
      <c r="E281" s="8" t="s">
        <v>8</v>
      </c>
      <c r="F281" s="8"/>
      <c r="H281" s="8"/>
      <c r="I281" s="8" t="s">
        <v>5181</v>
      </c>
      <c r="J281" s="8" t="s">
        <v>2985</v>
      </c>
      <c r="K281" t="s">
        <v>5182</v>
      </c>
      <c r="L281" t="s">
        <v>5183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s="8" t="s">
        <v>1606</v>
      </c>
      <c r="E282" s="8" t="s">
        <v>5263</v>
      </c>
      <c r="F282" s="8" t="s">
        <v>51</v>
      </c>
      <c r="H282" s="8"/>
      <c r="I282" s="8" t="s">
        <v>5184</v>
      </c>
      <c r="J282" s="8" t="s">
        <v>2985</v>
      </c>
      <c r="K282" t="s">
        <v>5185</v>
      </c>
      <c r="L282" t="s">
        <v>5186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s="8" t="s">
        <v>289</v>
      </c>
      <c r="E283" s="8" t="s">
        <v>5263</v>
      </c>
      <c r="F283" s="8" t="s">
        <v>4233</v>
      </c>
      <c r="H283" s="8"/>
      <c r="I283" s="8" t="s">
        <v>5187</v>
      </c>
      <c r="J283" s="8" t="s">
        <v>2985</v>
      </c>
      <c r="K283" t="s">
        <v>5188</v>
      </c>
      <c r="L283" t="s">
        <v>5189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s="8" t="s">
        <v>289</v>
      </c>
      <c r="E284" s="8" t="s">
        <v>5263</v>
      </c>
      <c r="F284" s="8" t="s">
        <v>4233</v>
      </c>
      <c r="H284" s="8" t="s">
        <v>2936</v>
      </c>
      <c r="I284" s="8" t="s">
        <v>5190</v>
      </c>
      <c r="J284" s="8" t="s">
        <v>2985</v>
      </c>
      <c r="K284" t="s">
        <v>5191</v>
      </c>
      <c r="L284" t="s">
        <v>5192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s="8" t="s">
        <v>4232</v>
      </c>
      <c r="E285" s="8" t="s">
        <v>5263</v>
      </c>
      <c r="F285" s="8" t="s">
        <v>4233</v>
      </c>
      <c r="H285" s="8"/>
      <c r="I285" s="8" t="s">
        <v>5193</v>
      </c>
      <c r="J285" s="8" t="s">
        <v>2985</v>
      </c>
      <c r="K285" t="s">
        <v>5194</v>
      </c>
      <c r="L285" t="s">
        <v>5195</v>
      </c>
      <c r="M285" s="3" t="str">
        <f>HYPERLINK(склад2въезд131920212223[[#This Row],[RelativePath]])</f>
        <v>10 Сушилка навес\E33149364_3_20251207T144249Z.jpg</v>
      </c>
    </row>
    <row r="286" spans="1:13" x14ac:dyDescent="0.25">
      <c r="A286" s="2" t="s">
        <v>13</v>
      </c>
      <c r="B286" s="4">
        <v>45999</v>
      </c>
      <c r="C286" s="5">
        <v>0.38292824074074072</v>
      </c>
      <c r="D286" s="8" t="s">
        <v>289</v>
      </c>
      <c r="E286" s="8" t="s">
        <v>86</v>
      </c>
      <c r="F286" s="8" t="s">
        <v>4240</v>
      </c>
      <c r="H286" s="8"/>
      <c r="I286" s="8" t="s">
        <v>5385</v>
      </c>
      <c r="J286" s="8" t="s">
        <v>2985</v>
      </c>
      <c r="K286" t="s">
        <v>5386</v>
      </c>
      <c r="L286" t="s">
        <v>5387</v>
      </c>
      <c r="M286" s="3" t="str">
        <f>HYPERLINK(склад2въезд131920212223[[#This Row],[RelativePath]])</f>
        <v>10 Сушилка навес\E33149364_3_20251208T091125Z.jpg</v>
      </c>
    </row>
    <row r="287" spans="1:13" x14ac:dyDescent="0.25">
      <c r="A287" s="2" t="s">
        <v>13</v>
      </c>
      <c r="B287" s="4">
        <v>45999</v>
      </c>
      <c r="C287" s="5">
        <v>0.38321759259259258</v>
      </c>
      <c r="D287" s="8" t="s">
        <v>4241</v>
      </c>
      <c r="E287" s="8" t="s">
        <v>86</v>
      </c>
      <c r="F287" s="8" t="s">
        <v>4240</v>
      </c>
      <c r="H287" s="8"/>
      <c r="I287" s="8" t="s">
        <v>5388</v>
      </c>
      <c r="J287" s="8" t="s">
        <v>2985</v>
      </c>
      <c r="K287" t="s">
        <v>5389</v>
      </c>
      <c r="L287" t="s">
        <v>5390</v>
      </c>
      <c r="M287" s="3" t="str">
        <f>HYPERLINK(склад2въезд131920212223[[#This Row],[RelativePath]])</f>
        <v>10 Сушилка навес\E33149364_3_20251208T091150Z.jpg</v>
      </c>
    </row>
    <row r="288" spans="1:13" x14ac:dyDescent="0.25">
      <c r="A288" s="2" t="s">
        <v>13</v>
      </c>
      <c r="B288" s="4">
        <v>45999</v>
      </c>
      <c r="C288" s="5">
        <v>0.38679398148148147</v>
      </c>
      <c r="D288" s="8" t="s">
        <v>533</v>
      </c>
      <c r="E288" s="8" t="s">
        <v>531</v>
      </c>
      <c r="F288" s="8" t="s">
        <v>1099</v>
      </c>
      <c r="H288" s="8" t="s">
        <v>1620</v>
      </c>
      <c r="I288" s="8" t="s">
        <v>5391</v>
      </c>
      <c r="J288" s="8" t="s">
        <v>2985</v>
      </c>
      <c r="K288" t="s">
        <v>5392</v>
      </c>
      <c r="L288" t="s">
        <v>5393</v>
      </c>
      <c r="M288" s="3" t="str">
        <f>HYPERLINK(склад2въезд131920212223[[#This Row],[RelativePath]])</f>
        <v>10 Сушилка навес\E33149364_3_20251208T091659Z.jpg</v>
      </c>
    </row>
    <row r="289" spans="1:13" x14ac:dyDescent="0.25">
      <c r="A289" s="2" t="s">
        <v>13</v>
      </c>
      <c r="B289" s="4">
        <v>45999</v>
      </c>
      <c r="C289" s="5">
        <v>0.39261574074074074</v>
      </c>
      <c r="D289" s="8" t="s">
        <v>4</v>
      </c>
      <c r="E289" s="8" t="s">
        <v>8</v>
      </c>
      <c r="F289" s="8"/>
      <c r="H289" s="8"/>
      <c r="I289" s="8" t="s">
        <v>5394</v>
      </c>
      <c r="J289" s="8" t="s">
        <v>2985</v>
      </c>
      <c r="K289" t="s">
        <v>5395</v>
      </c>
      <c r="L289" t="s">
        <v>5268</v>
      </c>
      <c r="M289" s="3" t="str">
        <f>HYPERLINK(склад2въезд131920212223[[#This Row],[RelativePath]])</f>
        <v>10 Сушилка навес\E33149364_3_20251208T092522Z.jpg</v>
      </c>
    </row>
    <row r="290" spans="1:13" x14ac:dyDescent="0.25">
      <c r="A290" s="2" t="s">
        <v>13</v>
      </c>
      <c r="B290" s="4">
        <v>45999</v>
      </c>
      <c r="C290" s="5">
        <v>0.39297453703703705</v>
      </c>
      <c r="D290" s="8" t="s">
        <v>533</v>
      </c>
      <c r="E290" s="8" t="s">
        <v>531</v>
      </c>
      <c r="F290" s="8" t="s">
        <v>58</v>
      </c>
      <c r="H290" s="8" t="s">
        <v>4236</v>
      </c>
      <c r="I290" s="8" t="s">
        <v>5396</v>
      </c>
      <c r="J290" s="8" t="s">
        <v>2985</v>
      </c>
      <c r="K290" t="s">
        <v>5397</v>
      </c>
      <c r="L290" t="s">
        <v>5398</v>
      </c>
      <c r="M290" s="3" t="str">
        <f>HYPERLINK(склад2въезд131920212223[[#This Row],[RelativePath]])</f>
        <v>10 Сушилка навес\E33149364_3_20251208T092553Z.jpg</v>
      </c>
    </row>
    <row r="291" spans="1:13" x14ac:dyDescent="0.25">
      <c r="A291" s="2" t="s">
        <v>13</v>
      </c>
      <c r="B291" s="4">
        <v>45999</v>
      </c>
      <c r="C291" s="5">
        <v>0.39328703703703705</v>
      </c>
      <c r="D291" s="8" t="s">
        <v>533</v>
      </c>
      <c r="E291" s="8" t="s">
        <v>531</v>
      </c>
      <c r="F291" s="8" t="s">
        <v>58</v>
      </c>
      <c r="H291" s="8" t="s">
        <v>4236</v>
      </c>
      <c r="I291" s="8" t="s">
        <v>5399</v>
      </c>
      <c r="J291" s="8" t="s">
        <v>2985</v>
      </c>
      <c r="K291" t="s">
        <v>5400</v>
      </c>
      <c r="L291" t="s">
        <v>5401</v>
      </c>
      <c r="M291" s="3" t="str">
        <f>HYPERLINK(склад2въезд131920212223[[#This Row],[RelativePath]])</f>
        <v>10 Сушилка навес\E33149364_3_20251208T092620Z.jpg</v>
      </c>
    </row>
    <row r="292" spans="1:13" x14ac:dyDescent="0.25">
      <c r="A292" s="2" t="s">
        <v>13</v>
      </c>
      <c r="B292" s="4">
        <v>45999</v>
      </c>
      <c r="C292" s="5">
        <v>0.39341435185185186</v>
      </c>
      <c r="D292" s="8" t="s">
        <v>533</v>
      </c>
      <c r="E292" s="8" t="s">
        <v>531</v>
      </c>
      <c r="F292" s="8" t="s">
        <v>58</v>
      </c>
      <c r="H292" s="8" t="s">
        <v>4236</v>
      </c>
      <c r="I292" s="8" t="s">
        <v>5402</v>
      </c>
      <c r="J292" s="8" t="s">
        <v>2985</v>
      </c>
      <c r="K292" t="s">
        <v>5403</v>
      </c>
      <c r="L292" t="s">
        <v>5404</v>
      </c>
      <c r="M292" s="3" t="str">
        <f>HYPERLINK(склад2въезд131920212223[[#This Row],[RelativePath]])</f>
        <v>10 Сушилка навес\E33149364_3_20251208T092631Z.jpg</v>
      </c>
    </row>
    <row r="293" spans="1:13" x14ac:dyDescent="0.25">
      <c r="A293" s="2" t="s">
        <v>13</v>
      </c>
      <c r="B293" s="4">
        <v>45999</v>
      </c>
      <c r="C293" s="5">
        <v>0.39350694444444445</v>
      </c>
      <c r="D293" s="8" t="s">
        <v>533</v>
      </c>
      <c r="E293" s="8" t="s">
        <v>531</v>
      </c>
      <c r="F293" s="8" t="s">
        <v>58</v>
      </c>
      <c r="H293" s="8" t="s">
        <v>4236</v>
      </c>
      <c r="I293" s="8" t="s">
        <v>5405</v>
      </c>
      <c r="J293" s="8" t="s">
        <v>2985</v>
      </c>
      <c r="K293" t="s">
        <v>5406</v>
      </c>
      <c r="L293" t="s">
        <v>5407</v>
      </c>
      <c r="M293" s="3" t="str">
        <f>HYPERLINK(склад2въезд131920212223[[#This Row],[RelativePath]])</f>
        <v>10 Сушилка навес\E33149364_3_20251208T092639Z.jpg</v>
      </c>
    </row>
    <row r="294" spans="1:13" x14ac:dyDescent="0.25">
      <c r="A294" s="2" t="s">
        <v>13</v>
      </c>
      <c r="B294" s="4">
        <v>45999</v>
      </c>
      <c r="C294" s="5">
        <v>0.39398148148148149</v>
      </c>
      <c r="D294" s="8" t="s">
        <v>533</v>
      </c>
      <c r="E294" s="8" t="s">
        <v>531</v>
      </c>
      <c r="F294" s="8" t="s">
        <v>58</v>
      </c>
      <c r="H294" s="8" t="s">
        <v>4236</v>
      </c>
      <c r="I294" s="8" t="s">
        <v>5408</v>
      </c>
      <c r="J294" s="8" t="s">
        <v>2985</v>
      </c>
      <c r="K294" t="s">
        <v>5409</v>
      </c>
      <c r="L294" t="s">
        <v>5410</v>
      </c>
      <c r="M294" s="3" t="str">
        <f>HYPERLINK(склад2въезд131920212223[[#This Row],[RelativePath]])</f>
        <v>10 Сушилка навес\E33149364_3_20251208T092720Z.jpg</v>
      </c>
    </row>
    <row r="295" spans="1:13" x14ac:dyDescent="0.25">
      <c r="A295" s="2" t="s">
        <v>13</v>
      </c>
      <c r="B295" s="4">
        <v>45999</v>
      </c>
      <c r="C295" s="5">
        <v>0.4160300925925926</v>
      </c>
      <c r="D295" s="8" t="s">
        <v>4223</v>
      </c>
      <c r="E295" s="8" t="s">
        <v>86</v>
      </c>
      <c r="F295" s="8" t="s">
        <v>58</v>
      </c>
      <c r="H295" s="8"/>
      <c r="I295" s="8" t="s">
        <v>5411</v>
      </c>
      <c r="J295" s="8" t="s">
        <v>2985</v>
      </c>
      <c r="K295" t="s">
        <v>5412</v>
      </c>
      <c r="L295" t="s">
        <v>5413</v>
      </c>
      <c r="M295" s="3" t="str">
        <f>HYPERLINK(склад2въезд131920212223[[#This Row],[RelativePath]])</f>
        <v>10 Сушилка навес\E33149364_3_20251208T095905Z.jpg</v>
      </c>
    </row>
    <row r="296" spans="1:13" x14ac:dyDescent="0.25">
      <c r="A296" s="2" t="s">
        <v>13</v>
      </c>
      <c r="B296" s="4">
        <v>45999</v>
      </c>
      <c r="C296" s="5">
        <v>0.41706018518518517</v>
      </c>
      <c r="D296" s="8" t="s">
        <v>4223</v>
      </c>
      <c r="E296" s="8" t="s">
        <v>86</v>
      </c>
      <c r="F296" s="8" t="s">
        <v>58</v>
      </c>
      <c r="H296" s="8" t="s">
        <v>2954</v>
      </c>
      <c r="I296" s="8" t="s">
        <v>5414</v>
      </c>
      <c r="J296" s="8" t="s">
        <v>2985</v>
      </c>
      <c r="K296" t="s">
        <v>5415</v>
      </c>
      <c r="L296" t="s">
        <v>5416</v>
      </c>
      <c r="M296" s="3" t="str">
        <f>HYPERLINK(склад2въезд131920212223[[#This Row],[RelativePath]])</f>
        <v>10 Сушилка навес\E33149364_3_20251208T100034Z.jpg</v>
      </c>
    </row>
    <row r="297" spans="1:13" x14ac:dyDescent="0.25">
      <c r="A297" s="2" t="s">
        <v>13</v>
      </c>
      <c r="B297" s="4">
        <v>45999</v>
      </c>
      <c r="C297" s="5">
        <v>0.41962962962962963</v>
      </c>
      <c r="D297" s="8" t="s">
        <v>4223</v>
      </c>
      <c r="E297" s="8" t="s">
        <v>86</v>
      </c>
      <c r="F297" s="8" t="s">
        <v>58</v>
      </c>
      <c r="H297" s="8"/>
      <c r="I297" s="8" t="s">
        <v>5417</v>
      </c>
      <c r="J297" s="8" t="s">
        <v>2985</v>
      </c>
      <c r="K297" t="s">
        <v>5418</v>
      </c>
      <c r="L297" t="s">
        <v>5419</v>
      </c>
      <c r="M297" s="3" t="str">
        <f>HYPERLINK(склад2въезд131920212223[[#This Row],[RelativePath]])</f>
        <v>10 Сушилка навес\E33149364_3_20251208T100416Z.jpg</v>
      </c>
    </row>
    <row r="298" spans="1:13" x14ac:dyDescent="0.25">
      <c r="A298" s="2" t="s">
        <v>13</v>
      </c>
      <c r="B298" s="4">
        <v>45999</v>
      </c>
      <c r="C298" s="5">
        <v>0.41980324074074077</v>
      </c>
      <c r="D298" s="8" t="s">
        <v>4223</v>
      </c>
      <c r="E298" s="8" t="s">
        <v>86</v>
      </c>
      <c r="F298" s="8" t="s">
        <v>58</v>
      </c>
      <c r="H298" s="8" t="s">
        <v>2954</v>
      </c>
      <c r="I298" s="8" t="s">
        <v>5420</v>
      </c>
      <c r="J298" s="8" t="s">
        <v>2985</v>
      </c>
      <c r="K298" t="s">
        <v>5421</v>
      </c>
      <c r="L298" t="s">
        <v>5422</v>
      </c>
      <c r="M298" s="3" t="str">
        <f>HYPERLINK(склад2въезд131920212223[[#This Row],[RelativePath]])</f>
        <v>10 Сушилка навес\E33149364_3_20251208T100431Z.jpg</v>
      </c>
    </row>
    <row r="299" spans="1:13" x14ac:dyDescent="0.25">
      <c r="A299" s="2" t="s">
        <v>13</v>
      </c>
      <c r="B299" s="4">
        <v>45999</v>
      </c>
      <c r="C299" s="5">
        <v>0.42469907407407409</v>
      </c>
      <c r="D299" s="8" t="s">
        <v>4223</v>
      </c>
      <c r="E299" s="8" t="s">
        <v>86</v>
      </c>
      <c r="F299" s="8" t="s">
        <v>58</v>
      </c>
      <c r="H299" s="8"/>
      <c r="I299" s="8" t="s">
        <v>5423</v>
      </c>
      <c r="J299" s="8" t="s">
        <v>2985</v>
      </c>
      <c r="K299" t="s">
        <v>5424</v>
      </c>
      <c r="L299" t="s">
        <v>5425</v>
      </c>
      <c r="M299" s="3" t="str">
        <f>HYPERLINK(склад2въезд131920212223[[#This Row],[RelativePath]])</f>
        <v>10 Сушилка навес\E33149364_3_20251208T101134Z.jpg</v>
      </c>
    </row>
    <row r="300" spans="1:13" x14ac:dyDescent="0.25">
      <c r="A300" s="2" t="s">
        <v>13</v>
      </c>
      <c r="B300" s="4">
        <v>45999</v>
      </c>
      <c r="C300" s="5">
        <v>0.42531249999999998</v>
      </c>
      <c r="D300" s="8" t="s">
        <v>4223</v>
      </c>
      <c r="E300" s="8" t="s">
        <v>86</v>
      </c>
      <c r="F300" s="8" t="s">
        <v>58</v>
      </c>
      <c r="H300" s="8" t="s">
        <v>2936</v>
      </c>
      <c r="I300" s="8" t="s">
        <v>5426</v>
      </c>
      <c r="J300" s="8" t="s">
        <v>2985</v>
      </c>
      <c r="K300" t="s">
        <v>5427</v>
      </c>
      <c r="L300" t="s">
        <v>5428</v>
      </c>
      <c r="M300" s="3" t="str">
        <f>HYPERLINK(склад2въезд131920212223[[#This Row],[RelativePath]])</f>
        <v>10 Сушилка навес\E33149364_3_20251208T101227Z.jpg</v>
      </c>
    </row>
    <row r="301" spans="1:13" x14ac:dyDescent="0.25">
      <c r="A301" s="2" t="s">
        <v>13</v>
      </c>
      <c r="B301" s="4">
        <v>45999</v>
      </c>
      <c r="C301" s="5">
        <v>0.42561342592592594</v>
      </c>
      <c r="D301" s="8" t="s">
        <v>4223</v>
      </c>
      <c r="E301" s="8" t="s">
        <v>86</v>
      </c>
      <c r="F301" s="8" t="s">
        <v>58</v>
      </c>
      <c r="H301" s="8" t="s">
        <v>4236</v>
      </c>
      <c r="I301" s="8" t="s">
        <v>5429</v>
      </c>
      <c r="J301" s="8" t="s">
        <v>2985</v>
      </c>
      <c r="K301" t="s">
        <v>5430</v>
      </c>
      <c r="L301" t="s">
        <v>5431</v>
      </c>
      <c r="M301" s="3" t="str">
        <f>HYPERLINK(склад2въезд131920212223[[#This Row],[RelativePath]])</f>
        <v>10 Сушилка навес\E33149364_3_20251208T101253Z.jpg</v>
      </c>
    </row>
    <row r="302" spans="1:13" x14ac:dyDescent="0.25">
      <c r="A302" s="2" t="s">
        <v>13</v>
      </c>
      <c r="B302" s="4">
        <v>45999</v>
      </c>
      <c r="C302" s="5">
        <v>0.4620023148148148</v>
      </c>
      <c r="D302" s="8" t="s">
        <v>4223</v>
      </c>
      <c r="E302" s="8" t="s">
        <v>86</v>
      </c>
      <c r="F302" s="8" t="s">
        <v>58</v>
      </c>
      <c r="H302" s="8"/>
      <c r="I302" s="8" t="s">
        <v>5432</v>
      </c>
      <c r="J302" s="8" t="s">
        <v>2985</v>
      </c>
      <c r="K302" t="s">
        <v>5433</v>
      </c>
      <c r="L302" t="s">
        <v>5434</v>
      </c>
      <c r="M302" s="3" t="str">
        <f>HYPERLINK(склад2въезд131920212223[[#This Row],[RelativePath]])</f>
        <v>10 Сушилка навес\E33149364_3_20251208T110517Z.jpg</v>
      </c>
    </row>
    <row r="303" spans="1:13" x14ac:dyDescent="0.25">
      <c r="A303" s="2" t="s">
        <v>13</v>
      </c>
      <c r="B303" s="4">
        <v>45999</v>
      </c>
      <c r="C303" s="5">
        <v>0.46225694444444443</v>
      </c>
      <c r="D303" s="8" t="s">
        <v>4223</v>
      </c>
      <c r="E303" s="8" t="s">
        <v>86</v>
      </c>
      <c r="F303" s="8" t="s">
        <v>58</v>
      </c>
      <c r="H303" s="8" t="s">
        <v>2954</v>
      </c>
      <c r="I303" s="8" t="s">
        <v>5435</v>
      </c>
      <c r="J303" s="8" t="s">
        <v>2985</v>
      </c>
      <c r="K303" t="s">
        <v>5436</v>
      </c>
      <c r="L303" t="s">
        <v>5437</v>
      </c>
      <c r="M303" s="3" t="str">
        <f>HYPERLINK(склад2въезд131920212223[[#This Row],[RelativePath]])</f>
        <v>10 Сушилка навес\E33149364_3_20251208T110539Z.jpg</v>
      </c>
    </row>
    <row r="304" spans="1:13" x14ac:dyDescent="0.25">
      <c r="A304" s="2" t="s">
        <v>13</v>
      </c>
      <c r="B304" s="4">
        <v>45999</v>
      </c>
      <c r="C304" s="5">
        <v>0.46872685185185187</v>
      </c>
      <c r="D304" s="8" t="s">
        <v>533</v>
      </c>
      <c r="E304" s="8" t="s">
        <v>531</v>
      </c>
      <c r="F304" s="8" t="s">
        <v>58</v>
      </c>
      <c r="H304" s="8" t="s">
        <v>4236</v>
      </c>
      <c r="I304" s="8" t="s">
        <v>5438</v>
      </c>
      <c r="J304" s="8" t="s">
        <v>2985</v>
      </c>
      <c r="K304" t="s">
        <v>5439</v>
      </c>
      <c r="L304" t="s">
        <v>5440</v>
      </c>
      <c r="M304" s="3" t="str">
        <f>HYPERLINK(склад2въезд131920212223[[#This Row],[RelativePath]])</f>
        <v>10 Сушилка навес\E33149364_3_20251208T111458Z.jpg</v>
      </c>
    </row>
    <row r="305" spans="1:13" x14ac:dyDescent="0.25">
      <c r="A305" s="2" t="s">
        <v>13</v>
      </c>
      <c r="B305" s="4">
        <v>45999</v>
      </c>
      <c r="C305" s="5">
        <v>0.6012615740740741</v>
      </c>
      <c r="D305" s="8" t="s">
        <v>533</v>
      </c>
      <c r="E305" s="8" t="s">
        <v>531</v>
      </c>
      <c r="F305" s="8" t="s">
        <v>58</v>
      </c>
      <c r="H305" s="8" t="s">
        <v>4236</v>
      </c>
      <c r="I305" s="8" t="s">
        <v>5441</v>
      </c>
      <c r="J305" s="8" t="s">
        <v>2985</v>
      </c>
      <c r="K305" t="s">
        <v>5442</v>
      </c>
      <c r="L305" t="s">
        <v>5443</v>
      </c>
      <c r="M305" s="3" t="str">
        <f>HYPERLINK(склад2въезд131920212223[[#This Row],[RelativePath]])</f>
        <v>10 Сушилка навес\E33149364_3_20251208T142549Z.jpg</v>
      </c>
    </row>
    <row r="306" spans="1:13" x14ac:dyDescent="0.25">
      <c r="A306" s="2" t="s">
        <v>13</v>
      </c>
      <c r="B306" s="4">
        <v>45999</v>
      </c>
      <c r="C306" s="5">
        <v>0.63436342592592587</v>
      </c>
      <c r="D306" s="8" t="s">
        <v>4223</v>
      </c>
      <c r="E306" s="8" t="s">
        <v>86</v>
      </c>
      <c r="F306" s="8" t="s">
        <v>200</v>
      </c>
      <c r="H306" s="8" t="s">
        <v>1605</v>
      </c>
      <c r="I306" s="8" t="s">
        <v>5444</v>
      </c>
      <c r="J306" s="8" t="s">
        <v>2985</v>
      </c>
      <c r="K306" t="s">
        <v>5445</v>
      </c>
      <c r="L306" t="s">
        <v>5446</v>
      </c>
      <c r="M306" s="3" t="str">
        <f>HYPERLINK(склад2въезд131920212223[[#This Row],[RelativePath]])</f>
        <v>10 Сушилка навес\E33149364_3_20251208T151329Z.jpg</v>
      </c>
    </row>
    <row r="307" spans="1:13" x14ac:dyDescent="0.25">
      <c r="A307" s="2" t="s">
        <v>13</v>
      </c>
      <c r="B307" s="4">
        <v>45999</v>
      </c>
      <c r="C307" s="5">
        <v>0.64134259259259263</v>
      </c>
      <c r="D307" s="8" t="s">
        <v>4223</v>
      </c>
      <c r="E307" s="8" t="s">
        <v>86</v>
      </c>
      <c r="F307" s="8" t="s">
        <v>200</v>
      </c>
      <c r="H307" s="8" t="s">
        <v>1605</v>
      </c>
      <c r="I307" s="8" t="s">
        <v>5447</v>
      </c>
      <c r="J307" s="8" t="s">
        <v>2985</v>
      </c>
      <c r="K307" t="s">
        <v>5448</v>
      </c>
      <c r="L307" t="s">
        <v>5449</v>
      </c>
      <c r="M307" s="3" t="str">
        <f>HYPERLINK(склад2въезд131920212223[[#This Row],[RelativePath]])</f>
        <v>10 Сушилка навес\E33149364_3_20251208T152332Z.jpg</v>
      </c>
    </row>
    <row r="308" spans="1:13" x14ac:dyDescent="0.25">
      <c r="A308" s="2" t="s">
        <v>13</v>
      </c>
      <c r="B308" s="4">
        <v>45999</v>
      </c>
      <c r="C308" s="5">
        <v>0.7248148148148148</v>
      </c>
      <c r="D308" s="8" t="s">
        <v>4</v>
      </c>
      <c r="E308" s="8" t="s">
        <v>8</v>
      </c>
      <c r="F308" s="8"/>
      <c r="H308" s="8"/>
      <c r="I308" s="8" t="s">
        <v>5450</v>
      </c>
      <c r="J308" s="8" t="s">
        <v>2985</v>
      </c>
      <c r="K308" t="s">
        <v>5451</v>
      </c>
      <c r="L308" t="s">
        <v>5452</v>
      </c>
      <c r="M308" s="3" t="str">
        <f>HYPERLINK(склад2въезд131920212223[[#This Row],[RelativePath]])</f>
        <v>10 Сушилка навес\E33149364_3_20251208T172344Z.jpg</v>
      </c>
    </row>
    <row r="309" spans="1:13" x14ac:dyDescent="0.25">
      <c r="A309" s="2" t="s">
        <v>14</v>
      </c>
      <c r="B309" s="4">
        <v>46000</v>
      </c>
      <c r="C309" s="5">
        <v>0.37462962962962965</v>
      </c>
      <c r="D309" s="8" t="s">
        <v>4</v>
      </c>
      <c r="E309" s="8" t="s">
        <v>8</v>
      </c>
      <c r="F309" s="8"/>
      <c r="H309" s="8"/>
      <c r="I309" s="8" t="s">
        <v>5744</v>
      </c>
      <c r="J309" s="8" t="s">
        <v>2985</v>
      </c>
      <c r="K309" t="s">
        <v>5745</v>
      </c>
      <c r="L309" t="s">
        <v>5746</v>
      </c>
      <c r="M309" s="3" t="str">
        <f>HYPERLINK(склад2въезд131920212223[[#This Row],[RelativePath]])</f>
        <v>10 Сушилка навес\E33149364_3_20251209T085928Z.jpg</v>
      </c>
    </row>
    <row r="310" spans="1:13" x14ac:dyDescent="0.25">
      <c r="A310" s="2" t="s">
        <v>14</v>
      </c>
      <c r="B310" s="4">
        <v>46000</v>
      </c>
      <c r="C310" s="5">
        <v>0.4216550925925926</v>
      </c>
      <c r="D310" s="8" t="s">
        <v>4223</v>
      </c>
      <c r="E310" s="8" t="s">
        <v>86</v>
      </c>
      <c r="F310" s="8" t="s">
        <v>7169</v>
      </c>
      <c r="H310" s="8"/>
      <c r="I310" s="8" t="s">
        <v>5747</v>
      </c>
      <c r="J310" s="8" t="s">
        <v>2985</v>
      </c>
      <c r="K310" t="s">
        <v>5748</v>
      </c>
      <c r="L310" t="s">
        <v>5749</v>
      </c>
      <c r="M310" s="3" t="str">
        <f>HYPERLINK(склад2въезд131920212223[[#This Row],[RelativePath]])</f>
        <v>10 Сушилка навес\E33149364_3_20251209T100711Z.jpg</v>
      </c>
    </row>
    <row r="311" spans="1:13" x14ac:dyDescent="0.25">
      <c r="A311" s="2" t="s">
        <v>14</v>
      </c>
      <c r="B311" s="4">
        <v>46000</v>
      </c>
      <c r="C311" s="5">
        <v>0.48509259259259258</v>
      </c>
      <c r="D311" s="8" t="s">
        <v>533</v>
      </c>
      <c r="E311" s="8" t="s">
        <v>531</v>
      </c>
      <c r="F311" s="8" t="s">
        <v>58</v>
      </c>
      <c r="H311" s="8" t="s">
        <v>4236</v>
      </c>
      <c r="I311" s="8" t="s">
        <v>5750</v>
      </c>
      <c r="J311" s="8" t="s">
        <v>2985</v>
      </c>
      <c r="K311" t="s">
        <v>5751</v>
      </c>
      <c r="L311" t="s">
        <v>5752</v>
      </c>
      <c r="M311" s="3" t="str">
        <f>HYPERLINK(склад2въезд131920212223[[#This Row],[RelativePath]])</f>
        <v>10 Сушилка навес\E33149364_3_20251209T113832Z.jpg</v>
      </c>
    </row>
    <row r="312" spans="1:13" x14ac:dyDescent="0.25">
      <c r="A312" s="2" t="s">
        <v>14</v>
      </c>
      <c r="B312" s="4">
        <v>46000</v>
      </c>
      <c r="C312" s="5">
        <v>0.62200231481481483</v>
      </c>
      <c r="D312" s="8" t="s">
        <v>158</v>
      </c>
      <c r="E312" s="8" t="s">
        <v>86</v>
      </c>
      <c r="F312" s="8" t="s">
        <v>528</v>
      </c>
      <c r="G312">
        <v>1</v>
      </c>
      <c r="H312" s="8" t="s">
        <v>1605</v>
      </c>
      <c r="I312" s="8" t="s">
        <v>5753</v>
      </c>
      <c r="J312" s="8" t="s">
        <v>2985</v>
      </c>
      <c r="K312" t="s">
        <v>5754</v>
      </c>
      <c r="L312" t="s">
        <v>5755</v>
      </c>
      <c r="M312" s="3" t="str">
        <f>HYPERLINK(склад2въезд131920212223[[#This Row],[RelativePath]])</f>
        <v>10 Сушилка навес\E33149364_3_20251209T145541Z.jpg</v>
      </c>
    </row>
    <row r="313" spans="1:13" x14ac:dyDescent="0.25">
      <c r="A313" s="2" t="s">
        <v>14</v>
      </c>
      <c r="B313" s="4">
        <v>46000</v>
      </c>
      <c r="C313" s="5">
        <v>0.62737268518518519</v>
      </c>
      <c r="D313" s="8" t="s">
        <v>158</v>
      </c>
      <c r="E313" s="8" t="s">
        <v>86</v>
      </c>
      <c r="F313" s="8" t="s">
        <v>528</v>
      </c>
      <c r="G313">
        <v>1</v>
      </c>
      <c r="H313" s="8" t="s">
        <v>1605</v>
      </c>
      <c r="I313" s="8" t="s">
        <v>5756</v>
      </c>
      <c r="J313" s="8" t="s">
        <v>2985</v>
      </c>
      <c r="K313" t="s">
        <v>5757</v>
      </c>
      <c r="L313" t="s">
        <v>5758</v>
      </c>
      <c r="M313" s="3" t="str">
        <f>HYPERLINK(склад2въезд131920212223[[#This Row],[RelativePath]])</f>
        <v>10 Сушилка навес\E33149364_3_20251209T150325Z.jpg</v>
      </c>
    </row>
    <row r="314" spans="1:13" x14ac:dyDescent="0.25">
      <c r="A314" s="2" t="s">
        <v>14</v>
      </c>
      <c r="B314" s="4">
        <v>46000</v>
      </c>
      <c r="C314" s="5">
        <v>0.63340277777777776</v>
      </c>
      <c r="D314" s="8" t="s">
        <v>158</v>
      </c>
      <c r="E314" s="8" t="s">
        <v>86</v>
      </c>
      <c r="F314" s="8" t="s">
        <v>528</v>
      </c>
      <c r="G314">
        <v>1</v>
      </c>
      <c r="H314" s="8" t="s">
        <v>1605</v>
      </c>
      <c r="I314" s="8" t="s">
        <v>5759</v>
      </c>
      <c r="J314" s="8" t="s">
        <v>2985</v>
      </c>
      <c r="K314" t="s">
        <v>5760</v>
      </c>
      <c r="L314" t="s">
        <v>5761</v>
      </c>
      <c r="M314" s="3" t="str">
        <f>HYPERLINK(склад2въезд131920212223[[#This Row],[RelativePath]])</f>
        <v>10 Сушилка навес\E33149364_3_20251209T151206Z.jpg</v>
      </c>
    </row>
    <row r="315" spans="1:13" x14ac:dyDescent="0.25">
      <c r="A315" s="2" t="s">
        <v>15</v>
      </c>
      <c r="B315" s="4">
        <v>46001</v>
      </c>
      <c r="C315" s="5">
        <v>0.3651388888888889</v>
      </c>
      <c r="D315" s="8" t="s">
        <v>533</v>
      </c>
      <c r="E315" s="8" t="s">
        <v>531</v>
      </c>
      <c r="F315" s="8" t="s">
        <v>2944</v>
      </c>
      <c r="H315" s="8" t="s">
        <v>1620</v>
      </c>
      <c r="I315" s="8" t="s">
        <v>5762</v>
      </c>
      <c r="J315" s="8" t="s">
        <v>2985</v>
      </c>
      <c r="K315" t="s">
        <v>5763</v>
      </c>
      <c r="L315" t="s">
        <v>5764</v>
      </c>
      <c r="M315" s="3" t="str">
        <f>HYPERLINK(склад2въезд131920212223[[#This Row],[RelativePath]])</f>
        <v>10 Сушилка навес\E33149364_3_20251210T084548Z.jpg</v>
      </c>
    </row>
    <row r="316" spans="1:13" x14ac:dyDescent="0.25">
      <c r="A316" s="2" t="s">
        <v>15</v>
      </c>
      <c r="B316" s="4">
        <v>46001</v>
      </c>
      <c r="C316" s="5">
        <v>0.37614583333333335</v>
      </c>
      <c r="D316" s="8" t="s">
        <v>4223</v>
      </c>
      <c r="E316" s="8" t="s">
        <v>86</v>
      </c>
      <c r="F316" s="8" t="s">
        <v>6183</v>
      </c>
      <c r="H316" s="8"/>
      <c r="I316" s="8" t="s">
        <v>5765</v>
      </c>
      <c r="J316" s="8" t="s">
        <v>2985</v>
      </c>
      <c r="K316" t="s">
        <v>5766</v>
      </c>
      <c r="L316" t="s">
        <v>5767</v>
      </c>
      <c r="M316" s="3" t="str">
        <f>HYPERLINK(склад2въезд131920212223[[#This Row],[RelativePath]])</f>
        <v>10 Сушилка навес\E33149364_3_20251210T090139Z.jpg</v>
      </c>
    </row>
    <row r="317" spans="1:13" x14ac:dyDescent="0.25">
      <c r="A317" s="2" t="s">
        <v>15</v>
      </c>
      <c r="B317" s="4">
        <v>46001</v>
      </c>
      <c r="C317" s="5">
        <v>0.37626157407407407</v>
      </c>
      <c r="D317" s="8" t="s">
        <v>4223</v>
      </c>
      <c r="E317" s="8" t="s">
        <v>86</v>
      </c>
      <c r="F317" s="8" t="s">
        <v>6183</v>
      </c>
      <c r="H317" s="8" t="s">
        <v>2936</v>
      </c>
      <c r="I317" s="8" t="s">
        <v>5768</v>
      </c>
      <c r="J317" s="8" t="s">
        <v>2985</v>
      </c>
      <c r="K317" t="s">
        <v>5769</v>
      </c>
      <c r="L317" t="s">
        <v>5770</v>
      </c>
      <c r="M317" s="3" t="str">
        <f>HYPERLINK(склад2въезд131920212223[[#This Row],[RelativePath]])</f>
        <v>10 Сушилка навес\E33149364_3_20251210T090149Z.jpg</v>
      </c>
    </row>
    <row r="318" spans="1:13" x14ac:dyDescent="0.25">
      <c r="A318" s="2" t="s">
        <v>15</v>
      </c>
      <c r="B318" s="4">
        <v>46001</v>
      </c>
      <c r="C318" s="5">
        <v>0.38162037037037039</v>
      </c>
      <c r="D318" s="8" t="s">
        <v>533</v>
      </c>
      <c r="E318" s="8" t="s">
        <v>531</v>
      </c>
      <c r="F318" s="8" t="s">
        <v>2944</v>
      </c>
      <c r="H318" s="8" t="s">
        <v>1620</v>
      </c>
      <c r="I318" s="8" t="s">
        <v>5771</v>
      </c>
      <c r="J318" s="8" t="s">
        <v>2985</v>
      </c>
      <c r="K318" t="s">
        <v>5772</v>
      </c>
      <c r="L318" t="s">
        <v>5773</v>
      </c>
      <c r="M318" s="3" t="str">
        <f>HYPERLINK(склад2въезд131920212223[[#This Row],[RelativePath]])</f>
        <v>10 Сушилка навес\E33149364_3_20251210T090932Z.jpg</v>
      </c>
    </row>
    <row r="319" spans="1:13" x14ac:dyDescent="0.25">
      <c r="A319" s="2" t="s">
        <v>15</v>
      </c>
      <c r="B319" s="4">
        <v>46001</v>
      </c>
      <c r="C319" s="5">
        <v>0.38256944444444446</v>
      </c>
      <c r="D319" s="8" t="s">
        <v>4223</v>
      </c>
      <c r="E319" s="8" t="s">
        <v>86</v>
      </c>
      <c r="F319" s="8" t="s">
        <v>6183</v>
      </c>
      <c r="H319" s="8"/>
      <c r="I319" s="8" t="s">
        <v>5774</v>
      </c>
      <c r="J319" s="8" t="s">
        <v>2985</v>
      </c>
      <c r="K319" t="s">
        <v>5775</v>
      </c>
      <c r="L319" t="s">
        <v>5776</v>
      </c>
      <c r="M319" s="3" t="str">
        <f>HYPERLINK(склад2въезд131920212223[[#This Row],[RelativePath]])</f>
        <v>10 Сушилка навес\E33149364_3_20251210T091054Z.jpg</v>
      </c>
    </row>
    <row r="320" spans="1:13" x14ac:dyDescent="0.25">
      <c r="A320" s="2" t="s">
        <v>15</v>
      </c>
      <c r="B320" s="4">
        <v>46001</v>
      </c>
      <c r="C320" s="5">
        <v>0.4064814814814815</v>
      </c>
      <c r="D320" s="8" t="s">
        <v>289</v>
      </c>
      <c r="E320" s="8" t="s">
        <v>86</v>
      </c>
      <c r="F320" s="8" t="s">
        <v>7169</v>
      </c>
      <c r="H320" s="8"/>
      <c r="I320" s="8" t="s">
        <v>5777</v>
      </c>
      <c r="J320" s="8" t="s">
        <v>2985</v>
      </c>
      <c r="K320" t="s">
        <v>5778</v>
      </c>
      <c r="L320" t="s">
        <v>5779</v>
      </c>
      <c r="M320" s="3" t="str">
        <f>HYPERLINK(склад2въезд131920212223[[#This Row],[RelativePath]])</f>
        <v>10 Сушилка навес\E33149364_3_20251210T094520Z.jpg</v>
      </c>
    </row>
    <row r="321" spans="1:13" x14ac:dyDescent="0.25">
      <c r="A321" s="2" t="s">
        <v>15</v>
      </c>
      <c r="B321" s="4">
        <v>46001</v>
      </c>
      <c r="C321" s="5">
        <v>0.49738425925925928</v>
      </c>
      <c r="D321" s="8" t="s">
        <v>650</v>
      </c>
      <c r="E321" s="8" t="s">
        <v>86</v>
      </c>
      <c r="F321" s="8" t="s">
        <v>7169</v>
      </c>
      <c r="H321" s="8"/>
      <c r="I321" s="8" t="s">
        <v>5780</v>
      </c>
      <c r="J321" s="8" t="s">
        <v>2985</v>
      </c>
      <c r="K321" t="s">
        <v>5781</v>
      </c>
      <c r="L321" t="s">
        <v>5782</v>
      </c>
      <c r="M321" s="3" t="str">
        <f>HYPERLINK(склад2въезд131920212223[[#This Row],[RelativePath]])</f>
        <v>10 Сушилка навес\E33149364_3_20251210T115614Z.jpg</v>
      </c>
    </row>
    <row r="322" spans="1:13" x14ac:dyDescent="0.25">
      <c r="A322" s="2" t="s">
        <v>15</v>
      </c>
      <c r="B322" s="4">
        <v>46001</v>
      </c>
      <c r="C322" s="5">
        <v>0.4974884259259259</v>
      </c>
      <c r="D322" s="8" t="s">
        <v>533</v>
      </c>
      <c r="E322" s="8" t="s">
        <v>531</v>
      </c>
      <c r="F322" s="8" t="s">
        <v>58</v>
      </c>
      <c r="H322" s="8" t="s">
        <v>4236</v>
      </c>
      <c r="I322" s="8" t="s">
        <v>5783</v>
      </c>
      <c r="J322" s="8" t="s">
        <v>2985</v>
      </c>
      <c r="K322" t="s">
        <v>5784</v>
      </c>
      <c r="L322" t="s">
        <v>5785</v>
      </c>
      <c r="M322" s="3" t="str">
        <f>HYPERLINK(склад2въезд131920212223[[#This Row],[RelativePath]])</f>
        <v>10 Сушилка навес\E33149364_3_20251210T115623Z.jpg</v>
      </c>
    </row>
    <row r="323" spans="1:13" x14ac:dyDescent="0.25">
      <c r="A323" s="2" t="s">
        <v>15</v>
      </c>
      <c r="B323" s="4">
        <v>46001</v>
      </c>
      <c r="C323" s="5">
        <v>0.50359953703703708</v>
      </c>
      <c r="D323" s="8" t="s">
        <v>158</v>
      </c>
      <c r="E323" s="8" t="s">
        <v>86</v>
      </c>
      <c r="F323" s="8" t="s">
        <v>528</v>
      </c>
      <c r="G323">
        <v>1</v>
      </c>
      <c r="H323" s="8" t="s">
        <v>1605</v>
      </c>
      <c r="I323" s="8" t="s">
        <v>5786</v>
      </c>
      <c r="J323" s="8" t="s">
        <v>2985</v>
      </c>
      <c r="K323" t="s">
        <v>5787</v>
      </c>
      <c r="L323" t="s">
        <v>5788</v>
      </c>
      <c r="M323" s="3" t="str">
        <f>HYPERLINK(склад2въезд131920212223[[#This Row],[RelativePath]])</f>
        <v>10 Сушилка навес\E33149364_3_20251210T120511Z.jpg</v>
      </c>
    </row>
    <row r="324" spans="1:13" x14ac:dyDescent="0.25">
      <c r="A324" s="2" t="s">
        <v>15</v>
      </c>
      <c r="B324" s="4">
        <v>46001</v>
      </c>
      <c r="C324" s="5">
        <v>0.50922453703703707</v>
      </c>
      <c r="D324" s="8" t="s">
        <v>158</v>
      </c>
      <c r="E324" s="8" t="s">
        <v>86</v>
      </c>
      <c r="F324" s="8" t="s">
        <v>528</v>
      </c>
      <c r="G324">
        <v>1</v>
      </c>
      <c r="H324" s="8" t="s">
        <v>1605</v>
      </c>
      <c r="I324" s="8" t="s">
        <v>5789</v>
      </c>
      <c r="J324" s="8" t="s">
        <v>2985</v>
      </c>
      <c r="K324" t="s">
        <v>5790</v>
      </c>
      <c r="L324" t="s">
        <v>5791</v>
      </c>
      <c r="M324" s="3" t="str">
        <f>HYPERLINK(склад2въезд131920212223[[#This Row],[RelativePath]])</f>
        <v>10 Сушилка навес\E33149364_3_20251210T121317Z.jpg</v>
      </c>
    </row>
    <row r="325" spans="1:13" x14ac:dyDescent="0.25">
      <c r="A325" s="2" t="s">
        <v>16</v>
      </c>
      <c r="B325" s="4">
        <v>46002</v>
      </c>
      <c r="C325" s="5">
        <v>0.38542824074074072</v>
      </c>
      <c r="D325" s="8" t="s">
        <v>4</v>
      </c>
      <c r="E325" s="8" t="s">
        <v>8</v>
      </c>
      <c r="F325" s="8"/>
      <c r="H325" s="8"/>
      <c r="I325" s="8" t="s">
        <v>5792</v>
      </c>
      <c r="J325" s="8" t="s">
        <v>2985</v>
      </c>
      <c r="K325" t="s">
        <v>5793</v>
      </c>
      <c r="L325" t="s">
        <v>5794</v>
      </c>
      <c r="M325" s="3" t="str">
        <f>HYPERLINK(склад2въезд131920212223[[#This Row],[RelativePath]])</f>
        <v>10 Сушилка навес\E33149364_3_20251211T091501Z.jpg</v>
      </c>
    </row>
    <row r="326" spans="1:13" x14ac:dyDescent="0.25">
      <c r="A326" s="2" t="s">
        <v>16</v>
      </c>
      <c r="B326" s="4">
        <v>46002</v>
      </c>
      <c r="C326" s="5">
        <v>0.55590277777777775</v>
      </c>
      <c r="D326" s="8" t="s">
        <v>4</v>
      </c>
      <c r="E326" s="8" t="s">
        <v>8</v>
      </c>
      <c r="F326" s="8"/>
      <c r="H326" s="8"/>
      <c r="I326" s="8" t="s">
        <v>5795</v>
      </c>
      <c r="J326" s="8" t="s">
        <v>2985</v>
      </c>
      <c r="K326" t="s">
        <v>5796</v>
      </c>
      <c r="L326" t="s">
        <v>5797</v>
      </c>
      <c r="M326" s="3" t="str">
        <f>HYPERLINK(склад2въезд131920212223[[#This Row],[RelativePath]])</f>
        <v>10 Сушилка навес\E33149364_3_20251211T132030Z.jpg</v>
      </c>
    </row>
    <row r="327" spans="1:13" x14ac:dyDescent="0.25">
      <c r="A327" s="2" t="s">
        <v>16</v>
      </c>
      <c r="B327" s="4">
        <v>46002</v>
      </c>
      <c r="C327" s="5">
        <v>0.70651620370370372</v>
      </c>
      <c r="D327" s="8" t="s">
        <v>4</v>
      </c>
      <c r="E327" s="8" t="s">
        <v>8</v>
      </c>
      <c r="F327" s="8"/>
      <c r="H327" s="8"/>
      <c r="I327" s="8" t="s">
        <v>5798</v>
      </c>
      <c r="J327" s="8" t="s">
        <v>2985</v>
      </c>
      <c r="K327" t="s">
        <v>5799</v>
      </c>
      <c r="L327" t="s">
        <v>5800</v>
      </c>
      <c r="M327" s="3" t="str">
        <f>HYPERLINK(склад2въезд131920212223[[#This Row],[RelativePath]])</f>
        <v>10 Сушилка навес\E33149364_3_20251211T165723Z.jpg</v>
      </c>
    </row>
    <row r="328" spans="1:13" x14ac:dyDescent="0.25">
      <c r="A328" s="2" t="s">
        <v>17</v>
      </c>
      <c r="B328" s="4">
        <v>46003</v>
      </c>
      <c r="C328" s="5">
        <v>0.37761574074074072</v>
      </c>
      <c r="D328" s="8" t="s">
        <v>4</v>
      </c>
      <c r="E328" s="8" t="s">
        <v>8</v>
      </c>
      <c r="F328" s="8"/>
      <c r="H328" s="8"/>
      <c r="I328" s="8" t="s">
        <v>5879</v>
      </c>
      <c r="J328" s="8" t="s">
        <v>2985</v>
      </c>
      <c r="K328" t="s">
        <v>5880</v>
      </c>
      <c r="L328" t="s">
        <v>5881</v>
      </c>
      <c r="M328" s="3" t="str">
        <f>HYPERLINK(склад2въезд131920212223[[#This Row],[RelativePath]])</f>
        <v>10 Сушилка навес\E33149364_3_20251212T090346Z.jpg</v>
      </c>
    </row>
    <row r="329" spans="1:13" x14ac:dyDescent="0.25">
      <c r="A329" s="2" t="s">
        <v>17</v>
      </c>
      <c r="B329" s="4">
        <v>46003</v>
      </c>
      <c r="C329" s="5">
        <v>0.42268518518518516</v>
      </c>
      <c r="D329" s="8" t="s">
        <v>4</v>
      </c>
      <c r="E329" s="8" t="s">
        <v>86</v>
      </c>
      <c r="F329" s="8" t="s">
        <v>4240</v>
      </c>
      <c r="H329" s="8" t="s">
        <v>1620</v>
      </c>
      <c r="I329" s="8" t="s">
        <v>5882</v>
      </c>
      <c r="J329" s="8" t="s">
        <v>2985</v>
      </c>
      <c r="K329" t="s">
        <v>5883</v>
      </c>
      <c r="L329" t="s">
        <v>5884</v>
      </c>
      <c r="M329" s="3" t="str">
        <f>HYPERLINK(склад2въезд131920212223[[#This Row],[RelativePath]])</f>
        <v>10 Сушилка навес\E33149364_3_20251212T100840Z.jpg</v>
      </c>
    </row>
    <row r="330" spans="1:13" x14ac:dyDescent="0.25">
      <c r="A330" s="2" t="s">
        <v>17</v>
      </c>
      <c r="B330" s="4">
        <v>46003</v>
      </c>
      <c r="C330" s="5">
        <v>0.44277777777777777</v>
      </c>
      <c r="D330" s="8" t="s">
        <v>4223</v>
      </c>
      <c r="E330" s="8" t="s">
        <v>86</v>
      </c>
      <c r="F330" s="8" t="s">
        <v>6172</v>
      </c>
      <c r="H330" s="8"/>
      <c r="I330" s="8" t="s">
        <v>5885</v>
      </c>
      <c r="J330" s="8" t="s">
        <v>2985</v>
      </c>
      <c r="K330" t="s">
        <v>5886</v>
      </c>
      <c r="L330" t="s">
        <v>5887</v>
      </c>
      <c r="M330" s="3" t="str">
        <f>HYPERLINK(склад2въезд131920212223[[#This Row],[RelativePath]])</f>
        <v>10 Сушилка навес\E33149364_3_20251212T103736Z.jpg</v>
      </c>
    </row>
    <row r="331" spans="1:13" x14ac:dyDescent="0.25">
      <c r="A331" s="2" t="s">
        <v>17</v>
      </c>
      <c r="B331" s="4">
        <v>46003</v>
      </c>
      <c r="C331" s="5">
        <v>0.44572916666666668</v>
      </c>
      <c r="D331" s="8" t="s">
        <v>4221</v>
      </c>
      <c r="E331" s="8" t="s">
        <v>86</v>
      </c>
      <c r="F331" s="8" t="s">
        <v>58</v>
      </c>
      <c r="H331" s="8" t="s">
        <v>1620</v>
      </c>
      <c r="I331" s="8" t="s">
        <v>5888</v>
      </c>
      <c r="J331" s="8" t="s">
        <v>2985</v>
      </c>
      <c r="K331" t="s">
        <v>5889</v>
      </c>
      <c r="L331" t="s">
        <v>5890</v>
      </c>
      <c r="M331" s="3" t="str">
        <f>HYPERLINK(склад2въезд131920212223[[#This Row],[RelativePath]])</f>
        <v>10 Сушилка навес\E33149364_3_20251212T104151Z.jpg</v>
      </c>
    </row>
    <row r="332" spans="1:13" x14ac:dyDescent="0.25">
      <c r="A332" s="2" t="s">
        <v>17</v>
      </c>
      <c r="B332" s="4">
        <v>46003</v>
      </c>
      <c r="C332" s="5">
        <v>0.44583333333333336</v>
      </c>
      <c r="D332" s="8" t="s">
        <v>4221</v>
      </c>
      <c r="E332" s="8" t="s">
        <v>86</v>
      </c>
      <c r="F332" s="8" t="s">
        <v>58</v>
      </c>
      <c r="H332" s="8" t="s">
        <v>2936</v>
      </c>
      <c r="I332" s="8" t="s">
        <v>5891</v>
      </c>
      <c r="J332" s="8" t="s">
        <v>2985</v>
      </c>
      <c r="K332" t="s">
        <v>5892</v>
      </c>
      <c r="L332" t="s">
        <v>5893</v>
      </c>
      <c r="M332" s="3" t="str">
        <f>HYPERLINK(склад2въезд131920212223[[#This Row],[RelativePath]])</f>
        <v>10 Сушилка навес\E33149364_3_20251212T104200Z.jpg</v>
      </c>
    </row>
    <row r="333" spans="1:13" x14ac:dyDescent="0.25">
      <c r="A333" s="2" t="s">
        <v>17</v>
      </c>
      <c r="B333" s="4">
        <v>46003</v>
      </c>
      <c r="C333" s="5">
        <v>0.44943287037037039</v>
      </c>
      <c r="D333" s="8" t="s">
        <v>533</v>
      </c>
      <c r="E333" s="8" t="s">
        <v>531</v>
      </c>
      <c r="F333" s="8" t="s">
        <v>1099</v>
      </c>
      <c r="H333" s="8" t="s">
        <v>1620</v>
      </c>
      <c r="I333" s="8" t="s">
        <v>5894</v>
      </c>
      <c r="J333" s="8" t="s">
        <v>2985</v>
      </c>
      <c r="K333" t="s">
        <v>5895</v>
      </c>
      <c r="L333" t="s">
        <v>5896</v>
      </c>
      <c r="M333" s="3" t="str">
        <f>HYPERLINK(склад2въезд131920212223[[#This Row],[RelativePath]])</f>
        <v>10 Сушилка навес\E33149364_3_20251212T104711Z.jpg</v>
      </c>
    </row>
    <row r="334" spans="1:13" x14ac:dyDescent="0.25">
      <c r="A334" s="2" t="s">
        <v>17</v>
      </c>
      <c r="B334" s="4">
        <v>46003</v>
      </c>
      <c r="C334" s="5">
        <v>0.45038194444444446</v>
      </c>
      <c r="D334" s="8" t="s">
        <v>533</v>
      </c>
      <c r="E334" s="8" t="s">
        <v>531</v>
      </c>
      <c r="F334" s="8" t="s">
        <v>1099</v>
      </c>
      <c r="H334" s="8" t="s">
        <v>1620</v>
      </c>
      <c r="I334" s="8" t="s">
        <v>5897</v>
      </c>
      <c r="J334" s="8" t="s">
        <v>2985</v>
      </c>
      <c r="K334" t="s">
        <v>5898</v>
      </c>
      <c r="L334" t="s">
        <v>5899</v>
      </c>
      <c r="M334" s="3" t="str">
        <f>HYPERLINK(склад2въезд131920212223[[#This Row],[RelativePath]])</f>
        <v>10 Сушилка навес\E33149364_3_20251212T104833Z.jpg</v>
      </c>
    </row>
    <row r="335" spans="1:13" x14ac:dyDescent="0.25">
      <c r="A335" s="2" t="s">
        <v>17</v>
      </c>
      <c r="B335" s="4">
        <v>46003</v>
      </c>
      <c r="C335" s="5">
        <v>0.45893518518518517</v>
      </c>
      <c r="D335" s="8" t="s">
        <v>4223</v>
      </c>
      <c r="E335" s="8" t="s">
        <v>86</v>
      </c>
      <c r="F335" s="8" t="s">
        <v>200</v>
      </c>
      <c r="H335" s="8"/>
      <c r="I335" s="8" t="s">
        <v>5900</v>
      </c>
      <c r="J335" s="8" t="s">
        <v>2985</v>
      </c>
      <c r="K335" t="s">
        <v>5901</v>
      </c>
      <c r="L335" t="s">
        <v>5902</v>
      </c>
      <c r="M335" s="3" t="str">
        <f>HYPERLINK(склад2въезд131920212223[[#This Row],[RelativePath]])</f>
        <v>10 Сушилка навес\E33149364_3_20251212T110052Z.jpg</v>
      </c>
    </row>
    <row r="336" spans="1:13" x14ac:dyDescent="0.25">
      <c r="A336" s="2" t="s">
        <v>17</v>
      </c>
      <c r="B336" s="4">
        <v>46003</v>
      </c>
      <c r="C336" s="5">
        <v>0.47061342592592592</v>
      </c>
      <c r="D336" s="8" t="s">
        <v>4223</v>
      </c>
      <c r="E336" s="8" t="s">
        <v>86</v>
      </c>
      <c r="F336" s="8" t="s">
        <v>200</v>
      </c>
      <c r="H336" s="8"/>
      <c r="I336" s="8" t="s">
        <v>5903</v>
      </c>
      <c r="J336" s="8" t="s">
        <v>2985</v>
      </c>
      <c r="K336" t="s">
        <v>5904</v>
      </c>
      <c r="L336" t="s">
        <v>5905</v>
      </c>
      <c r="M336" s="3" t="str">
        <f>HYPERLINK(склад2въезд131920212223[[#This Row],[RelativePath]])</f>
        <v>10 Сушилка навес\E33149364_3_20251212T111741Z.jpg</v>
      </c>
    </row>
    <row r="337" spans="1:13" x14ac:dyDescent="0.25">
      <c r="A337" s="2" t="s">
        <v>17</v>
      </c>
      <c r="B337" s="4">
        <v>46003</v>
      </c>
      <c r="C337" s="5">
        <v>0.4770949074074074</v>
      </c>
      <c r="D337" s="8" t="s">
        <v>4223</v>
      </c>
      <c r="E337" s="8" t="s">
        <v>86</v>
      </c>
      <c r="F337" s="8" t="s">
        <v>200</v>
      </c>
      <c r="H337" s="8"/>
      <c r="I337" s="8" t="s">
        <v>5906</v>
      </c>
      <c r="J337" s="8" t="s">
        <v>2985</v>
      </c>
      <c r="K337" t="s">
        <v>5907</v>
      </c>
      <c r="L337" t="s">
        <v>5908</v>
      </c>
      <c r="M337" s="3" t="str">
        <f>HYPERLINK(склад2въезд131920212223[[#This Row],[RelativePath]])</f>
        <v>10 Сушилка навес\E33149364_3_20251212T112701Z.jpg</v>
      </c>
    </row>
    <row r="338" spans="1:13" x14ac:dyDescent="0.25">
      <c r="A338" s="2" t="s">
        <v>17</v>
      </c>
      <c r="B338" s="4">
        <v>46003</v>
      </c>
      <c r="C338" s="5">
        <v>0.48163194444444446</v>
      </c>
      <c r="D338" s="8" t="s">
        <v>4223</v>
      </c>
      <c r="E338" s="8" t="s">
        <v>86</v>
      </c>
      <c r="F338" s="8" t="s">
        <v>200</v>
      </c>
      <c r="H338" s="8"/>
      <c r="I338" s="8" t="s">
        <v>5909</v>
      </c>
      <c r="J338" s="8" t="s">
        <v>2985</v>
      </c>
      <c r="K338" t="s">
        <v>5910</v>
      </c>
      <c r="L338" t="s">
        <v>5911</v>
      </c>
      <c r="M338" s="3" t="str">
        <f>HYPERLINK(склад2въезд131920212223[[#This Row],[RelativePath]])</f>
        <v>10 Сушилка навес\E33149364_3_20251212T113333Z.jpg</v>
      </c>
    </row>
    <row r="339" spans="1:13" x14ac:dyDescent="0.25">
      <c r="A339" s="2" t="s">
        <v>17</v>
      </c>
      <c r="B339" s="4">
        <v>46003</v>
      </c>
      <c r="C339" s="5">
        <v>0.48888888888888887</v>
      </c>
      <c r="D339" s="8" t="s">
        <v>4223</v>
      </c>
      <c r="E339" s="8" t="s">
        <v>86</v>
      </c>
      <c r="F339" s="8" t="s">
        <v>200</v>
      </c>
      <c r="H339" s="8"/>
      <c r="I339" s="8" t="s">
        <v>5912</v>
      </c>
      <c r="J339" s="8" t="s">
        <v>2985</v>
      </c>
      <c r="K339" t="s">
        <v>5913</v>
      </c>
      <c r="L339" t="s">
        <v>5914</v>
      </c>
      <c r="M339" s="3" t="str">
        <f>HYPERLINK(склад2въезд131920212223[[#This Row],[RelativePath]])</f>
        <v>10 Сушилка навес\E33149364_3_20251212T114400Z.jpg</v>
      </c>
    </row>
    <row r="340" spans="1:13" x14ac:dyDescent="0.25">
      <c r="A340" s="2" t="s">
        <v>17</v>
      </c>
      <c r="B340" s="4">
        <v>46003</v>
      </c>
      <c r="C340" s="5">
        <v>0.50528935185185186</v>
      </c>
      <c r="D340" s="8" t="s">
        <v>4223</v>
      </c>
      <c r="E340" s="8" t="s">
        <v>86</v>
      </c>
      <c r="F340" s="8" t="s">
        <v>200</v>
      </c>
      <c r="H340" s="8"/>
      <c r="I340" s="8" t="s">
        <v>5915</v>
      </c>
      <c r="J340" s="8" t="s">
        <v>2985</v>
      </c>
      <c r="K340" t="s">
        <v>5916</v>
      </c>
      <c r="L340" t="s">
        <v>5917</v>
      </c>
      <c r="M340" s="3" t="str">
        <f>HYPERLINK(склад2въезд131920212223[[#This Row],[RelativePath]])</f>
        <v>10 Сушилка навес\E33149364_3_20251212T120737Z.jpg</v>
      </c>
    </row>
    <row r="341" spans="1:13" x14ac:dyDescent="0.25">
      <c r="A341" s="2" t="s">
        <v>17</v>
      </c>
      <c r="B341" s="4">
        <v>46003</v>
      </c>
      <c r="C341" s="5">
        <v>0.51416666666666666</v>
      </c>
      <c r="D341" s="8" t="s">
        <v>4223</v>
      </c>
      <c r="E341" s="8" t="s">
        <v>86</v>
      </c>
      <c r="F341" s="8" t="s">
        <v>200</v>
      </c>
      <c r="H341" s="8"/>
      <c r="I341" s="8" t="s">
        <v>5918</v>
      </c>
      <c r="J341" s="8" t="s">
        <v>2985</v>
      </c>
      <c r="K341" t="s">
        <v>5919</v>
      </c>
      <c r="L341" t="s">
        <v>5920</v>
      </c>
      <c r="M341" s="3" t="str">
        <f>HYPERLINK(склад2въезд131920212223[[#This Row],[RelativePath]])</f>
        <v>10 Сушилка навес\E33149364_3_20251212T122024Z.jpg</v>
      </c>
    </row>
    <row r="342" spans="1:13" x14ac:dyDescent="0.25">
      <c r="A342" s="2" t="s">
        <v>17</v>
      </c>
      <c r="B342" s="4">
        <v>46003</v>
      </c>
      <c r="C342" s="5">
        <v>0.6803703703703704</v>
      </c>
      <c r="D342" s="8" t="s">
        <v>4</v>
      </c>
      <c r="E342" s="8" t="s">
        <v>8</v>
      </c>
      <c r="F342" s="8"/>
      <c r="H342" s="8"/>
      <c r="I342" s="8" t="s">
        <v>5921</v>
      </c>
      <c r="J342" s="8" t="s">
        <v>2985</v>
      </c>
      <c r="K342" t="s">
        <v>5922</v>
      </c>
      <c r="L342" t="s">
        <v>5923</v>
      </c>
      <c r="M342" s="3" t="str">
        <f>HYPERLINK(склад2въезд131920212223[[#This Row],[RelativePath]])</f>
        <v>10 Сушилка навес\E33149364_3_20251212T161944Z.jpg</v>
      </c>
    </row>
    <row r="343" spans="1:13" x14ac:dyDescent="0.25">
      <c r="A343" s="2" t="s">
        <v>18</v>
      </c>
      <c r="B343" s="4">
        <v>46004</v>
      </c>
      <c r="C343" s="5">
        <v>0.38762731481481483</v>
      </c>
      <c r="D343" s="8" t="s">
        <v>4</v>
      </c>
      <c r="E343" s="8" t="s">
        <v>6167</v>
      </c>
      <c r="F343" s="8"/>
      <c r="H343" s="8"/>
      <c r="I343" s="8" t="s">
        <v>6095</v>
      </c>
      <c r="J343" s="8" t="s">
        <v>2985</v>
      </c>
      <c r="K343" t="s">
        <v>6096</v>
      </c>
      <c r="L343" t="s">
        <v>6097</v>
      </c>
      <c r="M343" s="3" t="str">
        <f>HYPERLINK(склад2въезд131920212223[[#This Row],[RelativePath]])</f>
        <v>10 Сушилка навес\E33149364_3_20251213T091811Z.jpg</v>
      </c>
    </row>
    <row r="344" spans="1:13" x14ac:dyDescent="0.25">
      <c r="A344" s="2" t="s">
        <v>18</v>
      </c>
      <c r="B344" s="4">
        <v>46004</v>
      </c>
      <c r="C344" s="5">
        <v>0.41502314814814817</v>
      </c>
      <c r="D344" s="8" t="s">
        <v>4</v>
      </c>
      <c r="E344" s="8" t="s">
        <v>8</v>
      </c>
      <c r="F344" s="8"/>
      <c r="H344" s="8"/>
      <c r="I344" s="8" t="s">
        <v>6098</v>
      </c>
      <c r="J344" s="8" t="s">
        <v>2985</v>
      </c>
      <c r="K344" t="s">
        <v>6099</v>
      </c>
      <c r="L344" t="s">
        <v>6100</v>
      </c>
      <c r="M344" s="3" t="str">
        <f>HYPERLINK(склад2въезд131920212223[[#This Row],[RelativePath]])</f>
        <v>10 Сушилка навес\E33149364_3_20251213T095738Z.jpg</v>
      </c>
    </row>
    <row r="345" spans="1:13" x14ac:dyDescent="0.25">
      <c r="A345" s="2" t="s">
        <v>18</v>
      </c>
      <c r="B345" s="4">
        <v>46004</v>
      </c>
      <c r="C345" s="5">
        <v>0.55000000000000004</v>
      </c>
      <c r="D345" s="8" t="s">
        <v>4</v>
      </c>
      <c r="E345" s="8" t="s">
        <v>6167</v>
      </c>
      <c r="F345" s="8"/>
      <c r="H345" s="8"/>
      <c r="I345" s="8" t="s">
        <v>6101</v>
      </c>
      <c r="J345" s="8" t="s">
        <v>2985</v>
      </c>
      <c r="K345" t="s">
        <v>6102</v>
      </c>
      <c r="L345" t="s">
        <v>6103</v>
      </c>
      <c r="M345" s="3" t="str">
        <f>HYPERLINK(склад2въезд131920212223[[#This Row],[RelativePath]])</f>
        <v>10 Сушилка навес\E33149364_3_20251213T131200Z.jpg</v>
      </c>
    </row>
    <row r="346" spans="1:13" x14ac:dyDescent="0.25">
      <c r="A346" s="2" t="s">
        <v>18</v>
      </c>
      <c r="B346" s="4">
        <v>46004</v>
      </c>
      <c r="C346" s="5">
        <v>0.7160185185185185</v>
      </c>
      <c r="D346" s="8" t="s">
        <v>4</v>
      </c>
      <c r="E346" s="8" t="s">
        <v>8</v>
      </c>
      <c r="F346" s="8"/>
      <c r="H346" s="8"/>
      <c r="I346" s="8" t="s">
        <v>6104</v>
      </c>
      <c r="J346" s="8" t="s">
        <v>2985</v>
      </c>
      <c r="K346" t="s">
        <v>6105</v>
      </c>
      <c r="L346" t="s">
        <v>6106</v>
      </c>
      <c r="M346" s="3" t="str">
        <f>HYPERLINK(склад2въезд131920212223[[#This Row],[RelativePath]])</f>
        <v>10 Сушилка навес\E33149364_3_20251213T171104Z.jpg</v>
      </c>
    </row>
    <row r="347" spans="1:13" x14ac:dyDescent="0.25">
      <c r="A347" s="2" t="s">
        <v>22</v>
      </c>
      <c r="B347" s="4">
        <v>46005</v>
      </c>
      <c r="C347" s="5">
        <v>0.70399305555555558</v>
      </c>
      <c r="D347" s="8" t="s">
        <v>2004</v>
      </c>
      <c r="E347" s="8" t="s">
        <v>8</v>
      </c>
      <c r="F347" s="8"/>
      <c r="H347" s="8"/>
      <c r="I347" s="8" t="s">
        <v>6249</v>
      </c>
      <c r="J347" s="8" t="s">
        <v>2985</v>
      </c>
      <c r="K347" t="s">
        <v>6250</v>
      </c>
      <c r="L347" t="s">
        <v>6251</v>
      </c>
      <c r="M347" s="3" t="str">
        <f>HYPERLINK(склад2въезд131920212223[[#This Row],[RelativePath]])</f>
        <v>10 Сушилка навес\E33149364_3_20251214T165345Z.jpg</v>
      </c>
    </row>
    <row r="348" spans="1:13" x14ac:dyDescent="0.25">
      <c r="A348" s="2" t="s">
        <v>13</v>
      </c>
      <c r="B348" s="4">
        <v>46006</v>
      </c>
      <c r="C348" s="5">
        <v>0.40877314814814814</v>
      </c>
      <c r="D348" s="8" t="s">
        <v>4223</v>
      </c>
      <c r="E348" s="8" t="s">
        <v>86</v>
      </c>
      <c r="F348" s="8" t="s">
        <v>4240</v>
      </c>
      <c r="H348" s="8" t="s">
        <v>6524</v>
      </c>
      <c r="I348" s="8" t="s">
        <v>6391</v>
      </c>
      <c r="J348" s="8" t="s">
        <v>2985</v>
      </c>
      <c r="K348" t="s">
        <v>6393</v>
      </c>
      <c r="L348" t="s">
        <v>6394</v>
      </c>
      <c r="M348" s="3" t="str">
        <f>HYPERLINK(склад2въезд131920212223[[#This Row],[RelativePath]])</f>
        <v>10 Сушилка навес\E33149364_3_20251215T094838Z.jpg</v>
      </c>
    </row>
    <row r="349" spans="1:13" x14ac:dyDescent="0.25">
      <c r="A349" s="2" t="s">
        <v>13</v>
      </c>
      <c r="B349" s="4">
        <v>46006</v>
      </c>
      <c r="C349" s="5">
        <v>0.42177083333333332</v>
      </c>
      <c r="D349" s="8" t="s">
        <v>4223</v>
      </c>
      <c r="E349" s="8" t="s">
        <v>86</v>
      </c>
      <c r="F349" s="8" t="s">
        <v>6525</v>
      </c>
      <c r="H349" s="8"/>
      <c r="I349" s="8" t="s">
        <v>6395</v>
      </c>
      <c r="J349" s="8" t="s">
        <v>2985</v>
      </c>
      <c r="K349" t="s">
        <v>6396</v>
      </c>
      <c r="L349" t="s">
        <v>6397</v>
      </c>
      <c r="M349" s="3" t="str">
        <f>HYPERLINK(склад2въезд131920212223[[#This Row],[RelativePath]])</f>
        <v>10 Сушилка навес\E33149364_3_20251215T100721Z.jpg</v>
      </c>
    </row>
    <row r="350" spans="1:13" x14ac:dyDescent="0.25">
      <c r="A350" s="2" t="s">
        <v>13</v>
      </c>
      <c r="B350" s="4">
        <v>46006</v>
      </c>
      <c r="C350" s="5">
        <v>0.42878472222222225</v>
      </c>
      <c r="D350" s="8" t="s">
        <v>4223</v>
      </c>
      <c r="E350" s="8" t="s">
        <v>86</v>
      </c>
      <c r="F350" s="8" t="s">
        <v>6525</v>
      </c>
      <c r="H350" s="8"/>
      <c r="I350" s="8" t="s">
        <v>6398</v>
      </c>
      <c r="J350" s="8" t="s">
        <v>2985</v>
      </c>
      <c r="K350" t="s">
        <v>6399</v>
      </c>
      <c r="L350" t="s">
        <v>6400</v>
      </c>
      <c r="M350" s="3" t="str">
        <f>HYPERLINK(склад2въезд131920212223[[#This Row],[RelativePath]])</f>
        <v>10 Сушилка навес\E33149364_3_20251215T101727Z.jpg</v>
      </c>
    </row>
    <row r="351" spans="1:13" x14ac:dyDescent="0.25">
      <c r="A351" s="2" t="s">
        <v>13</v>
      </c>
      <c r="B351" s="4">
        <v>46006</v>
      </c>
      <c r="C351" s="5">
        <v>0.4636689814814815</v>
      </c>
      <c r="D351" s="8" t="s">
        <v>1606</v>
      </c>
      <c r="E351" s="8" t="s">
        <v>6329</v>
      </c>
      <c r="F351" s="8"/>
      <c r="H351" s="8"/>
      <c r="I351" s="8" t="s">
        <v>6401</v>
      </c>
      <c r="J351" s="8" t="s">
        <v>2985</v>
      </c>
      <c r="K351" t="s">
        <v>6402</v>
      </c>
      <c r="L351" t="s">
        <v>6403</v>
      </c>
      <c r="M351" s="3" t="str">
        <f>HYPERLINK(склад2въезд131920212223[[#This Row],[RelativePath]])</f>
        <v>10 Сушилка навес\E33149364_3_20251215T110741Z.jpg</v>
      </c>
    </row>
    <row r="352" spans="1:13" x14ac:dyDescent="0.25">
      <c r="A352" s="2" t="s">
        <v>13</v>
      </c>
      <c r="B352" s="4">
        <v>46006</v>
      </c>
      <c r="C352" s="5">
        <v>0.46620370370370373</v>
      </c>
      <c r="D352" s="8" t="s">
        <v>289</v>
      </c>
      <c r="E352" s="8" t="s">
        <v>6329</v>
      </c>
      <c r="F352" s="8" t="s">
        <v>58</v>
      </c>
      <c r="H352" s="8" t="s">
        <v>1620</v>
      </c>
      <c r="I352" s="8" t="s">
        <v>6404</v>
      </c>
      <c r="J352" s="8" t="s">
        <v>2985</v>
      </c>
      <c r="K352" t="s">
        <v>6405</v>
      </c>
      <c r="L352" t="s">
        <v>6406</v>
      </c>
      <c r="M352" s="3" t="str">
        <f>HYPERLINK(склад2въезд131920212223[[#This Row],[RelativePath]])</f>
        <v>10 Сушилка навес\E33149364_3_20251215T111120Z.jpg</v>
      </c>
    </row>
    <row r="353" spans="1:13" x14ac:dyDescent="0.25">
      <c r="A353" s="2" t="s">
        <v>13</v>
      </c>
      <c r="B353" s="4">
        <v>46006</v>
      </c>
      <c r="C353" s="5">
        <v>0.46644675925925927</v>
      </c>
      <c r="D353" s="8" t="s">
        <v>289</v>
      </c>
      <c r="E353" s="8" t="s">
        <v>6329</v>
      </c>
      <c r="F353" s="8" t="s">
        <v>58</v>
      </c>
      <c r="H353" s="8" t="s">
        <v>2936</v>
      </c>
      <c r="I353" s="8" t="s">
        <v>6407</v>
      </c>
      <c r="J353" s="8" t="s">
        <v>2985</v>
      </c>
      <c r="K353" t="s">
        <v>6408</v>
      </c>
      <c r="L353" t="s">
        <v>6409</v>
      </c>
      <c r="M353" s="3" t="str">
        <f>HYPERLINK(склад2въезд131920212223[[#This Row],[RelativePath]])</f>
        <v>10 Сушилка навес\E33149364_3_20251215T111141Z.jpg</v>
      </c>
    </row>
    <row r="354" spans="1:13" x14ac:dyDescent="0.25">
      <c r="A354" s="2" t="s">
        <v>13</v>
      </c>
      <c r="B354" s="4">
        <v>46006</v>
      </c>
      <c r="C354" s="5">
        <v>0.46650462962962963</v>
      </c>
      <c r="D354" s="8" t="s">
        <v>289</v>
      </c>
      <c r="E354" s="8" t="s">
        <v>6329</v>
      </c>
      <c r="F354" s="8" t="s">
        <v>58</v>
      </c>
      <c r="H354" s="8" t="s">
        <v>2936</v>
      </c>
      <c r="I354" s="8" t="s">
        <v>6410</v>
      </c>
      <c r="J354" s="8" t="s">
        <v>2985</v>
      </c>
      <c r="K354" t="s">
        <v>6411</v>
      </c>
      <c r="L354" t="s">
        <v>6412</v>
      </c>
      <c r="M354" s="3" t="str">
        <f>HYPERLINK(склад2въезд131920212223[[#This Row],[RelativePath]])</f>
        <v>10 Сушилка навес\E33149364_3_20251215T111146Z.jpg</v>
      </c>
    </row>
    <row r="355" spans="1:13" x14ac:dyDescent="0.25">
      <c r="A355" s="2" t="s">
        <v>13</v>
      </c>
      <c r="B355" s="4">
        <v>46006</v>
      </c>
      <c r="C355" s="5">
        <v>0.46740740740740738</v>
      </c>
      <c r="D355" s="8" t="s">
        <v>289</v>
      </c>
      <c r="E355" s="8" t="s">
        <v>6329</v>
      </c>
      <c r="F355" s="8" t="s">
        <v>58</v>
      </c>
      <c r="H355" s="8" t="s">
        <v>2936</v>
      </c>
      <c r="I355" s="8" t="s">
        <v>6413</v>
      </c>
      <c r="J355" s="8" t="s">
        <v>2985</v>
      </c>
      <c r="K355" t="s">
        <v>6414</v>
      </c>
      <c r="L355" t="s">
        <v>6415</v>
      </c>
      <c r="M355" s="3" t="str">
        <f>HYPERLINK(склад2въезд131920212223[[#This Row],[RelativePath]])</f>
        <v>10 Сушилка навес\E33149364_3_20251215T111304Z.jpg</v>
      </c>
    </row>
    <row r="356" spans="1:13" x14ac:dyDescent="0.25">
      <c r="A356" s="2" t="s">
        <v>13</v>
      </c>
      <c r="B356" s="4">
        <v>46006</v>
      </c>
      <c r="C356" s="5">
        <v>0.46766203703703701</v>
      </c>
      <c r="D356" s="8" t="s">
        <v>289</v>
      </c>
      <c r="E356" s="8" t="s">
        <v>6329</v>
      </c>
      <c r="F356" s="8" t="s">
        <v>58</v>
      </c>
      <c r="H356" s="8" t="s">
        <v>2936</v>
      </c>
      <c r="I356" s="8" t="s">
        <v>6416</v>
      </c>
      <c r="J356" s="8" t="s">
        <v>2985</v>
      </c>
      <c r="K356" t="s">
        <v>6417</v>
      </c>
      <c r="L356" t="s">
        <v>6418</v>
      </c>
      <c r="M356" s="3" t="str">
        <f>HYPERLINK(склад2въезд131920212223[[#This Row],[RelativePath]])</f>
        <v>10 Сушилка навес\E33149364_3_20251215T111326Z.jpg</v>
      </c>
    </row>
    <row r="357" spans="1:13" x14ac:dyDescent="0.25">
      <c r="A357" s="2" t="s">
        <v>13</v>
      </c>
      <c r="B357" s="4">
        <v>46006</v>
      </c>
      <c r="C357" s="5">
        <v>0.46770833333333334</v>
      </c>
      <c r="D357" s="8" t="s">
        <v>289</v>
      </c>
      <c r="E357" s="8" t="s">
        <v>6329</v>
      </c>
      <c r="F357" s="8" t="s">
        <v>58</v>
      </c>
      <c r="H357" s="8" t="s">
        <v>2936</v>
      </c>
      <c r="I357" s="8" t="s">
        <v>6419</v>
      </c>
      <c r="J357" s="8" t="s">
        <v>2985</v>
      </c>
      <c r="K357" t="s">
        <v>6420</v>
      </c>
      <c r="L357" t="s">
        <v>6421</v>
      </c>
      <c r="M357" s="3" t="str">
        <f>HYPERLINK(склад2въезд131920212223[[#This Row],[RelativePath]])</f>
        <v>10 Сушилка навес\E33149364_3_20251215T111330Z.jpg</v>
      </c>
    </row>
    <row r="358" spans="1:13" x14ac:dyDescent="0.25">
      <c r="A358" s="2" t="s">
        <v>13</v>
      </c>
      <c r="B358" s="4">
        <v>46006</v>
      </c>
      <c r="C358" s="5">
        <v>0.46807870370370369</v>
      </c>
      <c r="D358" s="8" t="s">
        <v>289</v>
      </c>
      <c r="E358" s="8" t="s">
        <v>6329</v>
      </c>
      <c r="F358" s="8" t="s">
        <v>58</v>
      </c>
      <c r="H358" s="8" t="s">
        <v>2936</v>
      </c>
      <c r="I358" s="8" t="s">
        <v>6422</v>
      </c>
      <c r="J358" s="8" t="s">
        <v>2985</v>
      </c>
      <c r="K358" t="s">
        <v>6423</v>
      </c>
      <c r="L358" t="s">
        <v>6424</v>
      </c>
      <c r="M358" s="3" t="str">
        <f>HYPERLINK(склад2въезд131920212223[[#This Row],[RelativePath]])</f>
        <v>10 Сушилка навес\E33149364_3_20251215T111402Z.jpg</v>
      </c>
    </row>
    <row r="359" spans="1:13" x14ac:dyDescent="0.25">
      <c r="A359" s="2" t="s">
        <v>13</v>
      </c>
      <c r="B359" s="4">
        <v>46006</v>
      </c>
      <c r="C359" s="5">
        <v>0.46834490740740742</v>
      </c>
      <c r="D359" s="8" t="s">
        <v>289</v>
      </c>
      <c r="E359" s="8" t="s">
        <v>6329</v>
      </c>
      <c r="F359" s="8" t="s">
        <v>58</v>
      </c>
      <c r="H359" s="8" t="s">
        <v>2936</v>
      </c>
      <c r="I359" s="8" t="s">
        <v>6425</v>
      </c>
      <c r="J359" s="8" t="s">
        <v>2985</v>
      </c>
      <c r="K359" t="s">
        <v>6426</v>
      </c>
      <c r="L359" t="s">
        <v>6427</v>
      </c>
      <c r="M359" s="3" t="str">
        <f>HYPERLINK(склад2въезд131920212223[[#This Row],[RelativePath]])</f>
        <v>10 Сушилка навес\E33149364_3_20251215T111425Z.jpg</v>
      </c>
    </row>
    <row r="360" spans="1:13" x14ac:dyDescent="0.25">
      <c r="A360" s="2" t="s">
        <v>13</v>
      </c>
      <c r="B360" s="4">
        <v>46006</v>
      </c>
      <c r="C360" s="5">
        <v>0.4692013888888889</v>
      </c>
      <c r="D360" s="8" t="s">
        <v>289</v>
      </c>
      <c r="E360" s="8" t="s">
        <v>6329</v>
      </c>
      <c r="F360" s="8" t="s">
        <v>58</v>
      </c>
      <c r="H360" s="8" t="s">
        <v>2936</v>
      </c>
      <c r="I360" s="8" t="s">
        <v>6428</v>
      </c>
      <c r="J360" s="8" t="s">
        <v>2985</v>
      </c>
      <c r="K360" t="s">
        <v>6429</v>
      </c>
      <c r="L360" t="s">
        <v>6430</v>
      </c>
      <c r="M360" s="3" t="str">
        <f>HYPERLINK(склад2въезд131920212223[[#This Row],[RelativePath]])</f>
        <v>10 Сушилка навес\E33149364_3_20251215T111539Z.jpg</v>
      </c>
    </row>
    <row r="361" spans="1:13" x14ac:dyDescent="0.25">
      <c r="A361" s="2" t="s">
        <v>13</v>
      </c>
      <c r="B361" s="4">
        <v>46006</v>
      </c>
      <c r="C361" s="5">
        <v>0.46927083333333336</v>
      </c>
      <c r="D361" s="8" t="s">
        <v>289</v>
      </c>
      <c r="E361" s="8" t="s">
        <v>6329</v>
      </c>
      <c r="F361" s="8" t="s">
        <v>58</v>
      </c>
      <c r="H361" s="8" t="s">
        <v>2936</v>
      </c>
      <c r="I361" s="8" t="s">
        <v>6431</v>
      </c>
      <c r="J361" s="8" t="s">
        <v>2985</v>
      </c>
      <c r="K361" t="s">
        <v>6432</v>
      </c>
      <c r="L361" t="s">
        <v>6433</v>
      </c>
      <c r="M361" s="3" t="str">
        <f>HYPERLINK(склад2въезд131920212223[[#This Row],[RelativePath]])</f>
        <v>10 Сушилка навес\E33149364_3_20251215T111545Z.jpg</v>
      </c>
    </row>
    <row r="362" spans="1:13" x14ac:dyDescent="0.25">
      <c r="A362" s="2" t="s">
        <v>13</v>
      </c>
      <c r="B362" s="4">
        <v>46006</v>
      </c>
      <c r="C362" s="5">
        <v>0.47002314814814816</v>
      </c>
      <c r="D362" s="8" t="s">
        <v>289</v>
      </c>
      <c r="E362" s="8" t="s">
        <v>6329</v>
      </c>
      <c r="F362" s="8" t="s">
        <v>58</v>
      </c>
      <c r="H362" s="8" t="s">
        <v>2936</v>
      </c>
      <c r="I362" s="8" t="s">
        <v>6434</v>
      </c>
      <c r="J362" s="8" t="s">
        <v>2985</v>
      </c>
      <c r="K362" t="s">
        <v>6435</v>
      </c>
      <c r="L362" t="s">
        <v>6436</v>
      </c>
      <c r="M362" s="3" t="str">
        <f>HYPERLINK(склад2въезд131920212223[[#This Row],[RelativePath]])</f>
        <v>10 Сушилка навес\E33149364_3_20251215T111650Z.jpg</v>
      </c>
    </row>
    <row r="363" spans="1:13" x14ac:dyDescent="0.25">
      <c r="A363" s="2" t="s">
        <v>13</v>
      </c>
      <c r="B363" s="4">
        <v>46006</v>
      </c>
      <c r="C363" s="5">
        <v>0.47033564814814816</v>
      </c>
      <c r="D363" s="8" t="s">
        <v>289</v>
      </c>
      <c r="E363" s="8" t="s">
        <v>6329</v>
      </c>
      <c r="F363" s="8" t="s">
        <v>58</v>
      </c>
      <c r="H363" s="8" t="s">
        <v>2936</v>
      </c>
      <c r="I363" s="8" t="s">
        <v>6437</v>
      </c>
      <c r="J363" s="8" t="s">
        <v>2985</v>
      </c>
      <c r="K363" t="s">
        <v>6438</v>
      </c>
      <c r="L363" t="s">
        <v>6439</v>
      </c>
      <c r="M363" s="3" t="str">
        <f>HYPERLINK(склад2въезд131920212223[[#This Row],[RelativePath]])</f>
        <v>10 Сушилка навес\E33149364_3_20251215T111717Z.jpg</v>
      </c>
    </row>
    <row r="364" spans="1:13" x14ac:dyDescent="0.25">
      <c r="A364" s="2" t="s">
        <v>13</v>
      </c>
      <c r="B364" s="4">
        <v>46006</v>
      </c>
      <c r="C364" s="5">
        <v>0.47047453703703701</v>
      </c>
      <c r="D364" s="8" t="s">
        <v>289</v>
      </c>
      <c r="E364" s="8" t="s">
        <v>6329</v>
      </c>
      <c r="F364" s="8" t="s">
        <v>58</v>
      </c>
      <c r="H364" s="8" t="s">
        <v>2936</v>
      </c>
      <c r="I364" s="8" t="s">
        <v>6440</v>
      </c>
      <c r="J364" s="8" t="s">
        <v>2985</v>
      </c>
      <c r="K364" t="s">
        <v>6441</v>
      </c>
      <c r="L364" t="s">
        <v>6442</v>
      </c>
      <c r="M364" s="3" t="str">
        <f>HYPERLINK(склад2въезд131920212223[[#This Row],[RelativePath]])</f>
        <v>10 Сушилка навес\E33149364_3_20251215T111729Z.jpg</v>
      </c>
    </row>
    <row r="365" spans="1:13" x14ac:dyDescent="0.25">
      <c r="A365" s="2" t="s">
        <v>13</v>
      </c>
      <c r="B365" s="4">
        <v>46006</v>
      </c>
      <c r="C365" s="5">
        <v>0.47162037037037036</v>
      </c>
      <c r="D365" s="8" t="s">
        <v>289</v>
      </c>
      <c r="E365" s="8" t="s">
        <v>6329</v>
      </c>
      <c r="F365" s="8" t="s">
        <v>58</v>
      </c>
      <c r="H365" s="8" t="s">
        <v>2936</v>
      </c>
      <c r="I365" s="8" t="s">
        <v>6443</v>
      </c>
      <c r="J365" s="8" t="s">
        <v>2985</v>
      </c>
      <c r="K365" t="s">
        <v>6444</v>
      </c>
      <c r="L365" t="s">
        <v>6445</v>
      </c>
      <c r="M365" s="3" t="str">
        <f>HYPERLINK(склад2въезд131920212223[[#This Row],[RelativePath]])</f>
        <v>10 Сушилка навес\E33149364_3_20251215T111908Z.jpg</v>
      </c>
    </row>
    <row r="366" spans="1:13" x14ac:dyDescent="0.25">
      <c r="A366" s="2" t="s">
        <v>13</v>
      </c>
      <c r="B366" s="4">
        <v>46006</v>
      </c>
      <c r="C366" s="5">
        <v>0.47537037037037039</v>
      </c>
      <c r="D366" s="8" t="s">
        <v>289</v>
      </c>
      <c r="E366" s="8" t="s">
        <v>6329</v>
      </c>
      <c r="F366" s="8" t="s">
        <v>58</v>
      </c>
      <c r="H366" s="8" t="s">
        <v>6526</v>
      </c>
      <c r="I366" s="8" t="s">
        <v>6446</v>
      </c>
      <c r="J366" s="8" t="s">
        <v>2985</v>
      </c>
      <c r="K366" t="s">
        <v>6447</v>
      </c>
      <c r="L366" t="s">
        <v>6448</v>
      </c>
      <c r="M366" s="3" t="str">
        <f>HYPERLINK(склад2въезд131920212223[[#This Row],[RelativePath]])</f>
        <v>10 Сушилка навес\E33149364_3_20251215T112432Z.jpg</v>
      </c>
    </row>
    <row r="367" spans="1:13" x14ac:dyDescent="0.25">
      <c r="A367" s="2" t="s">
        <v>13</v>
      </c>
      <c r="B367" s="4">
        <v>46006</v>
      </c>
      <c r="C367" s="5">
        <v>0.47547453703703701</v>
      </c>
      <c r="D367" s="8" t="s">
        <v>289</v>
      </c>
      <c r="E367" s="8" t="s">
        <v>6329</v>
      </c>
      <c r="F367" s="8" t="s">
        <v>58</v>
      </c>
      <c r="H367" s="8" t="s">
        <v>2936</v>
      </c>
      <c r="I367" s="8" t="s">
        <v>6449</v>
      </c>
      <c r="J367" s="8" t="s">
        <v>2985</v>
      </c>
      <c r="K367" t="s">
        <v>6450</v>
      </c>
      <c r="L367" t="s">
        <v>6451</v>
      </c>
      <c r="M367" s="3" t="str">
        <f>HYPERLINK(склад2въезд131920212223[[#This Row],[RelativePath]])</f>
        <v>10 Сушилка навес\E33149364_3_20251215T112441Z.jpg</v>
      </c>
    </row>
    <row r="368" spans="1:13" x14ac:dyDescent="0.25">
      <c r="A368" s="2" t="s">
        <v>13</v>
      </c>
      <c r="B368" s="4">
        <v>46006</v>
      </c>
      <c r="C368" s="5">
        <v>0.47672453703703704</v>
      </c>
      <c r="D368" s="8" t="s">
        <v>289</v>
      </c>
      <c r="E368" s="8" t="s">
        <v>6329</v>
      </c>
      <c r="F368" s="8" t="s">
        <v>58</v>
      </c>
      <c r="H368" s="8" t="s">
        <v>2936</v>
      </c>
      <c r="I368" s="8" t="s">
        <v>6452</v>
      </c>
      <c r="J368" s="8" t="s">
        <v>2985</v>
      </c>
      <c r="K368" t="s">
        <v>6453</v>
      </c>
      <c r="L368" t="s">
        <v>6454</v>
      </c>
      <c r="M368" s="3" t="str">
        <f>HYPERLINK(склад2въезд131920212223[[#This Row],[RelativePath]])</f>
        <v>10 Сушилка навес\E33149364_3_20251215T112629Z.jpg</v>
      </c>
    </row>
    <row r="369" spans="1:13" x14ac:dyDescent="0.25">
      <c r="A369" s="2" t="s">
        <v>13</v>
      </c>
      <c r="B369" s="4">
        <v>46006</v>
      </c>
      <c r="C369" s="5">
        <v>0.47729166666666667</v>
      </c>
      <c r="D369" s="8" t="s">
        <v>289</v>
      </c>
      <c r="E369" s="8" t="s">
        <v>6329</v>
      </c>
      <c r="F369" s="8" t="s">
        <v>58</v>
      </c>
      <c r="H369" s="8" t="s">
        <v>2936</v>
      </c>
      <c r="I369" s="8" t="s">
        <v>6455</v>
      </c>
      <c r="J369" s="8" t="s">
        <v>2985</v>
      </c>
      <c r="K369" t="s">
        <v>6456</v>
      </c>
      <c r="L369" t="s">
        <v>6457</v>
      </c>
      <c r="M369" s="3" t="str">
        <f>HYPERLINK(склад2въезд131920212223[[#This Row],[RelativePath]])</f>
        <v>10 Сушилка навес\E33149364_3_20251215T112718Z.jpg</v>
      </c>
    </row>
    <row r="370" spans="1:13" x14ac:dyDescent="0.25">
      <c r="A370" s="2" t="s">
        <v>13</v>
      </c>
      <c r="B370" s="4">
        <v>46006</v>
      </c>
      <c r="C370" s="5">
        <v>0.47780092592592593</v>
      </c>
      <c r="D370" s="8" t="s">
        <v>289</v>
      </c>
      <c r="E370" s="8" t="s">
        <v>6329</v>
      </c>
      <c r="F370" s="8" t="s">
        <v>58</v>
      </c>
      <c r="H370" s="8" t="s">
        <v>1620</v>
      </c>
      <c r="I370" s="8" t="s">
        <v>6458</v>
      </c>
      <c r="J370" s="8" t="s">
        <v>2985</v>
      </c>
      <c r="K370" t="s">
        <v>6459</v>
      </c>
      <c r="L370" t="s">
        <v>6460</v>
      </c>
      <c r="M370" s="3" t="str">
        <f>HYPERLINK(склад2въезд131920212223[[#This Row],[RelativePath]])</f>
        <v>10 Сушилка навес\E33149364_3_20251215T112802Z.jpg</v>
      </c>
    </row>
    <row r="371" spans="1:13" x14ac:dyDescent="0.25">
      <c r="A371" s="2" t="s">
        <v>13</v>
      </c>
      <c r="B371" s="4">
        <v>46006</v>
      </c>
      <c r="C371" s="5">
        <v>0.47806712962962961</v>
      </c>
      <c r="D371" s="8" t="s">
        <v>289</v>
      </c>
      <c r="E371" s="8" t="s">
        <v>6329</v>
      </c>
      <c r="F371" s="8" t="s">
        <v>58</v>
      </c>
      <c r="H371" s="8" t="s">
        <v>2936</v>
      </c>
      <c r="I371" s="8" t="s">
        <v>6461</v>
      </c>
      <c r="J371" s="8" t="s">
        <v>2985</v>
      </c>
      <c r="K371" t="s">
        <v>6462</v>
      </c>
      <c r="L371" t="s">
        <v>6463</v>
      </c>
      <c r="M371" s="3" t="str">
        <f>HYPERLINK(склад2въезд131920212223[[#This Row],[RelativePath]])</f>
        <v>10 Сушилка навес\E33149364_3_20251215T112825Z.jpg</v>
      </c>
    </row>
    <row r="372" spans="1:13" x14ac:dyDescent="0.25">
      <c r="A372" s="2" t="s">
        <v>13</v>
      </c>
      <c r="B372" s="4">
        <v>46006</v>
      </c>
      <c r="C372" s="5">
        <v>0.4783101851851852</v>
      </c>
      <c r="D372" s="8" t="s">
        <v>289</v>
      </c>
      <c r="E372" s="8" t="s">
        <v>6329</v>
      </c>
      <c r="F372" s="8" t="s">
        <v>58</v>
      </c>
      <c r="H372" s="8" t="s">
        <v>2936</v>
      </c>
      <c r="I372" s="8" t="s">
        <v>6464</v>
      </c>
      <c r="J372" s="8" t="s">
        <v>2985</v>
      </c>
      <c r="K372" t="s">
        <v>6465</v>
      </c>
      <c r="L372" t="s">
        <v>6466</v>
      </c>
      <c r="M372" s="3" t="str">
        <f>HYPERLINK(склад2въезд131920212223[[#This Row],[RelativePath]])</f>
        <v>10 Сушилка навес\E33149364_3_20251215T112846Z.jpg</v>
      </c>
    </row>
    <row r="373" spans="1:13" x14ac:dyDescent="0.25">
      <c r="A373" s="2" t="s">
        <v>13</v>
      </c>
      <c r="B373" s="4">
        <v>46006</v>
      </c>
      <c r="C373" s="5">
        <v>0.47834490740740743</v>
      </c>
      <c r="D373" s="8" t="s">
        <v>289</v>
      </c>
      <c r="E373" s="8" t="s">
        <v>6329</v>
      </c>
      <c r="F373" s="8" t="s">
        <v>58</v>
      </c>
      <c r="H373" s="8" t="s">
        <v>2936</v>
      </c>
      <c r="I373" s="8" t="s">
        <v>6467</v>
      </c>
      <c r="J373" s="8" t="s">
        <v>2985</v>
      </c>
      <c r="K373" t="s">
        <v>6468</v>
      </c>
      <c r="L373" t="s">
        <v>6469</v>
      </c>
      <c r="M373" s="3" t="str">
        <f>HYPERLINK(склад2въезд131920212223[[#This Row],[RelativePath]])</f>
        <v>10 Сушилка навес\E33149364_3_20251215T112849Z.jpg</v>
      </c>
    </row>
    <row r="374" spans="1:13" x14ac:dyDescent="0.25">
      <c r="A374" s="2" t="s">
        <v>13</v>
      </c>
      <c r="B374" s="4">
        <v>46006</v>
      </c>
      <c r="C374" s="5">
        <v>0.48038194444444443</v>
      </c>
      <c r="D374" s="8" t="s">
        <v>650</v>
      </c>
      <c r="E374" s="8" t="s">
        <v>6329</v>
      </c>
      <c r="F374" s="8" t="s">
        <v>58</v>
      </c>
      <c r="H374" s="8"/>
      <c r="I374" s="8" t="s">
        <v>6470</v>
      </c>
      <c r="J374" s="8" t="s">
        <v>2985</v>
      </c>
      <c r="K374" t="s">
        <v>6471</v>
      </c>
      <c r="L374" t="s">
        <v>6472</v>
      </c>
      <c r="M374" s="3" t="str">
        <f>HYPERLINK(склад2въезд131920212223[[#This Row],[RelativePath]])</f>
        <v>10 Сушилка навес\E33149364_3_20251215T113145Z.jpg</v>
      </c>
    </row>
    <row r="375" spans="1:13" x14ac:dyDescent="0.25">
      <c r="A375" s="2" t="s">
        <v>13</v>
      </c>
      <c r="B375" s="4">
        <v>46006</v>
      </c>
      <c r="C375" s="5">
        <v>0.6065625</v>
      </c>
      <c r="D375" s="8" t="s">
        <v>1606</v>
      </c>
      <c r="E375" s="8" t="s">
        <v>6527</v>
      </c>
      <c r="F375" s="8"/>
      <c r="H375" s="8"/>
      <c r="I375" s="8" t="s">
        <v>6473</v>
      </c>
      <c r="J375" s="8" t="s">
        <v>2985</v>
      </c>
      <c r="K375" t="s">
        <v>6474</v>
      </c>
      <c r="L375" t="s">
        <v>6475</v>
      </c>
      <c r="M375" s="3" t="str">
        <f>HYPERLINK(склад2въезд131920212223[[#This Row],[RelativePath]])</f>
        <v>10 Сушилка навес\E33149364_3_20251215T143327Z.jpg</v>
      </c>
    </row>
    <row r="376" spans="1:13" x14ac:dyDescent="0.25">
      <c r="A376" s="2" t="s">
        <v>13</v>
      </c>
      <c r="B376" s="4">
        <v>46006</v>
      </c>
      <c r="C376" s="5">
        <v>0.60672453703703699</v>
      </c>
      <c r="D376" s="8" t="s">
        <v>4</v>
      </c>
      <c r="E376" s="8" t="s">
        <v>6528</v>
      </c>
      <c r="F376" s="8"/>
      <c r="H376" s="8"/>
      <c r="I376" s="8" t="s">
        <v>6476</v>
      </c>
      <c r="J376" s="8" t="s">
        <v>2985</v>
      </c>
      <c r="K376" t="s">
        <v>6477</v>
      </c>
      <c r="L376" t="s">
        <v>6478</v>
      </c>
      <c r="M376" s="3" t="str">
        <f>HYPERLINK(склад2въезд131920212223[[#This Row],[RelativePath]])</f>
        <v>10 Сушилка навес\E33149364_3_20251215T143341Z.jpg</v>
      </c>
    </row>
    <row r="377" spans="1:13" x14ac:dyDescent="0.25">
      <c r="A377" s="2" t="s">
        <v>13</v>
      </c>
      <c r="B377" s="4">
        <v>46006</v>
      </c>
      <c r="C377" s="5">
        <v>0.61089120370370376</v>
      </c>
      <c r="D377" s="8" t="s">
        <v>289</v>
      </c>
      <c r="E377" s="8" t="s">
        <v>6527</v>
      </c>
      <c r="F377" s="8" t="s">
        <v>1099</v>
      </c>
      <c r="G377">
        <v>2</v>
      </c>
      <c r="H377" s="8"/>
      <c r="I377" s="8" t="s">
        <v>6479</v>
      </c>
      <c r="J377" s="8" t="s">
        <v>2985</v>
      </c>
      <c r="K377" t="s">
        <v>6480</v>
      </c>
      <c r="L377" t="s">
        <v>6481</v>
      </c>
      <c r="M377" s="3" t="str">
        <f>HYPERLINK(склад2въезд131920212223[[#This Row],[RelativePath]])</f>
        <v>10 Сушилка навес\E33149364_3_20251215T143941Z.jpg</v>
      </c>
    </row>
    <row r="378" spans="1:13" x14ac:dyDescent="0.25">
      <c r="A378" s="2" t="s">
        <v>13</v>
      </c>
      <c r="B378" s="4">
        <v>46006</v>
      </c>
      <c r="C378" s="5">
        <v>0.611724537037037</v>
      </c>
      <c r="D378" s="8" t="s">
        <v>650</v>
      </c>
      <c r="E378" s="8" t="s">
        <v>6527</v>
      </c>
      <c r="F378" s="8" t="s">
        <v>1099</v>
      </c>
      <c r="H378" s="8"/>
      <c r="I378" s="8" t="s">
        <v>6482</v>
      </c>
      <c r="J378" s="8" t="s">
        <v>2985</v>
      </c>
      <c r="K378" t="s">
        <v>6483</v>
      </c>
      <c r="L378" t="s">
        <v>6484</v>
      </c>
      <c r="M378" s="3" t="str">
        <f>HYPERLINK(склад2въезд131920212223[[#This Row],[RelativePath]])</f>
        <v>10 Сушилка навес\E33149364_3_20251215T144053Z.jpg</v>
      </c>
    </row>
    <row r="379" spans="1:13" x14ac:dyDescent="0.25">
      <c r="A379" s="2" t="s">
        <v>13</v>
      </c>
      <c r="B379" s="4">
        <v>46006</v>
      </c>
      <c r="C379" s="5">
        <v>0.62203703703703705</v>
      </c>
      <c r="D379" s="8" t="s">
        <v>4223</v>
      </c>
      <c r="E379" s="8" t="s">
        <v>86</v>
      </c>
      <c r="F379" s="8" t="s">
        <v>528</v>
      </c>
      <c r="H379" s="8" t="s">
        <v>5104</v>
      </c>
      <c r="I379" s="8" t="s">
        <v>6485</v>
      </c>
      <c r="J379" s="8" t="s">
        <v>2985</v>
      </c>
      <c r="K379" t="s">
        <v>6486</v>
      </c>
      <c r="L379" t="s">
        <v>6487</v>
      </c>
      <c r="M379" s="3" t="str">
        <f>HYPERLINK(склад2въезд131920212223[[#This Row],[RelativePath]])</f>
        <v>10 Сушилка навес\E33149364_3_20251215T145544Z.jpg</v>
      </c>
    </row>
    <row r="380" spans="1:13" x14ac:dyDescent="0.25">
      <c r="A380" s="2" t="s">
        <v>13</v>
      </c>
      <c r="B380" s="4">
        <v>46006</v>
      </c>
      <c r="C380" s="5">
        <v>0.62807870370370367</v>
      </c>
      <c r="D380" s="8" t="s">
        <v>4223</v>
      </c>
      <c r="E380" s="8" t="s">
        <v>86</v>
      </c>
      <c r="F380" s="8" t="s">
        <v>528</v>
      </c>
      <c r="H380" s="8" t="s">
        <v>5104</v>
      </c>
      <c r="I380" s="8" t="s">
        <v>6488</v>
      </c>
      <c r="J380" s="8" t="s">
        <v>2985</v>
      </c>
      <c r="K380" t="s">
        <v>6489</v>
      </c>
      <c r="L380" t="s">
        <v>6490</v>
      </c>
      <c r="M380" s="3" t="str">
        <f>HYPERLINK(склад2въезд131920212223[[#This Row],[RelativePath]])</f>
        <v>10 Сушилка навес\E33149364_3_20251215T150426Z.jpg</v>
      </c>
    </row>
    <row r="381" spans="1:13" x14ac:dyDescent="0.25">
      <c r="A381" s="2" t="s">
        <v>13</v>
      </c>
      <c r="B381" s="4">
        <v>46006</v>
      </c>
      <c r="C381" s="5">
        <v>0.63324074074074077</v>
      </c>
      <c r="D381" s="8" t="s">
        <v>4223</v>
      </c>
      <c r="E381" s="8" t="s">
        <v>86</v>
      </c>
      <c r="F381" s="8" t="s">
        <v>1621</v>
      </c>
      <c r="H381" s="8" t="s">
        <v>5104</v>
      </c>
      <c r="I381" s="8" t="s">
        <v>6491</v>
      </c>
      <c r="J381" s="8" t="s">
        <v>2985</v>
      </c>
      <c r="K381" t="s">
        <v>6492</v>
      </c>
      <c r="L381" t="s">
        <v>6493</v>
      </c>
      <c r="M381" s="3" t="str">
        <f>HYPERLINK(склад2въезд131920212223[[#This Row],[RelativePath]])</f>
        <v>10 Сушилка навес\E33149364_3_20251215T151152Z.jpg</v>
      </c>
    </row>
    <row r="382" spans="1:13" x14ac:dyDescent="0.25">
      <c r="A382" s="2" t="s">
        <v>13</v>
      </c>
      <c r="B382" s="4">
        <v>46006</v>
      </c>
      <c r="C382" s="5">
        <v>0.69715277777777773</v>
      </c>
      <c r="D382" s="8" t="s">
        <v>4</v>
      </c>
      <c r="E382" s="8" t="s">
        <v>6529</v>
      </c>
      <c r="F382" s="8"/>
      <c r="H382" s="8"/>
      <c r="I382" s="8" t="s">
        <v>6494</v>
      </c>
      <c r="J382" s="8" t="s">
        <v>2985</v>
      </c>
      <c r="K382" t="s">
        <v>6495</v>
      </c>
      <c r="L382" t="s">
        <v>6496</v>
      </c>
      <c r="M382" s="3" t="str">
        <f>HYPERLINK(склад2въезд131920212223[[#This Row],[RelativePath]])</f>
        <v>10 Сушилка навес\E33149364_3_20251215T164354Z.jpg</v>
      </c>
    </row>
    <row r="383" spans="1:13" x14ac:dyDescent="0.25">
      <c r="A383" s="2" t="s">
        <v>13</v>
      </c>
      <c r="B383" s="4">
        <v>46006</v>
      </c>
      <c r="C383" s="5">
        <v>0.70814814814814819</v>
      </c>
      <c r="D383" s="8" t="s">
        <v>4</v>
      </c>
      <c r="E383" s="8" t="s">
        <v>6530</v>
      </c>
      <c r="F383" s="8"/>
      <c r="H383" s="8" t="s">
        <v>6531</v>
      </c>
      <c r="I383" s="8" t="s">
        <v>6497</v>
      </c>
      <c r="J383" s="8" t="s">
        <v>2985</v>
      </c>
      <c r="K383" t="s">
        <v>6498</v>
      </c>
      <c r="L383" t="s">
        <v>6499</v>
      </c>
      <c r="M383" s="3" t="str">
        <f>HYPERLINK(склад2въезд131920212223[[#This Row],[RelativePath]])</f>
        <v>10 Сушилка навес\E33149364_3_20251215T165944Z.jpg</v>
      </c>
    </row>
    <row r="384" spans="1:13" x14ac:dyDescent="0.25">
      <c r="A384" s="2" t="s">
        <v>14</v>
      </c>
      <c r="B384" s="4">
        <v>46007</v>
      </c>
      <c r="C384" s="5">
        <v>0.38737268518518519</v>
      </c>
      <c r="D384" s="8" t="s">
        <v>533</v>
      </c>
      <c r="E384" s="8" t="s">
        <v>531</v>
      </c>
      <c r="F384" s="8" t="s">
        <v>58</v>
      </c>
      <c r="H384" s="8" t="s">
        <v>4236</v>
      </c>
      <c r="I384" s="8" t="s">
        <v>6608</v>
      </c>
      <c r="J384" s="8" t="s">
        <v>2985</v>
      </c>
      <c r="K384" t="s">
        <v>6609</v>
      </c>
      <c r="L384" t="s">
        <v>6610</v>
      </c>
      <c r="M384" s="3" t="str">
        <f>HYPERLINK(склад2въезд131920212223[[#This Row],[RelativePath]])</f>
        <v>10 Сушилка навес\E33149364_3_20251216T091749Z.jpg</v>
      </c>
    </row>
    <row r="385" spans="1:13" x14ac:dyDescent="0.25">
      <c r="A385" s="2" t="s">
        <v>14</v>
      </c>
      <c r="B385" s="4">
        <v>46007</v>
      </c>
      <c r="C385" s="5">
        <v>0.39740740740740743</v>
      </c>
      <c r="D385" s="8" t="s">
        <v>533</v>
      </c>
      <c r="E385" s="8" t="s">
        <v>531</v>
      </c>
      <c r="F385" s="8" t="s">
        <v>58</v>
      </c>
      <c r="H385" s="8" t="s">
        <v>4236</v>
      </c>
      <c r="I385" s="8" t="s">
        <v>6611</v>
      </c>
      <c r="J385" s="8" t="s">
        <v>2985</v>
      </c>
      <c r="K385" t="s">
        <v>6612</v>
      </c>
      <c r="L385" t="s">
        <v>6613</v>
      </c>
      <c r="M385" s="3" t="str">
        <f>HYPERLINK(склад2въезд131920212223[[#This Row],[RelativePath]])</f>
        <v>10 Сушилка навес\E33149364_3_20251216T093216Z.jpg</v>
      </c>
    </row>
    <row r="386" spans="1:13" x14ac:dyDescent="0.25">
      <c r="A386" s="2" t="s">
        <v>14</v>
      </c>
      <c r="B386" s="4">
        <v>46007</v>
      </c>
      <c r="C386" s="5">
        <v>0.40063657407407405</v>
      </c>
      <c r="D386" s="8" t="s">
        <v>4</v>
      </c>
      <c r="E386" s="8" t="s">
        <v>8</v>
      </c>
      <c r="F386" s="8"/>
      <c r="H386" s="8"/>
      <c r="I386" s="8" t="s">
        <v>6614</v>
      </c>
      <c r="J386" s="8" t="s">
        <v>2985</v>
      </c>
      <c r="K386" t="s">
        <v>6615</v>
      </c>
      <c r="L386" t="s">
        <v>6616</v>
      </c>
      <c r="M386" s="3" t="str">
        <f>HYPERLINK(склад2въезд131920212223[[#This Row],[RelativePath]])</f>
        <v>10 Сушилка навес\E33149364_3_20251216T093655Z.jpg</v>
      </c>
    </row>
    <row r="387" spans="1:13" x14ac:dyDescent="0.25">
      <c r="A387" s="2" t="s">
        <v>14</v>
      </c>
      <c r="B387" s="4">
        <v>46007</v>
      </c>
      <c r="C387" s="5">
        <v>0.4092824074074074</v>
      </c>
      <c r="D387" s="8" t="s">
        <v>4</v>
      </c>
      <c r="E387" s="8" t="s">
        <v>8</v>
      </c>
      <c r="F387" s="8"/>
      <c r="H387" s="8"/>
      <c r="I387" s="8" t="s">
        <v>6617</v>
      </c>
      <c r="J387" s="8" t="s">
        <v>2985</v>
      </c>
      <c r="K387" t="s">
        <v>6618</v>
      </c>
      <c r="L387" t="s">
        <v>6619</v>
      </c>
      <c r="M387" s="3" t="str">
        <f>HYPERLINK(склад2въезд131920212223[[#This Row],[RelativePath]])</f>
        <v>10 Сушилка навес\E33149364_3_20251216T094922Z.jpg</v>
      </c>
    </row>
    <row r="388" spans="1:13" x14ac:dyDescent="0.25">
      <c r="A388" s="2" t="s">
        <v>14</v>
      </c>
      <c r="B388" s="4">
        <v>46007</v>
      </c>
      <c r="C388" s="5">
        <v>0.46201388888888889</v>
      </c>
      <c r="D388" s="8" t="s">
        <v>4</v>
      </c>
      <c r="E388" s="8" t="s">
        <v>8</v>
      </c>
      <c r="F388" s="8"/>
      <c r="H388" s="8"/>
      <c r="I388" s="8" t="s">
        <v>6620</v>
      </c>
      <c r="J388" s="8" t="s">
        <v>2985</v>
      </c>
      <c r="K388" t="s">
        <v>6621</v>
      </c>
      <c r="L388" t="s">
        <v>6622</v>
      </c>
      <c r="M388" s="3" t="str">
        <f>HYPERLINK(склад2въезд131920212223[[#This Row],[RelativePath]])</f>
        <v>10 Сушилка навес\E33149364_3_20251216T110518Z.jpg</v>
      </c>
    </row>
    <row r="389" spans="1:13" x14ac:dyDescent="0.25">
      <c r="A389" s="2" t="s">
        <v>14</v>
      </c>
      <c r="B389" s="4">
        <v>46007</v>
      </c>
      <c r="C389" s="5">
        <v>0.46773148148148147</v>
      </c>
      <c r="D389" s="8" t="s">
        <v>4</v>
      </c>
      <c r="E389" s="8" t="s">
        <v>8</v>
      </c>
      <c r="F389" s="8"/>
      <c r="H389" s="8"/>
      <c r="I389" s="8" t="s">
        <v>6623</v>
      </c>
      <c r="J389" s="8" t="s">
        <v>2985</v>
      </c>
      <c r="K389" t="s">
        <v>6624</v>
      </c>
      <c r="L389" t="s">
        <v>6625</v>
      </c>
      <c r="M389" s="3" t="str">
        <f>HYPERLINK(склад2въезд131920212223[[#This Row],[RelativePath]])</f>
        <v>10 Сушилка навес\E33149364_3_20251216T111332Z.jpg</v>
      </c>
    </row>
    <row r="390" spans="1:13" x14ac:dyDescent="0.25">
      <c r="A390" s="2" t="s">
        <v>14</v>
      </c>
      <c r="B390" s="4">
        <v>46007</v>
      </c>
      <c r="C390" s="5">
        <v>0.57921296296296299</v>
      </c>
      <c r="D390" s="8" t="s">
        <v>4</v>
      </c>
      <c r="E390" s="8" t="s">
        <v>8</v>
      </c>
      <c r="F390" s="8"/>
      <c r="H390" s="8"/>
      <c r="I390" s="8" t="s">
        <v>6626</v>
      </c>
      <c r="J390" s="8" t="s">
        <v>2985</v>
      </c>
      <c r="K390" t="s">
        <v>6627</v>
      </c>
      <c r="L390" t="s">
        <v>6628</v>
      </c>
      <c r="M390" s="3" t="str">
        <f>HYPERLINK(склад2въезд131920212223[[#This Row],[RelativePath]])</f>
        <v>10 Сушилка навес\E33149364_3_20251216T135404Z.jpg</v>
      </c>
    </row>
    <row r="391" spans="1:13" x14ac:dyDescent="0.25">
      <c r="A391" s="2" t="s">
        <v>14</v>
      </c>
      <c r="B391" s="4">
        <v>46007</v>
      </c>
      <c r="C391" s="5">
        <v>0.64810185185185187</v>
      </c>
      <c r="D391" s="8" t="s">
        <v>533</v>
      </c>
      <c r="E391" s="8" t="s">
        <v>531</v>
      </c>
      <c r="F391" s="8" t="s">
        <v>1099</v>
      </c>
      <c r="H391" s="8"/>
      <c r="I391" s="8" t="s">
        <v>6629</v>
      </c>
      <c r="J391" s="8" t="s">
        <v>2985</v>
      </c>
      <c r="K391" t="s">
        <v>6630</v>
      </c>
      <c r="L391" t="s">
        <v>6631</v>
      </c>
      <c r="M391" s="3" t="str">
        <f>HYPERLINK(склад2въезд131920212223[[#This Row],[RelativePath]])</f>
        <v>10 Сушилка навес\E33149364_3_20251216T153316Z.jpg</v>
      </c>
    </row>
    <row r="392" spans="1:13" x14ac:dyDescent="0.25">
      <c r="A392" s="2" t="s">
        <v>14</v>
      </c>
      <c r="B392" s="4">
        <v>46007</v>
      </c>
      <c r="C392" s="5">
        <v>0.67344907407407406</v>
      </c>
      <c r="D392" s="8" t="s">
        <v>4</v>
      </c>
      <c r="E392" s="8" t="s">
        <v>8</v>
      </c>
      <c r="F392" s="8"/>
      <c r="H392" s="8"/>
      <c r="I392" s="8" t="s">
        <v>6632</v>
      </c>
      <c r="J392" s="8" t="s">
        <v>2985</v>
      </c>
      <c r="K392" t="s">
        <v>6633</v>
      </c>
      <c r="L392" t="s">
        <v>6634</v>
      </c>
      <c r="M392" s="3" t="str">
        <f>HYPERLINK(склад2въезд131920212223[[#This Row],[RelativePath]])</f>
        <v>10 Сушилка навес\E33149364_3_20251216T160946Z.jpg</v>
      </c>
    </row>
    <row r="393" spans="1:13" x14ac:dyDescent="0.25">
      <c r="A393" s="2" t="s">
        <v>14</v>
      </c>
      <c r="B393" s="4">
        <v>46007</v>
      </c>
      <c r="C393" s="5">
        <v>0.70112268518518517</v>
      </c>
      <c r="D393" s="8" t="s">
        <v>4</v>
      </c>
      <c r="E393" s="8" t="s">
        <v>8</v>
      </c>
      <c r="F393" s="8"/>
      <c r="H393" s="8"/>
      <c r="I393" s="8" t="s">
        <v>6635</v>
      </c>
      <c r="J393" s="8" t="s">
        <v>2985</v>
      </c>
      <c r="K393" t="s">
        <v>6636</v>
      </c>
      <c r="L393" t="s">
        <v>6637</v>
      </c>
      <c r="M393" s="3" t="str">
        <f>HYPERLINK(склад2въезд131920212223[[#This Row],[RelativePath]])</f>
        <v>10 Сушилка навес\E33149364_3_20251216T164937Z.jpg</v>
      </c>
    </row>
    <row r="394" spans="1:13" x14ac:dyDescent="0.25">
      <c r="A394" s="2" t="s">
        <v>15</v>
      </c>
      <c r="B394" s="4">
        <v>46008</v>
      </c>
      <c r="C394" s="5">
        <v>0.4039814814814815</v>
      </c>
      <c r="D394" s="8" t="s">
        <v>533</v>
      </c>
      <c r="E394" s="8" t="s">
        <v>531</v>
      </c>
      <c r="F394" s="8" t="s">
        <v>58</v>
      </c>
      <c r="H394" s="8" t="s">
        <v>4236</v>
      </c>
      <c r="I394" s="8" t="s">
        <v>6781</v>
      </c>
      <c r="J394" s="8" t="s">
        <v>2985</v>
      </c>
      <c r="K394" t="s">
        <v>6782</v>
      </c>
      <c r="L394" t="s">
        <v>6783</v>
      </c>
      <c r="M394" s="3" t="str">
        <f>HYPERLINK(склад2въезд131920212223[[#This Row],[RelativePath]])</f>
        <v>10 Сушилка навес\E33149364_3_20251217T094144Z.jpg</v>
      </c>
    </row>
    <row r="395" spans="1:13" x14ac:dyDescent="0.25">
      <c r="A395" s="2" t="s">
        <v>15</v>
      </c>
      <c r="B395" s="4">
        <v>46008</v>
      </c>
      <c r="C395" s="5">
        <v>0.42366898148148147</v>
      </c>
      <c r="D395" s="8" t="s">
        <v>533</v>
      </c>
      <c r="E395" s="8" t="s">
        <v>531</v>
      </c>
      <c r="F395" s="8" t="s">
        <v>6871</v>
      </c>
      <c r="H395" s="8" t="s">
        <v>4236</v>
      </c>
      <c r="I395" s="8" t="s">
        <v>6784</v>
      </c>
      <c r="J395" s="8" t="s">
        <v>2985</v>
      </c>
      <c r="K395" t="s">
        <v>6785</v>
      </c>
      <c r="L395" t="s">
        <v>6786</v>
      </c>
      <c r="M395" s="3" t="str">
        <f>HYPERLINK(склад2въезд131920212223[[#This Row],[RelativePath]])</f>
        <v>10 Сушилка навес\E33149364_3_20251217T101005Z.jpg</v>
      </c>
    </row>
    <row r="396" spans="1:13" x14ac:dyDescent="0.25">
      <c r="A396" s="2" t="s">
        <v>15</v>
      </c>
      <c r="B396" s="4">
        <v>46008</v>
      </c>
      <c r="C396" s="5">
        <v>0.4307523148148148</v>
      </c>
      <c r="D396" s="8" t="s">
        <v>533</v>
      </c>
      <c r="E396" s="8" t="s">
        <v>531</v>
      </c>
      <c r="F396" s="8" t="s">
        <v>58</v>
      </c>
      <c r="H396" s="8" t="s">
        <v>4236</v>
      </c>
      <c r="I396" s="8" t="s">
        <v>6787</v>
      </c>
      <c r="J396" s="8" t="s">
        <v>2985</v>
      </c>
      <c r="K396" t="s">
        <v>6788</v>
      </c>
      <c r="L396" t="s">
        <v>6789</v>
      </c>
      <c r="M396" s="3" t="str">
        <f>HYPERLINK(склад2въезд131920212223[[#This Row],[RelativePath]])</f>
        <v>10 Сушилка навес\E33149364_3_20251217T102017Z.jpg</v>
      </c>
    </row>
    <row r="397" spans="1:13" x14ac:dyDescent="0.25">
      <c r="A397" s="2" t="s">
        <v>15</v>
      </c>
      <c r="B397" s="4">
        <v>46008</v>
      </c>
      <c r="C397" s="5">
        <v>0.46015046296296297</v>
      </c>
      <c r="D397" s="8" t="s">
        <v>533</v>
      </c>
      <c r="E397" s="8" t="s">
        <v>531</v>
      </c>
      <c r="F397" s="8" t="s">
        <v>1099</v>
      </c>
      <c r="H397" s="8" t="s">
        <v>4236</v>
      </c>
      <c r="I397" s="8" t="s">
        <v>6790</v>
      </c>
      <c r="J397" s="8" t="s">
        <v>2985</v>
      </c>
      <c r="K397" t="s">
        <v>6791</v>
      </c>
      <c r="L397" t="s">
        <v>6792</v>
      </c>
      <c r="M397" s="3" t="str">
        <f>HYPERLINK(склад2въезд131920212223[[#This Row],[RelativePath]])</f>
        <v>10 Сушилка навес\E33149364_3_20251217T110237Z.jpg</v>
      </c>
    </row>
    <row r="398" spans="1:13" x14ac:dyDescent="0.25">
      <c r="A398" s="2" t="s">
        <v>15</v>
      </c>
      <c r="B398" s="4">
        <v>46008</v>
      </c>
      <c r="C398" s="5">
        <v>0.47341435185185188</v>
      </c>
      <c r="D398" s="8" t="s">
        <v>533</v>
      </c>
      <c r="E398" s="8" t="s">
        <v>531</v>
      </c>
      <c r="F398" s="8" t="s">
        <v>58</v>
      </c>
      <c r="H398" s="8" t="s">
        <v>4236</v>
      </c>
      <c r="I398" s="8" t="s">
        <v>6793</v>
      </c>
      <c r="J398" s="8" t="s">
        <v>2985</v>
      </c>
      <c r="K398" t="s">
        <v>6794</v>
      </c>
      <c r="L398" t="s">
        <v>6795</v>
      </c>
      <c r="M398" s="3" t="str">
        <f>HYPERLINK(склад2въезд131920212223[[#This Row],[RelativePath]])</f>
        <v>10 Сушилка навес\E33149364_3_20251217T112143Z.jpg</v>
      </c>
    </row>
    <row r="399" spans="1:13" x14ac:dyDescent="0.25">
      <c r="A399" s="2" t="s">
        <v>15</v>
      </c>
      <c r="B399" s="4">
        <v>46008</v>
      </c>
      <c r="C399" s="5">
        <v>0.48656250000000001</v>
      </c>
      <c r="D399" s="8" t="s">
        <v>533</v>
      </c>
      <c r="E399" s="8" t="s">
        <v>531</v>
      </c>
      <c r="F399" s="8" t="s">
        <v>1099</v>
      </c>
      <c r="H399" s="8" t="s">
        <v>4236</v>
      </c>
      <c r="I399" s="8" t="s">
        <v>6796</v>
      </c>
      <c r="J399" s="8" t="s">
        <v>2985</v>
      </c>
      <c r="K399" t="s">
        <v>6797</v>
      </c>
      <c r="L399" t="s">
        <v>6798</v>
      </c>
      <c r="M399" s="3" t="str">
        <f>HYPERLINK(склад2въезд131920212223[[#This Row],[RelativePath]])</f>
        <v>10 Сушилка навес\E33149364_3_20251217T114039Z.jpg</v>
      </c>
    </row>
    <row r="400" spans="1:13" x14ac:dyDescent="0.25">
      <c r="A400" s="2" t="s">
        <v>15</v>
      </c>
      <c r="B400" s="4">
        <v>46008</v>
      </c>
      <c r="C400" s="5">
        <v>0.49677083333333333</v>
      </c>
      <c r="D400" s="8" t="s">
        <v>533</v>
      </c>
      <c r="E400" s="8" t="s">
        <v>531</v>
      </c>
      <c r="F400" s="8" t="s">
        <v>58</v>
      </c>
      <c r="H400" s="8" t="s">
        <v>4236</v>
      </c>
      <c r="I400" s="8" t="s">
        <v>6799</v>
      </c>
      <c r="J400" s="8" t="s">
        <v>2985</v>
      </c>
      <c r="K400" t="s">
        <v>6800</v>
      </c>
      <c r="L400" t="s">
        <v>6801</v>
      </c>
      <c r="M400" s="3" t="str">
        <f>HYPERLINK(склад2въезд131920212223[[#This Row],[RelativePath]])</f>
        <v>10 Сушилка навес\E33149364_3_20251217T115521Z.jpg</v>
      </c>
    </row>
    <row r="401" spans="1:13" x14ac:dyDescent="0.25">
      <c r="A401" s="2" t="s">
        <v>15</v>
      </c>
      <c r="B401" s="4">
        <v>46008</v>
      </c>
      <c r="C401" s="5">
        <v>0.51552083333333332</v>
      </c>
      <c r="D401" s="8" t="s">
        <v>533</v>
      </c>
      <c r="E401" s="8" t="s">
        <v>531</v>
      </c>
      <c r="F401" s="8" t="s">
        <v>58</v>
      </c>
      <c r="H401" s="8" t="s">
        <v>4236</v>
      </c>
      <c r="I401" s="8" t="s">
        <v>6802</v>
      </c>
      <c r="J401" s="8" t="s">
        <v>2985</v>
      </c>
      <c r="K401" t="s">
        <v>6803</v>
      </c>
      <c r="L401" t="s">
        <v>6804</v>
      </c>
      <c r="M401" s="3" t="str">
        <f>HYPERLINK(склад2въезд131920212223[[#This Row],[RelativePath]])</f>
        <v>10 Сушилка навес\E33149364_3_20251217T122221Z.jpg</v>
      </c>
    </row>
    <row r="402" spans="1:13" x14ac:dyDescent="0.25">
      <c r="A402" s="2" t="s">
        <v>15</v>
      </c>
      <c r="B402" s="4">
        <v>46008</v>
      </c>
      <c r="C402" s="5">
        <v>0.59641203703703705</v>
      </c>
      <c r="D402" s="8" t="s">
        <v>533</v>
      </c>
      <c r="E402" s="8" t="s">
        <v>531</v>
      </c>
      <c r="F402" s="8" t="s">
        <v>1099</v>
      </c>
      <c r="H402" s="8" t="s">
        <v>4236</v>
      </c>
      <c r="I402" s="8" t="s">
        <v>6805</v>
      </c>
      <c r="J402" s="8" t="s">
        <v>2985</v>
      </c>
      <c r="K402" t="s">
        <v>6806</v>
      </c>
      <c r="L402" t="s">
        <v>6807</v>
      </c>
      <c r="M402" s="3" t="str">
        <f>HYPERLINK(склад2въезд131920212223[[#This Row],[RelativePath]])</f>
        <v>10 Сушилка навес\E33149364_3_20251217T141850Z.jpg</v>
      </c>
    </row>
    <row r="403" spans="1:13" x14ac:dyDescent="0.25">
      <c r="A403" s="2" t="s">
        <v>15</v>
      </c>
      <c r="B403" s="4">
        <v>46008</v>
      </c>
      <c r="C403" s="5">
        <v>0.60145833333333332</v>
      </c>
      <c r="D403" s="8" t="s">
        <v>533</v>
      </c>
      <c r="E403" s="8" t="s">
        <v>531</v>
      </c>
      <c r="F403" s="8" t="s">
        <v>1099</v>
      </c>
      <c r="H403" s="8" t="s">
        <v>4236</v>
      </c>
      <c r="I403" s="8" t="s">
        <v>6808</v>
      </c>
      <c r="J403" s="8" t="s">
        <v>2985</v>
      </c>
      <c r="K403" t="s">
        <v>6809</v>
      </c>
      <c r="L403" t="s">
        <v>6810</v>
      </c>
      <c r="M403" s="3" t="str">
        <f>HYPERLINK(склад2въезд131920212223[[#This Row],[RelativePath]])</f>
        <v>10 Сушилка навес\E33149364_3_20251217T142606Z.jpg</v>
      </c>
    </row>
    <row r="404" spans="1:13" x14ac:dyDescent="0.25">
      <c r="A404" s="2" t="s">
        <v>15</v>
      </c>
      <c r="B404" s="4">
        <v>46008</v>
      </c>
      <c r="C404" s="5">
        <v>0.60629629629629633</v>
      </c>
      <c r="D404" s="8" t="s">
        <v>533</v>
      </c>
      <c r="E404" s="8" t="s">
        <v>531</v>
      </c>
      <c r="F404" s="8" t="s">
        <v>7169</v>
      </c>
      <c r="H404" s="8" t="s">
        <v>6339</v>
      </c>
      <c r="I404" s="8" t="s">
        <v>6811</v>
      </c>
      <c r="J404" s="8" t="s">
        <v>2985</v>
      </c>
      <c r="K404" t="s">
        <v>6812</v>
      </c>
      <c r="L404" t="s">
        <v>6813</v>
      </c>
      <c r="M404" s="3" t="str">
        <f>HYPERLINK(склад2въезд131920212223[[#This Row],[RelativePath]])</f>
        <v>10 Сушилка навес\E33149364_3_20251217T143304Z.jpg</v>
      </c>
    </row>
    <row r="405" spans="1:13" x14ac:dyDescent="0.25">
      <c r="A405" s="2" t="s">
        <v>15</v>
      </c>
      <c r="B405" s="4">
        <v>46008</v>
      </c>
      <c r="C405" s="5">
        <v>0.64269675925925929</v>
      </c>
      <c r="D405" s="8" t="s">
        <v>4</v>
      </c>
      <c r="E405" s="8" t="s">
        <v>8</v>
      </c>
      <c r="F405" s="8"/>
      <c r="H405" s="8"/>
      <c r="I405" s="8" t="s">
        <v>6814</v>
      </c>
      <c r="J405" s="8" t="s">
        <v>2985</v>
      </c>
      <c r="K405" t="s">
        <v>6815</v>
      </c>
      <c r="L405" t="s">
        <v>6816</v>
      </c>
      <c r="M405" s="3" t="str">
        <f>HYPERLINK(склад2въезд131920212223[[#This Row],[RelativePath]])</f>
        <v>10 Сушилка навес\E33149364_3_20251217T152529Z.jpg</v>
      </c>
    </row>
    <row r="406" spans="1:13" x14ac:dyDescent="0.25">
      <c r="A406" s="2" t="s">
        <v>15</v>
      </c>
      <c r="B406" s="4">
        <v>46008</v>
      </c>
      <c r="C406" s="5">
        <v>0.6821990740740741</v>
      </c>
      <c r="D406" s="8" t="s">
        <v>533</v>
      </c>
      <c r="E406" s="8" t="s">
        <v>531</v>
      </c>
      <c r="F406" s="8" t="s">
        <v>58</v>
      </c>
      <c r="H406" s="8" t="s">
        <v>4236</v>
      </c>
      <c r="I406" s="8" t="s">
        <v>6817</v>
      </c>
      <c r="J406" s="8" t="s">
        <v>2985</v>
      </c>
      <c r="K406" t="s">
        <v>6818</v>
      </c>
      <c r="L406" t="s">
        <v>6819</v>
      </c>
      <c r="M406" s="3" t="str">
        <f>HYPERLINK(склад2въезд131920212223[[#This Row],[RelativePath]])</f>
        <v>10 Сушилка навес\E33149364_3_20251217T162222Z.jpg</v>
      </c>
    </row>
    <row r="407" spans="1:13" x14ac:dyDescent="0.25">
      <c r="A407" s="2" t="s">
        <v>16</v>
      </c>
      <c r="B407" s="4">
        <v>46009</v>
      </c>
      <c r="C407" s="5">
        <v>0.38549768518518518</v>
      </c>
      <c r="D407" s="8" t="s">
        <v>4</v>
      </c>
      <c r="E407" s="8" t="s">
        <v>8</v>
      </c>
      <c r="F407" s="8"/>
      <c r="H407" s="8"/>
      <c r="I407" s="8" t="s">
        <v>7025</v>
      </c>
      <c r="J407" s="8" t="s">
        <v>2985</v>
      </c>
      <c r="K407" t="s">
        <v>7026</v>
      </c>
      <c r="L407" t="s">
        <v>7027</v>
      </c>
      <c r="M407" s="3" t="str">
        <f>HYPERLINK(склад2въезд131920212223[[#This Row],[RelativePath]])</f>
        <v>10 Сушилка навес\E33149364_3_20251218T091507Z.jpg</v>
      </c>
    </row>
    <row r="408" spans="1:13" x14ac:dyDescent="0.25">
      <c r="A408" s="2" t="s">
        <v>16</v>
      </c>
      <c r="B408" s="4">
        <v>46009</v>
      </c>
      <c r="C408" s="5">
        <v>0.40157407407407408</v>
      </c>
      <c r="D408" s="8" t="s">
        <v>533</v>
      </c>
      <c r="E408" s="8" t="s">
        <v>531</v>
      </c>
      <c r="F408" s="8" t="s">
        <v>58</v>
      </c>
      <c r="H408" s="8" t="s">
        <v>2949</v>
      </c>
      <c r="I408" s="8" t="s">
        <v>7028</v>
      </c>
      <c r="J408" s="8" t="s">
        <v>2985</v>
      </c>
      <c r="K408" t="s">
        <v>7029</v>
      </c>
      <c r="L408" t="s">
        <v>7030</v>
      </c>
      <c r="M408" s="3" t="str">
        <f>HYPERLINK(склад2въезд131920212223[[#This Row],[RelativePath]])</f>
        <v>10 Сушилка навес\E33149364_3_20251218T093816Z.jpg</v>
      </c>
    </row>
    <row r="409" spans="1:13" x14ac:dyDescent="0.25">
      <c r="A409" s="2" t="s">
        <v>16</v>
      </c>
      <c r="B409" s="4">
        <v>46009</v>
      </c>
      <c r="C409" s="5">
        <v>0.40166666666666667</v>
      </c>
      <c r="D409" s="8" t="s">
        <v>533</v>
      </c>
      <c r="E409" s="8" t="s">
        <v>531</v>
      </c>
      <c r="F409" s="8" t="s">
        <v>58</v>
      </c>
      <c r="H409" s="8" t="s">
        <v>2936</v>
      </c>
      <c r="I409" s="8" t="s">
        <v>7031</v>
      </c>
      <c r="J409" s="8" t="s">
        <v>2985</v>
      </c>
      <c r="K409" t="s">
        <v>7032</v>
      </c>
      <c r="L409" t="s">
        <v>7033</v>
      </c>
      <c r="M409" s="3" t="str">
        <f>HYPERLINK(склад2въезд131920212223[[#This Row],[RelativePath]])</f>
        <v>10 Сушилка навес\E33149364_3_20251218T093824Z.jpg</v>
      </c>
    </row>
    <row r="410" spans="1:13" x14ac:dyDescent="0.25">
      <c r="A410" s="2" t="s">
        <v>16</v>
      </c>
      <c r="B410" s="4">
        <v>46009</v>
      </c>
      <c r="C410" s="5">
        <v>0.41100694444444447</v>
      </c>
      <c r="D410" s="8" t="s">
        <v>533</v>
      </c>
      <c r="E410" s="8" t="s">
        <v>531</v>
      </c>
      <c r="F410" s="8" t="s">
        <v>58</v>
      </c>
      <c r="H410" s="8" t="s">
        <v>4236</v>
      </c>
      <c r="I410" s="8" t="s">
        <v>7034</v>
      </c>
      <c r="J410" s="8" t="s">
        <v>2985</v>
      </c>
      <c r="K410" t="s">
        <v>7035</v>
      </c>
      <c r="L410" t="s">
        <v>7036</v>
      </c>
      <c r="M410" s="3" t="str">
        <f>HYPERLINK(склад2въезд131920212223[[#This Row],[RelativePath]])</f>
        <v>10 Сушилка навес\E33149364_3_20251218T095151Z.jpg</v>
      </c>
    </row>
    <row r="411" spans="1:13" x14ac:dyDescent="0.25">
      <c r="A411" s="2" t="s">
        <v>16</v>
      </c>
      <c r="B411" s="4">
        <v>46009</v>
      </c>
      <c r="C411" s="5">
        <v>0.41358796296296296</v>
      </c>
      <c r="D411" s="8" t="s">
        <v>4223</v>
      </c>
      <c r="E411" s="8" t="s">
        <v>5480</v>
      </c>
      <c r="F411" s="8" t="s">
        <v>2944</v>
      </c>
      <c r="H411" s="8"/>
      <c r="I411" s="8" t="s">
        <v>7037</v>
      </c>
      <c r="J411" s="8" t="s">
        <v>2985</v>
      </c>
      <c r="K411" t="s">
        <v>7038</v>
      </c>
      <c r="L411" t="s">
        <v>7039</v>
      </c>
      <c r="M411" s="3" t="str">
        <f>HYPERLINK(склад2въезд131920212223[[#This Row],[RelativePath]])</f>
        <v>10 Сушилка навес\E33149364_3_20251218T095534Z.jpg</v>
      </c>
    </row>
    <row r="412" spans="1:13" x14ac:dyDescent="0.25">
      <c r="A412" s="2" t="s">
        <v>16</v>
      </c>
      <c r="B412" s="4">
        <v>46009</v>
      </c>
      <c r="C412" s="5">
        <v>0.41434027777777777</v>
      </c>
      <c r="D412" s="8" t="s">
        <v>158</v>
      </c>
      <c r="E412" s="8" t="s">
        <v>86</v>
      </c>
      <c r="F412" s="8" t="s">
        <v>2944</v>
      </c>
      <c r="H412" s="8" t="s">
        <v>2954</v>
      </c>
      <c r="I412" s="8" t="s">
        <v>7040</v>
      </c>
      <c r="J412" s="8" t="s">
        <v>2985</v>
      </c>
      <c r="K412" t="s">
        <v>7041</v>
      </c>
      <c r="L412" t="s">
        <v>7042</v>
      </c>
      <c r="M412" s="3" t="str">
        <f>HYPERLINK(склад2въезд131920212223[[#This Row],[RelativePath]])</f>
        <v>10 Сушилка навес\E33149364_3_20251218T095639Z.jpg</v>
      </c>
    </row>
    <row r="413" spans="1:13" x14ac:dyDescent="0.25">
      <c r="A413" s="2" t="s">
        <v>16</v>
      </c>
      <c r="B413" s="4">
        <v>46009</v>
      </c>
      <c r="C413" s="5">
        <v>0.42549768518518516</v>
      </c>
      <c r="D413" s="8" t="s">
        <v>4223</v>
      </c>
      <c r="E413" s="8" t="s">
        <v>5480</v>
      </c>
      <c r="F413" s="8" t="s">
        <v>528</v>
      </c>
      <c r="H413" s="8"/>
      <c r="I413" s="8" t="s">
        <v>7043</v>
      </c>
      <c r="J413" s="8" t="s">
        <v>2985</v>
      </c>
      <c r="K413" t="s">
        <v>7044</v>
      </c>
      <c r="L413" t="s">
        <v>7045</v>
      </c>
      <c r="M413" s="3" t="str">
        <f>HYPERLINK(склад2въезд131920212223[[#This Row],[RelativePath]])</f>
        <v>10 Сушилка навес\E33149364_3_20251218T101243Z.jpg</v>
      </c>
    </row>
    <row r="414" spans="1:13" x14ac:dyDescent="0.25">
      <c r="A414" s="2" t="s">
        <v>16</v>
      </c>
      <c r="B414" s="4">
        <v>46009</v>
      </c>
      <c r="C414" s="5">
        <v>0.44012731481481482</v>
      </c>
      <c r="D414" s="8" t="s">
        <v>533</v>
      </c>
      <c r="E414" s="8" t="s">
        <v>531</v>
      </c>
      <c r="F414" s="8" t="s">
        <v>58</v>
      </c>
      <c r="H414" s="8" t="s">
        <v>4236</v>
      </c>
      <c r="I414" s="8" t="s">
        <v>7046</v>
      </c>
      <c r="J414" s="8" t="s">
        <v>2985</v>
      </c>
      <c r="K414" t="s">
        <v>7047</v>
      </c>
      <c r="L414" t="s">
        <v>7048</v>
      </c>
      <c r="M414" s="3" t="str">
        <f>HYPERLINK(склад2въезд131920212223[[#This Row],[RelativePath]])</f>
        <v>10 Сушилка навес\E33149364_3_20251218T103347Z.jpg</v>
      </c>
    </row>
    <row r="415" spans="1:13" x14ac:dyDescent="0.25">
      <c r="A415" s="2" t="s">
        <v>16</v>
      </c>
      <c r="B415" s="4">
        <v>46009</v>
      </c>
      <c r="C415" s="5">
        <v>0.45413194444444444</v>
      </c>
      <c r="D415" s="8" t="s">
        <v>533</v>
      </c>
      <c r="E415" s="8" t="s">
        <v>531</v>
      </c>
      <c r="F415" s="8" t="s">
        <v>58</v>
      </c>
      <c r="H415" s="8" t="s">
        <v>4236</v>
      </c>
      <c r="I415" s="8" t="s">
        <v>7049</v>
      </c>
      <c r="J415" s="8" t="s">
        <v>2985</v>
      </c>
      <c r="K415" t="s">
        <v>7050</v>
      </c>
      <c r="L415" t="s">
        <v>7051</v>
      </c>
      <c r="M415" s="3" t="str">
        <f>HYPERLINK(склад2въезд131920212223[[#This Row],[RelativePath]])</f>
        <v>10 Сушилка навес\E33149364_3_20251218T105357Z.jpg</v>
      </c>
    </row>
    <row r="416" spans="1:13" x14ac:dyDescent="0.25">
      <c r="A416" s="2" t="s">
        <v>16</v>
      </c>
      <c r="B416" s="4">
        <v>46009</v>
      </c>
      <c r="C416" s="5">
        <v>0.47814814814814816</v>
      </c>
      <c r="D416" s="8" t="s">
        <v>533</v>
      </c>
      <c r="E416" s="8" t="s">
        <v>531</v>
      </c>
      <c r="F416" s="8" t="s">
        <v>6871</v>
      </c>
      <c r="H416" s="8" t="s">
        <v>4236</v>
      </c>
      <c r="I416" s="8" t="s">
        <v>7052</v>
      </c>
      <c r="J416" s="8" t="s">
        <v>2985</v>
      </c>
      <c r="K416" t="s">
        <v>7053</v>
      </c>
      <c r="L416" t="s">
        <v>7054</v>
      </c>
      <c r="M416" s="3" t="str">
        <f>HYPERLINK(склад2въезд131920212223[[#This Row],[RelativePath]])</f>
        <v>10 Сушилка навес\E33149364_3_20251218T112832Z.jpg</v>
      </c>
    </row>
    <row r="417" spans="1:13" x14ac:dyDescent="0.25">
      <c r="A417" s="2" t="s">
        <v>16</v>
      </c>
      <c r="B417" s="4">
        <v>46009</v>
      </c>
      <c r="C417" s="5">
        <v>0.48194444444444445</v>
      </c>
      <c r="D417" s="8" t="s">
        <v>158</v>
      </c>
      <c r="E417" s="8" t="s">
        <v>531</v>
      </c>
      <c r="F417" s="8" t="s">
        <v>6871</v>
      </c>
      <c r="H417" s="8" t="s">
        <v>4236</v>
      </c>
      <c r="I417" s="8" t="s">
        <v>7055</v>
      </c>
      <c r="J417" s="8" t="s">
        <v>2985</v>
      </c>
      <c r="K417" t="s">
        <v>7056</v>
      </c>
      <c r="L417" t="s">
        <v>7057</v>
      </c>
      <c r="M417" s="3" t="str">
        <f>HYPERLINK(склад2въезд131920212223[[#This Row],[RelativePath]])</f>
        <v>10 Сушилка навес\E33149364_3_20251218T113400Z.jpg</v>
      </c>
    </row>
    <row r="418" spans="1:13" x14ac:dyDescent="0.25">
      <c r="A418" s="2" t="s">
        <v>16</v>
      </c>
      <c r="B418" s="4">
        <v>46009</v>
      </c>
      <c r="C418" s="5">
        <v>0.50218750000000001</v>
      </c>
      <c r="D418" s="8" t="s">
        <v>533</v>
      </c>
      <c r="E418" s="8" t="s">
        <v>531</v>
      </c>
      <c r="F418" s="8" t="s">
        <v>2944</v>
      </c>
      <c r="H418" s="8" t="s">
        <v>4236</v>
      </c>
      <c r="I418" s="8" t="s">
        <v>7058</v>
      </c>
      <c r="J418" s="8" t="s">
        <v>2985</v>
      </c>
      <c r="K418" t="s">
        <v>7059</v>
      </c>
      <c r="L418" t="s">
        <v>7060</v>
      </c>
      <c r="M418" s="3" t="str">
        <f>HYPERLINK(склад2въезд131920212223[[#This Row],[RelativePath]])</f>
        <v>10 Сушилка навес\E33149364_3_20251218T120309Z.jpg</v>
      </c>
    </row>
    <row r="419" spans="1:13" x14ac:dyDescent="0.25">
      <c r="A419" s="2" t="s">
        <v>16</v>
      </c>
      <c r="B419" s="4">
        <v>46009</v>
      </c>
      <c r="C419" s="5">
        <v>0.51871527777777782</v>
      </c>
      <c r="D419" s="8" t="s">
        <v>533</v>
      </c>
      <c r="E419" s="8" t="s">
        <v>531</v>
      </c>
      <c r="F419" s="8" t="s">
        <v>7170</v>
      </c>
      <c r="H419" s="8"/>
      <c r="I419" s="8" t="s">
        <v>7061</v>
      </c>
      <c r="J419" s="8" t="s">
        <v>2985</v>
      </c>
      <c r="K419" t="s">
        <v>7062</v>
      </c>
      <c r="L419" t="s">
        <v>7063</v>
      </c>
      <c r="M419" s="3" t="str">
        <f>HYPERLINK(склад2въезд131920212223[[#This Row],[RelativePath]])</f>
        <v>10 Сушилка навес\E33149364_3_20251218T122657Z.jpg</v>
      </c>
    </row>
    <row r="420" spans="1:13" x14ac:dyDescent="0.25">
      <c r="A420" s="2" t="s">
        <v>16</v>
      </c>
      <c r="B420" s="4">
        <v>46009</v>
      </c>
      <c r="C420" s="5">
        <v>0.52583333333333337</v>
      </c>
      <c r="D420" s="8" t="s">
        <v>533</v>
      </c>
      <c r="E420" s="8" t="s">
        <v>531</v>
      </c>
      <c r="F420" s="8" t="s">
        <v>7169</v>
      </c>
      <c r="H420" s="8" t="s">
        <v>6339</v>
      </c>
      <c r="I420" s="8" t="s">
        <v>7064</v>
      </c>
      <c r="J420" s="8" t="s">
        <v>2985</v>
      </c>
      <c r="K420" t="s">
        <v>7065</v>
      </c>
      <c r="L420" t="s">
        <v>7066</v>
      </c>
      <c r="M420" s="3" t="str">
        <f>HYPERLINK(склад2въезд131920212223[[#This Row],[RelativePath]])</f>
        <v>10 Сушилка навес\E33149364_3_20251218T123712Z.jpg</v>
      </c>
    </row>
    <row r="421" spans="1:13" x14ac:dyDescent="0.25">
      <c r="A421" s="2" t="s">
        <v>16</v>
      </c>
      <c r="B421" s="4">
        <v>46009</v>
      </c>
      <c r="C421" s="5">
        <v>0.6021643518518518</v>
      </c>
      <c r="D421" s="8" t="s">
        <v>4221</v>
      </c>
      <c r="E421" s="8" t="s">
        <v>86</v>
      </c>
      <c r="F421" s="8" t="s">
        <v>58</v>
      </c>
      <c r="H421" s="8" t="s">
        <v>1620</v>
      </c>
      <c r="I421" s="8" t="s">
        <v>7067</v>
      </c>
      <c r="J421" s="8" t="s">
        <v>2985</v>
      </c>
      <c r="K421" t="s">
        <v>7068</v>
      </c>
      <c r="L421" t="s">
        <v>7069</v>
      </c>
      <c r="M421" s="3" t="str">
        <f>HYPERLINK(склад2въезд131920212223[[#This Row],[RelativePath]])</f>
        <v>10 Сушилка навес\E33149364_3_20251218T142707Z.jpg</v>
      </c>
    </row>
    <row r="422" spans="1:13" x14ac:dyDescent="0.25">
      <c r="A422" s="2" t="s">
        <v>16</v>
      </c>
      <c r="B422" s="4">
        <v>46009</v>
      </c>
      <c r="C422" s="5">
        <v>0.60252314814814811</v>
      </c>
      <c r="D422" s="8" t="s">
        <v>158</v>
      </c>
      <c r="E422" s="8" t="s">
        <v>86</v>
      </c>
      <c r="F422" s="8" t="s">
        <v>58</v>
      </c>
      <c r="H422" s="8" t="s">
        <v>2954</v>
      </c>
      <c r="I422" s="8" t="s">
        <v>7070</v>
      </c>
      <c r="J422" s="8" t="s">
        <v>2985</v>
      </c>
      <c r="K422" t="s">
        <v>7071</v>
      </c>
      <c r="L422" t="s">
        <v>7072</v>
      </c>
      <c r="M422" s="3" t="str">
        <f>HYPERLINK(склад2въезд131920212223[[#This Row],[RelativePath]])</f>
        <v>10 Сушилка навес\E33149364_3_20251218T142738Z.jpg</v>
      </c>
    </row>
    <row r="423" spans="1:13" x14ac:dyDescent="0.25">
      <c r="A423" s="2" t="s">
        <v>16</v>
      </c>
      <c r="B423" s="4">
        <v>46009</v>
      </c>
      <c r="C423" s="5">
        <v>0.61395833333333338</v>
      </c>
      <c r="D423" s="8" t="s">
        <v>4221</v>
      </c>
      <c r="E423" s="8" t="s">
        <v>86</v>
      </c>
      <c r="F423" s="8" t="s">
        <v>2962</v>
      </c>
      <c r="H423" s="8" t="s">
        <v>1620</v>
      </c>
      <c r="I423" s="8" t="s">
        <v>7073</v>
      </c>
      <c r="J423" s="8" t="s">
        <v>2985</v>
      </c>
      <c r="K423" t="s">
        <v>7074</v>
      </c>
      <c r="L423" t="s">
        <v>7075</v>
      </c>
      <c r="M423" s="3" t="str">
        <f>HYPERLINK(склад2въезд131920212223[[#This Row],[RelativePath]])</f>
        <v>10 Сушилка навес\E33149364_3_20251218T144406Z.jpg</v>
      </c>
    </row>
    <row r="424" spans="1:13" x14ac:dyDescent="0.25">
      <c r="A424" s="2" t="s">
        <v>16</v>
      </c>
      <c r="B424" s="4">
        <v>46009</v>
      </c>
      <c r="C424" s="5">
        <v>0.61412037037037037</v>
      </c>
      <c r="D424" s="8" t="s">
        <v>4221</v>
      </c>
      <c r="E424" s="8" t="s">
        <v>86</v>
      </c>
      <c r="F424" s="8" t="s">
        <v>2962</v>
      </c>
      <c r="H424" s="8" t="s">
        <v>2936</v>
      </c>
      <c r="I424" s="8" t="s">
        <v>7076</v>
      </c>
      <c r="J424" s="8" t="s">
        <v>2985</v>
      </c>
      <c r="K424" t="s">
        <v>7077</v>
      </c>
      <c r="L424" t="s">
        <v>7078</v>
      </c>
      <c r="M424" s="3" t="str">
        <f>HYPERLINK(склад2въезд131920212223[[#This Row],[RelativePath]])</f>
        <v>10 Сушилка навес\E33149364_3_20251218T144420Z.jpg</v>
      </c>
    </row>
    <row r="425" spans="1:13" x14ac:dyDescent="0.25">
      <c r="A425" s="2" t="s">
        <v>16</v>
      </c>
      <c r="B425" s="4">
        <v>46009</v>
      </c>
      <c r="C425" s="5">
        <v>0.61439814814814819</v>
      </c>
      <c r="D425" s="8" t="s">
        <v>4221</v>
      </c>
      <c r="E425" s="8" t="s">
        <v>86</v>
      </c>
      <c r="F425" s="8" t="s">
        <v>2962</v>
      </c>
      <c r="H425" s="8" t="s">
        <v>2936</v>
      </c>
      <c r="I425" s="8" t="s">
        <v>7079</v>
      </c>
      <c r="J425" s="8" t="s">
        <v>2985</v>
      </c>
      <c r="K425" t="s">
        <v>7080</v>
      </c>
      <c r="L425" t="s">
        <v>7081</v>
      </c>
      <c r="M425" s="3" t="str">
        <f>HYPERLINK(склад2въезд131920212223[[#This Row],[RelativePath]])</f>
        <v>10 Сушилка навес\E33149364_3_20251218T144444Z.jpg</v>
      </c>
    </row>
    <row r="426" spans="1:13" x14ac:dyDescent="0.25">
      <c r="A426" s="2" t="s">
        <v>16</v>
      </c>
      <c r="B426" s="4">
        <v>46009</v>
      </c>
      <c r="C426" s="5">
        <v>0.69344907407407408</v>
      </c>
      <c r="D426" s="8" t="s">
        <v>533</v>
      </c>
      <c r="E426" s="8" t="s">
        <v>531</v>
      </c>
      <c r="F426" s="8" t="s">
        <v>7169</v>
      </c>
      <c r="H426" s="8" t="s">
        <v>6339</v>
      </c>
      <c r="I426" s="8" t="s">
        <v>7082</v>
      </c>
      <c r="J426" s="8" t="s">
        <v>2985</v>
      </c>
      <c r="K426" t="s">
        <v>7083</v>
      </c>
      <c r="L426" t="s">
        <v>7084</v>
      </c>
      <c r="M426" s="3" t="str">
        <f>HYPERLINK(склад2въезд131920212223[[#This Row],[RelativePath]])</f>
        <v>10 Сушилка навес\E33149364_3_20251218T163834Z.jpg</v>
      </c>
    </row>
    <row r="427" spans="1:13" x14ac:dyDescent="0.25">
      <c r="A427" s="2" t="s">
        <v>17</v>
      </c>
      <c r="B427" s="4">
        <v>46010</v>
      </c>
      <c r="C427" s="5">
        <v>0.3845601851851852</v>
      </c>
      <c r="D427" s="8" t="s">
        <v>533</v>
      </c>
      <c r="E427" s="8" t="s">
        <v>531</v>
      </c>
      <c r="F427" s="8" t="s">
        <v>58</v>
      </c>
      <c r="H427" s="8" t="s">
        <v>2954</v>
      </c>
      <c r="I427" s="8" t="s">
        <v>7085</v>
      </c>
      <c r="J427" s="8" t="s">
        <v>2985</v>
      </c>
      <c r="K427" t="s">
        <v>7086</v>
      </c>
      <c r="L427" t="s">
        <v>7087</v>
      </c>
      <c r="M427" s="3" t="str">
        <f>HYPERLINK(склад2въезд131920212223[[#This Row],[RelativePath]])</f>
        <v>10 Сушилка навес\E33149364_3_20251219T091346Z.jpg</v>
      </c>
    </row>
    <row r="428" spans="1:13" x14ac:dyDescent="0.25">
      <c r="A428" s="2" t="s">
        <v>17</v>
      </c>
      <c r="B428" s="4">
        <v>46010</v>
      </c>
      <c r="C428" s="5">
        <v>0.38466435185185183</v>
      </c>
      <c r="D428" s="8" t="s">
        <v>533</v>
      </c>
      <c r="E428" s="8" t="s">
        <v>531</v>
      </c>
      <c r="F428" s="8" t="s">
        <v>58</v>
      </c>
      <c r="H428" s="8" t="s">
        <v>2936</v>
      </c>
      <c r="I428" s="8" t="s">
        <v>7088</v>
      </c>
      <c r="J428" s="8" t="s">
        <v>2985</v>
      </c>
      <c r="K428" t="s">
        <v>7089</v>
      </c>
      <c r="L428" t="s">
        <v>7090</v>
      </c>
      <c r="M428" s="3" t="str">
        <f>HYPERLINK(склад2въезд131920212223[[#This Row],[RelativePath]])</f>
        <v>10 Сушилка навес\E33149364_3_20251219T091355Z.jpg</v>
      </c>
    </row>
    <row r="429" spans="1:13" x14ac:dyDescent="0.25">
      <c r="A429" s="2" t="s">
        <v>17</v>
      </c>
      <c r="B429" s="4">
        <v>46010</v>
      </c>
      <c r="C429" s="5">
        <v>0.39033564814814814</v>
      </c>
      <c r="D429" s="8" t="s">
        <v>533</v>
      </c>
      <c r="E429" s="8" t="s">
        <v>531</v>
      </c>
      <c r="F429" s="8" t="s">
        <v>58</v>
      </c>
      <c r="H429" s="8" t="s">
        <v>2954</v>
      </c>
      <c r="I429" s="8" t="s">
        <v>7091</v>
      </c>
      <c r="J429" s="8" t="s">
        <v>2985</v>
      </c>
      <c r="K429" t="s">
        <v>7092</v>
      </c>
      <c r="L429" t="s">
        <v>7093</v>
      </c>
      <c r="M429" s="3" t="str">
        <f>HYPERLINK(склад2въезд131920212223[[#This Row],[RelativePath]])</f>
        <v>10 Сушилка навес\E33149364_3_20251219T092205Z.jpg</v>
      </c>
    </row>
    <row r="430" spans="1:13" x14ac:dyDescent="0.25">
      <c r="A430" s="2" t="s">
        <v>17</v>
      </c>
      <c r="B430" s="4">
        <v>46010</v>
      </c>
      <c r="C430" s="5">
        <v>0.52172453703703703</v>
      </c>
      <c r="D430" s="8" t="s">
        <v>533</v>
      </c>
      <c r="E430" s="8" t="s">
        <v>531</v>
      </c>
      <c r="F430" s="8" t="s">
        <v>7168</v>
      </c>
      <c r="H430" s="8" t="s">
        <v>4236</v>
      </c>
      <c r="I430" s="8" t="s">
        <v>7094</v>
      </c>
      <c r="J430" s="8" t="s">
        <v>2985</v>
      </c>
      <c r="K430" t="s">
        <v>7095</v>
      </c>
      <c r="L430" t="s">
        <v>7096</v>
      </c>
      <c r="M430" s="3" t="str">
        <f>HYPERLINK(склад2въезд131920212223[[#This Row],[RelativePath]])</f>
        <v>10 Сушилка навес\E33149364_3_20251219T123117Z.jpg</v>
      </c>
    </row>
    <row r="431" spans="1:13" x14ac:dyDescent="0.25">
      <c r="A431" s="2" t="s">
        <v>17</v>
      </c>
      <c r="B431" s="4">
        <v>46010</v>
      </c>
      <c r="C431" s="5">
        <v>0.66196759259259264</v>
      </c>
      <c r="D431" s="8" t="s">
        <v>533</v>
      </c>
      <c r="E431" s="8" t="s">
        <v>531</v>
      </c>
      <c r="F431" s="8" t="s">
        <v>3076</v>
      </c>
      <c r="H431" s="8" t="s">
        <v>4236</v>
      </c>
      <c r="I431" s="8" t="s">
        <v>7097</v>
      </c>
      <c r="J431" s="8" t="s">
        <v>2985</v>
      </c>
      <c r="K431" t="s">
        <v>7098</v>
      </c>
      <c r="L431" t="s">
        <v>7099</v>
      </c>
      <c r="M431" s="3" t="str">
        <f>HYPERLINK(склад2въезд131920212223[[#This Row],[RelativePath]])</f>
        <v>10 Сушилка навес\E33149364_3_20251219T155314Z.jpg</v>
      </c>
    </row>
    <row r="432" spans="1:13" x14ac:dyDescent="0.25">
      <c r="A432" s="2" t="s">
        <v>17</v>
      </c>
      <c r="B432" s="4">
        <v>46010</v>
      </c>
      <c r="C432" s="5">
        <v>0.67274305555555558</v>
      </c>
      <c r="D432" s="8" t="s">
        <v>4</v>
      </c>
      <c r="E432" s="8" t="s">
        <v>8</v>
      </c>
      <c r="F432" s="8"/>
      <c r="H432" s="8"/>
      <c r="I432" s="8" t="s">
        <v>7100</v>
      </c>
      <c r="J432" s="8" t="s">
        <v>2985</v>
      </c>
      <c r="K432" t="s">
        <v>7101</v>
      </c>
      <c r="L432" t="s">
        <v>7102</v>
      </c>
      <c r="M432" s="3" t="str">
        <f>HYPERLINK(склад2въезд131920212223[[#This Row],[RelativePath]])</f>
        <v>10 Сушилка навес\E33149364_3_20251219T160845Z.jpg</v>
      </c>
    </row>
    <row r="433" spans="1:13" x14ac:dyDescent="0.25">
      <c r="A433" s="2" t="s">
        <v>18</v>
      </c>
      <c r="B433" s="4">
        <v>46011</v>
      </c>
      <c r="C433" s="5">
        <v>0.68629629629629629</v>
      </c>
      <c r="D433" s="8" t="s">
        <v>2004</v>
      </c>
      <c r="E433" s="8" t="s">
        <v>8</v>
      </c>
      <c r="F433" s="8"/>
      <c r="H433" s="8"/>
      <c r="I433" s="8" t="s">
        <v>7103</v>
      </c>
      <c r="J433" s="8" t="s">
        <v>2985</v>
      </c>
      <c r="K433" t="s">
        <v>7104</v>
      </c>
      <c r="L433" t="s">
        <v>7105</v>
      </c>
      <c r="M433" s="3" t="str">
        <f>HYPERLINK(склад2въезд131920212223[[#This Row],[RelativePath]])</f>
        <v>10 Сушилка навес\E33149364_3_20251220T162816Z.jpg</v>
      </c>
    </row>
    <row r="434" spans="1:13" x14ac:dyDescent="0.25">
      <c r="A434" s="2" t="s">
        <v>22</v>
      </c>
      <c r="B434" s="4">
        <v>46012</v>
      </c>
      <c r="C434" s="5">
        <v>0.69641203703703702</v>
      </c>
      <c r="D434" s="8" t="s">
        <v>2004</v>
      </c>
      <c r="E434" s="8" t="s">
        <v>8</v>
      </c>
      <c r="F434" s="8"/>
      <c r="H434" s="8"/>
      <c r="I434" s="8" t="s">
        <v>7202</v>
      </c>
      <c r="J434" s="8" t="s">
        <v>2985</v>
      </c>
      <c r="K434" t="s">
        <v>7203</v>
      </c>
      <c r="L434" t="s">
        <v>7204</v>
      </c>
      <c r="M434" s="3" t="str">
        <f>HYPERLINK(склад2въезд131920212223[[#This Row],[RelativePath]])</f>
        <v>10 Сушилка навес\E33149364_3_20251221T164250Z.jpg</v>
      </c>
    </row>
    <row r="435" spans="1:13" x14ac:dyDescent="0.25">
      <c r="A435" s="2" t="s">
        <v>13</v>
      </c>
      <c r="B435" s="4">
        <v>46013</v>
      </c>
      <c r="C435" s="5">
        <v>0.7088888888888889</v>
      </c>
      <c r="D435" s="8" t="s">
        <v>2004</v>
      </c>
      <c r="E435" s="8" t="s">
        <v>8</v>
      </c>
      <c r="F435" s="8"/>
      <c r="H435" s="8"/>
      <c r="I435" s="8" t="s">
        <v>7299</v>
      </c>
      <c r="J435" s="8" t="s">
        <v>2985</v>
      </c>
      <c r="K435" t="s">
        <v>7300</v>
      </c>
      <c r="L435" t="s">
        <v>7301</v>
      </c>
      <c r="M435" s="3" t="str">
        <f>HYPERLINK(склад2въезд131920212223[[#This Row],[RelativePath]])</f>
        <v>10 Сушилка навес\E33149364_3_20251222T170048Z.jpg</v>
      </c>
    </row>
    <row r="436" spans="1:13" x14ac:dyDescent="0.25">
      <c r="A436" s="2" t="s">
        <v>14</v>
      </c>
      <c r="B436" s="4">
        <v>46014</v>
      </c>
      <c r="C436" s="5">
        <v>0.44975694444444442</v>
      </c>
      <c r="D436" s="8" t="s">
        <v>2004</v>
      </c>
      <c r="E436" s="8" t="s">
        <v>8</v>
      </c>
      <c r="F436" s="8"/>
      <c r="H436" s="8"/>
      <c r="I436" s="8" t="s">
        <v>7302</v>
      </c>
      <c r="J436" s="8" t="s">
        <v>2985</v>
      </c>
      <c r="K436" t="s">
        <v>7303</v>
      </c>
      <c r="L436" t="s">
        <v>7304</v>
      </c>
      <c r="M436" s="3" t="str">
        <f>HYPERLINK(склад2въезд131920212223[[#This Row],[RelativePath]])</f>
        <v>10 Сушилка навес\E33149364_3_20251223T104739Z.jpg</v>
      </c>
    </row>
    <row r="437" spans="1:13" x14ac:dyDescent="0.25">
      <c r="A437" s="2" t="s">
        <v>15</v>
      </c>
      <c r="B437" s="4">
        <v>46015</v>
      </c>
      <c r="C437" s="5">
        <v>0.44194444444444442</v>
      </c>
      <c r="D437" s="8" t="s">
        <v>2004</v>
      </c>
      <c r="E437" s="8" t="s">
        <v>8</v>
      </c>
      <c r="F437" s="8"/>
      <c r="H437" s="8"/>
      <c r="I437" s="8" t="s">
        <v>7490</v>
      </c>
      <c r="J437" s="8" t="s">
        <v>2985</v>
      </c>
      <c r="K437" t="s">
        <v>7491</v>
      </c>
      <c r="L437" t="s">
        <v>7492</v>
      </c>
      <c r="M437" s="3" t="str">
        <f>HYPERLINK(склад2въезд131920212223[[#This Row],[RelativePath]])</f>
        <v>10 Сушилка навес\E33149364_3_20251224T103624Z.jpg</v>
      </c>
    </row>
    <row r="438" spans="1:13" x14ac:dyDescent="0.25">
      <c r="A438" s="2" t="s">
        <v>15</v>
      </c>
      <c r="B438" s="4">
        <v>46015</v>
      </c>
      <c r="C438" s="5">
        <v>0.60836805555555551</v>
      </c>
      <c r="D438" s="8" t="s">
        <v>7711</v>
      </c>
      <c r="E438" s="8" t="s">
        <v>1607</v>
      </c>
      <c r="F438" s="8"/>
      <c r="H438" s="8"/>
      <c r="I438" s="8" t="s">
        <v>7493</v>
      </c>
      <c r="J438" s="8" t="s">
        <v>2985</v>
      </c>
      <c r="K438" t="s">
        <v>7494</v>
      </c>
      <c r="L438" t="s">
        <v>7495</v>
      </c>
      <c r="M438" s="3" t="str">
        <f>HYPERLINK(склад2въезд131920212223[[#This Row],[RelativePath]])</f>
        <v>10 Сушилка навес\E33149364_3_20251224T143603Z.jpg</v>
      </c>
    </row>
    <row r="439" spans="1:13" x14ac:dyDescent="0.25">
      <c r="A439" s="2" t="s">
        <v>15</v>
      </c>
      <c r="B439" s="4">
        <v>46015</v>
      </c>
      <c r="C439" s="5">
        <v>0.6224884259259259</v>
      </c>
      <c r="D439" s="8" t="s">
        <v>7711</v>
      </c>
      <c r="E439" s="8" t="s">
        <v>1607</v>
      </c>
      <c r="F439" s="8"/>
      <c r="H439" s="8"/>
      <c r="I439" s="8" t="s">
        <v>7496</v>
      </c>
      <c r="J439" s="8" t="s">
        <v>2985</v>
      </c>
      <c r="K439" t="s">
        <v>7497</v>
      </c>
      <c r="L439" t="s">
        <v>7498</v>
      </c>
      <c r="M439" s="3" t="str">
        <f>HYPERLINK(склад2въезд131920212223[[#This Row],[RelativePath]])</f>
        <v>10 Сушилка навес\E33149364_3_20251224T145623Z.jpg</v>
      </c>
    </row>
    <row r="440" spans="1:13" x14ac:dyDescent="0.25">
      <c r="A440" s="2" t="s">
        <v>15</v>
      </c>
      <c r="B440" s="4">
        <v>46015</v>
      </c>
      <c r="C440" s="5">
        <v>0.70687500000000003</v>
      </c>
      <c r="D440" s="8" t="s">
        <v>2004</v>
      </c>
      <c r="E440" s="8" t="s">
        <v>8</v>
      </c>
      <c r="F440" s="8"/>
      <c r="H440" s="8"/>
      <c r="I440" s="8" t="s">
        <v>7499</v>
      </c>
      <c r="J440" s="8" t="s">
        <v>2985</v>
      </c>
      <c r="K440" t="s">
        <v>7500</v>
      </c>
      <c r="L440" t="s">
        <v>7501</v>
      </c>
      <c r="M440" s="3" t="str">
        <f>HYPERLINK(склад2въезд131920212223[[#This Row],[RelativePath]])</f>
        <v>10 Сушилка навес\E33149364_3_20251224T165754Z.jpg</v>
      </c>
    </row>
    <row r="441" spans="1:13" x14ac:dyDescent="0.25">
      <c r="A441" s="2" t="s">
        <v>16</v>
      </c>
      <c r="B441" s="4">
        <v>46016</v>
      </c>
      <c r="C441" s="5">
        <v>0.50045138888888885</v>
      </c>
      <c r="D441" s="8" t="s">
        <v>289</v>
      </c>
      <c r="E441" s="8" t="s">
        <v>70</v>
      </c>
      <c r="F441" s="8" t="s">
        <v>58</v>
      </c>
      <c r="H441" s="8" t="s">
        <v>1618</v>
      </c>
      <c r="I441" s="8" t="s">
        <v>7502</v>
      </c>
      <c r="J441" s="8" t="s">
        <v>2985</v>
      </c>
      <c r="K441" t="s">
        <v>7503</v>
      </c>
      <c r="L441" t="s">
        <v>7504</v>
      </c>
      <c r="M441" s="3" t="str">
        <f>HYPERLINK(склад2въезд131920212223[[#This Row],[RelativePath]])</f>
        <v>10 Сушилка навес\E33149364_3_20251225T120039Z.jpg</v>
      </c>
    </row>
    <row r="442" spans="1:13" x14ac:dyDescent="0.25">
      <c r="A442" s="2" t="s">
        <v>16</v>
      </c>
      <c r="B442" s="4">
        <v>46016</v>
      </c>
      <c r="C442" s="5">
        <v>0.50079861111111112</v>
      </c>
      <c r="D442" s="8" t="s">
        <v>289</v>
      </c>
      <c r="E442" s="8" t="s">
        <v>70</v>
      </c>
      <c r="F442" s="8" t="s">
        <v>58</v>
      </c>
      <c r="H442" s="8" t="s">
        <v>2936</v>
      </c>
      <c r="I442" s="8" t="s">
        <v>7505</v>
      </c>
      <c r="J442" s="8" t="s">
        <v>2985</v>
      </c>
      <c r="K442" t="s">
        <v>7506</v>
      </c>
      <c r="L442" t="s">
        <v>7507</v>
      </c>
      <c r="M442" s="3" t="str">
        <f>HYPERLINK(склад2въезд131920212223[[#This Row],[RelativePath]])</f>
        <v>10 Сушилка навес\E33149364_3_20251225T120109Z.jpg</v>
      </c>
    </row>
    <row r="443" spans="1:13" x14ac:dyDescent="0.25">
      <c r="A443" s="2" t="s">
        <v>16</v>
      </c>
      <c r="B443" s="4">
        <v>46016</v>
      </c>
      <c r="C443" s="5">
        <v>0.50168981481481478</v>
      </c>
      <c r="D443" s="8" t="s">
        <v>289</v>
      </c>
      <c r="E443" s="8" t="s">
        <v>70</v>
      </c>
      <c r="F443" s="8" t="s">
        <v>58</v>
      </c>
      <c r="H443" s="8" t="s">
        <v>2936</v>
      </c>
      <c r="I443" s="8" t="s">
        <v>7508</v>
      </c>
      <c r="J443" s="8" t="s">
        <v>2985</v>
      </c>
      <c r="K443" t="s">
        <v>7509</v>
      </c>
      <c r="L443" t="s">
        <v>7510</v>
      </c>
      <c r="M443" s="3" t="str">
        <f>HYPERLINK(склад2въезд131920212223[[#This Row],[RelativePath]])</f>
        <v>10 Сушилка навес\E33149364_3_20251225T120226Z.jpg</v>
      </c>
    </row>
    <row r="444" spans="1:13" x14ac:dyDescent="0.25">
      <c r="A444" s="2" t="s">
        <v>16</v>
      </c>
      <c r="B444" s="4">
        <v>46016</v>
      </c>
      <c r="C444" s="5">
        <v>0.50189814814814815</v>
      </c>
      <c r="D444" s="8" t="s">
        <v>289</v>
      </c>
      <c r="E444" s="8" t="s">
        <v>70</v>
      </c>
      <c r="F444" s="8" t="s">
        <v>58</v>
      </c>
      <c r="H444" s="8" t="s">
        <v>2936</v>
      </c>
      <c r="I444" s="8" t="s">
        <v>7511</v>
      </c>
      <c r="J444" s="8" t="s">
        <v>2985</v>
      </c>
      <c r="K444" t="s">
        <v>7512</v>
      </c>
      <c r="L444" t="s">
        <v>7513</v>
      </c>
      <c r="M444" s="3" t="str">
        <f>HYPERLINK(склад2въезд131920212223[[#This Row],[RelativePath]])</f>
        <v>10 Сушилка навес\E33149364_3_20251225T120244Z.jpg</v>
      </c>
    </row>
    <row r="445" spans="1:13" x14ac:dyDescent="0.25">
      <c r="A445" s="2" t="s">
        <v>16</v>
      </c>
      <c r="B445" s="4">
        <v>46016</v>
      </c>
      <c r="C445" s="5">
        <v>0.50423611111111111</v>
      </c>
      <c r="D445" s="8" t="s">
        <v>289</v>
      </c>
      <c r="E445" s="8" t="s">
        <v>70</v>
      </c>
      <c r="F445" s="8" t="s">
        <v>58</v>
      </c>
      <c r="H445" s="8" t="s">
        <v>2936</v>
      </c>
      <c r="I445" s="8" t="s">
        <v>7514</v>
      </c>
      <c r="J445" s="8" t="s">
        <v>2985</v>
      </c>
      <c r="K445" t="s">
        <v>7515</v>
      </c>
      <c r="L445" t="s">
        <v>7516</v>
      </c>
      <c r="M445" s="3" t="str">
        <f>HYPERLINK(склад2въезд131920212223[[#This Row],[RelativePath]])</f>
        <v>10 Сушилка навес\E33149364_3_20251225T120606Z.jpg</v>
      </c>
    </row>
    <row r="446" spans="1:13" x14ac:dyDescent="0.25">
      <c r="A446" s="2" t="s">
        <v>16</v>
      </c>
      <c r="B446" s="4">
        <v>46016</v>
      </c>
      <c r="C446" s="5">
        <v>0.50668981481481479</v>
      </c>
      <c r="D446" s="8" t="s">
        <v>650</v>
      </c>
      <c r="E446" s="8" t="s">
        <v>70</v>
      </c>
      <c r="F446" s="8" t="s">
        <v>58</v>
      </c>
      <c r="H446" s="8"/>
      <c r="I446" s="8" t="s">
        <v>7517</v>
      </c>
      <c r="J446" s="8" t="s">
        <v>2985</v>
      </c>
      <c r="K446" t="s">
        <v>7518</v>
      </c>
      <c r="L446" t="s">
        <v>7519</v>
      </c>
      <c r="M446" s="3" t="str">
        <f>HYPERLINK(склад2въезд131920212223[[#This Row],[RelativePath]])</f>
        <v>10 Сушилка навес\E33149364_3_20251225T120938Z.jpg</v>
      </c>
    </row>
    <row r="447" spans="1:13" x14ac:dyDescent="0.25">
      <c r="A447" s="2" t="s">
        <v>16</v>
      </c>
      <c r="B447" s="4">
        <v>46016</v>
      </c>
      <c r="C447" s="5">
        <v>0.51128472222222221</v>
      </c>
      <c r="D447" s="8" t="s">
        <v>7712</v>
      </c>
      <c r="E447" s="8" t="s">
        <v>531</v>
      </c>
      <c r="F447" s="8"/>
      <c r="H447" s="8"/>
      <c r="I447" s="8" t="s">
        <v>7520</v>
      </c>
      <c r="J447" s="8" t="s">
        <v>2985</v>
      </c>
      <c r="K447" t="s">
        <v>7521</v>
      </c>
      <c r="L447" t="s">
        <v>7522</v>
      </c>
      <c r="M447" s="3" t="str">
        <f>HYPERLINK(склад2въезд131920212223[[#This Row],[RelativePath]])</f>
        <v>10 Сушилка навес\E33149364_3_20251225T121615Z.jpg</v>
      </c>
    </row>
    <row r="448" spans="1:13" x14ac:dyDescent="0.25">
      <c r="A448" s="2" t="s">
        <v>16</v>
      </c>
      <c r="B448" s="4">
        <v>46016</v>
      </c>
      <c r="C448" s="5">
        <v>0.52425925925925931</v>
      </c>
      <c r="D448" s="8" t="s">
        <v>4223</v>
      </c>
      <c r="E448" s="8" t="s">
        <v>86</v>
      </c>
      <c r="F448" s="8" t="s">
        <v>7713</v>
      </c>
      <c r="H448" s="8"/>
      <c r="I448" s="8" t="s">
        <v>7523</v>
      </c>
      <c r="J448" s="8" t="s">
        <v>2985</v>
      </c>
      <c r="K448" t="s">
        <v>7524</v>
      </c>
      <c r="L448" t="s">
        <v>7525</v>
      </c>
      <c r="M448" s="3" t="str">
        <f>HYPERLINK(склад2въезд131920212223[[#This Row],[RelativePath]])</f>
        <v>10 Сушилка навес\E33149364_3_20251225T123456Z.jpg</v>
      </c>
    </row>
    <row r="449" spans="1:13" x14ac:dyDescent="0.25">
      <c r="A449" s="2" t="s">
        <v>16</v>
      </c>
      <c r="B449" s="4">
        <v>46016</v>
      </c>
      <c r="C449" s="5">
        <v>0.52465277777777775</v>
      </c>
      <c r="D449" s="8" t="s">
        <v>4223</v>
      </c>
      <c r="E449" s="8" t="s">
        <v>86</v>
      </c>
      <c r="F449" s="8" t="s">
        <v>7713</v>
      </c>
      <c r="H449" s="8" t="s">
        <v>2936</v>
      </c>
      <c r="I449" s="8" t="s">
        <v>7526</v>
      </c>
      <c r="J449" s="8" t="s">
        <v>2985</v>
      </c>
      <c r="K449" t="s">
        <v>7527</v>
      </c>
      <c r="L449" t="s">
        <v>7528</v>
      </c>
      <c r="M449" s="3" t="str">
        <f>HYPERLINK(склад2въезд131920212223[[#This Row],[RelativePath]])</f>
        <v>10 Сушилка навес\E33149364_3_20251225T123530Z.jpg</v>
      </c>
    </row>
    <row r="450" spans="1:13" x14ac:dyDescent="0.25">
      <c r="A450" s="2" t="s">
        <v>16</v>
      </c>
      <c r="B450" s="4">
        <v>46016</v>
      </c>
      <c r="C450" s="5">
        <v>0.53423611111111113</v>
      </c>
      <c r="D450" s="8" t="s">
        <v>4223</v>
      </c>
      <c r="E450" s="8" t="s">
        <v>86</v>
      </c>
      <c r="F450" s="8" t="s">
        <v>7713</v>
      </c>
      <c r="H450" s="8"/>
      <c r="I450" s="8" t="s">
        <v>7529</v>
      </c>
      <c r="J450" s="8" t="s">
        <v>2985</v>
      </c>
      <c r="K450" t="s">
        <v>7530</v>
      </c>
      <c r="L450" t="s">
        <v>7531</v>
      </c>
      <c r="M450" s="3" t="str">
        <f>HYPERLINK(склад2въезд131920212223[[#This Row],[RelativePath]])</f>
        <v>10 Сушилка навес\E33149364_3_20251225T124918Z.jpg</v>
      </c>
    </row>
    <row r="451" spans="1:13" x14ac:dyDescent="0.25">
      <c r="A451" s="2" t="s">
        <v>16</v>
      </c>
      <c r="B451" s="4">
        <v>46016</v>
      </c>
      <c r="C451" s="5">
        <v>0.63858796296296294</v>
      </c>
      <c r="D451" s="8" t="s">
        <v>2004</v>
      </c>
      <c r="E451" s="8" t="s">
        <v>8</v>
      </c>
      <c r="F451" s="8"/>
      <c r="H451" s="8"/>
      <c r="I451" s="8" t="s">
        <v>7532</v>
      </c>
      <c r="J451" s="8" t="s">
        <v>2985</v>
      </c>
      <c r="K451" t="s">
        <v>7533</v>
      </c>
      <c r="L451" t="s">
        <v>7534</v>
      </c>
      <c r="M451" s="3" t="str">
        <f>HYPERLINK(склад2въезд131920212223[[#This Row],[RelativePath]])</f>
        <v>10 Сушилка навес\E33149364_3_20251225T151934Z.jpg</v>
      </c>
    </row>
    <row r="452" spans="1:13" x14ac:dyDescent="0.25">
      <c r="A452" s="2" t="s">
        <v>16</v>
      </c>
      <c r="B452" s="4">
        <v>46016</v>
      </c>
      <c r="C452" s="5">
        <v>0.70717592592592593</v>
      </c>
      <c r="D452" s="8" t="s">
        <v>2004</v>
      </c>
      <c r="E452" s="8" t="s">
        <v>8</v>
      </c>
      <c r="F452" s="8"/>
      <c r="H452" s="8"/>
      <c r="I452" s="8" t="s">
        <v>7535</v>
      </c>
      <c r="J452" s="8" t="s">
        <v>2985</v>
      </c>
      <c r="K452" t="s">
        <v>7536</v>
      </c>
      <c r="L452" t="s">
        <v>7537</v>
      </c>
      <c r="M452" s="3" t="str">
        <f>HYPERLINK(склад2въезд131920212223[[#This Row],[RelativePath]])</f>
        <v>10 Сушилка навес\E33149364_3_20251225T165820Z.jpg</v>
      </c>
    </row>
    <row r="453" spans="1:13" x14ac:dyDescent="0.25">
      <c r="A453" s="2" t="s">
        <v>17</v>
      </c>
      <c r="B453" s="4">
        <v>46017</v>
      </c>
      <c r="C453" s="5">
        <v>0.67009259259259257</v>
      </c>
      <c r="D453" s="8" t="s">
        <v>2004</v>
      </c>
      <c r="E453" s="8" t="s">
        <v>8</v>
      </c>
      <c r="F453" s="8"/>
      <c r="H453" s="8"/>
      <c r="I453" s="8" t="s">
        <v>7744</v>
      </c>
      <c r="J453" s="8" t="s">
        <v>2985</v>
      </c>
      <c r="K453" t="s">
        <v>7745</v>
      </c>
      <c r="L453" t="s">
        <v>7746</v>
      </c>
      <c r="M453" s="3" t="str">
        <f>HYPERLINK(склад2въезд131920212223[[#This Row],[RelativePath]])</f>
        <v>10 Сушилка навес\E33149364_3_20251226T160456Z.jpg</v>
      </c>
    </row>
    <row r="454" spans="1:13" x14ac:dyDescent="0.25">
      <c r="A454" s="2" t="s">
        <v>18</v>
      </c>
      <c r="B454" s="4">
        <v>46018</v>
      </c>
      <c r="C454" s="5">
        <v>0.59619212962962964</v>
      </c>
      <c r="D454" s="8" t="s">
        <v>1606</v>
      </c>
      <c r="E454" s="8" t="s">
        <v>6656</v>
      </c>
      <c r="F454" s="8" t="s">
        <v>5076</v>
      </c>
      <c r="H454" s="8"/>
      <c r="I454" s="8" t="s">
        <v>8028</v>
      </c>
      <c r="J454" s="8" t="s">
        <v>2985</v>
      </c>
      <c r="K454" t="s">
        <v>8029</v>
      </c>
      <c r="L454" t="s">
        <v>8030</v>
      </c>
      <c r="M454" s="3" t="str">
        <f>HYPERLINK(склад2въезд131920212223[[#This Row],[RelativePath]])</f>
        <v>10 Сушилка навес\E33149364_3_20251227T141831Z.jpg</v>
      </c>
    </row>
    <row r="455" spans="1:13" x14ac:dyDescent="0.25">
      <c r="A455" s="2" t="s">
        <v>18</v>
      </c>
      <c r="B455" s="4">
        <v>46018</v>
      </c>
      <c r="C455" s="5">
        <v>0.59634259259259259</v>
      </c>
      <c r="D455" s="8" t="s">
        <v>8042</v>
      </c>
      <c r="E455" s="8" t="s">
        <v>6656</v>
      </c>
      <c r="F455" s="8" t="s">
        <v>5076</v>
      </c>
      <c r="H455" s="8" t="s">
        <v>8052</v>
      </c>
      <c r="I455" s="8" t="s">
        <v>8031</v>
      </c>
      <c r="J455" s="8" t="s">
        <v>2985</v>
      </c>
      <c r="K455" t="s">
        <v>8032</v>
      </c>
      <c r="L455" t="s">
        <v>8033</v>
      </c>
      <c r="M455" s="3" t="str">
        <f>HYPERLINK(склад2въезд131920212223[[#This Row],[RelativePath]])</f>
        <v>10 Сушилка навес\E33149364_3_20251227T141844Z.jpg</v>
      </c>
    </row>
    <row r="456" spans="1:13" x14ac:dyDescent="0.25">
      <c r="A456" s="2" t="s">
        <v>18</v>
      </c>
      <c r="B456" s="4">
        <v>46018</v>
      </c>
      <c r="C456" s="5">
        <v>0.60803240740740738</v>
      </c>
      <c r="D456" s="8" t="s">
        <v>650</v>
      </c>
      <c r="E456" s="8" t="s">
        <v>6656</v>
      </c>
      <c r="F456" s="8" t="s">
        <v>5076</v>
      </c>
      <c r="H456" s="8"/>
      <c r="I456" s="8" t="s">
        <v>8034</v>
      </c>
      <c r="J456" s="8" t="s">
        <v>2985</v>
      </c>
      <c r="K456" t="s">
        <v>8035</v>
      </c>
      <c r="L456" t="s">
        <v>8036</v>
      </c>
      <c r="M456" s="3" t="str">
        <f>HYPERLINK(склад2въезд131920212223[[#This Row],[RelativePath]])</f>
        <v>10 Сушилка навес\E33149364_3_20251227T143534Z.jpg</v>
      </c>
    </row>
    <row r="457" spans="1:13" x14ac:dyDescent="0.25">
      <c r="A457" s="2" t="s">
        <v>22</v>
      </c>
      <c r="B457" s="4">
        <v>46019</v>
      </c>
      <c r="C457" s="5">
        <v>0.6990277777777778</v>
      </c>
      <c r="D457" s="8" t="s">
        <v>4</v>
      </c>
      <c r="E457" s="8" t="s">
        <v>1607</v>
      </c>
      <c r="F457" s="8" t="s">
        <v>8053</v>
      </c>
      <c r="H457" s="8"/>
      <c r="I457" s="8" t="s">
        <v>8037</v>
      </c>
      <c r="J457" s="8" t="s">
        <v>2985</v>
      </c>
      <c r="K457" t="s">
        <v>8038</v>
      </c>
      <c r="L457" t="s">
        <v>8039</v>
      </c>
      <c r="M457" s="3" t="str">
        <f>HYPERLINK(склад2въезд131920212223[[#This Row],[RelativePath]])</f>
        <v>10 Сушилка навес\E33149364_3_20251228T164636Z.jpg</v>
      </c>
    </row>
    <row r="458" spans="1:13" x14ac:dyDescent="0.25">
      <c r="A458" s="2" t="s">
        <v>13</v>
      </c>
      <c r="B458" s="4">
        <v>46020</v>
      </c>
      <c r="C458" s="5">
        <v>0.50363425925925931</v>
      </c>
      <c r="D458" s="8" t="s">
        <v>1606</v>
      </c>
      <c r="E458" s="8" t="s">
        <v>70</v>
      </c>
      <c r="F458" s="8"/>
      <c r="H458" s="8"/>
      <c r="I458" s="8" t="s">
        <v>8198</v>
      </c>
      <c r="J458" s="8" t="s">
        <v>2985</v>
      </c>
      <c r="K458" t="s">
        <v>8199</v>
      </c>
      <c r="L458" t="s">
        <v>8200</v>
      </c>
      <c r="M458" s="3" t="str">
        <f>HYPERLINK(склад2въезд131920212223[[#This Row],[RelativePath]])</f>
        <v>10 Сушилка навес\E33149364_3_20251229T120514Z.jpg</v>
      </c>
    </row>
    <row r="459" spans="1:13" x14ac:dyDescent="0.25">
      <c r="A459" s="2" t="s">
        <v>13</v>
      </c>
      <c r="B459" s="4">
        <v>46020</v>
      </c>
      <c r="C459" s="5">
        <v>0.51174768518518521</v>
      </c>
      <c r="D459" s="8" t="s">
        <v>290</v>
      </c>
      <c r="E459" s="8" t="s">
        <v>70</v>
      </c>
      <c r="F459" s="8" t="s">
        <v>5093</v>
      </c>
      <c r="H459" s="8" t="s">
        <v>2949</v>
      </c>
      <c r="I459" s="8" t="s">
        <v>8201</v>
      </c>
      <c r="J459" s="8" t="s">
        <v>2985</v>
      </c>
      <c r="K459" t="s">
        <v>8202</v>
      </c>
      <c r="L459" t="s">
        <v>8203</v>
      </c>
      <c r="M459" s="3" t="str">
        <f>HYPERLINK(склад2въезд131920212223[[#This Row],[RelativePath]])</f>
        <v>10 Сушилка навес\E33149364_3_20251229T121655Z.jpg</v>
      </c>
    </row>
    <row r="460" spans="1:13" x14ac:dyDescent="0.25">
      <c r="A460" s="2" t="s">
        <v>13</v>
      </c>
      <c r="B460" s="4">
        <v>46020</v>
      </c>
      <c r="C460" s="5">
        <v>0.51180555555555551</v>
      </c>
      <c r="D460" s="8" t="s">
        <v>290</v>
      </c>
      <c r="E460" s="8" t="s">
        <v>70</v>
      </c>
      <c r="F460" s="8" t="s">
        <v>5093</v>
      </c>
      <c r="H460" s="8" t="s">
        <v>2949</v>
      </c>
      <c r="I460" s="8" t="s">
        <v>8204</v>
      </c>
      <c r="J460" s="8" t="s">
        <v>2985</v>
      </c>
      <c r="K460" t="s">
        <v>8205</v>
      </c>
      <c r="L460" t="s">
        <v>8206</v>
      </c>
      <c r="M460" s="3" t="str">
        <f>HYPERLINK(склад2въезд131920212223[[#This Row],[RelativePath]])</f>
        <v>10 Сушилка навес\E33149364_3_20251229T121700Z.jpg</v>
      </c>
    </row>
    <row r="461" spans="1:13" x14ac:dyDescent="0.25">
      <c r="A461" s="2" t="s">
        <v>13</v>
      </c>
      <c r="B461" s="4">
        <v>46020</v>
      </c>
      <c r="C461" s="5">
        <v>0.5133564814814815</v>
      </c>
      <c r="D461" s="8" t="s">
        <v>290</v>
      </c>
      <c r="E461" s="8" t="s">
        <v>70</v>
      </c>
      <c r="F461" s="8" t="s">
        <v>5093</v>
      </c>
      <c r="H461" s="8" t="s">
        <v>2949</v>
      </c>
      <c r="I461" s="8" t="s">
        <v>8207</v>
      </c>
      <c r="J461" s="8" t="s">
        <v>2985</v>
      </c>
      <c r="K461" t="s">
        <v>8208</v>
      </c>
      <c r="L461" t="s">
        <v>8209</v>
      </c>
      <c r="M461" s="3" t="str">
        <f>HYPERLINK(склад2въезд131920212223[[#This Row],[RelativePath]])</f>
        <v>10 Сушилка навес\E33149364_3_20251229T121914Z.jpg</v>
      </c>
    </row>
    <row r="462" spans="1:13" x14ac:dyDescent="0.25">
      <c r="A462" s="2" t="s">
        <v>13</v>
      </c>
      <c r="B462" s="4">
        <v>46020</v>
      </c>
      <c r="C462" s="5">
        <v>0.51724537037037033</v>
      </c>
      <c r="D462" s="8" t="s">
        <v>650</v>
      </c>
      <c r="E462" s="8" t="s">
        <v>70</v>
      </c>
      <c r="F462" s="8"/>
      <c r="H462" s="8"/>
      <c r="I462" s="8" t="s">
        <v>8210</v>
      </c>
      <c r="J462" s="8" t="s">
        <v>2985</v>
      </c>
      <c r="K462" t="s">
        <v>8211</v>
      </c>
      <c r="L462" t="s">
        <v>8212</v>
      </c>
      <c r="M462" s="3" t="str">
        <f>HYPERLINK(склад2въезд131920212223[[#This Row],[RelativePath]])</f>
        <v>10 Сушилка навес\E33149364_3_20251229T122450Z.jpg</v>
      </c>
    </row>
    <row r="463" spans="1:13" x14ac:dyDescent="0.25">
      <c r="A463" s="2" t="s">
        <v>13</v>
      </c>
      <c r="B463" s="4">
        <v>46020</v>
      </c>
      <c r="C463" s="5">
        <v>0.55249999999999999</v>
      </c>
      <c r="D463" s="8" t="s">
        <v>533</v>
      </c>
      <c r="E463" s="8" t="s">
        <v>531</v>
      </c>
      <c r="F463" s="8" t="s">
        <v>8350</v>
      </c>
      <c r="H463" s="8"/>
      <c r="I463" s="8" t="s">
        <v>8213</v>
      </c>
      <c r="J463" s="8" t="s">
        <v>2985</v>
      </c>
      <c r="K463" t="s">
        <v>8214</v>
      </c>
      <c r="L463" t="s">
        <v>8215</v>
      </c>
      <c r="M463" s="3" t="str">
        <f>HYPERLINK(склад2въезд131920212223[[#This Row],[RelativePath]])</f>
        <v>10 Сушилка навес\E33149364_3_20251229T131536Z.jpg</v>
      </c>
    </row>
    <row r="464" spans="1:13" x14ac:dyDescent="0.25">
      <c r="A464" s="2" t="s">
        <v>13</v>
      </c>
      <c r="B464" s="4">
        <v>46020</v>
      </c>
      <c r="C464" s="5">
        <v>0.58472222222222225</v>
      </c>
      <c r="D464" s="8" t="s">
        <v>4</v>
      </c>
      <c r="E464" s="8" t="s">
        <v>531</v>
      </c>
      <c r="F464" s="8"/>
      <c r="H464" s="8"/>
      <c r="I464" s="8" t="s">
        <v>8216</v>
      </c>
      <c r="J464" s="8" t="s">
        <v>2985</v>
      </c>
      <c r="K464" t="s">
        <v>8217</v>
      </c>
      <c r="L464" t="s">
        <v>8218</v>
      </c>
      <c r="M464" s="3" t="str">
        <f>HYPERLINK(склад2въезд131920212223[[#This Row],[RelativePath]])</f>
        <v>10 Сушилка навес\E33149364_3_20251229T140200Z.jpg</v>
      </c>
    </row>
    <row r="465" spans="1:13" x14ac:dyDescent="0.25">
      <c r="A465" s="2" t="s">
        <v>13</v>
      </c>
      <c r="B465" s="4">
        <v>46020</v>
      </c>
      <c r="C465" s="5">
        <v>0.5873032407407407</v>
      </c>
      <c r="D465" s="8" t="s">
        <v>4</v>
      </c>
      <c r="E465" s="8" t="s">
        <v>8351</v>
      </c>
      <c r="F465" s="8"/>
      <c r="H465" s="8"/>
      <c r="I465" s="8" t="s">
        <v>8219</v>
      </c>
      <c r="J465" s="8" t="s">
        <v>2985</v>
      </c>
      <c r="K465" t="s">
        <v>8220</v>
      </c>
      <c r="L465" t="s">
        <v>8221</v>
      </c>
      <c r="M465" s="3" t="str">
        <f>HYPERLINK(склад2въезд131920212223[[#This Row],[RelativePath]])</f>
        <v>10 Сушилка навес\E33149364_3_20251229T140543Z.jpg</v>
      </c>
    </row>
    <row r="466" spans="1:13" x14ac:dyDescent="0.25">
      <c r="A466" s="2" t="s">
        <v>13</v>
      </c>
      <c r="B466" s="4">
        <v>46020</v>
      </c>
      <c r="C466" s="5">
        <v>0.59174768518518517</v>
      </c>
      <c r="D466" s="8" t="s">
        <v>4</v>
      </c>
      <c r="E466" s="8" t="s">
        <v>8351</v>
      </c>
      <c r="F466" s="8"/>
      <c r="H466" s="8"/>
      <c r="I466" s="8" t="s">
        <v>8222</v>
      </c>
      <c r="J466" s="8" t="s">
        <v>2985</v>
      </c>
      <c r="K466" t="s">
        <v>8223</v>
      </c>
      <c r="L466" t="s">
        <v>8224</v>
      </c>
      <c r="M466" s="3" t="str">
        <f>HYPERLINK(склад2въезд131920212223[[#This Row],[RelativePath]])</f>
        <v>10 Сушилка навес\E33149364_3_20251229T141207Z.jpg</v>
      </c>
    </row>
    <row r="467" spans="1:13" x14ac:dyDescent="0.25">
      <c r="A467" s="2" t="s">
        <v>13</v>
      </c>
      <c r="B467" s="4">
        <v>46020</v>
      </c>
      <c r="C467" s="5">
        <v>0.64571759259259254</v>
      </c>
      <c r="D467" s="8" t="s">
        <v>4</v>
      </c>
      <c r="E467" s="8" t="s">
        <v>8353</v>
      </c>
      <c r="F467" s="8"/>
      <c r="H467" s="8"/>
      <c r="I467" s="8" t="s">
        <v>8225</v>
      </c>
      <c r="J467" s="8" t="s">
        <v>2985</v>
      </c>
      <c r="K467" t="s">
        <v>8226</v>
      </c>
      <c r="L467" t="s">
        <v>8227</v>
      </c>
      <c r="M467" s="3" t="str">
        <f>HYPERLINK(склад2въезд131920212223[[#This Row],[RelativePath]])</f>
        <v>10 Сушилка навес\E33149364_3_20251229T152950Z.jpg</v>
      </c>
    </row>
    <row r="468" spans="1:13" x14ac:dyDescent="0.25">
      <c r="A468" s="2" t="s">
        <v>13</v>
      </c>
      <c r="B468" s="4">
        <v>46020</v>
      </c>
      <c r="C468" s="5">
        <v>0.64688657407407413</v>
      </c>
      <c r="D468" s="8" t="s">
        <v>289</v>
      </c>
      <c r="E468" s="8" t="s">
        <v>8352</v>
      </c>
      <c r="F468" s="8" t="s">
        <v>1621</v>
      </c>
      <c r="H468" s="8"/>
      <c r="I468" s="8" t="s">
        <v>8228</v>
      </c>
      <c r="J468" s="8" t="s">
        <v>2985</v>
      </c>
      <c r="K468" t="s">
        <v>8229</v>
      </c>
      <c r="L468" t="s">
        <v>8230</v>
      </c>
      <c r="M468" s="3" t="str">
        <f>HYPERLINK(склад2въезд131920212223[[#This Row],[RelativePath]])</f>
        <v>10 Сушилка навес\E33149364_3_20251229T153131Z.jpg</v>
      </c>
    </row>
    <row r="469" spans="1:13" x14ac:dyDescent="0.25">
      <c r="A469" s="2" t="s">
        <v>13</v>
      </c>
      <c r="B469" s="4">
        <v>46020</v>
      </c>
      <c r="C469" s="5">
        <v>0.66874999999999996</v>
      </c>
      <c r="D469" s="8" t="s">
        <v>4</v>
      </c>
      <c r="E469" s="8" t="s">
        <v>8</v>
      </c>
      <c r="F469" s="8"/>
      <c r="H469" s="8"/>
      <c r="I469" s="8" t="s">
        <v>8231</v>
      </c>
      <c r="J469" s="8" t="s">
        <v>2985</v>
      </c>
      <c r="K469" t="s">
        <v>8232</v>
      </c>
      <c r="L469" t="s">
        <v>8233</v>
      </c>
      <c r="M469" s="3" t="str">
        <f>HYPERLINK(склад2въезд131920212223[[#This Row],[RelativePath]])</f>
        <v>10 Сушилка навес\E33149364_3_20251229T160300Z.jpg</v>
      </c>
    </row>
    <row r="470" spans="1:13" x14ac:dyDescent="0.25">
      <c r="A470" s="2" t="s">
        <v>13</v>
      </c>
      <c r="B470" s="4">
        <v>46020</v>
      </c>
      <c r="C470" s="5">
        <v>0.70465277777777779</v>
      </c>
      <c r="D470" s="8" t="s">
        <v>4</v>
      </c>
      <c r="E470" s="8" t="s">
        <v>8</v>
      </c>
      <c r="F470" s="8"/>
      <c r="H470" s="8"/>
      <c r="I470" s="8" t="s">
        <v>8234</v>
      </c>
      <c r="J470" s="8" t="s">
        <v>2985</v>
      </c>
      <c r="K470" t="s">
        <v>8235</v>
      </c>
      <c r="L470" t="s">
        <v>8236</v>
      </c>
      <c r="M470" s="3" t="str">
        <f>HYPERLINK(склад2въезд131920212223[[#This Row],[RelativePath]])</f>
        <v>10 Сушилка навес\E33149364_3_20251229T165442Z.jpg</v>
      </c>
    </row>
    <row r="471" spans="1:13" x14ac:dyDescent="0.25">
      <c r="A471" s="2" t="s">
        <v>13</v>
      </c>
      <c r="B471" s="4">
        <v>46020</v>
      </c>
      <c r="C471" s="5">
        <v>0.72060185185185188</v>
      </c>
      <c r="D471" s="8" t="s">
        <v>4</v>
      </c>
      <c r="E471" s="8" t="s">
        <v>8</v>
      </c>
      <c r="F471" s="8"/>
      <c r="H471" s="8"/>
      <c r="I471" s="8" t="s">
        <v>8237</v>
      </c>
      <c r="J471" s="8" t="s">
        <v>2985</v>
      </c>
      <c r="K471" t="s">
        <v>8238</v>
      </c>
      <c r="L471" t="s">
        <v>8239</v>
      </c>
      <c r="M471" s="3" t="str">
        <f>HYPERLINK(склад2въезд131920212223[[#This Row],[RelativePath]])</f>
        <v>10 Сушилка навес\E33149364_3_20251229T171740Z.jpg</v>
      </c>
    </row>
    <row r="472" spans="1:13" x14ac:dyDescent="0.25">
      <c r="A472" s="2" t="s">
        <v>14</v>
      </c>
      <c r="B472" s="4">
        <v>46021</v>
      </c>
      <c r="C472" s="5">
        <v>0.58172453703703708</v>
      </c>
      <c r="D472" s="8" t="s">
        <v>1606</v>
      </c>
      <c r="E472" s="8" t="s">
        <v>70</v>
      </c>
      <c r="F472" s="8"/>
      <c r="H472" s="8"/>
      <c r="I472" s="8" t="s">
        <v>8240</v>
      </c>
      <c r="J472" s="8" t="s">
        <v>2985</v>
      </c>
      <c r="K472" t="s">
        <v>8241</v>
      </c>
      <c r="L472" t="s">
        <v>8242</v>
      </c>
      <c r="M472" s="3" t="str">
        <f>HYPERLINK(склад2въезд131920212223[[#This Row],[RelativePath]])</f>
        <v>10 Сушилка навес\E33149364_3_20251230T135741Z.jpg</v>
      </c>
    </row>
    <row r="473" spans="1:13" x14ac:dyDescent="0.25">
      <c r="A473" s="2" t="s">
        <v>14</v>
      </c>
      <c r="B473" s="4">
        <v>46021</v>
      </c>
      <c r="C473" s="5">
        <v>0.58225694444444442</v>
      </c>
      <c r="D473" s="8" t="s">
        <v>290</v>
      </c>
      <c r="E473" s="8" t="s">
        <v>70</v>
      </c>
      <c r="F473" s="8" t="s">
        <v>5093</v>
      </c>
      <c r="H473" s="8"/>
      <c r="I473" s="8" t="s">
        <v>8243</v>
      </c>
      <c r="J473" s="8" t="s">
        <v>2985</v>
      </c>
      <c r="K473" t="s">
        <v>8244</v>
      </c>
      <c r="L473" t="s">
        <v>8245</v>
      </c>
      <c r="M473" s="3" t="str">
        <f>HYPERLINK(склад2въезд131920212223[[#This Row],[RelativePath]])</f>
        <v>10 Сушилка навес\E33149364_3_20251230T135827Z.jpg</v>
      </c>
    </row>
    <row r="474" spans="1:13" x14ac:dyDescent="0.25">
      <c r="A474" s="2" t="s">
        <v>14</v>
      </c>
      <c r="B474" s="4">
        <v>46021</v>
      </c>
      <c r="C474" s="5">
        <v>0.58259259259259255</v>
      </c>
      <c r="D474" s="8" t="s">
        <v>290</v>
      </c>
      <c r="E474" s="8" t="s">
        <v>70</v>
      </c>
      <c r="F474" s="8" t="s">
        <v>5093</v>
      </c>
      <c r="H474" s="8"/>
      <c r="I474" s="8" t="s">
        <v>8246</v>
      </c>
      <c r="J474" s="8" t="s">
        <v>2985</v>
      </c>
      <c r="K474" t="s">
        <v>8247</v>
      </c>
      <c r="L474" t="s">
        <v>8248</v>
      </c>
      <c r="M474" s="3" t="str">
        <f>HYPERLINK(склад2въезд131920212223[[#This Row],[RelativePath]])</f>
        <v>10 Сушилка навес\E33149364_3_20251230T135856Z.jpg</v>
      </c>
    </row>
    <row r="475" spans="1:13" x14ac:dyDescent="0.25">
      <c r="A475" s="2" t="s">
        <v>14</v>
      </c>
      <c r="B475" s="4">
        <v>46021</v>
      </c>
      <c r="C475" s="5">
        <v>0.58275462962962965</v>
      </c>
      <c r="D475" s="8" t="s">
        <v>290</v>
      </c>
      <c r="E475" s="8" t="s">
        <v>70</v>
      </c>
      <c r="F475" s="8" t="s">
        <v>5093</v>
      </c>
      <c r="H475" s="8"/>
      <c r="I475" s="8" t="s">
        <v>8249</v>
      </c>
      <c r="J475" s="8" t="s">
        <v>2985</v>
      </c>
      <c r="K475" t="s">
        <v>8250</v>
      </c>
      <c r="L475" t="s">
        <v>8251</v>
      </c>
      <c r="M475" s="3" t="str">
        <f>HYPERLINK(склад2въезд131920212223[[#This Row],[RelativePath]])</f>
        <v>10 Сушилка навес\E33149364_3_20251230T135910Z.jpg</v>
      </c>
    </row>
    <row r="476" spans="1:13" x14ac:dyDescent="0.25">
      <c r="A476" s="2" t="s">
        <v>14</v>
      </c>
      <c r="B476" s="4">
        <v>46021</v>
      </c>
      <c r="C476" s="5">
        <v>0.58341435185185186</v>
      </c>
      <c r="D476" s="8" t="s">
        <v>650</v>
      </c>
      <c r="E476" s="8" t="s">
        <v>70</v>
      </c>
      <c r="F476" s="8"/>
      <c r="H476" s="8"/>
      <c r="I476" s="8" t="s">
        <v>8252</v>
      </c>
      <c r="J476" s="8" t="s">
        <v>2985</v>
      </c>
      <c r="K476" t="s">
        <v>8253</v>
      </c>
      <c r="L476" t="s">
        <v>8254</v>
      </c>
      <c r="M476" s="3" t="str">
        <f>HYPERLINK(склад2въезд131920212223[[#This Row],[RelativePath]])</f>
        <v>10 Сушилка навес\E33149364_3_20251230T140007Z.jpg</v>
      </c>
    </row>
    <row r="477" spans="1:13" x14ac:dyDescent="0.25">
      <c r="A477" s="2" t="s">
        <v>14</v>
      </c>
      <c r="B477" s="4">
        <v>46021</v>
      </c>
      <c r="C477" s="5">
        <v>0.64958333333333329</v>
      </c>
      <c r="D477" s="8" t="s">
        <v>1606</v>
      </c>
      <c r="E477" s="8" t="s">
        <v>8354</v>
      </c>
      <c r="F477" s="8"/>
      <c r="H477" s="8" t="s">
        <v>8355</v>
      </c>
      <c r="I477" s="8" t="s">
        <v>8255</v>
      </c>
      <c r="J477" s="8" t="s">
        <v>2985</v>
      </c>
      <c r="K477" t="s">
        <v>8256</v>
      </c>
      <c r="L477" t="s">
        <v>8257</v>
      </c>
      <c r="M477" s="3" t="str">
        <f>HYPERLINK(склад2въезд131920212223[[#This Row],[RelativePath]])</f>
        <v>10 Сушилка навес\E33149364_3_20251230T153524Z.jpg</v>
      </c>
    </row>
    <row r="478" spans="1:13" x14ac:dyDescent="0.25">
      <c r="A478" s="2" t="s">
        <v>14</v>
      </c>
      <c r="B478" s="4">
        <v>46021</v>
      </c>
      <c r="C478" s="5">
        <v>0.65531249999999996</v>
      </c>
      <c r="D478" s="8" t="s">
        <v>6171</v>
      </c>
      <c r="E478" s="8" t="s">
        <v>8354</v>
      </c>
      <c r="F478" s="8"/>
      <c r="H478" s="8" t="s">
        <v>8356</v>
      </c>
      <c r="I478" s="8" t="s">
        <v>8258</v>
      </c>
      <c r="J478" s="8" t="s">
        <v>2985</v>
      </c>
      <c r="K478" t="s">
        <v>8259</v>
      </c>
      <c r="L478" t="s">
        <v>8260</v>
      </c>
      <c r="M478" s="3" t="str">
        <f>HYPERLINK(склад2въезд131920212223[[#This Row],[RelativePath]])</f>
        <v>10 Сушилка навес\E33149364_3_20251230T154339Z.jpg</v>
      </c>
    </row>
    <row r="479" spans="1:13" x14ac:dyDescent="0.25">
      <c r="A479" s="2" t="s">
        <v>14</v>
      </c>
      <c r="B479" s="4">
        <v>46021</v>
      </c>
      <c r="C479" s="5">
        <v>0.67981481481481476</v>
      </c>
      <c r="D479" s="8" t="s">
        <v>650</v>
      </c>
      <c r="E479" s="8" t="s">
        <v>8354</v>
      </c>
      <c r="F479" s="8"/>
      <c r="H479" s="8"/>
      <c r="I479" s="8" t="s">
        <v>8261</v>
      </c>
      <c r="J479" s="8" t="s">
        <v>2985</v>
      </c>
      <c r="K479" t="s">
        <v>8262</v>
      </c>
      <c r="L479" t="s">
        <v>8263</v>
      </c>
      <c r="M479" s="3" t="str">
        <f>HYPERLINK(склад2въезд131920212223[[#This Row],[RelativePath]])</f>
        <v>10 Сушилка навес\E33149364_3_20251230T161856Z.jpg</v>
      </c>
    </row>
    <row r="480" spans="1:13" x14ac:dyDescent="0.25">
      <c r="A480" s="2" t="s">
        <v>14</v>
      </c>
      <c r="B480" s="4">
        <v>46021</v>
      </c>
      <c r="C480" s="5">
        <v>0.69195601851851851</v>
      </c>
      <c r="D480" s="8" t="s">
        <v>8357</v>
      </c>
      <c r="E480" s="8" t="s">
        <v>5093</v>
      </c>
      <c r="F480" s="8"/>
      <c r="H480" s="8" t="s">
        <v>8358</v>
      </c>
      <c r="I480" s="8" t="s">
        <v>8264</v>
      </c>
      <c r="J480" s="8" t="s">
        <v>2985</v>
      </c>
      <c r="K480" t="s">
        <v>8265</v>
      </c>
      <c r="L480" t="s">
        <v>8266</v>
      </c>
      <c r="M480" s="3" t="str">
        <f>HYPERLINK(склад2въезд131920212223[[#This Row],[RelativePath]])</f>
        <v>10 Сушилка навес\E33149364_3_20251230T163625Z.jpg</v>
      </c>
    </row>
    <row r="481" spans="1:13" x14ac:dyDescent="0.25">
      <c r="A481" s="2" t="s">
        <v>15</v>
      </c>
      <c r="B481" s="4">
        <v>46022</v>
      </c>
      <c r="C481" s="5">
        <v>0.58023148148148151</v>
      </c>
      <c r="D481" s="8" t="s">
        <v>2004</v>
      </c>
      <c r="E481" s="8" t="s">
        <v>8</v>
      </c>
      <c r="F481" s="8"/>
      <c r="H481" s="8"/>
      <c r="I481" s="8" t="s">
        <v>8267</v>
      </c>
      <c r="J481" s="8" t="s">
        <v>2985</v>
      </c>
      <c r="K481" t="s">
        <v>8268</v>
      </c>
      <c r="L481" t="s">
        <v>8269</v>
      </c>
      <c r="M481" s="3" t="str">
        <f>HYPERLINK(склад2въезд131920212223[[#This Row],[RelativePath]])</f>
        <v>10 Сушилка навес\E33149364_3_20251231T135532Z.jpg</v>
      </c>
    </row>
    <row r="482" spans="1:13" x14ac:dyDescent="0.25">
      <c r="A482" s="2" t="s">
        <v>16</v>
      </c>
      <c r="B482" s="4">
        <v>46023</v>
      </c>
      <c r="C482" s="5">
        <v>0.66334490740740737</v>
      </c>
      <c r="D482" s="8" t="s">
        <v>2004</v>
      </c>
      <c r="E482" s="8" t="s">
        <v>8</v>
      </c>
      <c r="F482" s="8"/>
      <c r="H482" s="8"/>
      <c r="I482" s="8" t="s">
        <v>8270</v>
      </c>
      <c r="J482" s="8" t="s">
        <v>2985</v>
      </c>
      <c r="K482" t="s">
        <v>8271</v>
      </c>
      <c r="L482" t="s">
        <v>8272</v>
      </c>
      <c r="M482" s="3" t="str">
        <f>HYPERLINK(склад2въезд131920212223[[#This Row],[RelativePath]])</f>
        <v>10 Сушилка навес\E33149364_3_20260101T155513Z.jpg</v>
      </c>
    </row>
    <row r="483" spans="1:13" x14ac:dyDescent="0.25">
      <c r="A483" s="2" t="s">
        <v>17</v>
      </c>
      <c r="B483" s="4">
        <v>46024</v>
      </c>
      <c r="C483" s="5">
        <v>0.54982638888888891</v>
      </c>
      <c r="D483" s="8" t="s">
        <v>2004</v>
      </c>
      <c r="E483" s="8" t="s">
        <v>8</v>
      </c>
      <c r="F483" s="8"/>
      <c r="H483" s="8"/>
      <c r="I483" s="8" t="s">
        <v>8438</v>
      </c>
      <c r="J483" s="8" t="s">
        <v>2985</v>
      </c>
      <c r="K483" t="s">
        <v>8439</v>
      </c>
      <c r="L483" t="s">
        <v>8440</v>
      </c>
      <c r="M483" s="3" t="str">
        <f>HYPERLINK(склад2въезд131920212223[[#This Row],[RelativePath]])</f>
        <v>10 Сушилка навес\E33149364_3_20260102T131145Z.jpg</v>
      </c>
    </row>
    <row r="484" spans="1:13" x14ac:dyDescent="0.25">
      <c r="A484" s="2" t="s">
        <v>18</v>
      </c>
      <c r="B484" s="4">
        <v>46025</v>
      </c>
      <c r="C484" s="5">
        <v>0.67645833333333338</v>
      </c>
      <c r="D484" s="8" t="s">
        <v>2004</v>
      </c>
      <c r="E484" s="8" t="s">
        <v>8</v>
      </c>
      <c r="F484" s="8"/>
      <c r="H484" s="8"/>
      <c r="I484" s="8" t="s">
        <v>8441</v>
      </c>
      <c r="J484" s="8" t="s">
        <v>2985</v>
      </c>
      <c r="K484" t="s">
        <v>8442</v>
      </c>
      <c r="L484" t="s">
        <v>8443</v>
      </c>
      <c r="M484" s="3" t="str">
        <f>HYPERLINK(склад2въезд131920212223[[#This Row],[RelativePath]])</f>
        <v>10 Сушилка навес\E33149364_3_20260103T161406Z.jpg</v>
      </c>
    </row>
    <row r="485" spans="1:13" x14ac:dyDescent="0.25">
      <c r="A485" s="2" t="s">
        <v>22</v>
      </c>
      <c r="B485" s="4">
        <v>46026</v>
      </c>
      <c r="C485" s="5">
        <v>0.48237268518518517</v>
      </c>
      <c r="D485" s="8" t="s">
        <v>2004</v>
      </c>
      <c r="E485" s="8" t="s">
        <v>8</v>
      </c>
      <c r="F485" s="8"/>
      <c r="H485" s="8"/>
      <c r="I485" s="8" t="s">
        <v>8444</v>
      </c>
      <c r="J485" s="8" t="s">
        <v>2985</v>
      </c>
      <c r="K485" t="s">
        <v>8445</v>
      </c>
      <c r="L485" t="s">
        <v>8446</v>
      </c>
      <c r="M485" s="3" t="str">
        <f>HYPERLINK(склад2въезд131920212223[[#This Row],[RelativePath]])</f>
        <v>10 Сушилка навес\E33149364_3_20260104T113437Z.jpg</v>
      </c>
    </row>
    <row r="486" spans="1:13" x14ac:dyDescent="0.25">
      <c r="A486" s="2" t="s">
        <v>13</v>
      </c>
      <c r="B486" s="4">
        <v>46027</v>
      </c>
      <c r="C486" s="5">
        <v>0.6650462962962963</v>
      </c>
      <c r="D486" s="8" t="s">
        <v>2004</v>
      </c>
      <c r="E486" s="8" t="s">
        <v>8</v>
      </c>
      <c r="F486" s="8"/>
      <c r="H486" s="8"/>
      <c r="I486" s="8" t="s">
        <v>8703</v>
      </c>
      <c r="J486" s="8" t="s">
        <v>2985</v>
      </c>
      <c r="K486" t="s">
        <v>8704</v>
      </c>
      <c r="L486" t="s">
        <v>8705</v>
      </c>
      <c r="M486" s="3" t="str">
        <f>HYPERLINK(склад2въезд131920212223[[#This Row],[RelativePath]])</f>
        <v>10 Сушилка навес\E33149364_3_20260105T155740Z.jpg</v>
      </c>
    </row>
    <row r="487" spans="1:13" x14ac:dyDescent="0.25">
      <c r="A487" s="2" t="s">
        <v>14</v>
      </c>
      <c r="B487" s="4">
        <v>46028</v>
      </c>
      <c r="C487" s="5">
        <v>0.43192129629629628</v>
      </c>
      <c r="D487" s="8" t="s">
        <v>2004</v>
      </c>
      <c r="E487" s="8" t="s">
        <v>8826</v>
      </c>
      <c r="F487" s="8"/>
      <c r="H487" s="8"/>
      <c r="I487" s="8" t="s">
        <v>8706</v>
      </c>
      <c r="J487" s="8" t="s">
        <v>2985</v>
      </c>
      <c r="K487" t="s">
        <v>8707</v>
      </c>
      <c r="L487" t="s">
        <v>8708</v>
      </c>
      <c r="M487" s="3" t="str">
        <f>HYPERLINK(склад2въезд131920212223[[#This Row],[RelativePath]])</f>
        <v>10 Сушилка навес\E33149364_3_20260106T102158Z.jpg</v>
      </c>
    </row>
    <row r="488" spans="1:13" x14ac:dyDescent="0.25">
      <c r="A488" s="2" t="s">
        <v>15</v>
      </c>
      <c r="B488" s="4">
        <v>46029</v>
      </c>
      <c r="C488" s="5">
        <v>0.50581018518518517</v>
      </c>
      <c r="D488" s="8" t="s">
        <v>2004</v>
      </c>
      <c r="E488" s="8" t="s">
        <v>8826</v>
      </c>
      <c r="F488" s="8"/>
      <c r="H488" s="8"/>
      <c r="I488" s="8" t="s">
        <v>8709</v>
      </c>
      <c r="J488" s="8" t="s">
        <v>2985</v>
      </c>
      <c r="K488" t="s">
        <v>8710</v>
      </c>
      <c r="L488" t="s">
        <v>8711</v>
      </c>
      <c r="M488" s="3" t="str">
        <f>HYPERLINK(склад2въезд131920212223[[#This Row],[RelativePath]])</f>
        <v>10 Сушилка навес\E33149364_3_20260107T120822Z.jpg</v>
      </c>
    </row>
    <row r="489" spans="1:13" x14ac:dyDescent="0.25">
      <c r="A489" s="2" t="s">
        <v>16</v>
      </c>
      <c r="B489" s="4">
        <v>46030</v>
      </c>
      <c r="C489" s="5">
        <v>0.75096064814814811</v>
      </c>
      <c r="D489" s="8" t="s">
        <v>2004</v>
      </c>
      <c r="E489" s="8" t="s">
        <v>8</v>
      </c>
      <c r="F489" s="8"/>
      <c r="H489" s="8"/>
      <c r="I489" s="8" t="s">
        <v>8712</v>
      </c>
      <c r="J489" s="8" t="s">
        <v>2985</v>
      </c>
      <c r="K489" t="s">
        <v>8713</v>
      </c>
      <c r="L489" t="s">
        <v>8714</v>
      </c>
      <c r="M489" s="3" t="str">
        <f>HYPERLINK(склад2въезд131920212223[[#This Row],[RelativePath]])</f>
        <v>10 Сушилка навес\E33149364_3_20260108T180123Z.jpg</v>
      </c>
    </row>
    <row r="490" spans="1:13" x14ac:dyDescent="0.25">
      <c r="A490" s="2" t="s">
        <v>17</v>
      </c>
      <c r="B490" s="4">
        <v>46031</v>
      </c>
      <c r="C490" s="5">
        <v>0.42194444444444446</v>
      </c>
      <c r="D490" s="8" t="s">
        <v>2004</v>
      </c>
      <c r="E490" s="8" t="s">
        <v>8826</v>
      </c>
      <c r="F490" s="8"/>
      <c r="H490" s="8"/>
      <c r="I490" s="8" t="s">
        <v>8715</v>
      </c>
      <c r="J490" s="8" t="s">
        <v>2985</v>
      </c>
      <c r="K490" t="s">
        <v>8716</v>
      </c>
      <c r="L490" t="s">
        <v>8717</v>
      </c>
      <c r="M490" s="3" t="str">
        <f>HYPERLINK(склад2въезд131920212223[[#This Row],[RelativePath]])</f>
        <v>10 Сушилка навес\E33149364_3_20260109T100736Z.jpg</v>
      </c>
    </row>
    <row r="491" spans="1:13" x14ac:dyDescent="0.25">
      <c r="A491" s="2" t="s">
        <v>18</v>
      </c>
      <c r="B491" s="4">
        <v>46032</v>
      </c>
      <c r="C491" s="5">
        <v>0.58620370370370367</v>
      </c>
      <c r="D491" s="8" t="s">
        <v>2004</v>
      </c>
      <c r="E491" s="8" t="s">
        <v>8826</v>
      </c>
      <c r="F491" s="8"/>
      <c r="H491" s="8"/>
      <c r="I491" s="8" t="s">
        <v>8718</v>
      </c>
      <c r="J491" s="8" t="s">
        <v>2985</v>
      </c>
      <c r="K491" t="s">
        <v>8719</v>
      </c>
      <c r="L491" t="s">
        <v>8720</v>
      </c>
      <c r="M491" s="3" t="str">
        <f>HYPERLINK(склад2въезд131920212223[[#This Row],[RelativePath]])</f>
        <v>10 Сушилка навес\E33149364_3_20260110T140408Z.jpg</v>
      </c>
    </row>
    <row r="492" spans="1:13" x14ac:dyDescent="0.25">
      <c r="A492" s="2" t="s">
        <v>22</v>
      </c>
      <c r="B492" s="4">
        <v>46033</v>
      </c>
      <c r="C492" s="5">
        <v>0.6337962962962963</v>
      </c>
      <c r="D492" s="8" t="s">
        <v>4</v>
      </c>
      <c r="E492" s="8" t="s">
        <v>8805</v>
      </c>
      <c r="F492" s="8"/>
      <c r="H492" s="8"/>
      <c r="I492" s="8" t="s">
        <v>8721</v>
      </c>
      <c r="J492" s="8" t="s">
        <v>2985</v>
      </c>
      <c r="K492" t="s">
        <v>8722</v>
      </c>
      <c r="L492" t="s">
        <v>8723</v>
      </c>
      <c r="M492" s="3" t="str">
        <f>HYPERLINK(склад2въезд131920212223[[#This Row],[RelativePath]])</f>
        <v>10 Сушилка навес\E33149364_3_20260111T151240Z.jpg</v>
      </c>
    </row>
  </sheetData>
  <conditionalFormatting sqref="D493:D503 E493:E506 G2:H492 D2:E492">
    <cfRule type="containsText" dxfId="606" priority="14" operator="containsText" text="Выезд с территории">
      <formula>NOT(ISERROR(SEARCH("Выезд с территории",D2)))</formula>
    </cfRule>
  </conditionalFormatting>
  <conditionalFormatting sqref="F2:F492">
    <cfRule type="notContainsText" dxfId="605" priority="13" operator="notContains" text="порожний">
      <formula>ISERROR(SEARCH("порожний",F2))</formula>
    </cfRule>
  </conditionalFormatting>
  <conditionalFormatting sqref="E2:E506">
    <cfRule type="containsText" dxfId="604" priority="11" operator="containsText" text="Газель базы">
      <formula>NOT(ISERROR(SEARCH("Газель базы",E2)))</formula>
    </cfRule>
    <cfRule type="containsText" dxfId="603" priority="12" operator="containsText" text="Погрузчик базы">
      <formula>NOT(ISERROR(SEARCH("Погрузчик базы",E2)))</formula>
    </cfRule>
  </conditionalFormatting>
  <conditionalFormatting sqref="E2:E506">
    <cfRule type="containsText" dxfId="602" priority="10" operator="containsText" text="Трактор базы">
      <formula>NOT(ISERROR(SEARCH("Трактор базы",E2)))</formula>
    </cfRule>
  </conditionalFormatting>
  <conditionalFormatting sqref="A2:C492">
    <cfRule type="expression" dxfId="601" priority="9">
      <formula>$A2="пн"</formula>
    </cfRule>
  </conditionalFormatting>
  <conditionalFormatting sqref="A2:C494">
    <cfRule type="expression" dxfId="600" priority="3">
      <formula>$A2="вс"</formula>
    </cfRule>
    <cfRule type="expression" dxfId="599" priority="4">
      <formula>$A2="сб"</formula>
    </cfRule>
    <cfRule type="expression" dxfId="598" priority="5">
      <formula>$A2="пт"</formula>
    </cfRule>
    <cfRule type="expression" dxfId="597" priority="6">
      <formula>$A2="чт"</formula>
    </cfRule>
    <cfRule type="expression" dxfId="596" priority="7">
      <formula>$A2="ср"</formula>
    </cfRule>
    <cfRule type="expression" dxfId="595" priority="8">
      <formula>$A2="вт"</formula>
    </cfRule>
  </conditionalFormatting>
  <conditionalFormatting sqref="D2:D503">
    <cfRule type="containsText" dxfId="59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03">
    <cfRule type="containsText" dxfId="59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217"/>
  <sheetViews>
    <sheetView zoomScale="90" zoomScaleNormal="90" workbookViewId="0">
      <pane ySplit="1" topLeftCell="A192" activePane="bottomLeft" state="frozen"/>
      <selection pane="bottomLeft" activeCell="I207" sqref="I207:I21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5703125" bestFit="1" customWidth="1"/>
    <col min="5" max="5" width="41" bestFit="1" customWidth="1"/>
    <col min="6" max="6" width="29.7109375" bestFit="1" customWidth="1"/>
    <col min="7" max="7" width="7.28515625" bestFit="1" customWidth="1"/>
    <col min="8" max="8" width="35" bestFit="1" customWidth="1"/>
    <col min="9" max="9" width="35.42578125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s="8" t="s">
        <v>4</v>
      </c>
      <c r="E2" s="8" t="s">
        <v>8</v>
      </c>
      <c r="F2" s="8"/>
      <c r="H2" s="8" t="s">
        <v>5</v>
      </c>
      <c r="I2" s="8" t="s">
        <v>1627</v>
      </c>
      <c r="J2" s="8" t="s">
        <v>2986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s="8" t="s">
        <v>159</v>
      </c>
      <c r="E3" s="8" t="s">
        <v>86</v>
      </c>
      <c r="F3" s="8" t="s">
        <v>60</v>
      </c>
      <c r="H3" s="8"/>
      <c r="I3" s="8" t="s">
        <v>1631</v>
      </c>
      <c r="J3" s="8" t="s">
        <v>2986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s="8" t="s">
        <v>1819</v>
      </c>
      <c r="E4" s="8" t="s">
        <v>86</v>
      </c>
      <c r="F4" s="8" t="s">
        <v>60</v>
      </c>
      <c r="H4" s="8" t="s">
        <v>1818</v>
      </c>
      <c r="I4" s="8" t="s">
        <v>1634</v>
      </c>
      <c r="J4" s="8" t="s">
        <v>2986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s="8" t="s">
        <v>159</v>
      </c>
      <c r="E5" s="8" t="s">
        <v>86</v>
      </c>
      <c r="F5" s="8" t="s">
        <v>60</v>
      </c>
      <c r="H5" s="8"/>
      <c r="I5" s="8" t="s">
        <v>1637</v>
      </c>
      <c r="J5" s="8" t="s">
        <v>2986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s="8" t="s">
        <v>1819</v>
      </c>
      <c r="E6" s="8" t="s">
        <v>86</v>
      </c>
      <c r="F6" s="8" t="s">
        <v>60</v>
      </c>
      <c r="H6" s="8"/>
      <c r="I6" s="8" t="s">
        <v>1640</v>
      </c>
      <c r="J6" s="8" t="s">
        <v>2986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s="8" t="s">
        <v>1819</v>
      </c>
      <c r="E7" s="8" t="s">
        <v>86</v>
      </c>
      <c r="F7" s="8" t="s">
        <v>60</v>
      </c>
      <c r="H7" s="8" t="s">
        <v>1818</v>
      </c>
      <c r="I7" s="8" t="s">
        <v>1643</v>
      </c>
      <c r="J7" s="8" t="s">
        <v>2986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s="8" t="s">
        <v>1819</v>
      </c>
      <c r="E8" s="8" t="s">
        <v>86</v>
      </c>
      <c r="F8" s="8" t="s">
        <v>60</v>
      </c>
      <c r="H8" s="8"/>
      <c r="I8" s="8" t="s">
        <v>1646</v>
      </c>
      <c r="J8" s="8" t="s">
        <v>2986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s="8" t="s">
        <v>1819</v>
      </c>
      <c r="E9" s="8" t="s">
        <v>86</v>
      </c>
      <c r="F9" s="8" t="s">
        <v>60</v>
      </c>
      <c r="H9" s="8" t="s">
        <v>1818</v>
      </c>
      <c r="I9" s="8" t="s">
        <v>1649</v>
      </c>
      <c r="J9" s="8" t="s">
        <v>2986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s="8" t="s">
        <v>159</v>
      </c>
      <c r="E10" s="8" t="s">
        <v>86</v>
      </c>
      <c r="F10" s="8" t="s">
        <v>60</v>
      </c>
      <c r="H10" s="8"/>
      <c r="I10" s="8" t="s">
        <v>1652</v>
      </c>
      <c r="J10" s="8" t="s">
        <v>2986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s="8" t="s">
        <v>1819</v>
      </c>
      <c r="E11" s="8" t="s">
        <v>86</v>
      </c>
      <c r="F11" s="8" t="s">
        <v>60</v>
      </c>
      <c r="H11" s="8"/>
      <c r="I11" s="8" t="s">
        <v>1655</v>
      </c>
      <c r="J11" s="8" t="s">
        <v>2986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s="8" t="s">
        <v>1819</v>
      </c>
      <c r="E12" s="8" t="s">
        <v>86</v>
      </c>
      <c r="F12" s="8" t="s">
        <v>60</v>
      </c>
      <c r="H12" s="8" t="s">
        <v>1818</v>
      </c>
      <c r="I12" s="8" t="s">
        <v>1658</v>
      </c>
      <c r="J12" s="8" t="s">
        <v>2986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s="8" t="s">
        <v>159</v>
      </c>
      <c r="E13" s="8" t="s">
        <v>86</v>
      </c>
      <c r="F13" s="8" t="s">
        <v>60</v>
      </c>
      <c r="H13" s="8"/>
      <c r="I13" s="8" t="s">
        <v>1661</v>
      </c>
      <c r="J13" s="8" t="s">
        <v>2986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s="8" t="s">
        <v>1819</v>
      </c>
      <c r="E14" s="8" t="s">
        <v>86</v>
      </c>
      <c r="F14" s="8" t="s">
        <v>60</v>
      </c>
      <c r="H14" s="8" t="s">
        <v>1818</v>
      </c>
      <c r="I14" s="8" t="s">
        <v>1664</v>
      </c>
      <c r="J14" s="8" t="s">
        <v>2986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s="8" t="s">
        <v>159</v>
      </c>
      <c r="E15" s="8" t="s">
        <v>86</v>
      </c>
      <c r="F15" s="8" t="s">
        <v>60</v>
      </c>
      <c r="H15" s="8"/>
      <c r="I15" s="8" t="s">
        <v>1667</v>
      </c>
      <c r="J15" s="8" t="s">
        <v>2986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s="8" t="s">
        <v>1819</v>
      </c>
      <c r="E16" s="8" t="s">
        <v>86</v>
      </c>
      <c r="F16" s="8" t="s">
        <v>60</v>
      </c>
      <c r="H16" s="8" t="s">
        <v>1818</v>
      </c>
      <c r="I16" s="8" t="s">
        <v>1670</v>
      </c>
      <c r="J16" s="8" t="s">
        <v>2986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s="8" t="s">
        <v>159</v>
      </c>
      <c r="E17" s="8" t="s">
        <v>86</v>
      </c>
      <c r="F17" s="8" t="s">
        <v>53</v>
      </c>
      <c r="H17" s="8" t="s">
        <v>1818</v>
      </c>
      <c r="I17" s="8" t="s">
        <v>1673</v>
      </c>
      <c r="J17" s="8" t="s">
        <v>2986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s="8" t="s">
        <v>1606</v>
      </c>
      <c r="E18" s="8" t="s">
        <v>55</v>
      </c>
      <c r="F18" s="8" t="s">
        <v>58</v>
      </c>
      <c r="H18" s="8"/>
      <c r="I18" s="8" t="s">
        <v>1676</v>
      </c>
      <c r="J18" s="8" t="s">
        <v>2986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s="8" t="s">
        <v>290</v>
      </c>
      <c r="E19" s="8" t="s">
        <v>55</v>
      </c>
      <c r="F19" s="8" t="s">
        <v>58</v>
      </c>
      <c r="H19" s="8"/>
      <c r="I19" s="8" t="s">
        <v>1679</v>
      </c>
      <c r="J19" s="8" t="s">
        <v>2986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s="8" t="s">
        <v>1820</v>
      </c>
      <c r="E20" s="8" t="s">
        <v>55</v>
      </c>
      <c r="F20" s="8" t="s">
        <v>58</v>
      </c>
      <c r="H20" s="8"/>
      <c r="I20" s="8" t="s">
        <v>1682</v>
      </c>
      <c r="J20" s="8" t="s">
        <v>2986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s="8" t="s">
        <v>1820</v>
      </c>
      <c r="E21" s="8" t="s">
        <v>55</v>
      </c>
      <c r="F21" s="8" t="s">
        <v>58</v>
      </c>
      <c r="H21" s="8"/>
      <c r="I21" s="8" t="s">
        <v>1685</v>
      </c>
      <c r="J21" s="8" t="s">
        <v>2986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s="8" t="s">
        <v>1820</v>
      </c>
      <c r="E22" s="8" t="s">
        <v>55</v>
      </c>
      <c r="F22" s="8" t="s">
        <v>58</v>
      </c>
      <c r="H22" s="8"/>
      <c r="I22" s="8" t="s">
        <v>1688</v>
      </c>
      <c r="J22" s="8" t="s">
        <v>2986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s="8" t="s">
        <v>1820</v>
      </c>
      <c r="E23" s="8" t="s">
        <v>55</v>
      </c>
      <c r="F23" s="8" t="s">
        <v>58</v>
      </c>
      <c r="H23" s="8"/>
      <c r="I23" s="8" t="s">
        <v>1691</v>
      </c>
      <c r="J23" s="8" t="s">
        <v>2986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s="8" t="s">
        <v>1821</v>
      </c>
      <c r="E24" s="8" t="s">
        <v>55</v>
      </c>
      <c r="F24" s="8"/>
      <c r="H24" s="8"/>
      <c r="I24" s="8" t="s">
        <v>1694</v>
      </c>
      <c r="J24" s="8" t="s">
        <v>2986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s="8" t="s">
        <v>290</v>
      </c>
      <c r="E25" s="8" t="s">
        <v>55</v>
      </c>
      <c r="F25" s="8" t="s">
        <v>58</v>
      </c>
      <c r="H25" s="8"/>
      <c r="I25" s="8" t="s">
        <v>1697</v>
      </c>
      <c r="J25" s="8" t="s">
        <v>2986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s="8" t="s">
        <v>1820</v>
      </c>
      <c r="E26" s="8" t="s">
        <v>55</v>
      </c>
      <c r="F26" s="8" t="s">
        <v>58</v>
      </c>
      <c r="H26" s="8"/>
      <c r="I26" s="8" t="s">
        <v>1700</v>
      </c>
      <c r="J26" s="8" t="s">
        <v>2986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s="8" t="s">
        <v>1820</v>
      </c>
      <c r="E27" s="8" t="s">
        <v>55</v>
      </c>
      <c r="F27" s="8" t="s">
        <v>58</v>
      </c>
      <c r="H27" s="8"/>
      <c r="I27" s="8" t="s">
        <v>1703</v>
      </c>
      <c r="J27" s="8" t="s">
        <v>2986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s="8" t="s">
        <v>4</v>
      </c>
      <c r="E28" s="8" t="s">
        <v>8</v>
      </c>
      <c r="F28" s="8"/>
      <c r="H28" s="8" t="s">
        <v>1625</v>
      </c>
      <c r="I28" s="8" t="s">
        <v>1706</v>
      </c>
      <c r="J28" s="8" t="s">
        <v>2986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s="8" t="s">
        <v>4</v>
      </c>
      <c r="E29" s="8" t="s">
        <v>8</v>
      </c>
      <c r="F29" s="8"/>
      <c r="H29" s="8" t="s">
        <v>5</v>
      </c>
      <c r="I29" s="8" t="s">
        <v>1709</v>
      </c>
      <c r="J29" s="8" t="s">
        <v>2986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s="8" t="s">
        <v>159</v>
      </c>
      <c r="E30" s="8" t="s">
        <v>86</v>
      </c>
      <c r="F30" s="8" t="s">
        <v>1097</v>
      </c>
      <c r="H30" s="8"/>
      <c r="I30" s="8" t="s">
        <v>1712</v>
      </c>
      <c r="J30" s="8" t="s">
        <v>2986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s="8" t="s">
        <v>1819</v>
      </c>
      <c r="E31" s="8" t="s">
        <v>86</v>
      </c>
      <c r="F31" s="8" t="s">
        <v>1097</v>
      </c>
      <c r="H31" s="8" t="s">
        <v>1818</v>
      </c>
      <c r="I31" s="8" t="s">
        <v>1715</v>
      </c>
      <c r="J31" s="8" t="s">
        <v>2986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s="8" t="s">
        <v>4</v>
      </c>
      <c r="E32" s="8" t="s">
        <v>8</v>
      </c>
      <c r="F32" s="8"/>
      <c r="H32" s="8"/>
      <c r="I32" s="8" t="s">
        <v>1718</v>
      </c>
      <c r="J32" s="8" t="s">
        <v>2986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s="8" t="s">
        <v>1615</v>
      </c>
      <c r="E33" s="8" t="s">
        <v>86</v>
      </c>
      <c r="F33" s="8" t="s">
        <v>60</v>
      </c>
      <c r="H33" s="8"/>
      <c r="I33" s="8" t="s">
        <v>1721</v>
      </c>
      <c r="J33" s="8" t="s">
        <v>2986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s="8" t="s">
        <v>1615</v>
      </c>
      <c r="E34" s="8" t="s">
        <v>86</v>
      </c>
      <c r="F34" s="8" t="s">
        <v>60</v>
      </c>
      <c r="H34" s="8"/>
      <c r="I34" s="8" t="s">
        <v>1724</v>
      </c>
      <c r="J34" s="8" t="s">
        <v>2986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s="8" t="s">
        <v>1615</v>
      </c>
      <c r="E35" s="8" t="s">
        <v>86</v>
      </c>
      <c r="F35" s="8" t="s">
        <v>60</v>
      </c>
      <c r="H35" s="8"/>
      <c r="I35" s="8" t="s">
        <v>1727</v>
      </c>
      <c r="J35" s="8" t="s">
        <v>2986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s="8" t="s">
        <v>1615</v>
      </c>
      <c r="E36" s="8" t="s">
        <v>86</v>
      </c>
      <c r="F36" s="8" t="s">
        <v>60</v>
      </c>
      <c r="H36" s="8"/>
      <c r="I36" s="8" t="s">
        <v>1730</v>
      </c>
      <c r="J36" s="8" t="s">
        <v>2986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s="8" t="s">
        <v>1615</v>
      </c>
      <c r="E37" s="8" t="s">
        <v>86</v>
      </c>
      <c r="F37" s="8" t="s">
        <v>60</v>
      </c>
      <c r="H37" s="8"/>
      <c r="I37" s="8" t="s">
        <v>1733</v>
      </c>
      <c r="J37" s="8" t="s">
        <v>2986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s="8" t="s">
        <v>4</v>
      </c>
      <c r="E38" s="8" t="s">
        <v>8</v>
      </c>
      <c r="F38" s="8"/>
      <c r="H38" s="8"/>
      <c r="I38" s="8" t="s">
        <v>1736</v>
      </c>
      <c r="J38" s="8" t="s">
        <v>2986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s="8" t="s">
        <v>4</v>
      </c>
      <c r="E39" s="8" t="s">
        <v>8</v>
      </c>
      <c r="F39" s="8"/>
      <c r="H39" s="8" t="s">
        <v>1625</v>
      </c>
      <c r="I39" s="8" t="s">
        <v>1739</v>
      </c>
      <c r="J39" s="8" t="s">
        <v>2986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s="8" t="s">
        <v>4</v>
      </c>
      <c r="E40" s="8" t="s">
        <v>8</v>
      </c>
      <c r="F40" s="8"/>
      <c r="H40" s="8" t="s">
        <v>5</v>
      </c>
      <c r="I40" s="8" t="s">
        <v>1742</v>
      </c>
      <c r="J40" s="8" t="s">
        <v>2986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s="8" t="s">
        <v>289</v>
      </c>
      <c r="E41" s="8" t="s">
        <v>86</v>
      </c>
      <c r="F41" s="8" t="s">
        <v>60</v>
      </c>
      <c r="H41" s="8" t="s">
        <v>1822</v>
      </c>
      <c r="I41" s="8" t="s">
        <v>1745</v>
      </c>
      <c r="J41" s="8" t="s">
        <v>2986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s="8" t="s">
        <v>1606</v>
      </c>
      <c r="E42" s="8" t="s">
        <v>66</v>
      </c>
      <c r="F42" s="8" t="s">
        <v>69</v>
      </c>
      <c r="H42" s="8"/>
      <c r="I42" s="8" t="s">
        <v>1748</v>
      </c>
      <c r="J42" s="8" t="s">
        <v>2986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s="8" t="s">
        <v>290</v>
      </c>
      <c r="E43" s="8" t="s">
        <v>66</v>
      </c>
      <c r="F43" s="8" t="s">
        <v>69</v>
      </c>
      <c r="H43" s="8"/>
      <c r="I43" s="8" t="s">
        <v>1751</v>
      </c>
      <c r="J43" s="8" t="s">
        <v>2986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s="8" t="s">
        <v>650</v>
      </c>
      <c r="E44" s="8" t="s">
        <v>66</v>
      </c>
      <c r="F44" s="8" t="s">
        <v>51</v>
      </c>
      <c r="H44" s="8"/>
      <c r="I44" s="8" t="s">
        <v>1754</v>
      </c>
      <c r="J44" s="8" t="s">
        <v>2986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s="8" t="s">
        <v>4</v>
      </c>
      <c r="E45" s="8" t="s">
        <v>8</v>
      </c>
      <c r="F45" s="8"/>
      <c r="H45" s="8" t="s">
        <v>1625</v>
      </c>
      <c r="I45" s="8" t="s">
        <v>1757</v>
      </c>
      <c r="J45" s="8" t="s">
        <v>2986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s="8" t="s">
        <v>4</v>
      </c>
      <c r="E46" s="8" t="s">
        <v>8</v>
      </c>
      <c r="F46" s="8"/>
      <c r="H46" s="8" t="s">
        <v>5</v>
      </c>
      <c r="I46" s="8" t="s">
        <v>1760</v>
      </c>
      <c r="J46" s="8" t="s">
        <v>2986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s="8" t="s">
        <v>4</v>
      </c>
      <c r="E47" s="8" t="s">
        <v>70</v>
      </c>
      <c r="F47" s="8"/>
      <c r="H47" s="8" t="s">
        <v>1823</v>
      </c>
      <c r="I47" s="8" t="s">
        <v>1763</v>
      </c>
      <c r="J47" s="8" t="s">
        <v>2986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s="8" t="s">
        <v>4</v>
      </c>
      <c r="E48" s="8" t="s">
        <v>86</v>
      </c>
      <c r="F48" s="8"/>
      <c r="H48" s="8" t="s">
        <v>1824</v>
      </c>
      <c r="I48" s="8" t="s">
        <v>1766</v>
      </c>
      <c r="J48" s="8" t="s">
        <v>2986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s="8" t="s">
        <v>159</v>
      </c>
      <c r="E49" s="8" t="s">
        <v>86</v>
      </c>
      <c r="F49" s="8" t="s">
        <v>528</v>
      </c>
      <c r="H49" s="8"/>
      <c r="I49" s="8" t="s">
        <v>1769</v>
      </c>
      <c r="J49" s="8" t="s">
        <v>2986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s="8" t="s">
        <v>4</v>
      </c>
      <c r="E50" s="8" t="s">
        <v>8</v>
      </c>
      <c r="F50" s="8"/>
      <c r="H50" s="8" t="s">
        <v>1625</v>
      </c>
      <c r="I50" s="8" t="s">
        <v>1772</v>
      </c>
      <c r="J50" s="8" t="s">
        <v>2986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s="8" t="s">
        <v>4</v>
      </c>
      <c r="E51" s="8" t="s">
        <v>8</v>
      </c>
      <c r="F51" s="8"/>
      <c r="H51" s="8" t="s">
        <v>5</v>
      </c>
      <c r="I51" s="8" t="s">
        <v>1775</v>
      </c>
      <c r="J51" s="8" t="s">
        <v>2986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s="8" t="s">
        <v>159</v>
      </c>
      <c r="E52" s="8" t="s">
        <v>86</v>
      </c>
      <c r="F52" s="8" t="s">
        <v>200</v>
      </c>
      <c r="H52" s="8"/>
      <c r="I52" s="8" t="s">
        <v>1778</v>
      </c>
      <c r="J52" s="8" t="s">
        <v>2986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s="8" t="s">
        <v>1819</v>
      </c>
      <c r="E53" s="8" t="s">
        <v>86</v>
      </c>
      <c r="F53" s="8"/>
      <c r="H53" s="8" t="s">
        <v>1818</v>
      </c>
      <c r="I53" s="8" t="s">
        <v>1781</v>
      </c>
      <c r="J53" s="8" t="s">
        <v>2986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s="8" t="s">
        <v>159</v>
      </c>
      <c r="E54" s="8" t="s">
        <v>86</v>
      </c>
      <c r="F54" s="8" t="s">
        <v>200</v>
      </c>
      <c r="H54" s="8" t="s">
        <v>1818</v>
      </c>
      <c r="I54" s="8" t="s">
        <v>1784</v>
      </c>
      <c r="J54" s="8" t="s">
        <v>2986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s="8" t="s">
        <v>4</v>
      </c>
      <c r="E55" s="8" t="s">
        <v>8</v>
      </c>
      <c r="F55" s="8"/>
      <c r="H55" s="8"/>
      <c r="I55" s="8" t="s">
        <v>1787</v>
      </c>
      <c r="J55" s="8" t="s">
        <v>2986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s="8" t="s">
        <v>159</v>
      </c>
      <c r="E56" s="8" t="s">
        <v>86</v>
      </c>
      <c r="F56" s="8" t="s">
        <v>200</v>
      </c>
      <c r="H56" s="8" t="s">
        <v>1825</v>
      </c>
      <c r="I56" s="8" t="s">
        <v>1790</v>
      </c>
      <c r="J56" s="8" t="s">
        <v>2986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s="8" t="s">
        <v>159</v>
      </c>
      <c r="E57" s="8" t="s">
        <v>86</v>
      </c>
      <c r="F57" s="8" t="s">
        <v>200</v>
      </c>
      <c r="H57" s="8" t="s">
        <v>1825</v>
      </c>
      <c r="I57" s="8" t="s">
        <v>1793</v>
      </c>
      <c r="J57" s="8" t="s">
        <v>2986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s="8" t="s">
        <v>4</v>
      </c>
      <c r="E58" s="8" t="s">
        <v>8</v>
      </c>
      <c r="F58" s="8"/>
      <c r="H58" s="8" t="s">
        <v>1625</v>
      </c>
      <c r="I58" s="8" t="s">
        <v>1796</v>
      </c>
      <c r="J58" s="8" t="s">
        <v>2986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s="8" t="s">
        <v>4</v>
      </c>
      <c r="E59" s="8" t="s">
        <v>8</v>
      </c>
      <c r="F59" s="8"/>
      <c r="H59" s="8" t="s">
        <v>5</v>
      </c>
      <c r="I59" s="8" t="s">
        <v>1799</v>
      </c>
      <c r="J59" s="8" t="s">
        <v>2986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s="8" t="s">
        <v>4</v>
      </c>
      <c r="E60" s="8" t="s">
        <v>8</v>
      </c>
      <c r="F60" s="8"/>
      <c r="H60" s="8"/>
      <c r="I60" s="8" t="s">
        <v>1802</v>
      </c>
      <c r="J60" s="8" t="s">
        <v>2986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s="8" t="s">
        <v>4</v>
      </c>
      <c r="E61" s="8" t="s">
        <v>8</v>
      </c>
      <c r="F61" s="8"/>
      <c r="H61" s="8" t="s">
        <v>1625</v>
      </c>
      <c r="I61" s="8" t="s">
        <v>1805</v>
      </c>
      <c r="J61" s="8" t="s">
        <v>2986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s="8" t="s">
        <v>4</v>
      </c>
      <c r="E62" s="8" t="s">
        <v>8</v>
      </c>
      <c r="F62" s="8"/>
      <c r="H62" s="8" t="s">
        <v>5</v>
      </c>
      <c r="I62" s="8" t="s">
        <v>1808</v>
      </c>
      <c r="J62" s="8" t="s">
        <v>2986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s="8" t="s">
        <v>4</v>
      </c>
      <c r="E63" s="8" t="s">
        <v>8</v>
      </c>
      <c r="F63" s="8"/>
      <c r="H63" s="8"/>
      <c r="I63" s="8" t="s">
        <v>1811</v>
      </c>
      <c r="J63" s="8" t="s">
        <v>2986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s="8" t="s">
        <v>4</v>
      </c>
      <c r="E64" s="8" t="s">
        <v>8</v>
      </c>
      <c r="F64" s="8"/>
      <c r="H64" s="8" t="s">
        <v>1625</v>
      </c>
      <c r="I64" s="8" t="s">
        <v>1814</v>
      </c>
      <c r="J64" s="8" t="s">
        <v>2986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s="8" t="s">
        <v>533</v>
      </c>
      <c r="E65" s="8" t="s">
        <v>1607</v>
      </c>
      <c r="F65" s="8" t="s">
        <v>2962</v>
      </c>
      <c r="H65" s="8" t="s">
        <v>2958</v>
      </c>
      <c r="I65" s="8" t="s">
        <v>2526</v>
      </c>
      <c r="J65" s="8" t="s">
        <v>2986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s="8" t="s">
        <v>533</v>
      </c>
      <c r="E66" s="8" t="s">
        <v>531</v>
      </c>
      <c r="F66" s="8" t="s">
        <v>58</v>
      </c>
      <c r="H66" s="8" t="s">
        <v>2968</v>
      </c>
      <c r="I66" s="8" t="s">
        <v>2529</v>
      </c>
      <c r="J66" s="8" t="s">
        <v>2986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s="8" t="s">
        <v>2980</v>
      </c>
      <c r="E67" s="8" t="s">
        <v>2920</v>
      </c>
      <c r="F67" s="8" t="s">
        <v>58</v>
      </c>
      <c r="H67" s="8" t="s">
        <v>2957</v>
      </c>
      <c r="I67" s="8" t="s">
        <v>2532</v>
      </c>
      <c r="J67" s="8" t="s">
        <v>2986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s="8" t="s">
        <v>1999</v>
      </c>
      <c r="E68" s="8" t="s">
        <v>2920</v>
      </c>
      <c r="F68" s="8" t="s">
        <v>58</v>
      </c>
      <c r="H68" s="8" t="s">
        <v>2957</v>
      </c>
      <c r="I68" s="8" t="s">
        <v>2535</v>
      </c>
      <c r="J68" s="8" t="s">
        <v>2986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s="8" t="s">
        <v>1999</v>
      </c>
      <c r="E69" s="8" t="s">
        <v>2920</v>
      </c>
      <c r="F69" s="8" t="s">
        <v>58</v>
      </c>
      <c r="H69" s="8" t="s">
        <v>2957</v>
      </c>
      <c r="I69" s="8" t="s">
        <v>2538</v>
      </c>
      <c r="J69" s="8" t="s">
        <v>2986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s="8" t="s">
        <v>1999</v>
      </c>
      <c r="E70" s="8" t="s">
        <v>2920</v>
      </c>
      <c r="F70" s="8" t="s">
        <v>58</v>
      </c>
      <c r="H70" s="8" t="s">
        <v>2957</v>
      </c>
      <c r="I70" s="8" t="s">
        <v>2541</v>
      </c>
      <c r="J70" s="8" t="s">
        <v>2986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s="8" t="s">
        <v>1999</v>
      </c>
      <c r="E71" s="8" t="s">
        <v>2920</v>
      </c>
      <c r="F71" s="8" t="s">
        <v>58</v>
      </c>
      <c r="H71" s="8" t="s">
        <v>2957</v>
      </c>
      <c r="I71" s="8" t="s">
        <v>2544</v>
      </c>
      <c r="J71" s="8" t="s">
        <v>2986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s="8" t="s">
        <v>1999</v>
      </c>
      <c r="E72" s="8" t="s">
        <v>2920</v>
      </c>
      <c r="F72" s="8" t="s">
        <v>58</v>
      </c>
      <c r="H72" s="8" t="s">
        <v>2957</v>
      </c>
      <c r="I72" s="8" t="s">
        <v>2547</v>
      </c>
      <c r="J72" s="8" t="s">
        <v>2986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s="8" t="s">
        <v>1999</v>
      </c>
      <c r="E73" s="8" t="s">
        <v>2920</v>
      </c>
      <c r="F73" s="8" t="s">
        <v>58</v>
      </c>
      <c r="H73" s="8" t="s">
        <v>2957</v>
      </c>
      <c r="I73" s="8" t="s">
        <v>2550</v>
      </c>
      <c r="J73" s="8" t="s">
        <v>2986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s="8" t="s">
        <v>4</v>
      </c>
      <c r="E74" s="8" t="s">
        <v>8</v>
      </c>
      <c r="F74" s="8"/>
      <c r="H74" s="8"/>
      <c r="I74" s="8" t="s">
        <v>2553</v>
      </c>
      <c r="J74" s="8" t="s">
        <v>2986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s="8" t="s">
        <v>533</v>
      </c>
      <c r="E75" s="8" t="s">
        <v>531</v>
      </c>
      <c r="F75" s="8" t="s">
        <v>58</v>
      </c>
      <c r="H75" s="8" t="s">
        <v>2958</v>
      </c>
      <c r="I75" s="8" t="s">
        <v>2556</v>
      </c>
      <c r="J75" s="8" t="s">
        <v>2986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s="8" t="s">
        <v>533</v>
      </c>
      <c r="E76" s="8" t="s">
        <v>1607</v>
      </c>
      <c r="F76" s="8" t="s">
        <v>58</v>
      </c>
      <c r="H76" s="8" t="s">
        <v>2958</v>
      </c>
      <c r="I76" s="8" t="s">
        <v>2559</v>
      </c>
      <c r="J76" s="8" t="s">
        <v>2986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s="8" t="s">
        <v>533</v>
      </c>
      <c r="E77" s="8" t="s">
        <v>1607</v>
      </c>
      <c r="F77" s="8" t="s">
        <v>58</v>
      </c>
      <c r="H77" s="8" t="s">
        <v>2958</v>
      </c>
      <c r="I77" s="8" t="s">
        <v>2562</v>
      </c>
      <c r="J77" s="8" t="s">
        <v>2986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s="8" t="s">
        <v>4</v>
      </c>
      <c r="E78" s="8" t="s">
        <v>8</v>
      </c>
      <c r="F78" s="8"/>
      <c r="H78" s="8"/>
      <c r="I78" s="8" t="s">
        <v>2565</v>
      </c>
      <c r="J78" s="8" t="s">
        <v>2986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s="8" t="s">
        <v>533</v>
      </c>
      <c r="E79" s="8" t="s">
        <v>1607</v>
      </c>
      <c r="F79" s="8" t="s">
        <v>58</v>
      </c>
      <c r="H79" s="8" t="s">
        <v>2958</v>
      </c>
      <c r="I79" s="8" t="s">
        <v>2568</v>
      </c>
      <c r="J79" s="8" t="s">
        <v>2986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s="8" t="s">
        <v>4</v>
      </c>
      <c r="E80" s="8" t="s">
        <v>8</v>
      </c>
      <c r="F80" s="8"/>
      <c r="H80" s="8"/>
      <c r="I80" s="8" t="s">
        <v>2571</v>
      </c>
      <c r="J80" s="8" t="s">
        <v>2986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s="8" t="s">
        <v>2004</v>
      </c>
      <c r="E81" s="8"/>
      <c r="F81" s="8"/>
      <c r="H81" s="8"/>
      <c r="I81" s="8" t="s">
        <v>2574</v>
      </c>
      <c r="J81" s="8" t="s">
        <v>2986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s="8" t="s">
        <v>4</v>
      </c>
      <c r="E82" s="8" t="s">
        <v>8</v>
      </c>
      <c r="F82" s="8"/>
      <c r="H82" s="8"/>
      <c r="I82" s="8" t="s">
        <v>2969</v>
      </c>
      <c r="J82" s="8" t="s">
        <v>2986</v>
      </c>
      <c r="K82" t="s">
        <v>2970</v>
      </c>
      <c r="L82" t="s">
        <v>2971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s="8" t="s">
        <v>4</v>
      </c>
      <c r="E83" s="8" t="s">
        <v>8</v>
      </c>
      <c r="F83" s="8"/>
      <c r="H83" s="8" t="s">
        <v>2975</v>
      </c>
      <c r="I83" s="8" t="s">
        <v>2972</v>
      </c>
      <c r="J83" s="8" t="s">
        <v>2986</v>
      </c>
      <c r="K83" t="s">
        <v>2973</v>
      </c>
      <c r="L83" t="s">
        <v>2974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s="8" t="s">
        <v>4</v>
      </c>
      <c r="E84" s="8" t="s">
        <v>8</v>
      </c>
      <c r="F84" s="8"/>
      <c r="H84" s="8" t="s">
        <v>2975</v>
      </c>
      <c r="I84" s="8" t="s">
        <v>2577</v>
      </c>
      <c r="J84" s="8" t="s">
        <v>2986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s="8" t="s">
        <v>4</v>
      </c>
      <c r="E85" s="8" t="s">
        <v>8</v>
      </c>
      <c r="F85" s="8"/>
      <c r="H85" s="8"/>
      <c r="I85" s="8" t="s">
        <v>2580</v>
      </c>
      <c r="J85" s="8" t="s">
        <v>2986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s="8" t="s">
        <v>2004</v>
      </c>
      <c r="E86" s="8"/>
      <c r="F86" s="8"/>
      <c r="H86" s="8"/>
      <c r="I86" s="8" t="s">
        <v>2583</v>
      </c>
      <c r="J86" s="8" t="s">
        <v>2986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s="8" t="s">
        <v>2004</v>
      </c>
      <c r="E87" s="8"/>
      <c r="F87" s="8"/>
      <c r="H87" s="8"/>
      <c r="I87" s="8" t="s">
        <v>2586</v>
      </c>
      <c r="J87" s="8" t="s">
        <v>2986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s="8" t="s">
        <v>4</v>
      </c>
      <c r="E88" s="8" t="s">
        <v>8</v>
      </c>
      <c r="F88" s="8"/>
      <c r="H88" s="8"/>
      <c r="I88" s="8" t="s">
        <v>4070</v>
      </c>
      <c r="J88" s="8" t="s">
        <v>2986</v>
      </c>
      <c r="K88" t="s">
        <v>4071</v>
      </c>
      <c r="L88" t="s">
        <v>4072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s="8" t="s">
        <v>533</v>
      </c>
      <c r="E89" s="8" t="s">
        <v>531</v>
      </c>
      <c r="F89" s="8" t="s">
        <v>4242</v>
      </c>
      <c r="G89">
        <v>2</v>
      </c>
      <c r="H89" s="8" t="s">
        <v>4243</v>
      </c>
      <c r="I89" s="8" t="s">
        <v>4073</v>
      </c>
      <c r="J89" s="8" t="s">
        <v>2986</v>
      </c>
      <c r="K89" t="s">
        <v>4074</v>
      </c>
      <c r="L89" t="s">
        <v>4075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s="8" t="s">
        <v>533</v>
      </c>
      <c r="E90" s="8" t="s">
        <v>531</v>
      </c>
      <c r="F90" s="8" t="s">
        <v>4242</v>
      </c>
      <c r="G90">
        <v>2</v>
      </c>
      <c r="H90" s="8" t="s">
        <v>4243</v>
      </c>
      <c r="I90" s="8" t="s">
        <v>4076</v>
      </c>
      <c r="J90" s="8" t="s">
        <v>2986</v>
      </c>
      <c r="K90" t="s">
        <v>4077</v>
      </c>
      <c r="L90" t="s">
        <v>4078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s="8" t="s">
        <v>4216</v>
      </c>
      <c r="E91" s="8" t="s">
        <v>531</v>
      </c>
      <c r="F91" s="8" t="s">
        <v>58</v>
      </c>
      <c r="H91" s="8" t="s">
        <v>4244</v>
      </c>
      <c r="I91" s="8" t="s">
        <v>4079</v>
      </c>
      <c r="J91" s="8" t="s">
        <v>2986</v>
      </c>
      <c r="K91" t="s">
        <v>4080</v>
      </c>
      <c r="L91" t="s">
        <v>4081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s="8" t="s">
        <v>4216</v>
      </c>
      <c r="E92" s="8" t="s">
        <v>531</v>
      </c>
      <c r="F92" s="8" t="s">
        <v>58</v>
      </c>
      <c r="H92" s="8" t="s">
        <v>2936</v>
      </c>
      <c r="I92" s="8" t="s">
        <v>4082</v>
      </c>
      <c r="J92" s="8" t="s">
        <v>2986</v>
      </c>
      <c r="K92" t="s">
        <v>4083</v>
      </c>
      <c r="L92" t="s">
        <v>4084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s="8" t="s">
        <v>4216</v>
      </c>
      <c r="E93" s="8" t="s">
        <v>531</v>
      </c>
      <c r="F93" s="8" t="s">
        <v>58</v>
      </c>
      <c r="H93" s="8" t="s">
        <v>2936</v>
      </c>
      <c r="I93" s="8" t="s">
        <v>4085</v>
      </c>
      <c r="J93" s="8" t="s">
        <v>2986</v>
      </c>
      <c r="K93" t="s">
        <v>4086</v>
      </c>
      <c r="L93" t="s">
        <v>4087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s="8" t="s">
        <v>4216</v>
      </c>
      <c r="E94" s="8" t="s">
        <v>531</v>
      </c>
      <c r="F94" s="8" t="s">
        <v>58</v>
      </c>
      <c r="H94" s="8" t="s">
        <v>2936</v>
      </c>
      <c r="I94" s="8" t="s">
        <v>4088</v>
      </c>
      <c r="J94" s="8" t="s">
        <v>2986</v>
      </c>
      <c r="K94" t="s">
        <v>4089</v>
      </c>
      <c r="L94" t="s">
        <v>4090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s="8" t="s">
        <v>4216</v>
      </c>
      <c r="E95" s="8" t="s">
        <v>531</v>
      </c>
      <c r="F95" s="8" t="s">
        <v>58</v>
      </c>
      <c r="H95" s="8" t="s">
        <v>2936</v>
      </c>
      <c r="I95" s="8" t="s">
        <v>4091</v>
      </c>
      <c r="J95" s="8" t="s">
        <v>2986</v>
      </c>
      <c r="K95" t="s">
        <v>4092</v>
      </c>
      <c r="L95" t="s">
        <v>4093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s="8" t="s">
        <v>289</v>
      </c>
      <c r="E96" s="8" t="s">
        <v>4192</v>
      </c>
      <c r="F96" s="8" t="s">
        <v>58</v>
      </c>
      <c r="H96" s="8"/>
      <c r="I96" s="8" t="s">
        <v>4094</v>
      </c>
      <c r="J96" s="8" t="s">
        <v>2986</v>
      </c>
      <c r="K96" t="s">
        <v>4095</v>
      </c>
      <c r="L96" t="s">
        <v>4096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s="8" t="s">
        <v>289</v>
      </c>
      <c r="E97" s="8" t="s">
        <v>4192</v>
      </c>
      <c r="F97" s="8" t="s">
        <v>58</v>
      </c>
      <c r="H97" s="8" t="s">
        <v>2936</v>
      </c>
      <c r="I97" s="8" t="s">
        <v>4097</v>
      </c>
      <c r="J97" s="8" t="s">
        <v>2986</v>
      </c>
      <c r="K97" t="s">
        <v>4098</v>
      </c>
      <c r="L97" t="s">
        <v>4099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s="8" t="s">
        <v>289</v>
      </c>
      <c r="E98" s="8" t="s">
        <v>4192</v>
      </c>
      <c r="F98" s="8" t="s">
        <v>58</v>
      </c>
      <c r="H98" s="8" t="s">
        <v>2936</v>
      </c>
      <c r="I98" s="8" t="s">
        <v>4100</v>
      </c>
      <c r="J98" s="8" t="s">
        <v>2986</v>
      </c>
      <c r="K98" t="s">
        <v>4101</v>
      </c>
      <c r="L98" t="s">
        <v>4102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s="8" t="s">
        <v>289</v>
      </c>
      <c r="E99" s="8" t="s">
        <v>4192</v>
      </c>
      <c r="F99" s="8" t="s">
        <v>58</v>
      </c>
      <c r="H99" s="8" t="s">
        <v>2936</v>
      </c>
      <c r="I99" s="8" t="s">
        <v>4103</v>
      </c>
      <c r="J99" s="8" t="s">
        <v>2986</v>
      </c>
      <c r="K99" t="s">
        <v>4104</v>
      </c>
      <c r="L99" t="s">
        <v>4105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s="8" t="s">
        <v>4</v>
      </c>
      <c r="E100" s="8" t="s">
        <v>8</v>
      </c>
      <c r="F100" s="8"/>
      <c r="H100" s="8"/>
      <c r="I100" s="8" t="s">
        <v>4106</v>
      </c>
      <c r="J100" s="8" t="s">
        <v>2986</v>
      </c>
      <c r="K100" t="s">
        <v>4107</v>
      </c>
      <c r="L100" t="s">
        <v>4108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s="8" t="s">
        <v>1094</v>
      </c>
      <c r="E101" s="8" t="s">
        <v>86</v>
      </c>
      <c r="F101" s="8" t="s">
        <v>58</v>
      </c>
      <c r="H101" s="8" t="s">
        <v>1620</v>
      </c>
      <c r="I101" s="8" t="s">
        <v>4109</v>
      </c>
      <c r="J101" s="8" t="s">
        <v>2986</v>
      </c>
      <c r="K101" t="s">
        <v>4110</v>
      </c>
      <c r="L101" t="s">
        <v>4111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s="8" t="s">
        <v>1094</v>
      </c>
      <c r="E102" s="8" t="s">
        <v>86</v>
      </c>
      <c r="F102" s="8" t="s">
        <v>58</v>
      </c>
      <c r="H102" s="8" t="s">
        <v>4245</v>
      </c>
      <c r="I102" s="8" t="s">
        <v>4112</v>
      </c>
      <c r="J102" s="8" t="s">
        <v>2986</v>
      </c>
      <c r="K102" t="s">
        <v>4113</v>
      </c>
      <c r="L102" t="s">
        <v>4114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s="8" t="s">
        <v>1094</v>
      </c>
      <c r="E103" s="8" t="s">
        <v>86</v>
      </c>
      <c r="F103" s="8" t="s">
        <v>58</v>
      </c>
      <c r="H103" s="8" t="s">
        <v>4245</v>
      </c>
      <c r="I103" s="8" t="s">
        <v>4115</v>
      </c>
      <c r="J103" s="8" t="s">
        <v>2986</v>
      </c>
      <c r="K103" t="s">
        <v>4116</v>
      </c>
      <c r="L103" t="s">
        <v>4117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s="8" t="s">
        <v>533</v>
      </c>
      <c r="E104" s="8" t="s">
        <v>1607</v>
      </c>
      <c r="F104" s="8" t="s">
        <v>58</v>
      </c>
      <c r="H104" s="8"/>
      <c r="I104" s="8" t="s">
        <v>4118</v>
      </c>
      <c r="J104" s="8" t="s">
        <v>2986</v>
      </c>
      <c r="K104" t="s">
        <v>4119</v>
      </c>
      <c r="L104" t="s">
        <v>4120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s="8" t="s">
        <v>4</v>
      </c>
      <c r="E105" s="8" t="s">
        <v>8</v>
      </c>
      <c r="F105" s="8"/>
      <c r="H105" s="8"/>
      <c r="I105" s="8" t="s">
        <v>4121</v>
      </c>
      <c r="J105" s="8" t="s">
        <v>2986</v>
      </c>
      <c r="K105" t="s">
        <v>4122</v>
      </c>
      <c r="L105" t="s">
        <v>4123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s="8" t="s">
        <v>4</v>
      </c>
      <c r="E106" s="8" t="s">
        <v>8</v>
      </c>
      <c r="F106" s="8"/>
      <c r="H106" s="8"/>
      <c r="I106" s="8" t="s">
        <v>4124</v>
      </c>
      <c r="J106" s="8" t="s">
        <v>2986</v>
      </c>
      <c r="K106" t="s">
        <v>4125</v>
      </c>
      <c r="L106" t="s">
        <v>4126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s="8" t="s">
        <v>2004</v>
      </c>
      <c r="E107" s="8"/>
      <c r="F107" s="8"/>
      <c r="H107" s="8"/>
      <c r="I107" s="8" t="s">
        <v>4288</v>
      </c>
      <c r="J107" s="8" t="s">
        <v>2986</v>
      </c>
      <c r="K107" t="s">
        <v>4289</v>
      </c>
      <c r="L107" t="s">
        <v>4290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s="8" t="s">
        <v>2004</v>
      </c>
      <c r="E108" s="8"/>
      <c r="F108" s="8"/>
      <c r="H108" s="8"/>
      <c r="I108" s="8" t="s">
        <v>4900</v>
      </c>
      <c r="J108" s="8" t="s">
        <v>2986</v>
      </c>
      <c r="K108" t="s">
        <v>4901</v>
      </c>
      <c r="L108" t="s">
        <v>4902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s="8" t="s">
        <v>2004</v>
      </c>
      <c r="E109" s="8"/>
      <c r="F109" s="8"/>
      <c r="H109" s="8"/>
      <c r="I109" s="8" t="s">
        <v>4903</v>
      </c>
      <c r="J109" s="8" t="s">
        <v>2986</v>
      </c>
      <c r="K109" t="s">
        <v>4904</v>
      </c>
      <c r="L109" t="s">
        <v>4905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s="8" t="s">
        <v>159</v>
      </c>
      <c r="E110" s="8" t="s">
        <v>86</v>
      </c>
      <c r="F110" s="8" t="s">
        <v>5103</v>
      </c>
      <c r="H110" s="8"/>
      <c r="I110" s="8" t="s">
        <v>4906</v>
      </c>
      <c r="J110" s="8" t="s">
        <v>2986</v>
      </c>
      <c r="K110" t="s">
        <v>4907</v>
      </c>
      <c r="L110" t="s">
        <v>4908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s="8" t="s">
        <v>3073</v>
      </c>
      <c r="E111" s="8" t="s">
        <v>86</v>
      </c>
      <c r="F111" s="8" t="s">
        <v>5103</v>
      </c>
      <c r="H111" s="8"/>
      <c r="I111" s="8" t="s">
        <v>4909</v>
      </c>
      <c r="J111" s="8" t="s">
        <v>2986</v>
      </c>
      <c r="K111" t="s">
        <v>4910</v>
      </c>
      <c r="L111" t="s">
        <v>4911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s="8" t="s">
        <v>2004</v>
      </c>
      <c r="E112" s="8"/>
      <c r="F112" s="8"/>
      <c r="H112" s="8"/>
      <c r="I112" s="8" t="s">
        <v>4912</v>
      </c>
      <c r="J112" s="8" t="s">
        <v>2986</v>
      </c>
      <c r="K112" t="s">
        <v>4913</v>
      </c>
      <c r="L112" t="s">
        <v>4914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s="8" t="s">
        <v>4</v>
      </c>
      <c r="E113" s="8" t="s">
        <v>5139</v>
      </c>
      <c r="F113" s="8"/>
      <c r="H113" s="8" t="s">
        <v>5140</v>
      </c>
      <c r="I113" s="8" t="s">
        <v>4915</v>
      </c>
      <c r="J113" s="8" t="s">
        <v>2986</v>
      </c>
      <c r="K113" t="s">
        <v>4916</v>
      </c>
      <c r="L113" t="s">
        <v>4917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s="8" t="s">
        <v>2004</v>
      </c>
      <c r="E114" s="8"/>
      <c r="F114" s="8"/>
      <c r="H114" s="8"/>
      <c r="I114" s="8" t="s">
        <v>4918</v>
      </c>
      <c r="J114" s="8" t="s">
        <v>2986</v>
      </c>
      <c r="K114" t="s">
        <v>4919</v>
      </c>
      <c r="L114" t="s">
        <v>4920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s="8" t="s">
        <v>5265</v>
      </c>
      <c r="E115" s="8" t="s">
        <v>5263</v>
      </c>
      <c r="F115" s="8" t="s">
        <v>4233</v>
      </c>
      <c r="H115" s="8"/>
      <c r="I115" s="8" t="s">
        <v>5199</v>
      </c>
      <c r="J115" s="8" t="s">
        <v>2986</v>
      </c>
      <c r="K115" t="s">
        <v>5200</v>
      </c>
      <c r="L115" t="s">
        <v>5201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s="8" t="s">
        <v>5265</v>
      </c>
      <c r="E116" s="8" t="s">
        <v>5263</v>
      </c>
      <c r="F116" s="8" t="s">
        <v>4233</v>
      </c>
      <c r="H116" s="8" t="s">
        <v>2936</v>
      </c>
      <c r="I116" s="8" t="s">
        <v>5202</v>
      </c>
      <c r="J116" s="8" t="s">
        <v>2986</v>
      </c>
      <c r="K116" t="s">
        <v>5203</v>
      </c>
      <c r="L116" t="s">
        <v>5204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s="8" t="s">
        <v>5265</v>
      </c>
      <c r="E117" s="8" t="s">
        <v>5263</v>
      </c>
      <c r="F117" s="8" t="s">
        <v>4233</v>
      </c>
      <c r="H117" s="8" t="s">
        <v>2936</v>
      </c>
      <c r="I117" s="8" t="s">
        <v>5205</v>
      </c>
      <c r="J117" s="8" t="s">
        <v>2986</v>
      </c>
      <c r="K117" t="s">
        <v>5206</v>
      </c>
      <c r="L117" t="s">
        <v>5207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s="8" t="s">
        <v>5265</v>
      </c>
      <c r="E118" s="8" t="s">
        <v>5263</v>
      </c>
      <c r="F118" s="8" t="s">
        <v>4233</v>
      </c>
      <c r="H118" s="8" t="s">
        <v>2936</v>
      </c>
      <c r="I118" s="8" t="s">
        <v>5208</v>
      </c>
      <c r="J118" s="8" t="s">
        <v>2986</v>
      </c>
      <c r="K118" t="s">
        <v>5209</v>
      </c>
      <c r="L118" t="s">
        <v>5210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s="8" t="s">
        <v>5265</v>
      </c>
      <c r="E119" s="8" t="s">
        <v>5263</v>
      </c>
      <c r="F119" s="8" t="s">
        <v>4233</v>
      </c>
      <c r="H119" s="8" t="s">
        <v>2936</v>
      </c>
      <c r="I119" s="8" t="s">
        <v>5211</v>
      </c>
      <c r="J119" s="8" t="s">
        <v>2986</v>
      </c>
      <c r="K119" t="s">
        <v>5212</v>
      </c>
      <c r="L119" t="s">
        <v>5213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s="8" t="s">
        <v>4235</v>
      </c>
      <c r="E120" s="8" t="s">
        <v>5263</v>
      </c>
      <c r="F120" s="8" t="s">
        <v>4233</v>
      </c>
      <c r="H120" s="8"/>
      <c r="I120" s="8" t="s">
        <v>5214</v>
      </c>
      <c r="J120" s="8" t="s">
        <v>2986</v>
      </c>
      <c r="K120" t="s">
        <v>5215</v>
      </c>
      <c r="L120" t="s">
        <v>5216</v>
      </c>
      <c r="M120" s="3" t="str">
        <f>HYPERLINK(склад2въезд1319202122237[[#This Row],[RelativePath]])</f>
        <v>11 С ангара на базу\E33149364_4_20251207T144324Z.jpg</v>
      </c>
    </row>
    <row r="121" spans="1:13" x14ac:dyDescent="0.25">
      <c r="A121" s="2" t="s">
        <v>13</v>
      </c>
      <c r="B121" s="4">
        <v>45999</v>
      </c>
      <c r="C121" s="5">
        <v>0.42045138888888889</v>
      </c>
      <c r="D121" s="8" t="s">
        <v>1094</v>
      </c>
      <c r="E121" s="8" t="s">
        <v>86</v>
      </c>
      <c r="F121" s="8" t="s">
        <v>58</v>
      </c>
      <c r="H121" s="8" t="s">
        <v>1620</v>
      </c>
      <c r="I121" s="8" t="s">
        <v>5453</v>
      </c>
      <c r="J121" s="8" t="s">
        <v>2986</v>
      </c>
      <c r="K121" t="s">
        <v>5454</v>
      </c>
      <c r="L121" t="s">
        <v>5455</v>
      </c>
      <c r="M121" s="3" t="str">
        <f>HYPERLINK(склад2въезд1319202122237[[#This Row],[RelativePath]])</f>
        <v>11 С ангара на базу\E33149364_4_20251208T100527Z.jpg</v>
      </c>
    </row>
    <row r="122" spans="1:13" x14ac:dyDescent="0.25">
      <c r="A122" s="2" t="s">
        <v>13</v>
      </c>
      <c r="B122" s="4">
        <v>45999</v>
      </c>
      <c r="C122" s="5">
        <v>0.46241898148148147</v>
      </c>
      <c r="D122" s="8" t="s">
        <v>1094</v>
      </c>
      <c r="E122" s="8" t="s">
        <v>86</v>
      </c>
      <c r="F122" s="8" t="s">
        <v>58</v>
      </c>
      <c r="H122" s="8" t="s">
        <v>1620</v>
      </c>
      <c r="I122" s="8" t="s">
        <v>5456</v>
      </c>
      <c r="J122" s="8" t="s">
        <v>2986</v>
      </c>
      <c r="K122" t="s">
        <v>5457</v>
      </c>
      <c r="L122" t="s">
        <v>5458</v>
      </c>
      <c r="M122" s="3" t="str">
        <f>HYPERLINK(склад2въезд1319202122237[[#This Row],[RelativePath]])</f>
        <v>11 С ангара на базу\E33149364_4_20251208T110553Z.jpg</v>
      </c>
    </row>
    <row r="123" spans="1:13" x14ac:dyDescent="0.25">
      <c r="A123" s="2" t="s">
        <v>14</v>
      </c>
      <c r="B123" s="4">
        <v>46000</v>
      </c>
      <c r="C123" s="5">
        <v>0.62097222222222226</v>
      </c>
      <c r="D123" s="8" t="s">
        <v>4</v>
      </c>
      <c r="E123" s="8" t="s">
        <v>86</v>
      </c>
      <c r="F123" s="8" t="s">
        <v>528</v>
      </c>
      <c r="H123" s="8" t="s">
        <v>5104</v>
      </c>
      <c r="I123" s="8" t="s">
        <v>5632</v>
      </c>
      <c r="J123" s="8" t="s">
        <v>2986</v>
      </c>
      <c r="K123" t="s">
        <v>5634</v>
      </c>
      <c r="L123" t="s">
        <v>5635</v>
      </c>
      <c r="M123" s="3" t="str">
        <f>HYPERLINK(склад2въезд1319202122237[[#This Row],[RelativePath]])</f>
        <v>11 С ангара на базу\E33149364_4_20251209T145412Z.jpg</v>
      </c>
    </row>
    <row r="124" spans="1:13" x14ac:dyDescent="0.25">
      <c r="A124" s="2" t="s">
        <v>14</v>
      </c>
      <c r="B124" s="4">
        <v>46000</v>
      </c>
      <c r="C124" s="5">
        <v>0.62643518518518515</v>
      </c>
      <c r="D124" s="8" t="s">
        <v>4</v>
      </c>
      <c r="E124" s="8" t="s">
        <v>86</v>
      </c>
      <c r="F124" s="8" t="s">
        <v>528</v>
      </c>
      <c r="H124" s="8" t="s">
        <v>5104</v>
      </c>
      <c r="I124" s="8" t="s">
        <v>5636</v>
      </c>
      <c r="J124" s="8" t="s">
        <v>2986</v>
      </c>
      <c r="K124" t="s">
        <v>5637</v>
      </c>
      <c r="L124" t="s">
        <v>5638</v>
      </c>
      <c r="M124" s="3" t="str">
        <f>HYPERLINK(склад2въезд1319202122237[[#This Row],[RelativePath]])</f>
        <v>11 С ангара на базу\E33149364_4_20251209T150204Z.jpg</v>
      </c>
    </row>
    <row r="125" spans="1:13" x14ac:dyDescent="0.25">
      <c r="A125" s="2" t="s">
        <v>14</v>
      </c>
      <c r="B125" s="4">
        <v>46000</v>
      </c>
      <c r="C125" s="5">
        <v>0.63228009259259255</v>
      </c>
      <c r="D125" s="8" t="s">
        <v>4</v>
      </c>
      <c r="E125" s="8" t="s">
        <v>86</v>
      </c>
      <c r="F125" s="8" t="s">
        <v>528</v>
      </c>
      <c r="H125" s="8" t="s">
        <v>5104</v>
      </c>
      <c r="I125" s="8" t="s">
        <v>5639</v>
      </c>
      <c r="J125" s="8" t="s">
        <v>2986</v>
      </c>
      <c r="K125" t="s">
        <v>5640</v>
      </c>
      <c r="L125" t="s">
        <v>5641</v>
      </c>
      <c r="M125" s="3" t="str">
        <f>HYPERLINK(склад2въезд1319202122237[[#This Row],[RelativePath]])</f>
        <v>11 С ангара на базу\E33149364_4_20251209T151029Z.jpg</v>
      </c>
    </row>
    <row r="126" spans="1:13" x14ac:dyDescent="0.25">
      <c r="A126" s="2" t="s">
        <v>15</v>
      </c>
      <c r="B126" s="4">
        <v>46001</v>
      </c>
      <c r="C126" s="5">
        <v>0.50840277777777776</v>
      </c>
      <c r="D126" s="8" t="s">
        <v>4</v>
      </c>
      <c r="E126" s="8" t="s">
        <v>86</v>
      </c>
      <c r="F126" s="8" t="s">
        <v>528</v>
      </c>
      <c r="H126" s="8" t="s">
        <v>5104</v>
      </c>
      <c r="I126" s="8" t="s">
        <v>5642</v>
      </c>
      <c r="J126" s="8" t="s">
        <v>2986</v>
      </c>
      <c r="K126" t="s">
        <v>5643</v>
      </c>
      <c r="L126" t="s">
        <v>5644</v>
      </c>
      <c r="M126" s="3" t="str">
        <f>HYPERLINK(склад2въезд1319202122237[[#This Row],[RelativePath]])</f>
        <v>11 С ангара на базу\E33149364_4_20251210T121206Z.jpg</v>
      </c>
    </row>
    <row r="127" spans="1:13" x14ac:dyDescent="0.25">
      <c r="A127" s="2" t="s">
        <v>16</v>
      </c>
      <c r="B127" s="4">
        <v>46002</v>
      </c>
      <c r="C127" s="5">
        <v>0.62214120370370374</v>
      </c>
      <c r="D127" s="8" t="s">
        <v>6184</v>
      </c>
      <c r="E127" s="8" t="s">
        <v>58</v>
      </c>
      <c r="F127" s="8"/>
      <c r="H127" s="8" t="s">
        <v>6185</v>
      </c>
      <c r="I127" s="8" t="s">
        <v>5645</v>
      </c>
      <c r="J127" s="8" t="s">
        <v>2986</v>
      </c>
      <c r="K127" t="s">
        <v>5646</v>
      </c>
      <c r="L127" t="s">
        <v>5647</v>
      </c>
      <c r="M127" s="3" t="str">
        <f>HYPERLINK(склад2въезд1319202122237[[#This Row],[RelativePath]])</f>
        <v>11 С ангара на базу\E33149364_4_20251211T145553Z.jpg</v>
      </c>
    </row>
    <row r="128" spans="1:13" x14ac:dyDescent="0.25">
      <c r="A128" s="2" t="s">
        <v>16</v>
      </c>
      <c r="B128" s="4">
        <v>46002</v>
      </c>
      <c r="C128" s="5">
        <v>0.62344907407407413</v>
      </c>
      <c r="D128" s="8" t="s">
        <v>6184</v>
      </c>
      <c r="E128" s="8" t="s">
        <v>58</v>
      </c>
      <c r="F128" s="8"/>
      <c r="H128" s="8" t="s">
        <v>2936</v>
      </c>
      <c r="I128" s="8" t="s">
        <v>5648</v>
      </c>
      <c r="J128" s="8" t="s">
        <v>2986</v>
      </c>
      <c r="K128" t="s">
        <v>5649</v>
      </c>
      <c r="L128" t="s">
        <v>5650</v>
      </c>
      <c r="M128" s="3" t="str">
        <f>HYPERLINK(склад2въезд1319202122237[[#This Row],[RelativePath]])</f>
        <v>11 С ангара на базу\E33149364_4_20251211T145746Z.jpg</v>
      </c>
    </row>
    <row r="129" spans="1:13" x14ac:dyDescent="0.25">
      <c r="A129" s="2" t="s">
        <v>16</v>
      </c>
      <c r="B129" s="4">
        <v>46002</v>
      </c>
      <c r="C129" s="5">
        <v>0.63545138888888886</v>
      </c>
      <c r="D129" s="8" t="s">
        <v>6184</v>
      </c>
      <c r="E129" s="8" t="s">
        <v>58</v>
      </c>
      <c r="F129" s="8"/>
      <c r="H129" s="8" t="s">
        <v>2936</v>
      </c>
      <c r="I129" s="8" t="s">
        <v>5651</v>
      </c>
      <c r="J129" s="8" t="s">
        <v>2986</v>
      </c>
      <c r="K129" t="s">
        <v>5652</v>
      </c>
      <c r="L129" t="s">
        <v>5653</v>
      </c>
      <c r="M129" s="3" t="str">
        <f>HYPERLINK(склад2въезд1319202122237[[#This Row],[RelativePath]])</f>
        <v>11 С ангара на базу\E33149364_4_20251211T151503Z.jpg</v>
      </c>
    </row>
    <row r="130" spans="1:13" x14ac:dyDescent="0.25">
      <c r="A130" s="2" t="s">
        <v>16</v>
      </c>
      <c r="B130" s="4">
        <v>46002</v>
      </c>
      <c r="C130" s="5">
        <v>0.72240740740740739</v>
      </c>
      <c r="D130" s="8" t="s">
        <v>6184</v>
      </c>
      <c r="E130" s="8" t="s">
        <v>58</v>
      </c>
      <c r="F130" s="8"/>
      <c r="H130" s="8" t="s">
        <v>2936</v>
      </c>
      <c r="I130" s="8" t="s">
        <v>5654</v>
      </c>
      <c r="J130" s="8" t="s">
        <v>2986</v>
      </c>
      <c r="K130" t="s">
        <v>5655</v>
      </c>
      <c r="L130" t="s">
        <v>5656</v>
      </c>
      <c r="M130" s="3" t="str">
        <f>HYPERLINK(склад2въезд1319202122237[[#This Row],[RelativePath]])</f>
        <v>11 С ангара на базу\E33149364_4_20251211T172016Z.jpg</v>
      </c>
    </row>
    <row r="131" spans="1:13" x14ac:dyDescent="0.25">
      <c r="A131" s="2" t="s">
        <v>17</v>
      </c>
      <c r="B131" s="4">
        <v>46003</v>
      </c>
      <c r="C131" s="5">
        <v>0.44664351851851852</v>
      </c>
      <c r="D131" s="8" t="s">
        <v>1094</v>
      </c>
      <c r="E131" s="8" t="s">
        <v>86</v>
      </c>
      <c r="F131" s="8" t="s">
        <v>58</v>
      </c>
      <c r="H131" s="8" t="s">
        <v>1620</v>
      </c>
      <c r="I131" s="8" t="s">
        <v>5924</v>
      </c>
      <c r="J131" s="8" t="s">
        <v>2986</v>
      </c>
      <c r="K131" t="s">
        <v>5925</v>
      </c>
      <c r="L131" t="s">
        <v>5926</v>
      </c>
      <c r="M131" s="3" t="str">
        <f>HYPERLINK(склад2въезд1319202122237[[#This Row],[RelativePath]])</f>
        <v>11 С ангара на базу\E33149364_4_20251212T104310Z.jpg</v>
      </c>
    </row>
    <row r="132" spans="1:13" x14ac:dyDescent="0.25">
      <c r="A132" s="2" t="s">
        <v>17</v>
      </c>
      <c r="B132" s="4">
        <v>46003</v>
      </c>
      <c r="C132" s="5">
        <v>0.60886574074074074</v>
      </c>
      <c r="D132" s="8" t="s">
        <v>4</v>
      </c>
      <c r="E132" s="8" t="s">
        <v>8</v>
      </c>
      <c r="F132" s="8"/>
      <c r="H132" s="8"/>
      <c r="I132" s="8" t="s">
        <v>5927</v>
      </c>
      <c r="J132" s="8" t="s">
        <v>2986</v>
      </c>
      <c r="K132" t="s">
        <v>5928</v>
      </c>
      <c r="L132" t="s">
        <v>5929</v>
      </c>
      <c r="M132" s="3" t="str">
        <f>HYPERLINK(склад2въезд1319202122237[[#This Row],[RelativePath]])</f>
        <v>11 С ангара на базу\E33149364_4_20251212T143646Z.jpg</v>
      </c>
    </row>
    <row r="133" spans="1:13" x14ac:dyDescent="0.25">
      <c r="A133" s="2" t="s">
        <v>17</v>
      </c>
      <c r="B133" s="4">
        <v>46003</v>
      </c>
      <c r="C133" s="5">
        <v>0.70218749999999996</v>
      </c>
      <c r="D133" s="8" t="s">
        <v>4</v>
      </c>
      <c r="E133" s="8" t="s">
        <v>8</v>
      </c>
      <c r="F133" s="8"/>
      <c r="H133" s="8"/>
      <c r="I133" s="8" t="s">
        <v>5930</v>
      </c>
      <c r="J133" s="8" t="s">
        <v>2986</v>
      </c>
      <c r="K133" t="s">
        <v>5931</v>
      </c>
      <c r="L133" t="s">
        <v>5932</v>
      </c>
      <c r="M133" s="3" t="str">
        <f>HYPERLINK(склад2въезд1319202122237[[#This Row],[RelativePath]])</f>
        <v>11 С ангара на базу\E33149364_4_20251212T165109Z.jpg</v>
      </c>
    </row>
    <row r="134" spans="1:13" x14ac:dyDescent="0.25">
      <c r="A134" s="2" t="s">
        <v>18</v>
      </c>
      <c r="B134" s="4">
        <v>46004</v>
      </c>
      <c r="C134" s="5">
        <v>0.38579861111111113</v>
      </c>
      <c r="D134" s="8" t="s">
        <v>1606</v>
      </c>
      <c r="E134" s="8" t="s">
        <v>6167</v>
      </c>
      <c r="F134" s="8" t="s">
        <v>6186</v>
      </c>
      <c r="H134" s="8" t="s">
        <v>6164</v>
      </c>
      <c r="I134" s="8" t="s">
        <v>6107</v>
      </c>
      <c r="J134" s="8" t="s">
        <v>2986</v>
      </c>
      <c r="K134" t="s">
        <v>6108</v>
      </c>
      <c r="L134" t="s">
        <v>6109</v>
      </c>
      <c r="M134" s="3" t="str">
        <f>HYPERLINK(склад2въезд1319202122237[[#This Row],[RelativePath]])</f>
        <v>11 С ангара на базу\E33149364_4_20251213T091533Z.jpg</v>
      </c>
    </row>
    <row r="135" spans="1:13" x14ac:dyDescent="0.25">
      <c r="A135" s="2" t="s">
        <v>18</v>
      </c>
      <c r="B135" s="4">
        <v>46004</v>
      </c>
      <c r="C135" s="5">
        <v>0.38621527777777775</v>
      </c>
      <c r="D135" s="8" t="s">
        <v>6187</v>
      </c>
      <c r="E135" s="8" t="s">
        <v>6167</v>
      </c>
      <c r="F135" s="8"/>
      <c r="H135" s="8"/>
      <c r="I135" s="8" t="s">
        <v>6110</v>
      </c>
      <c r="J135" s="8" t="s">
        <v>2986</v>
      </c>
      <c r="K135" t="s">
        <v>6111</v>
      </c>
      <c r="L135" t="s">
        <v>6112</v>
      </c>
      <c r="M135" s="3" t="str">
        <f>HYPERLINK(склад2въезд1319202122237[[#This Row],[RelativePath]])</f>
        <v>11 С ангара на базу\E33149364_4_20251213T091609Z.jpg</v>
      </c>
    </row>
    <row r="136" spans="1:13" x14ac:dyDescent="0.25">
      <c r="A136" s="2" t="s">
        <v>18</v>
      </c>
      <c r="B136" s="4">
        <v>46004</v>
      </c>
      <c r="C136" s="5">
        <v>0.39291666666666669</v>
      </c>
      <c r="D136" s="8" t="s">
        <v>289</v>
      </c>
      <c r="E136" s="8" t="s">
        <v>6167</v>
      </c>
      <c r="F136" s="8" t="s">
        <v>6188</v>
      </c>
      <c r="H136" s="8" t="s">
        <v>2936</v>
      </c>
      <c r="I136" s="8" t="s">
        <v>6113</v>
      </c>
      <c r="J136" s="8" t="s">
        <v>2986</v>
      </c>
      <c r="K136" t="s">
        <v>6114</v>
      </c>
      <c r="L136" t="s">
        <v>6115</v>
      </c>
      <c r="M136" s="3" t="str">
        <f>HYPERLINK(склад2въезд1319202122237[[#This Row],[RelativePath]])</f>
        <v>11 С ангара на базу\E33149364_4_20251213T092548Z.jpg</v>
      </c>
    </row>
    <row r="137" spans="1:13" x14ac:dyDescent="0.25">
      <c r="A137" s="2" t="s">
        <v>18</v>
      </c>
      <c r="B137" s="4">
        <v>46004</v>
      </c>
      <c r="C137" s="5">
        <v>0.39643518518518517</v>
      </c>
      <c r="D137" s="8" t="s">
        <v>289</v>
      </c>
      <c r="E137" s="8" t="s">
        <v>6167</v>
      </c>
      <c r="F137" s="8" t="s">
        <v>6188</v>
      </c>
      <c r="H137" s="8" t="s">
        <v>2936</v>
      </c>
      <c r="I137" s="8" t="s">
        <v>6116</v>
      </c>
      <c r="J137" s="8" t="s">
        <v>2986</v>
      </c>
      <c r="K137" t="s">
        <v>6117</v>
      </c>
      <c r="L137" t="s">
        <v>6118</v>
      </c>
      <c r="M137" s="3" t="str">
        <f>HYPERLINK(склад2въезд1319202122237[[#This Row],[RelativePath]])</f>
        <v>11 С ангара на базу\E33149364_4_20251213T093052Z.jpg</v>
      </c>
    </row>
    <row r="138" spans="1:13" x14ac:dyDescent="0.25">
      <c r="A138" s="2" t="s">
        <v>18</v>
      </c>
      <c r="B138" s="4">
        <v>46004</v>
      </c>
      <c r="C138" s="5">
        <v>0.39685185185185184</v>
      </c>
      <c r="D138" s="8" t="s">
        <v>289</v>
      </c>
      <c r="E138" s="8" t="s">
        <v>6167</v>
      </c>
      <c r="F138" s="8" t="s">
        <v>6188</v>
      </c>
      <c r="H138" s="8" t="s">
        <v>2936</v>
      </c>
      <c r="I138" s="8" t="s">
        <v>6119</v>
      </c>
      <c r="J138" s="8" t="s">
        <v>2986</v>
      </c>
      <c r="K138" t="s">
        <v>6120</v>
      </c>
      <c r="L138" t="s">
        <v>6121</v>
      </c>
      <c r="M138" s="3" t="str">
        <f>HYPERLINK(склад2въезд1319202122237[[#This Row],[RelativePath]])</f>
        <v>11 С ангара на базу\E33149364_4_20251213T093128Z.jpg</v>
      </c>
    </row>
    <row r="139" spans="1:13" x14ac:dyDescent="0.25">
      <c r="A139" s="2" t="s">
        <v>18</v>
      </c>
      <c r="B139" s="4">
        <v>46004</v>
      </c>
      <c r="C139" s="5">
        <v>0.3972222222222222</v>
      </c>
      <c r="D139" s="8" t="s">
        <v>289</v>
      </c>
      <c r="E139" s="8" t="s">
        <v>6167</v>
      </c>
      <c r="F139" s="8" t="s">
        <v>6188</v>
      </c>
      <c r="H139" s="8" t="s">
        <v>2936</v>
      </c>
      <c r="I139" s="8" t="s">
        <v>6122</v>
      </c>
      <c r="J139" s="8" t="s">
        <v>2986</v>
      </c>
      <c r="K139" t="s">
        <v>6123</v>
      </c>
      <c r="L139" t="s">
        <v>6124</v>
      </c>
      <c r="M139" s="3" t="str">
        <f>HYPERLINK(склад2въезд1319202122237[[#This Row],[RelativePath]])</f>
        <v>11 С ангара на базу\E33149364_4_20251213T093200Z.jpg</v>
      </c>
    </row>
    <row r="140" spans="1:13" x14ac:dyDescent="0.25">
      <c r="A140" s="2" t="s">
        <v>18</v>
      </c>
      <c r="B140" s="4">
        <v>46004</v>
      </c>
      <c r="C140" s="5">
        <v>0.39961805555555557</v>
      </c>
      <c r="D140" s="8" t="s">
        <v>289</v>
      </c>
      <c r="E140" s="8" t="s">
        <v>6167</v>
      </c>
      <c r="F140" s="8" t="s">
        <v>6188</v>
      </c>
      <c r="H140" s="8" t="s">
        <v>2936</v>
      </c>
      <c r="I140" s="8" t="s">
        <v>6125</v>
      </c>
      <c r="J140" s="8" t="s">
        <v>2986</v>
      </c>
      <c r="K140" t="s">
        <v>6126</v>
      </c>
      <c r="L140" t="s">
        <v>6127</v>
      </c>
      <c r="M140" s="3" t="str">
        <f>HYPERLINK(склад2въезд1319202122237[[#This Row],[RelativePath]])</f>
        <v>11 С ангара на базу\E33149364_4_20251213T093527Z.jpg</v>
      </c>
    </row>
    <row r="141" spans="1:13" x14ac:dyDescent="0.25">
      <c r="A141" s="2" t="s">
        <v>18</v>
      </c>
      <c r="B141" s="4">
        <v>46004</v>
      </c>
      <c r="C141" s="5">
        <v>0.39997685185185183</v>
      </c>
      <c r="D141" s="8" t="s">
        <v>289</v>
      </c>
      <c r="E141" s="8" t="s">
        <v>6167</v>
      </c>
      <c r="F141" s="8" t="s">
        <v>6188</v>
      </c>
      <c r="H141" s="8" t="s">
        <v>2936</v>
      </c>
      <c r="I141" s="8" t="s">
        <v>6128</v>
      </c>
      <c r="J141" s="8" t="s">
        <v>2986</v>
      </c>
      <c r="K141" t="s">
        <v>6129</v>
      </c>
      <c r="L141" t="s">
        <v>6130</v>
      </c>
      <c r="M141" s="3" t="str">
        <f>HYPERLINK(склад2въезд1319202122237[[#This Row],[RelativePath]])</f>
        <v>11 С ангара на базу\E33149364_4_20251213T093558Z.jpg</v>
      </c>
    </row>
    <row r="142" spans="1:13" x14ac:dyDescent="0.25">
      <c r="A142" s="2" t="s">
        <v>18</v>
      </c>
      <c r="B142" s="4">
        <v>46004</v>
      </c>
      <c r="C142" s="5">
        <v>0.40167824074074077</v>
      </c>
      <c r="D142" s="8" t="s">
        <v>289</v>
      </c>
      <c r="E142" s="8" t="s">
        <v>6167</v>
      </c>
      <c r="F142" s="8" t="s">
        <v>6188</v>
      </c>
      <c r="H142" s="8" t="s">
        <v>2936</v>
      </c>
      <c r="I142" s="8" t="s">
        <v>6131</v>
      </c>
      <c r="J142" s="8" t="s">
        <v>2986</v>
      </c>
      <c r="K142" t="s">
        <v>6132</v>
      </c>
      <c r="L142" t="s">
        <v>6133</v>
      </c>
      <c r="M142" s="3" t="str">
        <f>HYPERLINK(склад2въезд1319202122237[[#This Row],[RelativePath]])</f>
        <v>11 С ангара на базу\E33149364_4_20251213T093825Z.jpg</v>
      </c>
    </row>
    <row r="143" spans="1:13" x14ac:dyDescent="0.25">
      <c r="A143" s="2" t="s">
        <v>18</v>
      </c>
      <c r="B143" s="4">
        <v>46004</v>
      </c>
      <c r="C143" s="5">
        <v>0.40229166666666666</v>
      </c>
      <c r="D143" s="8" t="s">
        <v>289</v>
      </c>
      <c r="E143" s="8" t="s">
        <v>6167</v>
      </c>
      <c r="F143" s="8" t="s">
        <v>6188</v>
      </c>
      <c r="H143" s="8" t="s">
        <v>2936</v>
      </c>
      <c r="I143" s="8" t="s">
        <v>6134</v>
      </c>
      <c r="J143" s="8" t="s">
        <v>2986</v>
      </c>
      <c r="K143" t="s">
        <v>6135</v>
      </c>
      <c r="L143" t="s">
        <v>6136</v>
      </c>
      <c r="M143" s="3" t="str">
        <f>HYPERLINK(склад2въезд1319202122237[[#This Row],[RelativePath]])</f>
        <v>11 С ангара на базу\E33149364_4_20251213T093918Z.jpg</v>
      </c>
    </row>
    <row r="144" spans="1:13" x14ac:dyDescent="0.25">
      <c r="A144" s="2" t="s">
        <v>18</v>
      </c>
      <c r="B144" s="4">
        <v>46004</v>
      </c>
      <c r="C144" s="5">
        <v>0.40465277777777775</v>
      </c>
      <c r="D144" s="8" t="s">
        <v>650</v>
      </c>
      <c r="E144" s="8" t="s">
        <v>6167</v>
      </c>
      <c r="F144" s="8" t="s">
        <v>6188</v>
      </c>
      <c r="H144" s="8"/>
      <c r="I144" s="8" t="s">
        <v>6137</v>
      </c>
      <c r="J144" s="8" t="s">
        <v>2986</v>
      </c>
      <c r="K144" t="s">
        <v>6138</v>
      </c>
      <c r="L144" t="s">
        <v>6139</v>
      </c>
      <c r="M144" s="3" t="str">
        <f>HYPERLINK(склад2въезд1319202122237[[#This Row],[RelativePath]])</f>
        <v>11 С ангара на базу\E33149364_4_20251213T094242Z.jpg</v>
      </c>
    </row>
    <row r="145" spans="1:13" x14ac:dyDescent="0.25">
      <c r="A145" s="2" t="s">
        <v>18</v>
      </c>
      <c r="B145" s="4">
        <v>46004</v>
      </c>
      <c r="C145" s="5">
        <v>0.54765046296296294</v>
      </c>
      <c r="D145" s="8" t="s">
        <v>1606</v>
      </c>
      <c r="E145" s="8" t="s">
        <v>6167</v>
      </c>
      <c r="F145" s="8" t="s">
        <v>1609</v>
      </c>
      <c r="H145" s="8"/>
      <c r="I145" s="8" t="s">
        <v>6140</v>
      </c>
      <c r="J145" s="8" t="s">
        <v>2986</v>
      </c>
      <c r="K145" t="s">
        <v>6141</v>
      </c>
      <c r="L145" t="s">
        <v>6142</v>
      </c>
      <c r="M145" s="3" t="str">
        <f>HYPERLINK(склад2въезд1319202122237[[#This Row],[RelativePath]])</f>
        <v>11 С ангара на базу\E33149364_4_20251213T130837Z.jpg</v>
      </c>
    </row>
    <row r="146" spans="1:13" x14ac:dyDescent="0.25">
      <c r="A146" s="2" t="s">
        <v>18</v>
      </c>
      <c r="B146" s="4">
        <v>46004</v>
      </c>
      <c r="C146" s="5">
        <v>0.54907407407407405</v>
      </c>
      <c r="D146" s="8" t="s">
        <v>290</v>
      </c>
      <c r="E146" s="8" t="s">
        <v>6167</v>
      </c>
      <c r="F146" s="8" t="s">
        <v>58</v>
      </c>
      <c r="H146" s="8"/>
      <c r="I146" s="8" t="s">
        <v>6143</v>
      </c>
      <c r="J146" s="8" t="s">
        <v>2986</v>
      </c>
      <c r="K146" t="s">
        <v>6144</v>
      </c>
      <c r="L146" t="s">
        <v>6145</v>
      </c>
      <c r="M146" s="3" t="str">
        <f>HYPERLINK(склад2въезд1319202122237[[#This Row],[RelativePath]])</f>
        <v>11 С ангара на базу\E33149364_4_20251213T131040Z.jpg</v>
      </c>
    </row>
    <row r="147" spans="1:13" x14ac:dyDescent="0.25">
      <c r="A147" s="2" t="s">
        <v>18</v>
      </c>
      <c r="B147" s="4">
        <v>46004</v>
      </c>
      <c r="C147" s="5">
        <v>0.549224537037037</v>
      </c>
      <c r="D147" s="8" t="s">
        <v>290</v>
      </c>
      <c r="E147" s="8" t="s">
        <v>6167</v>
      </c>
      <c r="F147" s="8" t="s">
        <v>58</v>
      </c>
      <c r="H147" s="8" t="s">
        <v>2936</v>
      </c>
      <c r="I147" s="8" t="s">
        <v>6146</v>
      </c>
      <c r="J147" s="8" t="s">
        <v>2986</v>
      </c>
      <c r="K147" t="s">
        <v>6147</v>
      </c>
      <c r="L147" t="s">
        <v>6148</v>
      </c>
      <c r="M147" s="3" t="str">
        <f>HYPERLINK(склад2въезд1319202122237[[#This Row],[RelativePath]])</f>
        <v>11 С ангара на базу\E33149364_4_20251213T131053Z.jpg</v>
      </c>
    </row>
    <row r="148" spans="1:13" x14ac:dyDescent="0.25">
      <c r="A148" s="2" t="s">
        <v>18</v>
      </c>
      <c r="B148" s="4">
        <v>46004</v>
      </c>
      <c r="C148" s="5">
        <v>0.55100694444444442</v>
      </c>
      <c r="D148" s="8" t="s">
        <v>290</v>
      </c>
      <c r="E148" s="8" t="s">
        <v>6167</v>
      </c>
      <c r="F148" s="8" t="s">
        <v>58</v>
      </c>
      <c r="H148" s="8" t="s">
        <v>2936</v>
      </c>
      <c r="I148" s="8" t="s">
        <v>6149</v>
      </c>
      <c r="J148" s="8" t="s">
        <v>2986</v>
      </c>
      <c r="K148" t="s">
        <v>6150</v>
      </c>
      <c r="L148" t="s">
        <v>6151</v>
      </c>
      <c r="M148" s="3" t="str">
        <f>HYPERLINK(склад2въезд1319202122237[[#This Row],[RelativePath]])</f>
        <v>11 С ангара на базу\E33149364_4_20251213T131327Z.jpg</v>
      </c>
    </row>
    <row r="149" spans="1:13" x14ac:dyDescent="0.25">
      <c r="A149" s="2" t="s">
        <v>18</v>
      </c>
      <c r="B149" s="4">
        <v>46004</v>
      </c>
      <c r="C149" s="5">
        <v>0.55111111111111111</v>
      </c>
      <c r="D149" s="8" t="s">
        <v>290</v>
      </c>
      <c r="E149" s="8" t="s">
        <v>6167</v>
      </c>
      <c r="F149" s="8" t="s">
        <v>58</v>
      </c>
      <c r="H149" s="8" t="s">
        <v>2936</v>
      </c>
      <c r="I149" s="8" t="s">
        <v>6152</v>
      </c>
      <c r="J149" s="8" t="s">
        <v>2986</v>
      </c>
      <c r="K149" t="s">
        <v>6153</v>
      </c>
      <c r="L149" t="s">
        <v>6154</v>
      </c>
      <c r="M149" s="3" t="str">
        <f>HYPERLINK(склад2въезд1319202122237[[#This Row],[RelativePath]])</f>
        <v>11 С ангара на базу\E33149364_4_20251213T131336Z.jpg</v>
      </c>
    </row>
    <row r="150" spans="1:13" x14ac:dyDescent="0.25">
      <c r="A150" s="2" t="s">
        <v>18</v>
      </c>
      <c r="B150" s="4">
        <v>46004</v>
      </c>
      <c r="C150" s="5">
        <v>0.55388888888888888</v>
      </c>
      <c r="D150" s="8" t="s">
        <v>650</v>
      </c>
      <c r="E150" s="8" t="s">
        <v>6167</v>
      </c>
      <c r="F150" s="8" t="s">
        <v>6189</v>
      </c>
      <c r="H150" s="8"/>
      <c r="I150" s="8" t="s">
        <v>6155</v>
      </c>
      <c r="J150" s="8" t="s">
        <v>2986</v>
      </c>
      <c r="K150" t="s">
        <v>6156</v>
      </c>
      <c r="L150" t="s">
        <v>6157</v>
      </c>
      <c r="M150" s="3" t="str">
        <f>HYPERLINK(склад2въезд1319202122237[[#This Row],[RelativePath]])</f>
        <v>11 С ангара на базу\E33149364_4_20251213T131736Z.jpg</v>
      </c>
    </row>
    <row r="151" spans="1:13" x14ac:dyDescent="0.25">
      <c r="A151" s="2" t="s">
        <v>18</v>
      </c>
      <c r="B151" s="4">
        <v>46004</v>
      </c>
      <c r="C151" s="5">
        <v>0.71561342592592592</v>
      </c>
      <c r="D151" s="8" t="s">
        <v>4</v>
      </c>
      <c r="E151" s="8" t="s">
        <v>8</v>
      </c>
      <c r="F151" s="8"/>
      <c r="H151" s="8"/>
      <c r="I151" s="8" t="s">
        <v>6158</v>
      </c>
      <c r="J151" s="8" t="s">
        <v>2986</v>
      </c>
      <c r="K151" t="s">
        <v>6159</v>
      </c>
      <c r="L151" t="s">
        <v>6160</v>
      </c>
      <c r="M151" s="3" t="str">
        <f>HYPERLINK(склад2въезд1319202122237[[#This Row],[RelativePath]])</f>
        <v>11 С ангара на базу\E33149364_4_20251213T171029Z.jpg</v>
      </c>
    </row>
    <row r="152" spans="1:13" x14ac:dyDescent="0.25">
      <c r="A152" s="2" t="s">
        <v>22</v>
      </c>
      <c r="B152" s="4">
        <v>46005</v>
      </c>
      <c r="C152" s="5">
        <v>0.7037268518518518</v>
      </c>
      <c r="D152" s="8" t="s">
        <v>2004</v>
      </c>
      <c r="E152" s="8" t="s">
        <v>8</v>
      </c>
      <c r="F152" s="8"/>
      <c r="H152" s="8"/>
      <c r="I152" s="8" t="s">
        <v>6258</v>
      </c>
      <c r="J152" s="8" t="s">
        <v>2986</v>
      </c>
      <c r="K152" t="s">
        <v>6259</v>
      </c>
      <c r="L152" t="s">
        <v>6260</v>
      </c>
      <c r="M152" s="3" t="str">
        <f>HYPERLINK(склад2въезд1319202122237[[#This Row],[RelativePath]])</f>
        <v>11 С ангара на базу\E33149364_4_20251214T165322Z.jpg</v>
      </c>
    </row>
    <row r="153" spans="1:13" x14ac:dyDescent="0.25">
      <c r="A153" s="2" t="s">
        <v>13</v>
      </c>
      <c r="B153" s="4">
        <v>46006</v>
      </c>
      <c r="C153" s="5">
        <v>0.46325231481481483</v>
      </c>
      <c r="D153" s="8" t="s">
        <v>159</v>
      </c>
      <c r="E153" s="8" t="s">
        <v>6329</v>
      </c>
      <c r="F153" s="8" t="s">
        <v>51</v>
      </c>
      <c r="H153" s="8"/>
      <c r="I153" s="8" t="s">
        <v>6506</v>
      </c>
      <c r="J153" s="8" t="s">
        <v>2986</v>
      </c>
      <c r="K153" t="s">
        <v>6507</v>
      </c>
      <c r="L153" t="s">
        <v>6508</v>
      </c>
      <c r="M153" s="3" t="str">
        <f>HYPERLINK(склад2въезд1319202122237[[#This Row],[RelativePath]])</f>
        <v>11 С ангара на базу\E33149364_4_20251215T110705Z.jpg</v>
      </c>
    </row>
    <row r="154" spans="1:13" x14ac:dyDescent="0.25">
      <c r="A154" s="2" t="s">
        <v>13</v>
      </c>
      <c r="B154" s="4">
        <v>46006</v>
      </c>
      <c r="C154" s="5">
        <v>0.47494212962962962</v>
      </c>
      <c r="D154" s="8" t="s">
        <v>159</v>
      </c>
      <c r="E154" s="8" t="s">
        <v>86</v>
      </c>
      <c r="F154" s="8" t="s">
        <v>58</v>
      </c>
      <c r="H154" s="8" t="s">
        <v>6532</v>
      </c>
      <c r="I154" s="8" t="s">
        <v>6509</v>
      </c>
      <c r="J154" s="8" t="s">
        <v>2986</v>
      </c>
      <c r="K154" t="s">
        <v>6510</v>
      </c>
      <c r="L154" t="s">
        <v>6511</v>
      </c>
      <c r="M154" s="3" t="str">
        <f>HYPERLINK(склад2въезд1319202122237[[#This Row],[RelativePath]])</f>
        <v>11 С ангара на базу\E33149364_4_20251215T112355Z.jpg</v>
      </c>
    </row>
    <row r="155" spans="1:13" x14ac:dyDescent="0.25">
      <c r="A155" s="2" t="s">
        <v>13</v>
      </c>
      <c r="B155" s="4">
        <v>46006</v>
      </c>
      <c r="C155" s="5">
        <v>0.67025462962962967</v>
      </c>
      <c r="D155" s="8" t="s">
        <v>4</v>
      </c>
      <c r="E155" s="8" t="s">
        <v>8</v>
      </c>
      <c r="F155" s="8"/>
      <c r="H155" s="8"/>
      <c r="I155" s="8" t="s">
        <v>6512</v>
      </c>
      <c r="J155" s="8" t="s">
        <v>2986</v>
      </c>
      <c r="K155" t="s">
        <v>6513</v>
      </c>
      <c r="L155" t="s">
        <v>6514</v>
      </c>
      <c r="M155" s="3" t="str">
        <f>HYPERLINK(склад2въезд1319202122237[[#This Row],[RelativePath]])</f>
        <v>11 С ангара на базу\E33149364_4_20251215T160510Z.jpg</v>
      </c>
    </row>
    <row r="156" spans="1:13" x14ac:dyDescent="0.25">
      <c r="A156" s="2" t="s">
        <v>14</v>
      </c>
      <c r="B156" s="4">
        <v>46007</v>
      </c>
      <c r="C156" s="5">
        <v>0.72393518518518518</v>
      </c>
      <c r="D156" s="8" t="s">
        <v>2004</v>
      </c>
      <c r="E156" s="8" t="s">
        <v>8</v>
      </c>
      <c r="F156" s="8"/>
      <c r="H156" s="8"/>
      <c r="I156" s="8" t="s">
        <v>6638</v>
      </c>
      <c r="J156" s="8" t="s">
        <v>2986</v>
      </c>
      <c r="K156" t="s">
        <v>6639</v>
      </c>
      <c r="L156" t="s">
        <v>6640</v>
      </c>
      <c r="M156" s="3" t="str">
        <f>HYPERLINK(склад2въезд1319202122237[[#This Row],[RelativePath]])</f>
        <v>11 С ангара на базу\E33149364_4_20251216T172228Z.jpg</v>
      </c>
    </row>
    <row r="157" spans="1:13" x14ac:dyDescent="0.25">
      <c r="A157" s="2" t="s">
        <v>15</v>
      </c>
      <c r="B157" s="4">
        <v>46008</v>
      </c>
      <c r="C157" s="5">
        <v>0.67031249999999998</v>
      </c>
      <c r="D157" s="8" t="s">
        <v>2004</v>
      </c>
      <c r="E157" s="8" t="s">
        <v>8</v>
      </c>
      <c r="F157" s="8"/>
      <c r="H157" s="8"/>
      <c r="I157" s="8" t="s">
        <v>6820</v>
      </c>
      <c r="J157" s="8" t="s">
        <v>2986</v>
      </c>
      <c r="K157" t="s">
        <v>6821</v>
      </c>
      <c r="L157" t="s">
        <v>6822</v>
      </c>
      <c r="M157" s="3" t="str">
        <f>HYPERLINK(склад2въезд1319202122237[[#This Row],[RelativePath]])</f>
        <v>11 С ангара на базу\E33149364_4_20251217T160515Z.jpg</v>
      </c>
    </row>
    <row r="158" spans="1:13" x14ac:dyDescent="0.25">
      <c r="A158" s="2" t="s">
        <v>16</v>
      </c>
      <c r="B158" s="4">
        <v>46009</v>
      </c>
      <c r="C158" s="5">
        <v>0.41395833333333332</v>
      </c>
      <c r="D158" s="8" t="s">
        <v>158</v>
      </c>
      <c r="E158" s="8" t="s">
        <v>5480</v>
      </c>
      <c r="F158" s="8" t="s">
        <v>2944</v>
      </c>
      <c r="H158" s="8" t="s">
        <v>2954</v>
      </c>
      <c r="I158" s="8" t="s">
        <v>7106</v>
      </c>
      <c r="J158" s="8" t="s">
        <v>2986</v>
      </c>
      <c r="K158" t="s">
        <v>7107</v>
      </c>
      <c r="L158" t="s">
        <v>7108</v>
      </c>
      <c r="M158" s="3" t="str">
        <f>HYPERLINK(склад2въезд1319202122237[[#This Row],[RelativePath]])</f>
        <v>11 С ангара на базу\E33149364_4_20251218T095606Z.jpg</v>
      </c>
    </row>
    <row r="159" spans="1:13" x14ac:dyDescent="0.25">
      <c r="A159" s="2" t="s">
        <v>16</v>
      </c>
      <c r="B159" s="4">
        <v>46009</v>
      </c>
      <c r="C159" s="5">
        <v>0.41430555555555554</v>
      </c>
      <c r="D159" s="8" t="s">
        <v>158</v>
      </c>
      <c r="E159" s="8" t="s">
        <v>5480</v>
      </c>
      <c r="F159" s="8" t="s">
        <v>2944</v>
      </c>
      <c r="H159" s="8" t="s">
        <v>2936</v>
      </c>
      <c r="I159" s="8" t="s">
        <v>7109</v>
      </c>
      <c r="J159" s="8" t="s">
        <v>2986</v>
      </c>
      <c r="K159" t="s">
        <v>7110</v>
      </c>
      <c r="L159" t="s">
        <v>7111</v>
      </c>
      <c r="M159" s="3" t="str">
        <f>HYPERLINK(склад2въезд1319202122237[[#This Row],[RelativePath]])</f>
        <v>11 С ангара на базу\E33149364_4_20251218T095636Z.jpg</v>
      </c>
    </row>
    <row r="160" spans="1:13" x14ac:dyDescent="0.25">
      <c r="A160" s="2" t="s">
        <v>16</v>
      </c>
      <c r="B160" s="4">
        <v>46009</v>
      </c>
      <c r="C160" s="5">
        <v>0.44475694444444447</v>
      </c>
      <c r="D160" s="8" t="s">
        <v>7171</v>
      </c>
      <c r="E160" s="8" t="s">
        <v>5480</v>
      </c>
      <c r="F160" s="8" t="s">
        <v>6872</v>
      </c>
      <c r="H160" s="8"/>
      <c r="I160" s="8" t="s">
        <v>7112</v>
      </c>
      <c r="J160" s="8" t="s">
        <v>2986</v>
      </c>
      <c r="K160" t="s">
        <v>7113</v>
      </c>
      <c r="L160" t="s">
        <v>7114</v>
      </c>
      <c r="M160" s="3" t="str">
        <f>HYPERLINK(склад2въезд1319202122237[[#This Row],[RelativePath]])</f>
        <v>11 С ангара на базу\E33149364_4_20251218T104027Z.jpg</v>
      </c>
    </row>
    <row r="161" spans="1:13" x14ac:dyDescent="0.25">
      <c r="A161" s="2" t="s">
        <v>16</v>
      </c>
      <c r="B161" s="4">
        <v>46009</v>
      </c>
      <c r="C161" s="5">
        <v>0.61519675925925921</v>
      </c>
      <c r="D161" s="8" t="s">
        <v>158</v>
      </c>
      <c r="E161" s="8" t="s">
        <v>5480</v>
      </c>
      <c r="F161" s="8" t="s">
        <v>2962</v>
      </c>
      <c r="H161" s="8" t="s">
        <v>2954</v>
      </c>
      <c r="I161" s="8" t="s">
        <v>7115</v>
      </c>
      <c r="J161" s="8" t="s">
        <v>2986</v>
      </c>
      <c r="K161" t="s">
        <v>7116</v>
      </c>
      <c r="L161" t="s">
        <v>7117</v>
      </c>
      <c r="M161" s="3" t="str">
        <f>HYPERLINK(склад2въезд1319202122237[[#This Row],[RelativePath]])</f>
        <v>11 С ангара на базу\E33149364_4_20251218T144553Z.jpg</v>
      </c>
    </row>
    <row r="162" spans="1:13" x14ac:dyDescent="0.25">
      <c r="A162" s="2" t="s">
        <v>16</v>
      </c>
      <c r="B162" s="4">
        <v>46009</v>
      </c>
      <c r="C162" s="5">
        <v>0.61546296296296299</v>
      </c>
      <c r="D162" s="8" t="s">
        <v>158</v>
      </c>
      <c r="E162" s="8" t="s">
        <v>5480</v>
      </c>
      <c r="F162" s="8" t="s">
        <v>2962</v>
      </c>
      <c r="H162" s="8" t="s">
        <v>2936</v>
      </c>
      <c r="I162" s="8" t="s">
        <v>7118</v>
      </c>
      <c r="J162" s="8" t="s">
        <v>2986</v>
      </c>
      <c r="K162" t="s">
        <v>7119</v>
      </c>
      <c r="L162" t="s">
        <v>7120</v>
      </c>
      <c r="M162" s="3" t="str">
        <f>HYPERLINK(склад2въезд1319202122237[[#This Row],[RelativePath]])</f>
        <v>11 С ангара на базу\E33149364_4_20251218T144616Z.jpg</v>
      </c>
    </row>
    <row r="163" spans="1:13" x14ac:dyDescent="0.25">
      <c r="A163" s="2" t="s">
        <v>17</v>
      </c>
      <c r="B163" s="4">
        <v>46010</v>
      </c>
      <c r="C163" s="5">
        <v>0.69856481481481481</v>
      </c>
      <c r="D163" s="8" t="s">
        <v>4</v>
      </c>
      <c r="E163" s="8" t="s">
        <v>8</v>
      </c>
      <c r="F163" s="8"/>
      <c r="H163" s="8"/>
      <c r="I163" s="8" t="s">
        <v>7121</v>
      </c>
      <c r="J163" s="8" t="s">
        <v>2986</v>
      </c>
      <c r="K163" t="s">
        <v>7122</v>
      </c>
      <c r="L163" t="s">
        <v>7123</v>
      </c>
      <c r="M163" s="3" t="str">
        <f>HYPERLINK(склад2въезд1319202122237[[#This Row],[RelativePath]])</f>
        <v>11 С ангара на базу\E33149364_4_20251219T164556Z.jpg</v>
      </c>
    </row>
    <row r="164" spans="1:13" x14ac:dyDescent="0.25">
      <c r="A164" s="2" t="s">
        <v>18</v>
      </c>
      <c r="B164" s="4">
        <v>46011</v>
      </c>
      <c r="C164" s="5">
        <v>0.68618055555555557</v>
      </c>
      <c r="D164" s="8" t="s">
        <v>2004</v>
      </c>
      <c r="E164" s="8" t="s">
        <v>8</v>
      </c>
      <c r="F164" s="8"/>
      <c r="H164" s="8"/>
      <c r="I164" s="8" t="s">
        <v>7124</v>
      </c>
      <c r="J164" s="8" t="s">
        <v>2986</v>
      </c>
      <c r="K164" t="s">
        <v>7125</v>
      </c>
      <c r="L164" t="s">
        <v>7126</v>
      </c>
      <c r="M164" s="3" t="str">
        <f>HYPERLINK(склад2въезд1319202122237[[#This Row],[RelativePath]])</f>
        <v>11 С ангара на базу\E33149364_4_20251220T162806Z.jpg</v>
      </c>
    </row>
    <row r="165" spans="1:13" x14ac:dyDescent="0.25">
      <c r="A165" s="2" t="s">
        <v>22</v>
      </c>
      <c r="B165" s="4">
        <v>46012</v>
      </c>
      <c r="C165" s="5">
        <v>0.70821759259259254</v>
      </c>
      <c r="D165" s="8" t="s">
        <v>2004</v>
      </c>
      <c r="E165" s="8" t="s">
        <v>8</v>
      </c>
      <c r="F165" s="8"/>
      <c r="H165" s="8"/>
      <c r="I165" s="8" t="s">
        <v>7205</v>
      </c>
      <c r="J165" s="8" t="s">
        <v>2986</v>
      </c>
      <c r="K165" t="s">
        <v>7206</v>
      </c>
      <c r="L165" t="s">
        <v>7207</v>
      </c>
      <c r="M165" s="3" t="str">
        <f>HYPERLINK(склад2въезд1319202122237[[#This Row],[RelativePath]])</f>
        <v>11 С ангара на базу\E33149364_4_20251221T165950Z.jpg</v>
      </c>
    </row>
    <row r="166" spans="1:13" x14ac:dyDescent="0.25">
      <c r="A166" s="2" t="s">
        <v>13</v>
      </c>
      <c r="B166" s="4">
        <v>46013</v>
      </c>
      <c r="C166" s="5">
        <v>0.71532407407407406</v>
      </c>
      <c r="D166" s="8" t="s">
        <v>2004</v>
      </c>
      <c r="E166" s="8" t="s">
        <v>8</v>
      </c>
      <c r="F166" s="8"/>
      <c r="H166" s="8"/>
      <c r="I166" s="8" t="s">
        <v>7305</v>
      </c>
      <c r="J166" s="8" t="s">
        <v>2986</v>
      </c>
      <c r="K166" t="s">
        <v>7306</v>
      </c>
      <c r="L166" t="s">
        <v>7307</v>
      </c>
      <c r="M166" s="3" t="str">
        <f>HYPERLINK(склад2въезд1319202122237[[#This Row],[RelativePath]])</f>
        <v>11 С ангара на базу\E33149364_4_20251222T171004Z.jpg</v>
      </c>
    </row>
    <row r="167" spans="1:13" x14ac:dyDescent="0.25">
      <c r="A167" s="2" t="s">
        <v>14</v>
      </c>
      <c r="B167" s="4">
        <v>46014</v>
      </c>
      <c r="C167" s="5">
        <v>0.7259606481481482</v>
      </c>
      <c r="D167" s="8" t="s">
        <v>2004</v>
      </c>
      <c r="E167" s="8" t="s">
        <v>8</v>
      </c>
      <c r="F167" s="8"/>
      <c r="H167" s="8"/>
      <c r="I167" s="8" t="s">
        <v>7308</v>
      </c>
      <c r="J167" s="8" t="s">
        <v>2986</v>
      </c>
      <c r="K167" t="s">
        <v>7309</v>
      </c>
      <c r="L167" t="s">
        <v>7310</v>
      </c>
      <c r="M167" s="3" t="str">
        <f>HYPERLINK(склад2въезд1319202122237[[#This Row],[RelativePath]])</f>
        <v>11 С ангара на базу\E33149364_4_20251223T172523Z.jpg</v>
      </c>
    </row>
    <row r="168" spans="1:13" x14ac:dyDescent="0.25">
      <c r="A168" s="2" t="s">
        <v>15</v>
      </c>
      <c r="B168" s="4">
        <v>46015</v>
      </c>
      <c r="C168" s="5">
        <v>0.63050925925925927</v>
      </c>
      <c r="D168" s="8" t="s">
        <v>290</v>
      </c>
      <c r="E168" s="8" t="s">
        <v>86</v>
      </c>
      <c r="F168" s="8" t="s">
        <v>60</v>
      </c>
      <c r="H168" s="8" t="s">
        <v>5104</v>
      </c>
      <c r="I168" s="8" t="s">
        <v>7538</v>
      </c>
      <c r="J168" s="8" t="s">
        <v>2986</v>
      </c>
      <c r="K168" t="s">
        <v>7539</v>
      </c>
      <c r="L168" t="s">
        <v>7540</v>
      </c>
      <c r="M168" s="3" t="str">
        <f>HYPERLINK(склад2въезд1319202122237[[#This Row],[RelativePath]])</f>
        <v>11 С ангара на базу\E33149364_4_20251224T150756Z.jpg</v>
      </c>
    </row>
    <row r="169" spans="1:13" x14ac:dyDescent="0.25">
      <c r="A169" s="2" t="s">
        <v>15</v>
      </c>
      <c r="B169" s="4">
        <v>46015</v>
      </c>
      <c r="C169" s="5">
        <v>0.64223379629629629</v>
      </c>
      <c r="D169" s="8" t="s">
        <v>290</v>
      </c>
      <c r="E169" s="8" t="s">
        <v>86</v>
      </c>
      <c r="F169" s="8" t="s">
        <v>60</v>
      </c>
      <c r="H169" s="8" t="s">
        <v>5104</v>
      </c>
      <c r="I169" s="8" t="s">
        <v>7541</v>
      </c>
      <c r="J169" s="8" t="s">
        <v>2986</v>
      </c>
      <c r="K169" t="s">
        <v>7542</v>
      </c>
      <c r="L169" t="s">
        <v>7543</v>
      </c>
      <c r="M169" s="3" t="str">
        <f>HYPERLINK(склад2въезд1319202122237[[#This Row],[RelativePath]])</f>
        <v>11 С ангара на базу\E33149364_4_20251224T152449Z.jpg</v>
      </c>
    </row>
    <row r="170" spans="1:13" x14ac:dyDescent="0.25">
      <c r="A170" s="2" t="s">
        <v>15</v>
      </c>
      <c r="B170" s="4">
        <v>46015</v>
      </c>
      <c r="C170" s="5">
        <v>0.68390046296296292</v>
      </c>
      <c r="D170" s="8" t="s">
        <v>290</v>
      </c>
      <c r="E170" s="8" t="s">
        <v>86</v>
      </c>
      <c r="F170" s="8" t="s">
        <v>60</v>
      </c>
      <c r="H170" s="8" t="s">
        <v>5104</v>
      </c>
      <c r="I170" s="8" t="s">
        <v>7544</v>
      </c>
      <c r="J170" s="8" t="s">
        <v>2986</v>
      </c>
      <c r="K170" t="s">
        <v>7545</v>
      </c>
      <c r="L170" t="s">
        <v>7546</v>
      </c>
      <c r="M170" s="3" t="str">
        <f>HYPERLINK(склад2въезд1319202122237[[#This Row],[RelativePath]])</f>
        <v>11 С ангара на базу\E33149364_4_20251224T162449Z.jpg</v>
      </c>
    </row>
    <row r="171" spans="1:13" x14ac:dyDescent="0.25">
      <c r="A171" s="2" t="s">
        <v>15</v>
      </c>
      <c r="B171" s="4">
        <v>46015</v>
      </c>
      <c r="C171" s="5">
        <v>0.70719907407407412</v>
      </c>
      <c r="D171" s="8" t="s">
        <v>4</v>
      </c>
      <c r="E171" s="8" t="s">
        <v>8</v>
      </c>
      <c r="F171" s="8"/>
      <c r="H171" s="8"/>
      <c r="I171" s="8" t="s">
        <v>7547</v>
      </c>
      <c r="J171" s="8" t="s">
        <v>2986</v>
      </c>
      <c r="K171" t="s">
        <v>7548</v>
      </c>
      <c r="L171" t="s">
        <v>7549</v>
      </c>
      <c r="M171" s="3" t="str">
        <f>HYPERLINK(склад2въезд1319202122237[[#This Row],[RelativePath]])</f>
        <v>11 С ангара на базу\E33149364_4_20251224T165822Z.jpg</v>
      </c>
    </row>
    <row r="172" spans="1:13" x14ac:dyDescent="0.25">
      <c r="A172" s="2" t="s">
        <v>16</v>
      </c>
      <c r="B172" s="4">
        <v>46016</v>
      </c>
      <c r="C172" s="5">
        <v>0.38935185185185184</v>
      </c>
      <c r="D172" s="8" t="s">
        <v>4</v>
      </c>
      <c r="E172" s="8" t="s">
        <v>86</v>
      </c>
      <c r="F172" s="8" t="s">
        <v>7713</v>
      </c>
      <c r="H172" s="8"/>
      <c r="I172" s="8" t="s">
        <v>7550</v>
      </c>
      <c r="J172" s="8" t="s">
        <v>2986</v>
      </c>
      <c r="K172" t="s">
        <v>7551</v>
      </c>
      <c r="L172" t="s">
        <v>7552</v>
      </c>
      <c r="M172" s="3" t="str">
        <f>HYPERLINK(склад2въезд1319202122237[[#This Row],[RelativePath]])</f>
        <v>11 С ангара на базу\E33149364_4_20251225T092040Z.jpg</v>
      </c>
    </row>
    <row r="173" spans="1:13" x14ac:dyDescent="0.25">
      <c r="A173" s="2" t="s">
        <v>16</v>
      </c>
      <c r="B173" s="4">
        <v>46016</v>
      </c>
      <c r="C173" s="5">
        <v>0.38967592592592593</v>
      </c>
      <c r="D173" s="8" t="s">
        <v>4</v>
      </c>
      <c r="E173" s="8" t="s">
        <v>86</v>
      </c>
      <c r="F173" s="8" t="s">
        <v>7713</v>
      </c>
      <c r="H173" s="8" t="s">
        <v>2936</v>
      </c>
      <c r="I173" s="8" t="s">
        <v>7553</v>
      </c>
      <c r="J173" s="8" t="s">
        <v>2986</v>
      </c>
      <c r="K173" t="s">
        <v>7554</v>
      </c>
      <c r="L173" t="s">
        <v>7555</v>
      </c>
      <c r="M173" s="3" t="str">
        <f>HYPERLINK(склад2въезд1319202122237[[#This Row],[RelativePath]])</f>
        <v>11 С ангара на базу\E33149364_4_20251225T092108Z.jpg</v>
      </c>
    </row>
    <row r="174" spans="1:13" x14ac:dyDescent="0.25">
      <c r="A174" s="2" t="s">
        <v>16</v>
      </c>
      <c r="B174" s="4">
        <v>46016</v>
      </c>
      <c r="C174" s="5">
        <v>0.52581018518518519</v>
      </c>
      <c r="D174" s="8" t="s">
        <v>4</v>
      </c>
      <c r="E174" s="8" t="s">
        <v>86</v>
      </c>
      <c r="F174" s="8" t="s">
        <v>7713</v>
      </c>
      <c r="H174" s="8"/>
      <c r="I174" s="8" t="s">
        <v>7556</v>
      </c>
      <c r="J174" s="8" t="s">
        <v>2986</v>
      </c>
      <c r="K174" t="s">
        <v>7557</v>
      </c>
      <c r="L174" t="s">
        <v>7558</v>
      </c>
      <c r="M174" s="3" t="str">
        <f>HYPERLINK(склад2въезд1319202122237[[#This Row],[RelativePath]])</f>
        <v>11 С ангара на базу\E33149364_4_20251225T123710Z.jpg</v>
      </c>
    </row>
    <row r="175" spans="1:13" x14ac:dyDescent="0.25">
      <c r="A175" s="2" t="s">
        <v>16</v>
      </c>
      <c r="B175" s="4">
        <v>46016</v>
      </c>
      <c r="C175" s="5">
        <v>0.54217592592592589</v>
      </c>
      <c r="D175" s="8" t="s">
        <v>4</v>
      </c>
      <c r="E175" s="8" t="s">
        <v>86</v>
      </c>
      <c r="F175" s="8" t="s">
        <v>7714</v>
      </c>
      <c r="H175" s="8"/>
      <c r="I175" s="8" t="s">
        <v>7559</v>
      </c>
      <c r="J175" s="8" t="s">
        <v>2986</v>
      </c>
      <c r="K175" t="s">
        <v>7560</v>
      </c>
      <c r="L175" t="s">
        <v>7561</v>
      </c>
      <c r="M175" s="3" t="str">
        <f>HYPERLINK(склад2въезд1319202122237[[#This Row],[RelativePath]])</f>
        <v>11 С ангара на базу\E33149364_4_20251225T130044Z.jpg</v>
      </c>
    </row>
    <row r="176" spans="1:13" x14ac:dyDescent="0.25">
      <c r="A176" s="2" t="s">
        <v>16</v>
      </c>
      <c r="B176" s="4">
        <v>46016</v>
      </c>
      <c r="C176" s="5">
        <v>0.61910879629629634</v>
      </c>
      <c r="D176" s="8" t="s">
        <v>4</v>
      </c>
      <c r="E176" s="8" t="s">
        <v>4193</v>
      </c>
      <c r="F176" s="8" t="s">
        <v>4240</v>
      </c>
      <c r="H176" s="8"/>
      <c r="I176" s="8" t="s">
        <v>7562</v>
      </c>
      <c r="J176" s="8" t="s">
        <v>2986</v>
      </c>
      <c r="K176" t="s">
        <v>7563</v>
      </c>
      <c r="L176" t="s">
        <v>7564</v>
      </c>
      <c r="M176" s="3" t="str">
        <f>HYPERLINK(склад2въезд1319202122237[[#This Row],[RelativePath]])</f>
        <v>11 С ангара на базу\E33149364_4_20251225T145131Z.jpg</v>
      </c>
    </row>
    <row r="177" spans="1:13" x14ac:dyDescent="0.25">
      <c r="A177" s="2" t="s">
        <v>16</v>
      </c>
      <c r="B177" s="4">
        <v>46016</v>
      </c>
      <c r="C177" s="5">
        <v>0.62233796296296295</v>
      </c>
      <c r="D177" s="8" t="s">
        <v>650</v>
      </c>
      <c r="E177" s="8" t="s">
        <v>4193</v>
      </c>
      <c r="F177" s="8" t="s">
        <v>4240</v>
      </c>
      <c r="H177" s="8"/>
      <c r="I177" s="8" t="s">
        <v>7565</v>
      </c>
      <c r="J177" s="8" t="s">
        <v>2986</v>
      </c>
      <c r="K177" t="s">
        <v>7566</v>
      </c>
      <c r="L177" t="s">
        <v>7567</v>
      </c>
      <c r="M177" s="3" t="str">
        <f>HYPERLINK(склад2въезд1319202122237[[#This Row],[RelativePath]])</f>
        <v>11 С ангара на базу\E33149364_4_20251225T145610Z.jpg</v>
      </c>
    </row>
    <row r="178" spans="1:13" x14ac:dyDescent="0.25">
      <c r="A178" s="2" t="s">
        <v>17</v>
      </c>
      <c r="B178" s="4">
        <v>46017</v>
      </c>
      <c r="C178" s="5">
        <v>0.40554398148148146</v>
      </c>
      <c r="D178" s="8" t="s">
        <v>289</v>
      </c>
      <c r="E178" s="8" t="s">
        <v>86</v>
      </c>
      <c r="F178" s="8" t="s">
        <v>7719</v>
      </c>
      <c r="H178" s="8"/>
      <c r="I178" s="8" t="s">
        <v>7747</v>
      </c>
      <c r="J178" s="8" t="s">
        <v>2986</v>
      </c>
      <c r="K178" t="s">
        <v>7748</v>
      </c>
      <c r="L178" t="s">
        <v>7749</v>
      </c>
      <c r="M178" s="3" t="str">
        <f>HYPERLINK(склад2въезд1319202122237[[#This Row],[RelativePath]])</f>
        <v>11 С ангара на базу\E33149364_4_20251226T094359Z.jpg</v>
      </c>
    </row>
    <row r="179" spans="1:13" x14ac:dyDescent="0.25">
      <c r="A179" s="2" t="s">
        <v>17</v>
      </c>
      <c r="B179" s="4">
        <v>46017</v>
      </c>
      <c r="C179" s="5">
        <v>0.41116898148148145</v>
      </c>
      <c r="D179" s="8" t="s">
        <v>158</v>
      </c>
      <c r="E179" s="8" t="s">
        <v>86</v>
      </c>
      <c r="F179" s="8" t="s">
        <v>7714</v>
      </c>
      <c r="H179" s="8"/>
      <c r="I179" s="8" t="s">
        <v>7750</v>
      </c>
      <c r="J179" s="8" t="s">
        <v>2986</v>
      </c>
      <c r="K179" t="s">
        <v>7751</v>
      </c>
      <c r="L179" t="s">
        <v>7752</v>
      </c>
      <c r="M179" s="3" t="str">
        <f>HYPERLINK(склад2въезд1319202122237[[#This Row],[RelativePath]])</f>
        <v>11 С ангара на базу\E33149364_4_20251226T095205Z.jpg</v>
      </c>
    </row>
    <row r="180" spans="1:13" x14ac:dyDescent="0.25">
      <c r="A180" s="2" t="s">
        <v>17</v>
      </c>
      <c r="B180" s="4">
        <v>46017</v>
      </c>
      <c r="C180" s="5">
        <v>0.41968749999999999</v>
      </c>
      <c r="D180" s="8" t="s">
        <v>1606</v>
      </c>
      <c r="E180" s="8" t="s">
        <v>4193</v>
      </c>
      <c r="F180" s="8" t="s">
        <v>5076</v>
      </c>
      <c r="H180" s="8"/>
      <c r="I180" s="8" t="s">
        <v>7753</v>
      </c>
      <c r="J180" s="8" t="s">
        <v>2986</v>
      </c>
      <c r="K180" t="s">
        <v>7754</v>
      </c>
      <c r="L180" t="s">
        <v>7755</v>
      </c>
      <c r="M180" s="3" t="str">
        <f>HYPERLINK(склад2въезд1319202122237[[#This Row],[RelativePath]])</f>
        <v>11 С ангара на базу\E33149364_4_20251226T100421Z.jpg</v>
      </c>
    </row>
    <row r="181" spans="1:13" x14ac:dyDescent="0.25">
      <c r="A181" s="2" t="s">
        <v>17</v>
      </c>
      <c r="B181" s="4">
        <v>46017</v>
      </c>
      <c r="C181" s="5">
        <v>0.42020833333333335</v>
      </c>
      <c r="D181" s="8" t="s">
        <v>1606</v>
      </c>
      <c r="E181" s="8" t="s">
        <v>4193</v>
      </c>
      <c r="F181" s="8" t="s">
        <v>5076</v>
      </c>
      <c r="H181" s="8" t="s">
        <v>2936</v>
      </c>
      <c r="I181" s="8" t="s">
        <v>7756</v>
      </c>
      <c r="J181" s="8" t="s">
        <v>2986</v>
      </c>
      <c r="K181" t="s">
        <v>7757</v>
      </c>
      <c r="L181" t="s">
        <v>7758</v>
      </c>
      <c r="M181" s="3" t="str">
        <f>HYPERLINK(склад2въезд1319202122237[[#This Row],[RelativePath]])</f>
        <v>11 С ангара на базу\E33149364_4_20251226T100506Z.jpg</v>
      </c>
    </row>
    <row r="182" spans="1:13" x14ac:dyDescent="0.25">
      <c r="A182" s="2" t="s">
        <v>17</v>
      </c>
      <c r="B182" s="4">
        <v>46017</v>
      </c>
      <c r="C182" s="5">
        <v>0.43497685185185186</v>
      </c>
      <c r="D182" s="8" t="s">
        <v>4223</v>
      </c>
      <c r="E182" s="8" t="s">
        <v>86</v>
      </c>
      <c r="F182" s="8" t="s">
        <v>528</v>
      </c>
      <c r="H182" s="8"/>
      <c r="I182" s="8" t="s">
        <v>7759</v>
      </c>
      <c r="J182" s="8" t="s">
        <v>2986</v>
      </c>
      <c r="K182" t="s">
        <v>7760</v>
      </c>
      <c r="L182" t="s">
        <v>7761</v>
      </c>
      <c r="M182" s="3" t="str">
        <f>HYPERLINK(склад2въезд1319202122237[[#This Row],[RelativePath]])</f>
        <v>11 С ангара на базу\E33149364_4_20251226T102622Z.jpg</v>
      </c>
    </row>
    <row r="183" spans="1:13" x14ac:dyDescent="0.25">
      <c r="A183" s="2" t="s">
        <v>17</v>
      </c>
      <c r="B183" s="4">
        <v>46017</v>
      </c>
      <c r="C183" s="5">
        <v>0.43549768518518517</v>
      </c>
      <c r="D183" s="8" t="s">
        <v>4223</v>
      </c>
      <c r="E183" s="8" t="s">
        <v>86</v>
      </c>
      <c r="F183" s="8" t="s">
        <v>528</v>
      </c>
      <c r="H183" s="8" t="s">
        <v>2936</v>
      </c>
      <c r="I183" s="8" t="s">
        <v>7762</v>
      </c>
      <c r="J183" s="8" t="s">
        <v>2986</v>
      </c>
      <c r="K183" t="s">
        <v>7763</v>
      </c>
      <c r="L183" t="s">
        <v>7764</v>
      </c>
      <c r="M183" s="3" t="str">
        <f>HYPERLINK(склад2въезд1319202122237[[#This Row],[RelativePath]])</f>
        <v>11 С ангара на базу\E33149364_4_20251226T102707Z.jpg</v>
      </c>
    </row>
    <row r="184" spans="1:13" x14ac:dyDescent="0.25">
      <c r="A184" s="2" t="s">
        <v>17</v>
      </c>
      <c r="B184" s="4">
        <v>46017</v>
      </c>
      <c r="C184" s="5">
        <v>0.44907407407407407</v>
      </c>
      <c r="D184" s="8" t="s">
        <v>7871</v>
      </c>
      <c r="E184" s="8" t="s">
        <v>531</v>
      </c>
      <c r="F184" s="8"/>
      <c r="H184" s="8"/>
      <c r="I184" s="8" t="s">
        <v>7765</v>
      </c>
      <c r="J184" s="8" t="s">
        <v>2986</v>
      </c>
      <c r="K184" t="s">
        <v>7766</v>
      </c>
      <c r="L184" t="s">
        <v>7767</v>
      </c>
      <c r="M184" s="3" t="str">
        <f>HYPERLINK(склад2въезд1319202122237[[#This Row],[RelativePath]])</f>
        <v>11 С ангара на базу\E33149364_4_20251226T104640Z.jpg</v>
      </c>
    </row>
    <row r="185" spans="1:13" x14ac:dyDescent="0.25">
      <c r="A185" s="2" t="s">
        <v>17</v>
      </c>
      <c r="B185" s="4">
        <v>46017</v>
      </c>
      <c r="C185" s="5">
        <v>0.49148148148148146</v>
      </c>
      <c r="D185" s="8" t="s">
        <v>650</v>
      </c>
      <c r="E185" s="8" t="s">
        <v>4193</v>
      </c>
      <c r="F185" s="8" t="s">
        <v>5076</v>
      </c>
      <c r="H185" s="8"/>
      <c r="I185" s="8" t="s">
        <v>7768</v>
      </c>
      <c r="J185" s="8" t="s">
        <v>2986</v>
      </c>
      <c r="K185" t="s">
        <v>7769</v>
      </c>
      <c r="L185" t="s">
        <v>7770</v>
      </c>
      <c r="M185" s="3" t="str">
        <f>HYPERLINK(склад2въезд1319202122237[[#This Row],[RelativePath]])</f>
        <v>11 С ангара на базу\E33149364_4_20251226T114744Z.jpg</v>
      </c>
    </row>
    <row r="186" spans="1:13" x14ac:dyDescent="0.25">
      <c r="A186" s="2" t="s">
        <v>17</v>
      </c>
      <c r="B186" s="4">
        <v>46017</v>
      </c>
      <c r="C186" s="5">
        <v>0.50893518518518521</v>
      </c>
      <c r="D186" s="8" t="s">
        <v>4223</v>
      </c>
      <c r="E186" s="8" t="s">
        <v>86</v>
      </c>
      <c r="F186" s="8" t="s">
        <v>528</v>
      </c>
      <c r="H186" s="8"/>
      <c r="I186" s="8" t="s">
        <v>7771</v>
      </c>
      <c r="J186" s="8" t="s">
        <v>2986</v>
      </c>
      <c r="K186" t="s">
        <v>7772</v>
      </c>
      <c r="L186" t="s">
        <v>7773</v>
      </c>
      <c r="M186" s="3" t="str">
        <f>HYPERLINK(склад2въезд1319202122237[[#This Row],[RelativePath]])</f>
        <v>11 С ангара на базу\E33149364_4_20251226T121252Z.jpg</v>
      </c>
    </row>
    <row r="187" spans="1:13" x14ac:dyDescent="0.25">
      <c r="A187" s="2" t="s">
        <v>17</v>
      </c>
      <c r="B187" s="4">
        <v>46017</v>
      </c>
      <c r="C187" s="5">
        <v>0.61464120370370368</v>
      </c>
      <c r="D187" s="8" t="s">
        <v>4</v>
      </c>
      <c r="E187" s="8" t="s">
        <v>8</v>
      </c>
      <c r="F187" s="8"/>
      <c r="H187" s="8"/>
      <c r="I187" s="8" t="s">
        <v>7774</v>
      </c>
      <c r="J187" s="8" t="s">
        <v>2986</v>
      </c>
      <c r="K187" t="s">
        <v>7775</v>
      </c>
      <c r="L187" t="s">
        <v>7776</v>
      </c>
      <c r="M187" s="3" t="str">
        <f>HYPERLINK(склад2въезд1319202122237[[#This Row],[RelativePath]])</f>
        <v>11 С ангара на базу\E33149364_4_20251226T144505Z.jpg</v>
      </c>
    </row>
    <row r="188" spans="1:13" x14ac:dyDescent="0.25">
      <c r="A188" s="2" t="s">
        <v>18</v>
      </c>
      <c r="B188" s="4">
        <v>46018</v>
      </c>
      <c r="C188" s="5">
        <v>0.6081481481481481</v>
      </c>
      <c r="D188" s="8" t="s">
        <v>8042</v>
      </c>
      <c r="E188" s="8" t="s">
        <v>6656</v>
      </c>
      <c r="F188" s="8" t="s">
        <v>5076</v>
      </c>
      <c r="H188" s="8"/>
      <c r="I188" s="8" t="s">
        <v>7962</v>
      </c>
      <c r="J188" s="8" t="s">
        <v>2986</v>
      </c>
      <c r="K188" t="s">
        <v>7963</v>
      </c>
      <c r="L188" t="s">
        <v>7964</v>
      </c>
      <c r="M188" s="3" t="str">
        <f>HYPERLINK(склад2въезд1319202122237[[#This Row],[RelativePath]])</f>
        <v>11 С ангара на базу\E33149364_4_20251227T143544Z.jpg</v>
      </c>
    </row>
    <row r="189" spans="1:13" x14ac:dyDescent="0.25">
      <c r="A189" s="2" t="s">
        <v>22</v>
      </c>
      <c r="B189" s="4">
        <v>46019</v>
      </c>
      <c r="C189" s="5">
        <v>0.66373842592592591</v>
      </c>
      <c r="D189" s="8" t="s">
        <v>4</v>
      </c>
      <c r="E189" s="8" t="s">
        <v>8045</v>
      </c>
      <c r="F189" s="8"/>
      <c r="H189" s="8"/>
      <c r="I189" s="8" t="s">
        <v>7965</v>
      </c>
      <c r="J189" s="8" t="s">
        <v>2986</v>
      </c>
      <c r="K189" t="s">
        <v>7966</v>
      </c>
      <c r="L189" t="s">
        <v>7967</v>
      </c>
      <c r="M189" s="3" t="str">
        <f>HYPERLINK(склад2въезд1319202122237[[#This Row],[RelativePath]])</f>
        <v>11 С ангара на базу\E33149364_4_20251228T155547Z.jpg</v>
      </c>
    </row>
    <row r="190" spans="1:13" x14ac:dyDescent="0.25">
      <c r="A190" s="2" t="s">
        <v>22</v>
      </c>
      <c r="B190" s="4">
        <v>46019</v>
      </c>
      <c r="C190" s="5">
        <v>0.72548611111111116</v>
      </c>
      <c r="D190" s="8" t="s">
        <v>4</v>
      </c>
      <c r="E190" s="8" t="s">
        <v>8</v>
      </c>
      <c r="F190" s="8"/>
      <c r="H190" s="8"/>
      <c r="I190" s="8" t="s">
        <v>7968</v>
      </c>
      <c r="J190" s="8" t="s">
        <v>2986</v>
      </c>
      <c r="K190" t="s">
        <v>7969</v>
      </c>
      <c r="L190" t="s">
        <v>7970</v>
      </c>
      <c r="M190" s="3" t="str">
        <f>HYPERLINK(склад2въезд1319202122237[[#This Row],[RelativePath]])</f>
        <v>11 С ангара на базу\E33149364_4_20251228T172442Z.jpg</v>
      </c>
    </row>
    <row r="191" spans="1:13" x14ac:dyDescent="0.25">
      <c r="A191" s="2" t="s">
        <v>13</v>
      </c>
      <c r="B191" s="4">
        <v>46020</v>
      </c>
      <c r="C191" s="5">
        <v>0.50361111111111112</v>
      </c>
      <c r="D191" s="8" t="s">
        <v>290</v>
      </c>
      <c r="E191" s="8" t="s">
        <v>70</v>
      </c>
      <c r="F191" s="8" t="s">
        <v>58</v>
      </c>
      <c r="H191" s="8" t="s">
        <v>8359</v>
      </c>
      <c r="I191" s="8" t="s">
        <v>8159</v>
      </c>
      <c r="J191" s="8" t="s">
        <v>2986</v>
      </c>
      <c r="K191" t="s">
        <v>8160</v>
      </c>
      <c r="L191" t="s">
        <v>8161</v>
      </c>
      <c r="M191" s="3" t="str">
        <f>HYPERLINK(склад2въезд1319202122237[[#This Row],[RelativePath]])</f>
        <v>11 С ангара на базу\E33149364_4_20251229T120512Z.jpg</v>
      </c>
    </row>
    <row r="192" spans="1:13" x14ac:dyDescent="0.25">
      <c r="A192" s="2" t="s">
        <v>13</v>
      </c>
      <c r="B192" s="4">
        <v>46020</v>
      </c>
      <c r="C192" s="5">
        <v>0.50914351851851847</v>
      </c>
      <c r="D192" s="8" t="s">
        <v>290</v>
      </c>
      <c r="E192" s="8" t="s">
        <v>70</v>
      </c>
      <c r="F192" s="8" t="s">
        <v>58</v>
      </c>
      <c r="H192" s="8" t="s">
        <v>2936</v>
      </c>
      <c r="I192" s="8" t="s">
        <v>8162</v>
      </c>
      <c r="J192" s="8" t="s">
        <v>2986</v>
      </c>
      <c r="K192" t="s">
        <v>8163</v>
      </c>
      <c r="L192" t="s">
        <v>8164</v>
      </c>
      <c r="M192" s="3" t="str">
        <f>HYPERLINK(склад2въезд1319202122237[[#This Row],[RelativePath]])</f>
        <v>11 С ангара на базу\E33149364_4_20251229T121310Z.jpg</v>
      </c>
    </row>
    <row r="193" spans="1:13" x14ac:dyDescent="0.25">
      <c r="A193" s="2" t="s">
        <v>13</v>
      </c>
      <c r="B193" s="4">
        <v>46020</v>
      </c>
      <c r="C193" s="5">
        <v>0.50972222222222219</v>
      </c>
      <c r="D193" s="8" t="s">
        <v>290</v>
      </c>
      <c r="E193" s="8" t="s">
        <v>70</v>
      </c>
      <c r="F193" s="8" t="s">
        <v>58</v>
      </c>
      <c r="H193" s="8" t="s">
        <v>2936</v>
      </c>
      <c r="I193" s="8" t="s">
        <v>8165</v>
      </c>
      <c r="J193" s="8" t="s">
        <v>2986</v>
      </c>
      <c r="K193" t="s">
        <v>8166</v>
      </c>
      <c r="L193" t="s">
        <v>8167</v>
      </c>
      <c r="M193" s="3" t="str">
        <f>HYPERLINK(склад2въезд1319202122237[[#This Row],[RelativePath]])</f>
        <v>11 С ангара на базу\E33149364_4_20251229T121400Z.jpg</v>
      </c>
    </row>
    <row r="194" spans="1:13" x14ac:dyDescent="0.25">
      <c r="A194" s="2" t="s">
        <v>13</v>
      </c>
      <c r="B194" s="4">
        <v>46020</v>
      </c>
      <c r="C194" s="5">
        <v>0.51461805555555551</v>
      </c>
      <c r="D194" s="8" t="s">
        <v>290</v>
      </c>
      <c r="E194" s="8" t="s">
        <v>70</v>
      </c>
      <c r="F194" s="8" t="s">
        <v>58</v>
      </c>
      <c r="H194" s="8" t="s">
        <v>2936</v>
      </c>
      <c r="I194" s="8" t="s">
        <v>8168</v>
      </c>
      <c r="J194" s="8" t="s">
        <v>2986</v>
      </c>
      <c r="K194" t="s">
        <v>8169</v>
      </c>
      <c r="L194" t="s">
        <v>8170</v>
      </c>
      <c r="M194" s="3" t="str">
        <f>HYPERLINK(склад2въезд1319202122237[[#This Row],[RelativePath]])</f>
        <v>11 С ангара на базу\E33149364_4_20251229T122103Z.jpg</v>
      </c>
    </row>
    <row r="195" spans="1:13" x14ac:dyDescent="0.25">
      <c r="A195" s="2" t="s">
        <v>13</v>
      </c>
      <c r="B195" s="4">
        <v>46020</v>
      </c>
      <c r="C195" s="5">
        <v>0.51518518518518519</v>
      </c>
      <c r="D195" s="8" t="s">
        <v>290</v>
      </c>
      <c r="E195" s="8" t="s">
        <v>70</v>
      </c>
      <c r="F195" s="8" t="s">
        <v>58</v>
      </c>
      <c r="H195" s="8" t="s">
        <v>2936</v>
      </c>
      <c r="I195" s="8" t="s">
        <v>8171</v>
      </c>
      <c r="J195" s="8" t="s">
        <v>2986</v>
      </c>
      <c r="K195" t="s">
        <v>8172</v>
      </c>
      <c r="L195" t="s">
        <v>8173</v>
      </c>
      <c r="M195" s="3" t="str">
        <f>HYPERLINK(склад2въезд1319202122237[[#This Row],[RelativePath]])</f>
        <v>11 С ангара на базу\E33149364_4_20251229T122152Z.jpg</v>
      </c>
    </row>
    <row r="196" spans="1:13" x14ac:dyDescent="0.25">
      <c r="A196" s="2" t="s">
        <v>13</v>
      </c>
      <c r="B196" s="4">
        <v>46020</v>
      </c>
      <c r="C196" s="5">
        <v>0.51549768518518524</v>
      </c>
      <c r="D196" s="8" t="s">
        <v>290</v>
      </c>
      <c r="E196" s="8" t="s">
        <v>70</v>
      </c>
      <c r="F196" s="8" t="s">
        <v>58</v>
      </c>
      <c r="H196" s="8" t="s">
        <v>2936</v>
      </c>
      <c r="I196" s="8" t="s">
        <v>8174</v>
      </c>
      <c r="J196" s="8" t="s">
        <v>2986</v>
      </c>
      <c r="K196" t="s">
        <v>8175</v>
      </c>
      <c r="L196" t="s">
        <v>8176</v>
      </c>
      <c r="M196" s="3" t="str">
        <f>HYPERLINK(склад2въезд1319202122237[[#This Row],[RelativePath]])</f>
        <v>11 С ангара на базу\E33149364_4_20251229T122219Z.jpg</v>
      </c>
    </row>
    <row r="197" spans="1:13" x14ac:dyDescent="0.25">
      <c r="A197" s="2" t="s">
        <v>13</v>
      </c>
      <c r="B197" s="4">
        <v>46020</v>
      </c>
      <c r="C197" s="5">
        <v>0.51731481481481478</v>
      </c>
      <c r="D197" s="8" t="s">
        <v>650</v>
      </c>
      <c r="E197" s="8" t="s">
        <v>70</v>
      </c>
      <c r="F197" s="8" t="s">
        <v>51</v>
      </c>
      <c r="H197" s="8"/>
      <c r="I197" s="8" t="s">
        <v>8177</v>
      </c>
      <c r="J197" s="8" t="s">
        <v>2986</v>
      </c>
      <c r="K197" t="s">
        <v>8178</v>
      </c>
      <c r="L197" t="s">
        <v>8179</v>
      </c>
      <c r="M197" s="3" t="str">
        <f>HYPERLINK(склад2въезд1319202122237[[#This Row],[RelativePath]])</f>
        <v>11 С ангара на базу\E33149364_4_20251229T122456Z.jpg</v>
      </c>
    </row>
    <row r="198" spans="1:13" x14ac:dyDescent="0.25">
      <c r="A198" s="2" t="s">
        <v>13</v>
      </c>
      <c r="B198" s="4">
        <v>46020</v>
      </c>
      <c r="C198" s="5">
        <v>0.64732638888888894</v>
      </c>
      <c r="D198" s="8" t="s">
        <v>650</v>
      </c>
      <c r="E198" s="8" t="s">
        <v>8360</v>
      </c>
      <c r="F198" s="8" t="s">
        <v>1621</v>
      </c>
      <c r="H198" s="8"/>
      <c r="I198" s="8" t="s">
        <v>8180</v>
      </c>
      <c r="J198" s="8" t="s">
        <v>2986</v>
      </c>
      <c r="K198" t="s">
        <v>8181</v>
      </c>
      <c r="L198" t="s">
        <v>8182</v>
      </c>
      <c r="M198" s="3" t="str">
        <f>HYPERLINK(склад2въезд1319202122237[[#This Row],[RelativePath]])</f>
        <v>11 С ангара на базу\E33149364_4_20251229T153209Z.jpg</v>
      </c>
    </row>
    <row r="199" spans="1:13" x14ac:dyDescent="0.25">
      <c r="A199" s="2" t="s">
        <v>14</v>
      </c>
      <c r="B199" s="4">
        <v>46021</v>
      </c>
      <c r="C199" s="5">
        <v>0.42348379629629629</v>
      </c>
      <c r="D199" s="8" t="s">
        <v>4</v>
      </c>
      <c r="E199" s="8" t="s">
        <v>8045</v>
      </c>
      <c r="F199" s="8"/>
      <c r="H199" s="8"/>
      <c r="I199" s="8" t="s">
        <v>8183</v>
      </c>
      <c r="J199" s="8" t="s">
        <v>2986</v>
      </c>
      <c r="K199" t="s">
        <v>8184</v>
      </c>
      <c r="L199" t="s">
        <v>8185</v>
      </c>
      <c r="M199" s="3" t="str">
        <f>HYPERLINK(склад2въезд1319202122237[[#This Row],[RelativePath]])</f>
        <v>11 С ангара на базу\E33149364_4_20251230T100949Z.jpg</v>
      </c>
    </row>
    <row r="200" spans="1:13" x14ac:dyDescent="0.25">
      <c r="A200" s="2" t="s">
        <v>14</v>
      </c>
      <c r="B200" s="4">
        <v>46021</v>
      </c>
      <c r="C200" s="5">
        <v>0.49765046296296295</v>
      </c>
      <c r="D200" s="8" t="s">
        <v>4</v>
      </c>
      <c r="E200" s="8" t="s">
        <v>8045</v>
      </c>
      <c r="F200" s="8"/>
      <c r="H200" s="8"/>
      <c r="I200" s="8" t="s">
        <v>8186</v>
      </c>
      <c r="J200" s="8" t="s">
        <v>2986</v>
      </c>
      <c r="K200" t="s">
        <v>8187</v>
      </c>
      <c r="L200" t="s">
        <v>8188</v>
      </c>
      <c r="M200" s="3" t="str">
        <f>HYPERLINK(склад2въезд1319202122237[[#This Row],[RelativePath]])</f>
        <v>11 С ангара на базу\E33149364_4_20251230T115637Z.jpg</v>
      </c>
    </row>
    <row r="201" spans="1:13" x14ac:dyDescent="0.25">
      <c r="A201" s="2" t="s">
        <v>15</v>
      </c>
      <c r="B201" s="4">
        <v>46022</v>
      </c>
      <c r="C201" s="5">
        <v>0.69421296296296298</v>
      </c>
      <c r="D201" s="8" t="s">
        <v>2004</v>
      </c>
      <c r="E201" s="8" t="s">
        <v>8</v>
      </c>
      <c r="F201" s="8"/>
      <c r="H201" s="8"/>
      <c r="I201" s="8" t="s">
        <v>8189</v>
      </c>
      <c r="J201" s="8" t="s">
        <v>2986</v>
      </c>
      <c r="K201" t="s">
        <v>8190</v>
      </c>
      <c r="L201" t="s">
        <v>8191</v>
      </c>
      <c r="M201" s="3" t="str">
        <f>HYPERLINK(склад2въезд1319202122237[[#This Row],[RelativePath]])</f>
        <v>11 С ангара на базу\E33149364_4_20251231T163940Z.jpg</v>
      </c>
    </row>
    <row r="202" spans="1:13" x14ac:dyDescent="0.25">
      <c r="A202" s="2" t="s">
        <v>16</v>
      </c>
      <c r="B202" s="4">
        <v>46023</v>
      </c>
      <c r="C202" s="5">
        <v>0.44069444444444444</v>
      </c>
      <c r="D202" s="8" t="s">
        <v>4</v>
      </c>
      <c r="E202" s="8" t="s">
        <v>8045</v>
      </c>
      <c r="F202" s="8"/>
      <c r="H202" s="8"/>
      <c r="I202" s="8" t="s">
        <v>8192</v>
      </c>
      <c r="J202" s="8" t="s">
        <v>2986</v>
      </c>
      <c r="K202" t="s">
        <v>8193</v>
      </c>
      <c r="L202" t="s">
        <v>8194</v>
      </c>
      <c r="M202" s="3" t="str">
        <f>HYPERLINK(склад2въезд1319202122237[[#This Row],[RelativePath]])</f>
        <v>11 С ангара на базу\E33149364_4_20260101T103436Z.jpg</v>
      </c>
    </row>
    <row r="203" spans="1:13" x14ac:dyDescent="0.25">
      <c r="A203" s="2" t="s">
        <v>16</v>
      </c>
      <c r="B203" s="4">
        <v>46023</v>
      </c>
      <c r="C203" s="5">
        <v>0.67825231481481485</v>
      </c>
      <c r="D203" s="8" t="s">
        <v>4</v>
      </c>
      <c r="E203" s="8" t="s">
        <v>8045</v>
      </c>
      <c r="F203" s="8"/>
      <c r="H203" s="8"/>
      <c r="I203" s="8" t="s">
        <v>8195</v>
      </c>
      <c r="J203" s="8" t="s">
        <v>2986</v>
      </c>
      <c r="K203" t="s">
        <v>8196</v>
      </c>
      <c r="L203" t="s">
        <v>8197</v>
      </c>
      <c r="M203" s="3" t="str">
        <f>HYPERLINK(склад2въезд1319202122237[[#This Row],[RelativePath]])</f>
        <v>11 С ангара на базу\E33149364_4_20260101T161641Z.jpg</v>
      </c>
    </row>
    <row r="204" spans="1:13" x14ac:dyDescent="0.25">
      <c r="A204" s="2" t="s">
        <v>17</v>
      </c>
      <c r="B204" s="4">
        <v>46024</v>
      </c>
      <c r="C204" s="5">
        <v>0.63831018518518523</v>
      </c>
      <c r="D204" s="8" t="s">
        <v>2004</v>
      </c>
      <c r="E204" s="8" t="s">
        <v>8</v>
      </c>
      <c r="F204" s="8"/>
      <c r="H204" s="8"/>
      <c r="I204" s="8" t="s">
        <v>8447</v>
      </c>
      <c r="J204" s="8" t="s">
        <v>2986</v>
      </c>
      <c r="K204" t="s">
        <v>8448</v>
      </c>
      <c r="L204" t="s">
        <v>8449</v>
      </c>
      <c r="M204" s="3" t="str">
        <f>HYPERLINK(склад2въезд1319202122237[[#This Row],[RelativePath]])</f>
        <v>11 С ангара на базу\E33149364_4_20260102T151910Z.jpg</v>
      </c>
    </row>
    <row r="205" spans="1:13" x14ac:dyDescent="0.25">
      <c r="A205" s="2" t="s">
        <v>18</v>
      </c>
      <c r="B205" s="4">
        <v>46025</v>
      </c>
      <c r="C205" s="5">
        <v>0.67575231481481479</v>
      </c>
      <c r="D205" s="8" t="s">
        <v>2004</v>
      </c>
      <c r="E205" s="8" t="s">
        <v>8</v>
      </c>
      <c r="F205" s="8"/>
      <c r="H205" s="8"/>
      <c r="I205" s="8" t="s">
        <v>8450</v>
      </c>
      <c r="J205" s="8" t="s">
        <v>2986</v>
      </c>
      <c r="K205" t="s">
        <v>8451</v>
      </c>
      <c r="L205" t="s">
        <v>8452</v>
      </c>
      <c r="M205" s="3" t="str">
        <f>HYPERLINK(склад2въезд1319202122237[[#This Row],[RelativePath]])</f>
        <v>11 С ангара на базу\E33149364_4_20260103T161305Z.jpg</v>
      </c>
    </row>
    <row r="206" spans="1:13" x14ac:dyDescent="0.25">
      <c r="A206" s="2" t="s">
        <v>22</v>
      </c>
      <c r="B206" s="4">
        <v>46026</v>
      </c>
      <c r="C206" s="5">
        <v>0.6702893518518519</v>
      </c>
      <c r="D206" s="8" t="s">
        <v>2004</v>
      </c>
      <c r="E206" s="8" t="s">
        <v>8</v>
      </c>
      <c r="F206" s="8"/>
      <c r="H206" s="8"/>
      <c r="I206" s="8" t="s">
        <v>8453</v>
      </c>
      <c r="J206" s="8" t="s">
        <v>2986</v>
      </c>
      <c r="K206" t="s">
        <v>8454</v>
      </c>
      <c r="L206" t="s">
        <v>8455</v>
      </c>
      <c r="M206" s="3" t="str">
        <f>HYPERLINK(склад2въезд1319202122237[[#This Row],[RelativePath]])</f>
        <v>11 С ангара на базу\E33149364_4_20260104T160513Z.jpg</v>
      </c>
    </row>
    <row r="207" spans="1:13" x14ac:dyDescent="0.25">
      <c r="A207" s="2" t="s">
        <v>13</v>
      </c>
      <c r="B207" s="4">
        <v>46027</v>
      </c>
      <c r="C207" s="5">
        <v>0.4211226851851852</v>
      </c>
      <c r="D207" s="8" t="s">
        <v>4</v>
      </c>
      <c r="E207" s="8" t="s">
        <v>8045</v>
      </c>
      <c r="F207" s="8"/>
      <c r="H207" s="8"/>
      <c r="I207" s="8" t="s">
        <v>8724</v>
      </c>
      <c r="J207" s="8" t="s">
        <v>2986</v>
      </c>
      <c r="K207" t="s">
        <v>8725</v>
      </c>
      <c r="L207" t="s">
        <v>8726</v>
      </c>
      <c r="M207" s="3" t="str">
        <f>HYPERLINK(склад2въезд1319202122237[[#This Row],[RelativePath]])</f>
        <v>11 С ангара на базу\E33149364_4_20260105T100625Z.jpg</v>
      </c>
    </row>
    <row r="208" spans="1:13" x14ac:dyDescent="0.25">
      <c r="A208" s="2" t="s">
        <v>13</v>
      </c>
      <c r="B208" s="4">
        <v>46027</v>
      </c>
      <c r="C208" s="5">
        <v>0.65682870370370372</v>
      </c>
      <c r="D208" s="8" t="s">
        <v>4</v>
      </c>
      <c r="E208" s="8" t="s">
        <v>8045</v>
      </c>
      <c r="F208" s="8"/>
      <c r="H208" s="8"/>
      <c r="I208" s="8" t="s">
        <v>8727</v>
      </c>
      <c r="J208" s="8" t="s">
        <v>2986</v>
      </c>
      <c r="K208" t="s">
        <v>8728</v>
      </c>
      <c r="L208" t="s">
        <v>8729</v>
      </c>
      <c r="M208" s="3" t="str">
        <f>HYPERLINK(склад2въезд1319202122237[[#This Row],[RelativePath]])</f>
        <v>11 С ангара на базу\E33149364_4_20260105T154550Z.jpg</v>
      </c>
    </row>
    <row r="209" spans="1:13" x14ac:dyDescent="0.25">
      <c r="A209" s="2" t="s">
        <v>14</v>
      </c>
      <c r="B209" s="4">
        <v>46028</v>
      </c>
      <c r="C209" s="5">
        <v>0.43730324074074073</v>
      </c>
      <c r="D209" s="8" t="s">
        <v>4</v>
      </c>
      <c r="E209" s="8" t="s">
        <v>8045</v>
      </c>
      <c r="F209" s="8"/>
      <c r="H209" s="8"/>
      <c r="I209" s="8" t="s">
        <v>8730</v>
      </c>
      <c r="J209" s="8" t="s">
        <v>2986</v>
      </c>
      <c r="K209" t="s">
        <v>8731</v>
      </c>
      <c r="L209" t="s">
        <v>8732</v>
      </c>
      <c r="M209" s="3" t="str">
        <f>HYPERLINK(склад2въезд1319202122237[[#This Row],[RelativePath]])</f>
        <v>11 С ангара на базу\E33149364_4_20260106T102943Z.jpg</v>
      </c>
    </row>
    <row r="210" spans="1:13" x14ac:dyDescent="0.25">
      <c r="A210" s="2" t="s">
        <v>14</v>
      </c>
      <c r="B210" s="4">
        <v>46028</v>
      </c>
      <c r="C210" s="5">
        <v>0.64818287037037037</v>
      </c>
      <c r="D210" s="8" t="s">
        <v>4</v>
      </c>
      <c r="E210" s="8" t="s">
        <v>8045</v>
      </c>
      <c r="F210" s="8"/>
      <c r="H210" s="8"/>
      <c r="I210" s="8" t="s">
        <v>8733</v>
      </c>
      <c r="J210" s="8" t="s">
        <v>2986</v>
      </c>
      <c r="K210" t="s">
        <v>8734</v>
      </c>
      <c r="L210" t="s">
        <v>8735</v>
      </c>
      <c r="M210" s="3" t="str">
        <f>HYPERLINK(склад2въезд1319202122237[[#This Row],[RelativePath]])</f>
        <v>11 С ангара на базу\E33149364_4_20260106T153323Z.jpg</v>
      </c>
    </row>
    <row r="211" spans="1:13" x14ac:dyDescent="0.25">
      <c r="A211" s="2" t="s">
        <v>15</v>
      </c>
      <c r="B211" s="4">
        <v>46029</v>
      </c>
      <c r="C211" s="5">
        <v>0.43583333333333335</v>
      </c>
      <c r="D211" s="8" t="s">
        <v>4</v>
      </c>
      <c r="E211" s="8" t="s">
        <v>8045</v>
      </c>
      <c r="F211" s="8"/>
      <c r="H211" s="8"/>
      <c r="I211" s="8" t="s">
        <v>8736</v>
      </c>
      <c r="J211" s="8" t="s">
        <v>2986</v>
      </c>
      <c r="K211" t="s">
        <v>8737</v>
      </c>
      <c r="L211" t="s">
        <v>8738</v>
      </c>
      <c r="M211" s="3" t="str">
        <f>HYPERLINK(склад2въезд1319202122237[[#This Row],[RelativePath]])</f>
        <v>11 С ангара на базу\E33149364_4_20260107T102736Z.jpg</v>
      </c>
    </row>
    <row r="212" spans="1:13" x14ac:dyDescent="0.25">
      <c r="A212" s="2" t="s">
        <v>15</v>
      </c>
      <c r="B212" s="4">
        <v>46029</v>
      </c>
      <c r="C212" s="5">
        <v>0.65261574074074069</v>
      </c>
      <c r="D212" s="8" t="s">
        <v>4</v>
      </c>
      <c r="E212" s="8" t="s">
        <v>8045</v>
      </c>
      <c r="F212" s="8"/>
      <c r="H212" s="8"/>
      <c r="I212" s="8" t="s">
        <v>8739</v>
      </c>
      <c r="J212" s="8" t="s">
        <v>2986</v>
      </c>
      <c r="K212" t="s">
        <v>8740</v>
      </c>
      <c r="L212" t="s">
        <v>8741</v>
      </c>
      <c r="M212" s="3" t="str">
        <f>HYPERLINK(склад2въезд1319202122237[[#This Row],[RelativePath]])</f>
        <v>11 С ангара на базу\E33149364_4_20260107T153946Z.jpg</v>
      </c>
    </row>
    <row r="213" spans="1:13" x14ac:dyDescent="0.25">
      <c r="A213" s="2" t="s">
        <v>16</v>
      </c>
      <c r="B213" s="4">
        <v>46030</v>
      </c>
      <c r="C213" s="5">
        <v>0.4849074074074074</v>
      </c>
      <c r="D213" s="8" t="s">
        <v>4</v>
      </c>
      <c r="E213" s="8" t="s">
        <v>8045</v>
      </c>
      <c r="F213" s="8"/>
      <c r="H213" s="8"/>
      <c r="I213" s="8" t="s">
        <v>8742</v>
      </c>
      <c r="J213" s="8" t="s">
        <v>2986</v>
      </c>
      <c r="K213" t="s">
        <v>8743</v>
      </c>
      <c r="L213" t="s">
        <v>8744</v>
      </c>
      <c r="M213" s="3" t="str">
        <f>HYPERLINK(склад2въезд1319202122237[[#This Row],[RelativePath]])</f>
        <v>11 С ангара на базу\E33149364_4_20260108T113816Z.jpg</v>
      </c>
    </row>
    <row r="214" spans="1:13" x14ac:dyDescent="0.25">
      <c r="A214" s="2" t="s">
        <v>16</v>
      </c>
      <c r="B214" s="4">
        <v>46030</v>
      </c>
      <c r="C214" s="5">
        <v>0.73052083333333329</v>
      </c>
      <c r="D214" s="8" t="s">
        <v>2004</v>
      </c>
      <c r="E214" s="8" t="s">
        <v>8</v>
      </c>
      <c r="F214" s="8"/>
      <c r="H214" s="8"/>
      <c r="I214" s="8" t="s">
        <v>8745</v>
      </c>
      <c r="J214" s="8" t="s">
        <v>2986</v>
      </c>
      <c r="K214" t="s">
        <v>8746</v>
      </c>
      <c r="L214" t="s">
        <v>8747</v>
      </c>
      <c r="M214" s="3" t="str">
        <f>HYPERLINK(склад2въезд1319202122237[[#This Row],[RelativePath]])</f>
        <v>11 С ангара на базу\E33149364_4_20260108T173157Z.jpg</v>
      </c>
    </row>
    <row r="215" spans="1:13" x14ac:dyDescent="0.25">
      <c r="A215" s="2" t="s">
        <v>17</v>
      </c>
      <c r="B215" s="4">
        <v>46031</v>
      </c>
      <c r="C215" s="5">
        <v>0.53684027777777776</v>
      </c>
      <c r="D215" s="8" t="s">
        <v>4</v>
      </c>
      <c r="E215" s="8" t="s">
        <v>8045</v>
      </c>
      <c r="F215" s="8"/>
      <c r="H215" s="8"/>
      <c r="I215" s="8" t="s">
        <v>8748</v>
      </c>
      <c r="J215" s="8" t="s">
        <v>2986</v>
      </c>
      <c r="K215" t="s">
        <v>8749</v>
      </c>
      <c r="L215" t="s">
        <v>8750</v>
      </c>
      <c r="M215" s="3" t="str">
        <f>HYPERLINK(склад2въезд1319202122237[[#This Row],[RelativePath]])</f>
        <v>11 С ангара на базу\E33149364_4_20260109T125303Z.jpg</v>
      </c>
    </row>
    <row r="216" spans="1:13" x14ac:dyDescent="0.25">
      <c r="A216" s="2" t="s">
        <v>18</v>
      </c>
      <c r="B216" s="4">
        <v>46032</v>
      </c>
      <c r="C216" s="5">
        <v>0.5581828703703704</v>
      </c>
      <c r="D216" s="8" t="s">
        <v>4</v>
      </c>
      <c r="E216" s="8" t="s">
        <v>8827</v>
      </c>
      <c r="F216" s="8"/>
      <c r="H216" s="8"/>
      <c r="I216" s="8" t="s">
        <v>8751</v>
      </c>
      <c r="J216" s="8" t="s">
        <v>2986</v>
      </c>
      <c r="K216" t="s">
        <v>8752</v>
      </c>
      <c r="L216" t="s">
        <v>8753</v>
      </c>
      <c r="M216" s="3" t="str">
        <f>HYPERLINK(склад2въезд1319202122237[[#This Row],[RelativePath]])</f>
        <v>11 С ангара на базу\E33149364_4_20260110T132347Z.jpg</v>
      </c>
    </row>
    <row r="217" spans="1:13" x14ac:dyDescent="0.25">
      <c r="A217" s="2" t="s">
        <v>22</v>
      </c>
      <c r="B217" s="4">
        <v>46033</v>
      </c>
      <c r="C217" s="5">
        <v>0.66547453703703707</v>
      </c>
      <c r="D217" s="8" t="s">
        <v>2004</v>
      </c>
      <c r="E217" s="8" t="s">
        <v>8</v>
      </c>
      <c r="F217" s="8"/>
      <c r="H217" s="8"/>
      <c r="I217" s="8" t="s">
        <v>8754</v>
      </c>
      <c r="J217" s="8" t="s">
        <v>2986</v>
      </c>
      <c r="K217" t="s">
        <v>8755</v>
      </c>
      <c r="L217" t="s">
        <v>8756</v>
      </c>
      <c r="M217" s="3" t="str">
        <f>HYPERLINK(склад2въезд1319202122237[[#This Row],[RelativePath]])</f>
        <v>11 С ангара на базу\E33149364_4_20260111T155817Z.jpg</v>
      </c>
    </row>
  </sheetData>
  <conditionalFormatting sqref="D218:D228 E218:E231 G2:H217 D2:E217">
    <cfRule type="containsText" dxfId="592" priority="14" operator="containsText" text="Выезд с территории">
      <formula>NOT(ISERROR(SEARCH("Выезд с территории",D2)))</formula>
    </cfRule>
  </conditionalFormatting>
  <conditionalFormatting sqref="F2:F217">
    <cfRule type="notContainsText" dxfId="591" priority="13" operator="notContains" text="порожний">
      <formula>ISERROR(SEARCH("порожний",F2))</formula>
    </cfRule>
  </conditionalFormatting>
  <conditionalFormatting sqref="E2:E231">
    <cfRule type="containsText" dxfId="590" priority="11" operator="containsText" text="Газель базы">
      <formula>NOT(ISERROR(SEARCH("Газель базы",E2)))</formula>
    </cfRule>
    <cfRule type="containsText" dxfId="589" priority="12" operator="containsText" text="Погрузчик базы">
      <formula>NOT(ISERROR(SEARCH("Погрузчик базы",E2)))</formula>
    </cfRule>
  </conditionalFormatting>
  <conditionalFormatting sqref="E2:E231">
    <cfRule type="containsText" dxfId="588" priority="10" operator="containsText" text="Трактор базы">
      <formula>NOT(ISERROR(SEARCH("Трактор базы",E2)))</formula>
    </cfRule>
  </conditionalFormatting>
  <conditionalFormatting sqref="A2:C217">
    <cfRule type="expression" dxfId="587" priority="9">
      <formula>$A2="пн"</formula>
    </cfRule>
  </conditionalFormatting>
  <conditionalFormatting sqref="A2:C219">
    <cfRule type="expression" dxfId="586" priority="3">
      <formula>$A2="вс"</formula>
    </cfRule>
    <cfRule type="expression" dxfId="585" priority="4">
      <formula>$A2="сб"</formula>
    </cfRule>
    <cfRule type="expression" dxfId="584" priority="5">
      <formula>$A2="пт"</formula>
    </cfRule>
    <cfRule type="expression" dxfId="583" priority="6">
      <formula>$A2="чт"</formula>
    </cfRule>
    <cfRule type="expression" dxfId="582" priority="7">
      <formula>$A2="ср"</formula>
    </cfRule>
    <cfRule type="expression" dxfId="581" priority="8">
      <formula>$A2="вт"</formula>
    </cfRule>
  </conditionalFormatting>
  <conditionalFormatting sqref="D2:D228">
    <cfRule type="containsText" dxfId="58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28">
    <cfRule type="containsText" dxfId="57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139"/>
  <sheetViews>
    <sheetView zoomScale="90" zoomScaleNormal="90" workbookViewId="0">
      <pane ySplit="1" topLeftCell="A116" activePane="bottomLeft" state="frozen"/>
      <selection pane="bottomLeft" activeCell="I133" sqref="I133:I13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25.28515625" bestFit="1" customWidth="1"/>
    <col min="6" max="6" width="15.5703125" bestFit="1" customWidth="1"/>
    <col min="7" max="7" width="7.28515625" bestFit="1" customWidth="1"/>
    <col min="8" max="8" width="20.5703125" bestFit="1" customWidth="1"/>
    <col min="9" max="9" width="36.7109375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s="8" t="s">
        <v>4</v>
      </c>
      <c r="E2" s="8" t="s">
        <v>8</v>
      </c>
      <c r="F2" s="8"/>
      <c r="H2" s="8" t="s">
        <v>5</v>
      </c>
      <c r="I2" s="8" t="s">
        <v>1826</v>
      </c>
      <c r="J2" s="8" t="s">
        <v>2987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s="8" t="s">
        <v>4</v>
      </c>
      <c r="E3" s="8" t="s">
        <v>8</v>
      </c>
      <c r="F3" s="8"/>
      <c r="H3" s="8"/>
      <c r="I3" s="8" t="s">
        <v>1829</v>
      </c>
      <c r="J3" s="8" t="s">
        <v>2987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s="8" t="s">
        <v>4</v>
      </c>
      <c r="E4" s="8" t="s">
        <v>8</v>
      </c>
      <c r="F4" s="8"/>
      <c r="H4" s="8"/>
      <c r="I4" s="8" t="s">
        <v>1832</v>
      </c>
      <c r="J4" s="8" t="s">
        <v>2987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s="8" t="s">
        <v>4</v>
      </c>
      <c r="E5" s="8" t="s">
        <v>1935</v>
      </c>
      <c r="F5" s="8"/>
      <c r="H5" s="8"/>
      <c r="I5" s="8" t="s">
        <v>1835</v>
      </c>
      <c r="J5" s="8" t="s">
        <v>2987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s="8" t="s">
        <v>4</v>
      </c>
      <c r="E6" s="8" t="s">
        <v>8</v>
      </c>
      <c r="F6" s="8"/>
      <c r="H6" s="8"/>
      <c r="I6" s="8" t="s">
        <v>1838</v>
      </c>
      <c r="J6" s="8" t="s">
        <v>2987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s="8" t="s">
        <v>4</v>
      </c>
      <c r="E7" s="8" t="s">
        <v>8</v>
      </c>
      <c r="F7" s="8"/>
      <c r="H7" s="8"/>
      <c r="I7" s="8" t="s">
        <v>1841</v>
      </c>
      <c r="J7" s="8" t="s">
        <v>2987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s="8" t="s">
        <v>4</v>
      </c>
      <c r="E8" s="8" t="s">
        <v>21</v>
      </c>
      <c r="F8" s="8"/>
      <c r="H8" s="8"/>
      <c r="I8" s="8" t="s">
        <v>1844</v>
      </c>
      <c r="J8" s="8" t="s">
        <v>2987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s="8" t="s">
        <v>4</v>
      </c>
      <c r="E9" s="8" t="s">
        <v>8</v>
      </c>
      <c r="F9" s="8"/>
      <c r="H9" s="8"/>
      <c r="I9" s="8" t="s">
        <v>1847</v>
      </c>
      <c r="J9" s="8" t="s">
        <v>2987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s="8" t="s">
        <v>4</v>
      </c>
      <c r="E10" s="8" t="s">
        <v>8</v>
      </c>
      <c r="F10" s="8"/>
      <c r="H10" s="8"/>
      <c r="I10" s="8" t="s">
        <v>1850</v>
      </c>
      <c r="J10" s="8" t="s">
        <v>2987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s="8" t="s">
        <v>4</v>
      </c>
      <c r="E11" s="8" t="s">
        <v>8</v>
      </c>
      <c r="F11" s="8"/>
      <c r="H11" s="8" t="s">
        <v>1625</v>
      </c>
      <c r="I11" s="8" t="s">
        <v>1853</v>
      </c>
      <c r="J11" s="8" t="s">
        <v>2987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s="8" t="s">
        <v>4</v>
      </c>
      <c r="E12" s="8" t="s">
        <v>1936</v>
      </c>
      <c r="F12" s="8"/>
      <c r="H12" s="8"/>
      <c r="I12" s="8" t="s">
        <v>1856</v>
      </c>
      <c r="J12" s="8" t="s">
        <v>2987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s="8" t="s">
        <v>4</v>
      </c>
      <c r="E13" s="8" t="s">
        <v>1936</v>
      </c>
      <c r="F13" s="8"/>
      <c r="H13" s="8"/>
      <c r="I13" s="8" t="s">
        <v>1859</v>
      </c>
      <c r="J13" s="8" t="s">
        <v>2987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s="8" t="s">
        <v>4</v>
      </c>
      <c r="E14" s="8" t="s">
        <v>8</v>
      </c>
      <c r="F14" s="8"/>
      <c r="H14" s="8" t="s">
        <v>5</v>
      </c>
      <c r="I14" s="8" t="s">
        <v>1862</v>
      </c>
      <c r="J14" s="8" t="s">
        <v>2987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s="8" t="s">
        <v>4</v>
      </c>
      <c r="E15" s="8" t="s">
        <v>8</v>
      </c>
      <c r="F15" s="8"/>
      <c r="H15" s="8"/>
      <c r="I15" s="8" t="s">
        <v>1865</v>
      </c>
      <c r="J15" s="8" t="s">
        <v>2987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s="8" t="s">
        <v>4</v>
      </c>
      <c r="E16" s="8" t="s">
        <v>8</v>
      </c>
      <c r="F16" s="8"/>
      <c r="H16" s="8"/>
      <c r="I16" s="8" t="s">
        <v>1868</v>
      </c>
      <c r="J16" s="8" t="s">
        <v>2987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s="8" t="s">
        <v>4</v>
      </c>
      <c r="E17" s="8" t="s">
        <v>8</v>
      </c>
      <c r="F17" s="8"/>
      <c r="H17" s="8"/>
      <c r="I17" s="8" t="s">
        <v>1871</v>
      </c>
      <c r="J17" s="8" t="s">
        <v>2987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s="8" t="s">
        <v>4</v>
      </c>
      <c r="E18" s="8" t="s">
        <v>8</v>
      </c>
      <c r="F18" s="8"/>
      <c r="H18" s="8" t="s">
        <v>1625</v>
      </c>
      <c r="I18" s="8" t="s">
        <v>1874</v>
      </c>
      <c r="J18" s="8" t="s">
        <v>2987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s="8" t="s">
        <v>4</v>
      </c>
      <c r="E19" s="8" t="s">
        <v>8</v>
      </c>
      <c r="F19" s="8"/>
      <c r="H19" s="8"/>
      <c r="I19" s="8" t="s">
        <v>1877</v>
      </c>
      <c r="J19" s="8" t="s">
        <v>2987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s="8" t="s">
        <v>4</v>
      </c>
      <c r="E20" s="8" t="s">
        <v>8</v>
      </c>
      <c r="F20" s="8"/>
      <c r="H20" s="8"/>
      <c r="I20" s="8" t="s">
        <v>1880</v>
      </c>
      <c r="J20" s="8" t="s">
        <v>2987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s="8" t="s">
        <v>4</v>
      </c>
      <c r="E21" s="8" t="s">
        <v>21</v>
      </c>
      <c r="F21" s="8"/>
      <c r="H21" s="8"/>
      <c r="I21" s="8" t="s">
        <v>1883</v>
      </c>
      <c r="J21" s="8" t="s">
        <v>2987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s="8" t="s">
        <v>4</v>
      </c>
      <c r="E22" s="8" t="s">
        <v>8</v>
      </c>
      <c r="F22" s="8"/>
      <c r="H22" s="8"/>
      <c r="I22" s="8" t="s">
        <v>1886</v>
      </c>
      <c r="J22" s="8" t="s">
        <v>2987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s="8" t="s">
        <v>4</v>
      </c>
      <c r="E23" s="8" t="s">
        <v>21</v>
      </c>
      <c r="F23" s="8"/>
      <c r="H23" s="8"/>
      <c r="I23" s="8" t="s">
        <v>1889</v>
      </c>
      <c r="J23" s="8" t="s">
        <v>2987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s="8" t="s">
        <v>4</v>
      </c>
      <c r="E24" s="8" t="s">
        <v>8</v>
      </c>
      <c r="F24" s="8"/>
      <c r="H24" s="8"/>
      <c r="I24" s="8" t="s">
        <v>1892</v>
      </c>
      <c r="J24" s="8" t="s">
        <v>2987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s="8" t="s">
        <v>4</v>
      </c>
      <c r="E25" s="8" t="s">
        <v>21</v>
      </c>
      <c r="F25" s="8"/>
      <c r="H25" s="8"/>
      <c r="I25" s="8" t="s">
        <v>1895</v>
      </c>
      <c r="J25" s="8" t="s">
        <v>2987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s="8" t="s">
        <v>4</v>
      </c>
      <c r="E26" s="8" t="s">
        <v>8</v>
      </c>
      <c r="F26" s="8"/>
      <c r="H26" s="8" t="s">
        <v>1625</v>
      </c>
      <c r="I26" s="8" t="s">
        <v>1898</v>
      </c>
      <c r="J26" s="8" t="s">
        <v>2987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s="8" t="s">
        <v>4</v>
      </c>
      <c r="E27" s="8" t="s">
        <v>8</v>
      </c>
      <c r="F27" s="8"/>
      <c r="H27" s="8"/>
      <c r="I27" s="8" t="s">
        <v>1901</v>
      </c>
      <c r="J27" s="8" t="s">
        <v>2987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s="8" t="s">
        <v>289</v>
      </c>
      <c r="E28" s="8" t="s">
        <v>86</v>
      </c>
      <c r="F28" s="8" t="s">
        <v>200</v>
      </c>
      <c r="H28" s="8"/>
      <c r="I28" s="8" t="s">
        <v>1904</v>
      </c>
      <c r="J28" s="8" t="s">
        <v>2987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s="8" t="s">
        <v>289</v>
      </c>
      <c r="E29" s="8" t="s">
        <v>86</v>
      </c>
      <c r="F29" s="8" t="s">
        <v>200</v>
      </c>
      <c r="H29" s="8"/>
      <c r="I29" s="8" t="s">
        <v>1907</v>
      </c>
      <c r="J29" s="8" t="s">
        <v>2987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s="8" t="s">
        <v>289</v>
      </c>
      <c r="E30" s="8" t="s">
        <v>86</v>
      </c>
      <c r="F30" s="8" t="s">
        <v>200</v>
      </c>
      <c r="H30" s="8"/>
      <c r="I30" s="8" t="s">
        <v>1910</v>
      </c>
      <c r="J30" s="8" t="s">
        <v>2987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s="8" t="s">
        <v>289</v>
      </c>
      <c r="E31" s="8" t="s">
        <v>86</v>
      </c>
      <c r="F31" s="8" t="s">
        <v>200</v>
      </c>
      <c r="H31" s="8"/>
      <c r="I31" s="8" t="s">
        <v>1913</v>
      </c>
      <c r="J31" s="8" t="s">
        <v>2987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s="8" t="s">
        <v>4</v>
      </c>
      <c r="E32" s="8" t="s">
        <v>8</v>
      </c>
      <c r="F32" s="8"/>
      <c r="H32" s="8" t="s">
        <v>1625</v>
      </c>
      <c r="I32" s="8" t="s">
        <v>1916</v>
      </c>
      <c r="J32" s="8" t="s">
        <v>2987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s="8" t="s">
        <v>4</v>
      </c>
      <c r="E33" s="8" t="s">
        <v>8</v>
      </c>
      <c r="F33" s="8"/>
      <c r="H33" s="8" t="s">
        <v>5</v>
      </c>
      <c r="I33" s="8" t="s">
        <v>1919</v>
      </c>
      <c r="J33" s="8" t="s">
        <v>2987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s="8" t="s">
        <v>4</v>
      </c>
      <c r="E34" s="8" t="s">
        <v>8</v>
      </c>
      <c r="F34" s="8"/>
      <c r="H34" s="8" t="s">
        <v>1625</v>
      </c>
      <c r="I34" s="8" t="s">
        <v>1922</v>
      </c>
      <c r="J34" s="8" t="s">
        <v>2987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s="8" t="s">
        <v>4</v>
      </c>
      <c r="E35" s="8" t="s">
        <v>8</v>
      </c>
      <c r="F35" s="8"/>
      <c r="H35" s="8" t="s">
        <v>5</v>
      </c>
      <c r="I35" s="8" t="s">
        <v>1925</v>
      </c>
      <c r="J35" s="8" t="s">
        <v>2987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s="8" t="s">
        <v>4</v>
      </c>
      <c r="E36" s="8" t="s">
        <v>8</v>
      </c>
      <c r="F36" s="8"/>
      <c r="H36" s="8"/>
      <c r="I36" s="8" t="s">
        <v>1928</v>
      </c>
      <c r="J36" s="8" t="s">
        <v>2987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s="8" t="s">
        <v>4</v>
      </c>
      <c r="E37" s="8" t="s">
        <v>8</v>
      </c>
      <c r="F37" s="8"/>
      <c r="H37" s="8"/>
      <c r="I37" s="8" t="s">
        <v>1931</v>
      </c>
      <c r="J37" s="8" t="s">
        <v>2987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s="8" t="s">
        <v>4</v>
      </c>
      <c r="E38" s="8" t="s">
        <v>8</v>
      </c>
      <c r="F38" s="8"/>
      <c r="H38" s="8"/>
      <c r="I38" s="8" t="s">
        <v>2589</v>
      </c>
      <c r="J38" s="8" t="s">
        <v>2987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s="8" t="s">
        <v>7</v>
      </c>
      <c r="E39" s="8"/>
      <c r="F39" s="8"/>
      <c r="H39" s="8"/>
      <c r="I39" s="8" t="s">
        <v>2592</v>
      </c>
      <c r="J39" s="8" t="s">
        <v>2987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s="8" t="s">
        <v>4</v>
      </c>
      <c r="E40" s="8" t="s">
        <v>8</v>
      </c>
      <c r="F40" s="8"/>
      <c r="H40" s="8"/>
      <c r="I40" s="8" t="s">
        <v>2595</v>
      </c>
      <c r="J40" s="8" t="s">
        <v>2987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s="8" t="s">
        <v>11</v>
      </c>
      <c r="E41" s="8"/>
      <c r="F41" s="8"/>
      <c r="H41" s="8"/>
      <c r="I41" s="8" t="s">
        <v>2598</v>
      </c>
      <c r="J41" s="8" t="s">
        <v>2987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s="8" t="s">
        <v>4</v>
      </c>
      <c r="E42" s="8" t="s">
        <v>8</v>
      </c>
      <c r="F42" s="8"/>
      <c r="H42" s="8"/>
      <c r="I42" s="8" t="s">
        <v>2601</v>
      </c>
      <c r="J42" s="8" t="s">
        <v>2987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s="8" t="s">
        <v>2004</v>
      </c>
      <c r="E43" s="8"/>
      <c r="F43" s="8"/>
      <c r="H43" s="8"/>
      <c r="I43" s="8" t="s">
        <v>2604</v>
      </c>
      <c r="J43" s="8" t="s">
        <v>2987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s="8" t="s">
        <v>4</v>
      </c>
      <c r="E44" s="8" t="s">
        <v>8</v>
      </c>
      <c r="F44" s="8"/>
      <c r="H44" s="8"/>
      <c r="I44" s="8" t="s">
        <v>2607</v>
      </c>
      <c r="J44" s="8" t="s">
        <v>2987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s="8" t="s">
        <v>2004</v>
      </c>
      <c r="E45" s="8"/>
      <c r="F45" s="8"/>
      <c r="H45" s="8"/>
      <c r="I45" s="8" t="s">
        <v>2610</v>
      </c>
      <c r="J45" s="8" t="s">
        <v>2987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s="8" t="s">
        <v>4</v>
      </c>
      <c r="E46" s="8" t="s">
        <v>8</v>
      </c>
      <c r="F46" s="8"/>
      <c r="H46" s="8"/>
      <c r="I46" s="8" t="s">
        <v>2613</v>
      </c>
      <c r="J46" s="8" t="s">
        <v>2987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s="8" t="s">
        <v>2004</v>
      </c>
      <c r="E47" s="8"/>
      <c r="F47" s="8"/>
      <c r="H47" s="8"/>
      <c r="I47" s="8" t="s">
        <v>2616</v>
      </c>
      <c r="J47" s="8" t="s">
        <v>2987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s="8" t="s">
        <v>4</v>
      </c>
      <c r="E48" s="8" t="s">
        <v>8</v>
      </c>
      <c r="F48" s="8"/>
      <c r="H48" s="8"/>
      <c r="I48" s="8" t="s">
        <v>2619</v>
      </c>
      <c r="J48" s="8" t="s">
        <v>2987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s="8" t="s">
        <v>2004</v>
      </c>
      <c r="E49" s="8"/>
      <c r="F49" s="8"/>
      <c r="H49" s="8"/>
      <c r="I49" s="8" t="s">
        <v>2622</v>
      </c>
      <c r="J49" s="8" t="s">
        <v>2987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s="8" t="s">
        <v>4</v>
      </c>
      <c r="E50" s="8" t="s">
        <v>8</v>
      </c>
      <c r="F50" s="8"/>
      <c r="H50" s="8"/>
      <c r="I50" s="8" t="s">
        <v>2625</v>
      </c>
      <c r="J50" s="8" t="s">
        <v>2987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s="8" t="s">
        <v>2004</v>
      </c>
      <c r="E51" s="8"/>
      <c r="F51" s="8"/>
      <c r="H51" s="8"/>
      <c r="I51" s="8" t="s">
        <v>2628</v>
      </c>
      <c r="J51" s="8" t="s">
        <v>2987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s="8" t="s">
        <v>7</v>
      </c>
      <c r="E52" s="8"/>
      <c r="F52" s="8"/>
      <c r="H52" s="8"/>
      <c r="I52" s="8" t="s">
        <v>4127</v>
      </c>
      <c r="J52" s="8" t="s">
        <v>2987</v>
      </c>
      <c r="K52" t="s">
        <v>4128</v>
      </c>
      <c r="L52" t="s">
        <v>4129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s="8" t="s">
        <v>4246</v>
      </c>
      <c r="E53" s="8" t="s">
        <v>4247</v>
      </c>
      <c r="F53" s="8"/>
      <c r="H53" s="8"/>
      <c r="I53" s="8" t="s">
        <v>4130</v>
      </c>
      <c r="J53" s="8" t="s">
        <v>2987</v>
      </c>
      <c r="K53" t="s">
        <v>4131</v>
      </c>
      <c r="L53" t="s">
        <v>4132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s="8" t="s">
        <v>4246</v>
      </c>
      <c r="E54" s="8" t="s">
        <v>4247</v>
      </c>
      <c r="F54" s="8"/>
      <c r="H54" s="8"/>
      <c r="I54" s="8" t="s">
        <v>4133</v>
      </c>
      <c r="J54" s="8" t="s">
        <v>2987</v>
      </c>
      <c r="K54" t="s">
        <v>4134</v>
      </c>
      <c r="L54" t="s">
        <v>4135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s="8" t="s">
        <v>4246</v>
      </c>
      <c r="E55" s="8" t="s">
        <v>4247</v>
      </c>
      <c r="F55" s="8"/>
      <c r="H55" s="8"/>
      <c r="I55" s="8" t="s">
        <v>4136</v>
      </c>
      <c r="J55" s="8" t="s">
        <v>2987</v>
      </c>
      <c r="K55" t="s">
        <v>4137</v>
      </c>
      <c r="L55" t="s">
        <v>4138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s="8" t="s">
        <v>4246</v>
      </c>
      <c r="E56" s="8" t="s">
        <v>4247</v>
      </c>
      <c r="F56" s="8"/>
      <c r="H56" s="8"/>
      <c r="I56" s="8" t="s">
        <v>4139</v>
      </c>
      <c r="J56" s="8" t="s">
        <v>2987</v>
      </c>
      <c r="K56" t="s">
        <v>4140</v>
      </c>
      <c r="L56" t="s">
        <v>4141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s="8" t="s">
        <v>4246</v>
      </c>
      <c r="E57" s="8" t="s">
        <v>4247</v>
      </c>
      <c r="F57" s="8"/>
      <c r="H57" s="8"/>
      <c r="I57" s="8" t="s">
        <v>4142</v>
      </c>
      <c r="J57" s="8" t="s">
        <v>2987</v>
      </c>
      <c r="K57" t="s">
        <v>4143</v>
      </c>
      <c r="L57" t="s">
        <v>4144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s="8" t="s">
        <v>7</v>
      </c>
      <c r="E58" s="8" t="s">
        <v>4248</v>
      </c>
      <c r="F58" s="8"/>
      <c r="H58" s="8"/>
      <c r="I58" s="8" t="s">
        <v>4145</v>
      </c>
      <c r="J58" s="8" t="s">
        <v>2987</v>
      </c>
      <c r="K58" t="s">
        <v>4146</v>
      </c>
      <c r="L58" t="s">
        <v>4147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s="8" t="s">
        <v>7</v>
      </c>
      <c r="E59" s="8" t="s">
        <v>4248</v>
      </c>
      <c r="F59" s="8"/>
      <c r="H59" s="8"/>
      <c r="I59" s="8" t="s">
        <v>4148</v>
      </c>
      <c r="J59" s="8" t="s">
        <v>2987</v>
      </c>
      <c r="K59" t="s">
        <v>4149</v>
      </c>
      <c r="L59" t="s">
        <v>4150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s="8" t="s">
        <v>7</v>
      </c>
      <c r="E60" s="8" t="s">
        <v>4248</v>
      </c>
      <c r="F60" s="8"/>
      <c r="H60" s="8"/>
      <c r="I60" s="8" t="s">
        <v>4151</v>
      </c>
      <c r="J60" s="8" t="s">
        <v>2987</v>
      </c>
      <c r="K60" t="s">
        <v>4152</v>
      </c>
      <c r="L60" t="s">
        <v>4153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s="8" t="s">
        <v>7</v>
      </c>
      <c r="E61" s="8" t="s">
        <v>4248</v>
      </c>
      <c r="F61" s="8"/>
      <c r="H61" s="8"/>
      <c r="I61" s="8" t="s">
        <v>4154</v>
      </c>
      <c r="J61" s="8" t="s">
        <v>2987</v>
      </c>
      <c r="K61" t="s">
        <v>4155</v>
      </c>
      <c r="L61" t="s">
        <v>4156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s="8" t="s">
        <v>7</v>
      </c>
      <c r="E62" s="8" t="s">
        <v>4248</v>
      </c>
      <c r="F62" s="8"/>
      <c r="H62" s="8"/>
      <c r="I62" s="8" t="s">
        <v>4157</v>
      </c>
      <c r="J62" s="8" t="s">
        <v>2987</v>
      </c>
      <c r="K62" t="s">
        <v>4158</v>
      </c>
      <c r="L62" t="s">
        <v>4159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s="8" t="s">
        <v>7</v>
      </c>
      <c r="E63" s="8" t="s">
        <v>4248</v>
      </c>
      <c r="F63" s="8"/>
      <c r="H63" s="8"/>
      <c r="I63" s="8" t="s">
        <v>4160</v>
      </c>
      <c r="J63" s="8" t="s">
        <v>2987</v>
      </c>
      <c r="K63" t="s">
        <v>4161</v>
      </c>
      <c r="L63" t="s">
        <v>4162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s="8" t="s">
        <v>4</v>
      </c>
      <c r="E64" s="8" t="s">
        <v>8</v>
      </c>
      <c r="F64" s="8"/>
      <c r="H64" s="8"/>
      <c r="I64" s="8" t="s">
        <v>4163</v>
      </c>
      <c r="J64" s="8" t="s">
        <v>2987</v>
      </c>
      <c r="K64" t="s">
        <v>4164</v>
      </c>
      <c r="L64" t="s">
        <v>4165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s="8" t="s">
        <v>2004</v>
      </c>
      <c r="E65" s="8"/>
      <c r="F65" s="8"/>
      <c r="H65" s="8"/>
      <c r="I65" s="8" t="s">
        <v>4291</v>
      </c>
      <c r="J65" s="8" t="s">
        <v>2987</v>
      </c>
      <c r="K65" t="s">
        <v>4292</v>
      </c>
      <c r="L65" t="s">
        <v>4293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s="8" t="s">
        <v>4</v>
      </c>
      <c r="E66" s="8" t="s">
        <v>8</v>
      </c>
      <c r="F66" s="8"/>
      <c r="H66" s="8"/>
      <c r="I66" s="8" t="s">
        <v>4921</v>
      </c>
      <c r="J66" s="8" t="s">
        <v>2987</v>
      </c>
      <c r="K66" t="s">
        <v>4922</v>
      </c>
      <c r="L66" t="s">
        <v>4923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s="8" t="s">
        <v>4</v>
      </c>
      <c r="E67" s="8" t="s">
        <v>8</v>
      </c>
      <c r="F67" s="8"/>
      <c r="H67" s="8" t="s">
        <v>2936</v>
      </c>
      <c r="I67" s="8" t="s">
        <v>4924</v>
      </c>
      <c r="J67" s="8" t="s">
        <v>2987</v>
      </c>
      <c r="K67" t="s">
        <v>4925</v>
      </c>
      <c r="L67" t="s">
        <v>4926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s="8" t="s">
        <v>4</v>
      </c>
      <c r="E68" s="8" t="s">
        <v>8</v>
      </c>
      <c r="F68" s="8"/>
      <c r="H68" s="8" t="s">
        <v>2936</v>
      </c>
      <c r="I68" s="8" t="s">
        <v>4927</v>
      </c>
      <c r="J68" s="8" t="s">
        <v>2987</v>
      </c>
      <c r="K68" t="s">
        <v>4928</v>
      </c>
      <c r="L68" t="s">
        <v>4929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s="8" t="s">
        <v>4</v>
      </c>
      <c r="E69" s="8" t="s">
        <v>8</v>
      </c>
      <c r="F69" s="8"/>
      <c r="H69" s="8" t="s">
        <v>2936</v>
      </c>
      <c r="I69" s="8" t="s">
        <v>4930</v>
      </c>
      <c r="J69" s="8" t="s">
        <v>2987</v>
      </c>
      <c r="K69" t="s">
        <v>4931</v>
      </c>
      <c r="L69" t="s">
        <v>4932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s="8" t="s">
        <v>4</v>
      </c>
      <c r="E70" s="8" t="s">
        <v>8</v>
      </c>
      <c r="F70" s="8"/>
      <c r="H70" s="8" t="s">
        <v>2936</v>
      </c>
      <c r="I70" s="8" t="s">
        <v>4933</v>
      </c>
      <c r="J70" s="8" t="s">
        <v>2987</v>
      </c>
      <c r="K70" t="s">
        <v>4934</v>
      </c>
      <c r="L70" t="s">
        <v>4935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s="8" t="s">
        <v>4</v>
      </c>
      <c r="E71" s="8" t="s">
        <v>8</v>
      </c>
      <c r="F71" s="8"/>
      <c r="H71" s="8" t="s">
        <v>2936</v>
      </c>
      <c r="I71" s="8" t="s">
        <v>4936</v>
      </c>
      <c r="J71" s="8" t="s">
        <v>2987</v>
      </c>
      <c r="K71" t="s">
        <v>4937</v>
      </c>
      <c r="L71" t="s">
        <v>4938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s="8" t="s">
        <v>4</v>
      </c>
      <c r="E72" s="8" t="s">
        <v>8</v>
      </c>
      <c r="F72" s="8"/>
      <c r="H72" s="8" t="s">
        <v>2936</v>
      </c>
      <c r="I72" s="8" t="s">
        <v>4939</v>
      </c>
      <c r="J72" s="8" t="s">
        <v>2987</v>
      </c>
      <c r="K72" t="s">
        <v>4940</v>
      </c>
      <c r="L72" t="s">
        <v>4941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s="8" t="s">
        <v>4</v>
      </c>
      <c r="E73" s="8" t="s">
        <v>8</v>
      </c>
      <c r="F73" s="8"/>
      <c r="H73" s="8" t="s">
        <v>2936</v>
      </c>
      <c r="I73" s="8" t="s">
        <v>4942</v>
      </c>
      <c r="J73" s="8" t="s">
        <v>2987</v>
      </c>
      <c r="K73" t="s">
        <v>4943</v>
      </c>
      <c r="L73" t="s">
        <v>4944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s="8" t="s">
        <v>4</v>
      </c>
      <c r="E74" s="8" t="s">
        <v>8</v>
      </c>
      <c r="F74" s="8"/>
      <c r="H74" s="8" t="s">
        <v>2936</v>
      </c>
      <c r="I74" s="8" t="s">
        <v>4945</v>
      </c>
      <c r="J74" s="8" t="s">
        <v>2987</v>
      </c>
      <c r="K74" t="s">
        <v>4946</v>
      </c>
      <c r="L74" t="s">
        <v>4947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s="8" t="s">
        <v>4</v>
      </c>
      <c r="E75" s="8" t="s">
        <v>8</v>
      </c>
      <c r="F75" s="8"/>
      <c r="H75" s="8" t="s">
        <v>2936</v>
      </c>
      <c r="I75" s="8" t="s">
        <v>4948</v>
      </c>
      <c r="J75" s="8" t="s">
        <v>2987</v>
      </c>
      <c r="K75" t="s">
        <v>4949</v>
      </c>
      <c r="L75" t="s">
        <v>4950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s="8" t="s">
        <v>4</v>
      </c>
      <c r="E76" s="8" t="s">
        <v>8</v>
      </c>
      <c r="F76" s="8"/>
      <c r="H76" s="8" t="s">
        <v>2936</v>
      </c>
      <c r="I76" s="8" t="s">
        <v>4951</v>
      </c>
      <c r="J76" s="8" t="s">
        <v>2987</v>
      </c>
      <c r="K76" t="s">
        <v>4952</v>
      </c>
      <c r="L76" t="s">
        <v>4953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s="8" t="s">
        <v>4</v>
      </c>
      <c r="E77" s="8" t="s">
        <v>8</v>
      </c>
      <c r="F77" s="8"/>
      <c r="H77" s="8" t="s">
        <v>2936</v>
      </c>
      <c r="I77" s="8" t="s">
        <v>4954</v>
      </c>
      <c r="J77" s="8" t="s">
        <v>2987</v>
      </c>
      <c r="K77" t="s">
        <v>4955</v>
      </c>
      <c r="L77" t="s">
        <v>4956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s="8" t="s">
        <v>4</v>
      </c>
      <c r="E78" s="8" t="s">
        <v>8</v>
      </c>
      <c r="F78" s="8"/>
      <c r="H78" s="8" t="s">
        <v>2936</v>
      </c>
      <c r="I78" s="8" t="s">
        <v>4957</v>
      </c>
      <c r="J78" s="8" t="s">
        <v>2987</v>
      </c>
      <c r="K78" t="s">
        <v>4958</v>
      </c>
      <c r="L78" t="s">
        <v>4959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s="8" t="s">
        <v>4</v>
      </c>
      <c r="E79" s="8" t="s">
        <v>8</v>
      </c>
      <c r="F79" s="8"/>
      <c r="H79" s="8" t="s">
        <v>2936</v>
      </c>
      <c r="I79" s="8" t="s">
        <v>4960</v>
      </c>
      <c r="J79" s="8" t="s">
        <v>2987</v>
      </c>
      <c r="K79" t="s">
        <v>4961</v>
      </c>
      <c r="L79" t="s">
        <v>4962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s="8" t="s">
        <v>4</v>
      </c>
      <c r="E80" s="8" t="s">
        <v>8</v>
      </c>
      <c r="F80" s="8"/>
      <c r="H80" s="8" t="s">
        <v>2936</v>
      </c>
      <c r="I80" s="8" t="s">
        <v>4963</v>
      </c>
      <c r="J80" s="8" t="s">
        <v>2987</v>
      </c>
      <c r="K80" t="s">
        <v>4964</v>
      </c>
      <c r="L80" t="s">
        <v>4965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s="8" t="s">
        <v>4</v>
      </c>
      <c r="E81" s="8" t="s">
        <v>8</v>
      </c>
      <c r="F81" s="8"/>
      <c r="H81" s="8" t="s">
        <v>2936</v>
      </c>
      <c r="I81" s="8" t="s">
        <v>4966</v>
      </c>
      <c r="J81" s="8" t="s">
        <v>2987</v>
      </c>
      <c r="K81" t="s">
        <v>4967</v>
      </c>
      <c r="L81" t="s">
        <v>4968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s="8" t="s">
        <v>4</v>
      </c>
      <c r="E82" s="8" t="s">
        <v>8</v>
      </c>
      <c r="F82" s="8"/>
      <c r="H82" s="8" t="s">
        <v>2936</v>
      </c>
      <c r="I82" s="8" t="s">
        <v>4969</v>
      </c>
      <c r="J82" s="8" t="s">
        <v>2987</v>
      </c>
      <c r="K82" t="s">
        <v>4970</v>
      </c>
      <c r="L82" t="s">
        <v>4971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s="8" t="s">
        <v>4</v>
      </c>
      <c r="E83" s="8" t="s">
        <v>8</v>
      </c>
      <c r="F83" s="8"/>
      <c r="H83" s="8" t="s">
        <v>2936</v>
      </c>
      <c r="I83" s="8" t="s">
        <v>4972</v>
      </c>
      <c r="J83" s="8" t="s">
        <v>2987</v>
      </c>
      <c r="K83" t="s">
        <v>4973</v>
      </c>
      <c r="L83" t="s">
        <v>4974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s="8" t="s">
        <v>4</v>
      </c>
      <c r="E84" s="8" t="s">
        <v>8</v>
      </c>
      <c r="F84" s="8"/>
      <c r="H84" s="8" t="s">
        <v>2936</v>
      </c>
      <c r="I84" s="8" t="s">
        <v>4975</v>
      </c>
      <c r="J84" s="8" t="s">
        <v>2987</v>
      </c>
      <c r="K84" t="s">
        <v>4976</v>
      </c>
      <c r="L84" t="s">
        <v>4977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s="8" t="s">
        <v>2004</v>
      </c>
      <c r="E85" s="8" t="s">
        <v>8</v>
      </c>
      <c r="F85" s="8"/>
      <c r="H85" s="8"/>
      <c r="I85" s="8" t="s">
        <v>4978</v>
      </c>
      <c r="J85" s="8" t="s">
        <v>2987</v>
      </c>
      <c r="K85" t="s">
        <v>4979</v>
      </c>
      <c r="L85" t="s">
        <v>4980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s="8" t="s">
        <v>2004</v>
      </c>
      <c r="E86" s="8" t="s">
        <v>8</v>
      </c>
      <c r="F86" s="8"/>
      <c r="H86" s="8"/>
      <c r="I86" s="8" t="s">
        <v>5217</v>
      </c>
      <c r="J86" s="8" t="s">
        <v>2987</v>
      </c>
      <c r="K86" t="s">
        <v>5218</v>
      </c>
      <c r="L86" t="s">
        <v>5219</v>
      </c>
      <c r="M86" s="3" t="str">
        <f>HYPERLINK(склад2въезд13192021222378[[#This Row],[RelativePath]])</f>
        <v>12 Площадка 3 кран\K07156189_20_20251207T152825Z.jpg</v>
      </c>
    </row>
    <row r="87" spans="1:13" x14ac:dyDescent="0.25">
      <c r="A87" s="2" t="s">
        <v>13</v>
      </c>
      <c r="B87" s="4">
        <v>45999</v>
      </c>
      <c r="C87" s="5">
        <v>0.36081018518518521</v>
      </c>
      <c r="D87" s="8" t="s">
        <v>4</v>
      </c>
      <c r="E87" s="8" t="s">
        <v>5478</v>
      </c>
      <c r="F87" s="8"/>
      <c r="H87" s="8"/>
      <c r="I87" s="8" t="s">
        <v>5459</v>
      </c>
      <c r="J87" s="8" t="s">
        <v>2987</v>
      </c>
      <c r="K87" t="s">
        <v>5460</v>
      </c>
      <c r="L87" t="s">
        <v>5461</v>
      </c>
      <c r="M87" s="3" t="str">
        <f>HYPERLINK(склад2въезд13192021222378[[#This Row],[RelativePath]])</f>
        <v>12 Площадка 3 кран\K07156189_20_20251208T083934Z.jpg</v>
      </c>
    </row>
    <row r="88" spans="1:13" x14ac:dyDescent="0.25">
      <c r="A88" s="2" t="s">
        <v>13</v>
      </c>
      <c r="B88" s="4">
        <v>45999</v>
      </c>
      <c r="C88" s="5">
        <v>0.43312499999999998</v>
      </c>
      <c r="D88" s="8" t="s">
        <v>4</v>
      </c>
      <c r="E88" s="8" t="s">
        <v>8</v>
      </c>
      <c r="F88" s="8"/>
      <c r="H88" s="8"/>
      <c r="I88" s="8" t="s">
        <v>5462</v>
      </c>
      <c r="J88" s="8" t="s">
        <v>2987</v>
      </c>
      <c r="K88" t="s">
        <v>5463</v>
      </c>
      <c r="L88" t="s">
        <v>5464</v>
      </c>
      <c r="M88" s="3" t="str">
        <f>HYPERLINK(склад2въезд13192021222378[[#This Row],[RelativePath]])</f>
        <v>12 Площадка 3 кран\K07156189_20_20251208T102342Z.jpg</v>
      </c>
    </row>
    <row r="89" spans="1:13" x14ac:dyDescent="0.25">
      <c r="A89" s="2" t="s">
        <v>13</v>
      </c>
      <c r="B89" s="4">
        <v>45999</v>
      </c>
      <c r="C89" s="5">
        <v>0.71733796296296293</v>
      </c>
      <c r="D89" s="8" t="s">
        <v>4</v>
      </c>
      <c r="E89" s="8" t="s">
        <v>5478</v>
      </c>
      <c r="F89" s="8"/>
      <c r="H89" s="8" t="s">
        <v>5479</v>
      </c>
      <c r="I89" s="8" t="s">
        <v>5465</v>
      </c>
      <c r="J89" s="8" t="s">
        <v>2987</v>
      </c>
      <c r="K89" t="s">
        <v>5466</v>
      </c>
      <c r="L89" t="s">
        <v>5467</v>
      </c>
      <c r="M89" s="3" t="str">
        <f>HYPERLINK(склад2въезд13192021222378[[#This Row],[RelativePath]])</f>
        <v>12 Площадка 3 кран\K07156189_20_20251208T171258Z.jpg</v>
      </c>
    </row>
    <row r="90" spans="1:13" x14ac:dyDescent="0.25">
      <c r="A90" s="2" t="s">
        <v>14</v>
      </c>
      <c r="B90" s="4">
        <v>46000</v>
      </c>
      <c r="C90" s="5">
        <v>0.74582175925925931</v>
      </c>
      <c r="D90" s="8" t="s">
        <v>2004</v>
      </c>
      <c r="E90" s="8" t="s">
        <v>8</v>
      </c>
      <c r="F90" s="8"/>
      <c r="H90" s="8"/>
      <c r="I90" s="8" t="s">
        <v>5657</v>
      </c>
      <c r="J90" s="8" t="s">
        <v>2987</v>
      </c>
      <c r="K90" t="s">
        <v>5658</v>
      </c>
      <c r="L90" t="s">
        <v>5659</v>
      </c>
      <c r="M90" s="3" t="str">
        <f>HYPERLINK(склад2въезд13192021222378[[#This Row],[RelativePath]])</f>
        <v>12 Площадка 3 кран\K07156189_20_20251209T175359Z.jpg</v>
      </c>
    </row>
    <row r="91" spans="1:13" x14ac:dyDescent="0.25">
      <c r="A91" s="2" t="s">
        <v>15</v>
      </c>
      <c r="B91" s="4">
        <v>46001</v>
      </c>
      <c r="C91" s="5">
        <v>0.66309027777777774</v>
      </c>
      <c r="D91" s="8" t="s">
        <v>2004</v>
      </c>
      <c r="E91" s="8" t="s">
        <v>8</v>
      </c>
      <c r="F91" s="8"/>
      <c r="H91" s="8"/>
      <c r="I91" s="8" t="s">
        <v>5660</v>
      </c>
      <c r="J91" s="8" t="s">
        <v>2987</v>
      </c>
      <c r="K91" t="s">
        <v>5661</v>
      </c>
      <c r="L91" t="s">
        <v>5662</v>
      </c>
      <c r="M91" s="3" t="str">
        <f>HYPERLINK(склад2въезд13192021222378[[#This Row],[RelativePath]])</f>
        <v>12 Площадка 3 кран\K07156189_20_20251210T155451Z.jpg</v>
      </c>
    </row>
    <row r="92" spans="1:13" x14ac:dyDescent="0.25">
      <c r="A92" s="2" t="s">
        <v>16</v>
      </c>
      <c r="B92" s="4">
        <v>46002</v>
      </c>
      <c r="C92" s="5">
        <v>0.43224537037037036</v>
      </c>
      <c r="D92" s="8" t="s">
        <v>2004</v>
      </c>
      <c r="E92" s="8" t="s">
        <v>8</v>
      </c>
      <c r="F92" s="8"/>
      <c r="H92" s="8"/>
      <c r="I92" s="8" t="s">
        <v>5663</v>
      </c>
      <c r="J92" s="8" t="s">
        <v>2987</v>
      </c>
      <c r="K92" t="s">
        <v>5664</v>
      </c>
      <c r="L92" t="s">
        <v>5665</v>
      </c>
      <c r="M92" s="3" t="str">
        <f>HYPERLINK(склад2въезд13192021222378[[#This Row],[RelativePath]])</f>
        <v>12 Площадка 3 кран\K07156189_20_20251211T102226Z.jpg</v>
      </c>
    </row>
    <row r="93" spans="1:13" x14ac:dyDescent="0.25">
      <c r="A93" s="2" t="s">
        <v>17</v>
      </c>
      <c r="B93" s="4">
        <v>46003</v>
      </c>
      <c r="C93" s="5">
        <v>0.4026851851851852</v>
      </c>
      <c r="D93" s="8" t="s">
        <v>4</v>
      </c>
      <c r="E93" s="8" t="s">
        <v>8</v>
      </c>
      <c r="F93" s="8"/>
      <c r="H93" s="8"/>
      <c r="I93" s="8" t="s">
        <v>6005</v>
      </c>
      <c r="J93" s="8" t="s">
        <v>2987</v>
      </c>
      <c r="K93" t="s">
        <v>6006</v>
      </c>
      <c r="L93" t="s">
        <v>6007</v>
      </c>
      <c r="M93" s="3" t="str">
        <f>HYPERLINK(склад2въезд13192021222378[[#This Row],[RelativePath]])</f>
        <v>12 Площадка 3 кран\K07156189_20_20251212T093952Z.jpg</v>
      </c>
    </row>
    <row r="94" spans="1:13" x14ac:dyDescent="0.25">
      <c r="A94" s="2" t="s">
        <v>17</v>
      </c>
      <c r="B94" s="4">
        <v>46003</v>
      </c>
      <c r="C94" s="5">
        <v>0.44226851851851851</v>
      </c>
      <c r="D94" s="8" t="s">
        <v>650</v>
      </c>
      <c r="E94" s="8" t="s">
        <v>6190</v>
      </c>
      <c r="F94" s="8"/>
      <c r="H94" s="8"/>
      <c r="I94" s="8" t="s">
        <v>6008</v>
      </c>
      <c r="J94" s="8" t="s">
        <v>2987</v>
      </c>
      <c r="K94" t="s">
        <v>6009</v>
      </c>
      <c r="L94" t="s">
        <v>6010</v>
      </c>
      <c r="M94" s="3" t="str">
        <f>HYPERLINK(склад2въезд13192021222378[[#This Row],[RelativePath]])</f>
        <v>12 Площадка 3 кран\K07156189_20_20251212T103652Z.jpg</v>
      </c>
    </row>
    <row r="95" spans="1:13" x14ac:dyDescent="0.25">
      <c r="A95" s="2" t="s">
        <v>17</v>
      </c>
      <c r="B95" s="4">
        <v>46003</v>
      </c>
      <c r="C95" s="5">
        <v>0.44238425925925928</v>
      </c>
      <c r="D95" s="8" t="s">
        <v>650</v>
      </c>
      <c r="E95" s="8" t="s">
        <v>6190</v>
      </c>
      <c r="F95" s="8"/>
      <c r="H95" s="8" t="s">
        <v>2936</v>
      </c>
      <c r="I95" s="8" t="s">
        <v>6011</v>
      </c>
      <c r="J95" s="8" t="s">
        <v>2987</v>
      </c>
      <c r="K95" t="s">
        <v>6012</v>
      </c>
      <c r="L95" t="s">
        <v>6013</v>
      </c>
      <c r="M95" s="3" t="str">
        <f>HYPERLINK(склад2въезд13192021222378[[#This Row],[RelativePath]])</f>
        <v>12 Площадка 3 кран\K07156189_20_20251212T103702Z.jpg</v>
      </c>
    </row>
    <row r="96" spans="1:13" x14ac:dyDescent="0.25">
      <c r="A96" s="2" t="s">
        <v>17</v>
      </c>
      <c r="B96" s="4">
        <v>46003</v>
      </c>
      <c r="C96" s="5">
        <v>0.73417824074074078</v>
      </c>
      <c r="D96" s="8" t="s">
        <v>4</v>
      </c>
      <c r="E96" s="8" t="s">
        <v>8</v>
      </c>
      <c r="F96" s="8"/>
      <c r="H96" s="8"/>
      <c r="I96" s="8" t="s">
        <v>6014</v>
      </c>
      <c r="J96" s="8" t="s">
        <v>2987</v>
      </c>
      <c r="K96" t="s">
        <v>6015</v>
      </c>
      <c r="L96" t="s">
        <v>6016</v>
      </c>
      <c r="M96" s="3" t="str">
        <f>HYPERLINK(склад2въезд13192021222378[[#This Row],[RelativePath]])</f>
        <v>12 Площадка 3 кран\K07156189_20_20251212T173713Z.jpg</v>
      </c>
    </row>
    <row r="97" spans="1:13" x14ac:dyDescent="0.25">
      <c r="A97" s="2" t="s">
        <v>18</v>
      </c>
      <c r="B97" s="4">
        <v>46004</v>
      </c>
      <c r="C97" s="5">
        <v>0.7330902777777778</v>
      </c>
      <c r="D97" s="8" t="s">
        <v>2004</v>
      </c>
      <c r="E97" s="8" t="s">
        <v>8</v>
      </c>
      <c r="F97" s="8"/>
      <c r="H97" s="8"/>
      <c r="I97" s="8" t="s">
        <v>6017</v>
      </c>
      <c r="J97" s="8" t="s">
        <v>2987</v>
      </c>
      <c r="K97" t="s">
        <v>6018</v>
      </c>
      <c r="L97" t="s">
        <v>6019</v>
      </c>
      <c r="M97" s="3" t="str">
        <f>HYPERLINK(склад2въезд13192021222378[[#This Row],[RelativePath]])</f>
        <v>12 Площадка 3 кран\K07156189_20_20251213T173539Z.jpg</v>
      </c>
    </row>
    <row r="98" spans="1:13" x14ac:dyDescent="0.25">
      <c r="A98" s="2" t="s">
        <v>22</v>
      </c>
      <c r="B98" s="4">
        <v>46005</v>
      </c>
      <c r="C98" s="5">
        <v>0.75581018518518517</v>
      </c>
      <c r="D98" s="8" t="s">
        <v>2004</v>
      </c>
      <c r="E98" s="8" t="s">
        <v>8</v>
      </c>
      <c r="F98" s="8"/>
      <c r="H98" s="8"/>
      <c r="I98" s="8" t="s">
        <v>6252</v>
      </c>
      <c r="J98" s="8" t="s">
        <v>2987</v>
      </c>
      <c r="K98" t="s">
        <v>6253</v>
      </c>
      <c r="L98" t="s">
        <v>6254</v>
      </c>
      <c r="M98" s="3" t="str">
        <f>HYPERLINK(склад2въезд13192021222378[[#This Row],[RelativePath]])</f>
        <v>12 Площадка 3 кран\K07156189_20_20251214T180822Z.jpg</v>
      </c>
    </row>
    <row r="99" spans="1:13" x14ac:dyDescent="0.25">
      <c r="A99" s="2" t="s">
        <v>13</v>
      </c>
      <c r="B99" s="4">
        <v>46006</v>
      </c>
      <c r="C99" s="5">
        <v>0.5390625</v>
      </c>
      <c r="D99" s="8" t="s">
        <v>4</v>
      </c>
      <c r="E99" s="8" t="s">
        <v>8</v>
      </c>
      <c r="F99" s="8"/>
      <c r="H99" s="8"/>
      <c r="I99" s="8" t="s">
        <v>6500</v>
      </c>
      <c r="J99" s="8" t="s">
        <v>2987</v>
      </c>
      <c r="K99" t="s">
        <v>6501</v>
      </c>
      <c r="L99" t="s">
        <v>6502</v>
      </c>
      <c r="M99" s="3" t="str">
        <f>HYPERLINK(склад2въезд13192021222378[[#This Row],[RelativePath]])</f>
        <v>12 Площадка 3 кран\K07156189_20_20251215T125615Z.jpg</v>
      </c>
    </row>
    <row r="100" spans="1:13" x14ac:dyDescent="0.25">
      <c r="A100" s="2" t="s">
        <v>13</v>
      </c>
      <c r="B100" s="4">
        <v>46006</v>
      </c>
      <c r="C100" s="5">
        <v>0.73729166666666668</v>
      </c>
      <c r="D100" s="8" t="s">
        <v>4</v>
      </c>
      <c r="E100" s="8" t="s">
        <v>8</v>
      </c>
      <c r="F100" s="8"/>
      <c r="H100" s="8"/>
      <c r="I100" s="8" t="s">
        <v>6503</v>
      </c>
      <c r="J100" s="8" t="s">
        <v>2987</v>
      </c>
      <c r="K100" t="s">
        <v>6504</v>
      </c>
      <c r="L100" t="s">
        <v>6505</v>
      </c>
      <c r="M100" s="3" t="str">
        <f>HYPERLINK(склад2въезд13192021222378[[#This Row],[RelativePath]])</f>
        <v>12 Площадка 3 кран\K07156189_20_20251215T174142Z.jpg</v>
      </c>
    </row>
    <row r="101" spans="1:13" x14ac:dyDescent="0.25">
      <c r="A101" s="2" t="s">
        <v>14</v>
      </c>
      <c r="B101" s="4">
        <v>46007</v>
      </c>
      <c r="C101" s="5">
        <v>0.71712962962962967</v>
      </c>
      <c r="D101" s="8" t="s">
        <v>2004</v>
      </c>
      <c r="E101" s="8" t="s">
        <v>8</v>
      </c>
      <c r="F101" s="8"/>
      <c r="H101" s="8"/>
      <c r="I101" s="8" t="s">
        <v>6641</v>
      </c>
      <c r="J101" s="8" t="s">
        <v>2987</v>
      </c>
      <c r="K101" t="s">
        <v>6642</v>
      </c>
      <c r="L101" t="s">
        <v>6643</v>
      </c>
      <c r="M101" s="3" t="str">
        <f>HYPERLINK(склад2въезд13192021222378[[#This Row],[RelativePath]])</f>
        <v>12 Площадка 3 кран\K07156189_20_20251216T171240Z.jpg</v>
      </c>
    </row>
    <row r="102" spans="1:13" x14ac:dyDescent="0.25">
      <c r="A102" s="2" t="s">
        <v>15</v>
      </c>
      <c r="B102" s="4">
        <v>46008</v>
      </c>
      <c r="C102" s="5">
        <v>0.61549768518518522</v>
      </c>
      <c r="D102" s="8" t="s">
        <v>4</v>
      </c>
      <c r="E102" s="8" t="s">
        <v>8</v>
      </c>
      <c r="F102" s="8"/>
      <c r="H102" s="8"/>
      <c r="I102" s="8" t="s">
        <v>6823</v>
      </c>
      <c r="J102" s="8" t="s">
        <v>2987</v>
      </c>
      <c r="K102" t="s">
        <v>6824</v>
      </c>
      <c r="L102" t="s">
        <v>6825</v>
      </c>
      <c r="M102" s="3" t="str">
        <f>HYPERLINK(склад2въезд13192021222378[[#This Row],[RelativePath]])</f>
        <v>12 Площадка 3 кран\K07156189_20_20251217T144619Z.jpg</v>
      </c>
    </row>
    <row r="103" spans="1:13" x14ac:dyDescent="0.25">
      <c r="A103" s="2" t="s">
        <v>15</v>
      </c>
      <c r="B103" s="4">
        <v>46008</v>
      </c>
      <c r="C103" s="5">
        <v>0.73685185185185187</v>
      </c>
      <c r="D103" s="8" t="s">
        <v>4</v>
      </c>
      <c r="E103" s="8" t="s">
        <v>8</v>
      </c>
      <c r="F103" s="8"/>
      <c r="H103" s="8" t="s">
        <v>2936</v>
      </c>
      <c r="I103" s="8" t="s">
        <v>6826</v>
      </c>
      <c r="J103" s="8" t="s">
        <v>2987</v>
      </c>
      <c r="K103" t="s">
        <v>6827</v>
      </c>
      <c r="L103" t="s">
        <v>6828</v>
      </c>
      <c r="M103" s="3" t="str">
        <f>HYPERLINK(склад2въезд13192021222378[[#This Row],[RelativePath]])</f>
        <v>12 Площадка 3 кран\K07156189_20_20251217T174104Z.jpg</v>
      </c>
    </row>
    <row r="104" spans="1:13" x14ac:dyDescent="0.25">
      <c r="A104" s="2" t="s">
        <v>16</v>
      </c>
      <c r="B104" s="4">
        <v>46009</v>
      </c>
      <c r="C104" s="5">
        <v>0.42410879629629628</v>
      </c>
      <c r="D104" s="8" t="s">
        <v>4</v>
      </c>
      <c r="E104" s="8" t="s">
        <v>8</v>
      </c>
      <c r="F104" s="8"/>
      <c r="H104" s="8"/>
      <c r="I104" s="8" t="s">
        <v>7127</v>
      </c>
      <c r="J104" s="8" t="s">
        <v>2987</v>
      </c>
      <c r="K104" t="s">
        <v>7128</v>
      </c>
      <c r="L104" t="s">
        <v>7129</v>
      </c>
      <c r="M104" s="3" t="str">
        <f>HYPERLINK(склад2въезд13192021222378[[#This Row],[RelativePath]])</f>
        <v>12 Площадка 3 кран\K07156189_20_20251218T101043Z.jpg</v>
      </c>
    </row>
    <row r="105" spans="1:13" x14ac:dyDescent="0.25">
      <c r="A105" s="2" t="s">
        <v>16</v>
      </c>
      <c r="B105" s="4">
        <v>46009</v>
      </c>
      <c r="C105" s="5">
        <v>0.59636574074074078</v>
      </c>
      <c r="D105" s="8" t="s">
        <v>4</v>
      </c>
      <c r="E105" s="8" t="s">
        <v>8</v>
      </c>
      <c r="F105" s="8"/>
      <c r="H105" s="8" t="s">
        <v>2936</v>
      </c>
      <c r="I105" s="8" t="s">
        <v>7130</v>
      </c>
      <c r="J105" s="8" t="s">
        <v>2987</v>
      </c>
      <c r="K105" t="s">
        <v>7131</v>
      </c>
      <c r="L105" t="s">
        <v>7132</v>
      </c>
      <c r="M105" s="3" t="str">
        <f>HYPERLINK(склад2въезд13192021222378[[#This Row],[RelativePath]])</f>
        <v>12 Площадка 3 кран\K07156189_20_20251218T141846Z.jpg</v>
      </c>
    </row>
    <row r="106" spans="1:13" x14ac:dyDescent="0.25">
      <c r="A106" s="2" t="s">
        <v>17</v>
      </c>
      <c r="B106" s="4">
        <v>46010</v>
      </c>
      <c r="C106" s="5">
        <v>0.6337962962962963</v>
      </c>
      <c r="D106" s="8" t="s">
        <v>2004</v>
      </c>
      <c r="E106" s="8" t="s">
        <v>8</v>
      </c>
      <c r="F106" s="8"/>
      <c r="H106" s="8"/>
      <c r="I106" s="8" t="s">
        <v>7133</v>
      </c>
      <c r="J106" s="8" t="s">
        <v>2987</v>
      </c>
      <c r="K106" t="s">
        <v>7134</v>
      </c>
      <c r="L106" t="s">
        <v>7135</v>
      </c>
      <c r="M106" s="3" t="str">
        <f>HYPERLINK(склад2въезд13192021222378[[#This Row],[RelativePath]])</f>
        <v>12 Площадка 3 кран\K07156189_20_20251219T151240Z.jpg</v>
      </c>
    </row>
    <row r="107" spans="1:13" x14ac:dyDescent="0.25">
      <c r="A107" s="2" t="s">
        <v>18</v>
      </c>
      <c r="B107" s="4">
        <v>46011</v>
      </c>
      <c r="C107" s="5">
        <v>0.75217592592592597</v>
      </c>
      <c r="D107" s="8" t="s">
        <v>2004</v>
      </c>
      <c r="E107" s="8" t="s">
        <v>8</v>
      </c>
      <c r="F107" s="8"/>
      <c r="H107" s="8" t="s">
        <v>2014</v>
      </c>
      <c r="I107" s="8" t="s">
        <v>7136</v>
      </c>
      <c r="J107" s="8" t="s">
        <v>2987</v>
      </c>
      <c r="K107" t="s">
        <v>7137</v>
      </c>
      <c r="L107" t="s">
        <v>7138</v>
      </c>
      <c r="M107" s="3" t="str">
        <f>HYPERLINK(склад2въезд13192021222378[[#This Row],[RelativePath]])</f>
        <v>12 Площадка 3 кран\K07156189_20_20251220T180308Z.jpg</v>
      </c>
    </row>
    <row r="108" spans="1:13" x14ac:dyDescent="0.25">
      <c r="A108" s="2" t="s">
        <v>22</v>
      </c>
      <c r="B108" s="4">
        <v>46012</v>
      </c>
      <c r="C108" s="5">
        <v>0.73879629629629628</v>
      </c>
      <c r="D108" s="8" t="s">
        <v>2004</v>
      </c>
      <c r="E108" s="8" t="s">
        <v>8</v>
      </c>
      <c r="F108" s="8"/>
      <c r="H108" s="8"/>
      <c r="I108" s="8" t="s">
        <v>7208</v>
      </c>
      <c r="J108" s="8" t="s">
        <v>2987</v>
      </c>
      <c r="K108" t="s">
        <v>7209</v>
      </c>
      <c r="L108" t="s">
        <v>7210</v>
      </c>
      <c r="M108" s="3" t="str">
        <f>HYPERLINK(склад2въезд13192021222378[[#This Row],[RelativePath]])</f>
        <v>12 Площадка 3 кран\K07156189_20_20251221T174352Z.jpg</v>
      </c>
    </row>
    <row r="109" spans="1:13" x14ac:dyDescent="0.25">
      <c r="A109" s="2" t="s">
        <v>13</v>
      </c>
      <c r="B109" s="4">
        <v>46013</v>
      </c>
      <c r="C109" s="5">
        <v>0.7368055555555556</v>
      </c>
      <c r="D109" s="8" t="s">
        <v>2004</v>
      </c>
      <c r="E109" s="8" t="s">
        <v>8</v>
      </c>
      <c r="F109" s="8"/>
      <c r="H109" s="8"/>
      <c r="I109" s="8" t="s">
        <v>7401</v>
      </c>
      <c r="J109" s="8" t="s">
        <v>2987</v>
      </c>
      <c r="K109" t="s">
        <v>7402</v>
      </c>
      <c r="L109" t="s">
        <v>7403</v>
      </c>
      <c r="M109" s="3" t="str">
        <f>HYPERLINK(склад2въезд13192021222378[[#This Row],[RelativePath]])</f>
        <v>12 Площадка 3 кран\K07156189_20_20251222T174100Z.jpg</v>
      </c>
    </row>
    <row r="110" spans="1:13" x14ac:dyDescent="0.25">
      <c r="A110" s="2" t="s">
        <v>14</v>
      </c>
      <c r="B110" s="4">
        <v>46014</v>
      </c>
      <c r="C110" s="5">
        <v>0.4264236111111111</v>
      </c>
      <c r="D110" s="8" t="s">
        <v>2004</v>
      </c>
      <c r="E110" s="8" t="s">
        <v>8</v>
      </c>
      <c r="F110" s="8"/>
      <c r="H110" s="8"/>
      <c r="I110" s="8" t="s">
        <v>7404</v>
      </c>
      <c r="J110" s="8" t="s">
        <v>2987</v>
      </c>
      <c r="K110" t="s">
        <v>7405</v>
      </c>
      <c r="L110" t="s">
        <v>7406</v>
      </c>
      <c r="M110" s="3" t="str">
        <f>HYPERLINK(склад2въезд13192021222378[[#This Row],[RelativePath]])</f>
        <v>12 Площадка 3 кран\K07156189_20_20251223T101403Z.jpg</v>
      </c>
    </row>
    <row r="111" spans="1:13" x14ac:dyDescent="0.25">
      <c r="A111" s="2" t="s">
        <v>14</v>
      </c>
      <c r="B111" s="4">
        <v>46014</v>
      </c>
      <c r="C111" s="5">
        <v>0.81357638888888884</v>
      </c>
      <c r="D111" s="8" t="s">
        <v>4</v>
      </c>
      <c r="E111" s="8" t="s">
        <v>7417</v>
      </c>
      <c r="F111" s="8"/>
      <c r="H111" s="8"/>
      <c r="I111" s="8" t="s">
        <v>7407</v>
      </c>
      <c r="J111" s="8" t="s">
        <v>2987</v>
      </c>
      <c r="K111" t="s">
        <v>7408</v>
      </c>
      <c r="L111" t="s">
        <v>7409</v>
      </c>
      <c r="M111" s="3" t="str">
        <f>HYPERLINK(склад2въезд13192021222378[[#This Row],[RelativePath]])</f>
        <v>12 Площадка 3 кран\K07156189_20_20251223T193133Z.jpg</v>
      </c>
    </row>
    <row r="112" spans="1:13" x14ac:dyDescent="0.25">
      <c r="A112" s="2" t="s">
        <v>15</v>
      </c>
      <c r="B112" s="4">
        <v>46015</v>
      </c>
      <c r="C112" s="5">
        <v>0.49182870370370368</v>
      </c>
      <c r="D112" s="8" t="s">
        <v>4</v>
      </c>
      <c r="E112" s="8" t="s">
        <v>7715</v>
      </c>
      <c r="F112" s="8"/>
      <c r="H112" s="8"/>
      <c r="I112" s="8" t="s">
        <v>7583</v>
      </c>
      <c r="J112" s="8" t="s">
        <v>2987</v>
      </c>
      <c r="K112" t="s">
        <v>7584</v>
      </c>
      <c r="L112" t="s">
        <v>7585</v>
      </c>
      <c r="M112" s="3" t="str">
        <f>HYPERLINK(склад2въезд13192021222378[[#This Row],[RelativePath]])</f>
        <v>12 Площадка 3 кран\K07156189_20_20251224T114814Z.jpg</v>
      </c>
    </row>
    <row r="113" spans="1:13" x14ac:dyDescent="0.25">
      <c r="A113" s="2" t="s">
        <v>15</v>
      </c>
      <c r="B113" s="4">
        <v>46015</v>
      </c>
      <c r="C113" s="5">
        <v>0.74520833333333336</v>
      </c>
      <c r="D113" s="8" t="s">
        <v>4</v>
      </c>
      <c r="E113" s="8" t="s">
        <v>7716</v>
      </c>
      <c r="F113" s="8"/>
      <c r="H113" s="8" t="s">
        <v>2936</v>
      </c>
      <c r="I113" s="8" t="s">
        <v>7586</v>
      </c>
      <c r="J113" s="8" t="s">
        <v>2987</v>
      </c>
      <c r="K113" t="s">
        <v>7587</v>
      </c>
      <c r="L113" t="s">
        <v>7588</v>
      </c>
      <c r="M113" s="3" t="str">
        <f>HYPERLINK(склад2въезд13192021222378[[#This Row],[RelativePath]])</f>
        <v>12 Площадка 3 кран\K07156189_20_20251224T175306Z.jpg</v>
      </c>
    </row>
    <row r="114" spans="1:13" x14ac:dyDescent="0.25">
      <c r="A114" s="2" t="s">
        <v>16</v>
      </c>
      <c r="B114" s="4">
        <v>46016</v>
      </c>
      <c r="C114" s="5">
        <v>0.49467592592592591</v>
      </c>
      <c r="D114" s="8" t="s">
        <v>4</v>
      </c>
      <c r="E114" s="8" t="s">
        <v>8</v>
      </c>
      <c r="F114" s="8"/>
      <c r="H114" s="8" t="s">
        <v>7717</v>
      </c>
      <c r="I114" s="8" t="s">
        <v>7589</v>
      </c>
      <c r="J114" s="8" t="s">
        <v>2987</v>
      </c>
      <c r="K114" t="s">
        <v>7590</v>
      </c>
      <c r="L114" t="s">
        <v>7591</v>
      </c>
      <c r="M114" s="3" t="str">
        <f>HYPERLINK(склад2въезд13192021222378[[#This Row],[RelativePath]])</f>
        <v>12 Площадка 3 кран\K07156189_20_20251225T115220Z.jpg</v>
      </c>
    </row>
    <row r="115" spans="1:13" x14ac:dyDescent="0.25">
      <c r="A115" s="2" t="s">
        <v>16</v>
      </c>
      <c r="B115" s="4">
        <v>46016</v>
      </c>
      <c r="C115" s="5">
        <v>0.73883101851851851</v>
      </c>
      <c r="D115" s="8" t="s">
        <v>4</v>
      </c>
      <c r="E115" s="8" t="s">
        <v>8</v>
      </c>
      <c r="F115" s="8"/>
      <c r="H115" s="8" t="s">
        <v>3078</v>
      </c>
      <c r="I115" s="8" t="s">
        <v>7592</v>
      </c>
      <c r="J115" s="8" t="s">
        <v>2987</v>
      </c>
      <c r="K115" t="s">
        <v>7593</v>
      </c>
      <c r="L115" t="s">
        <v>7594</v>
      </c>
      <c r="M115" s="3" t="str">
        <f>HYPERLINK(склад2въезд13192021222378[[#This Row],[RelativePath]])</f>
        <v>12 Площадка 3 кран\K07156189_20_20251225T174355Z.jpg</v>
      </c>
    </row>
    <row r="116" spans="1:13" x14ac:dyDescent="0.25">
      <c r="A116" s="2" t="s">
        <v>17</v>
      </c>
      <c r="B116" s="4">
        <v>46017</v>
      </c>
      <c r="C116" s="5">
        <v>0.42072916666666665</v>
      </c>
      <c r="D116" s="8" t="s">
        <v>4</v>
      </c>
      <c r="E116" s="8" t="s">
        <v>8</v>
      </c>
      <c r="F116" s="8"/>
      <c r="H116" s="8"/>
      <c r="I116" s="8" t="s">
        <v>7777</v>
      </c>
      <c r="J116" s="8" t="s">
        <v>2987</v>
      </c>
      <c r="K116" t="s">
        <v>7778</v>
      </c>
      <c r="L116" t="s">
        <v>7779</v>
      </c>
      <c r="M116" s="3" t="str">
        <f>HYPERLINK(склад2въезд13192021222378[[#This Row],[RelativePath]])</f>
        <v>12 Площадка 3 кран\K07156189_20_20251226T100551Z.jpg</v>
      </c>
    </row>
    <row r="117" spans="1:13" x14ac:dyDescent="0.25">
      <c r="A117" s="2" t="s">
        <v>17</v>
      </c>
      <c r="B117" s="4">
        <v>46017</v>
      </c>
      <c r="C117" s="5">
        <v>0.43453703703703705</v>
      </c>
      <c r="D117" s="8" t="s">
        <v>4</v>
      </c>
      <c r="E117" s="8" t="s">
        <v>8</v>
      </c>
      <c r="F117" s="8"/>
      <c r="H117" s="8" t="s">
        <v>2936</v>
      </c>
      <c r="I117" s="8" t="s">
        <v>7780</v>
      </c>
      <c r="J117" s="8" t="s">
        <v>2987</v>
      </c>
      <c r="K117" t="s">
        <v>7781</v>
      </c>
      <c r="L117" t="s">
        <v>7782</v>
      </c>
      <c r="M117" s="3" t="str">
        <f>HYPERLINK(склад2въезд13192021222378[[#This Row],[RelativePath]])</f>
        <v>12 Площадка 3 кран\K07156189_20_20251226T102544Z.jpg</v>
      </c>
    </row>
    <row r="118" spans="1:13" x14ac:dyDescent="0.25">
      <c r="A118" s="2" t="s">
        <v>17</v>
      </c>
      <c r="B118" s="4">
        <v>46017</v>
      </c>
      <c r="C118" s="5">
        <v>0.50521990740740741</v>
      </c>
      <c r="D118" s="8" t="s">
        <v>4</v>
      </c>
      <c r="E118" s="8" t="s">
        <v>8</v>
      </c>
      <c r="F118" s="8"/>
      <c r="H118" s="8" t="s">
        <v>2936</v>
      </c>
      <c r="I118" s="8" t="s">
        <v>7783</v>
      </c>
      <c r="J118" s="8" t="s">
        <v>2987</v>
      </c>
      <c r="K118" t="s">
        <v>7784</v>
      </c>
      <c r="L118" t="s">
        <v>7785</v>
      </c>
      <c r="M118" s="3" t="str">
        <f>HYPERLINK(склад2въезд13192021222378[[#This Row],[RelativePath]])</f>
        <v>12 Площадка 3 кран\K07156189_20_20251226T120731Z.jpg</v>
      </c>
    </row>
    <row r="119" spans="1:13" x14ac:dyDescent="0.25">
      <c r="A119" s="2" t="s">
        <v>17</v>
      </c>
      <c r="B119" s="4">
        <v>46017</v>
      </c>
      <c r="C119" s="5">
        <v>0.58668981481481486</v>
      </c>
      <c r="D119" s="8" t="s">
        <v>4</v>
      </c>
      <c r="E119" s="8" t="s">
        <v>8</v>
      </c>
      <c r="F119" s="8"/>
      <c r="H119" s="8" t="s">
        <v>2936</v>
      </c>
      <c r="I119" s="8" t="s">
        <v>7786</v>
      </c>
      <c r="J119" s="8" t="s">
        <v>2987</v>
      </c>
      <c r="K119" t="s">
        <v>7787</v>
      </c>
      <c r="L119" t="s">
        <v>7788</v>
      </c>
      <c r="M119" s="3" t="str">
        <f>HYPERLINK(склад2въезд13192021222378[[#This Row],[RelativePath]])</f>
        <v>12 Площадка 3 кран\K07156189_20_20251226T140450Z.jpg</v>
      </c>
    </row>
    <row r="120" spans="1:13" x14ac:dyDescent="0.25">
      <c r="A120" s="2" t="s">
        <v>17</v>
      </c>
      <c r="B120" s="4">
        <v>46017</v>
      </c>
      <c r="C120" s="5">
        <v>0.74047453703703703</v>
      </c>
      <c r="D120" s="8" t="s">
        <v>4</v>
      </c>
      <c r="E120" s="8" t="s">
        <v>8</v>
      </c>
      <c r="F120" s="8"/>
      <c r="H120" s="8" t="s">
        <v>2936</v>
      </c>
      <c r="I120" s="8" t="s">
        <v>7789</v>
      </c>
      <c r="J120" s="8" t="s">
        <v>2987</v>
      </c>
      <c r="K120" t="s">
        <v>7790</v>
      </c>
      <c r="L120" t="s">
        <v>7791</v>
      </c>
      <c r="M120" s="3" t="str">
        <f>HYPERLINK(склад2въезд13192021222378[[#This Row],[RelativePath]])</f>
        <v>12 Площадка 3 кран\K07156189_20_20251226T174617Z.jpg</v>
      </c>
    </row>
    <row r="121" spans="1:13" x14ac:dyDescent="0.25">
      <c r="A121" s="2" t="s">
        <v>18</v>
      </c>
      <c r="B121" s="4">
        <v>46018</v>
      </c>
      <c r="C121" s="5">
        <v>0.41244212962962962</v>
      </c>
      <c r="D121" s="8" t="s">
        <v>4</v>
      </c>
      <c r="E121" s="8" t="s">
        <v>8</v>
      </c>
      <c r="F121" s="8"/>
      <c r="H121" s="8"/>
      <c r="I121" s="8" t="s">
        <v>7971</v>
      </c>
      <c r="J121" s="8" t="s">
        <v>2987</v>
      </c>
      <c r="K121" t="s">
        <v>7972</v>
      </c>
      <c r="L121" t="s">
        <v>7973</v>
      </c>
      <c r="M121" s="3" t="str">
        <f>HYPERLINK(склад2въезд13192021222378[[#This Row],[RelativePath]])</f>
        <v>12 Площадка 3 кран\K07156189_20_20251227T095355Z.jpg</v>
      </c>
    </row>
    <row r="122" spans="1:13" x14ac:dyDescent="0.25">
      <c r="A122" s="2" t="s">
        <v>18</v>
      </c>
      <c r="B122" s="4">
        <v>46018</v>
      </c>
      <c r="C122" s="5">
        <v>0.6647453703703704</v>
      </c>
      <c r="D122" s="8" t="s">
        <v>4</v>
      </c>
      <c r="E122" s="8" t="s">
        <v>12</v>
      </c>
      <c r="F122" s="8"/>
      <c r="H122" s="8"/>
      <c r="I122" s="8" t="s">
        <v>7974</v>
      </c>
      <c r="J122" s="8" t="s">
        <v>2987</v>
      </c>
      <c r="K122" t="s">
        <v>7975</v>
      </c>
      <c r="L122" t="s">
        <v>7976</v>
      </c>
      <c r="M122" s="3" t="str">
        <f>HYPERLINK(склад2въезд13192021222378[[#This Row],[RelativePath]])</f>
        <v>12 Площадка 3 кран\K07156189_20_20251227T155714Z.jpg</v>
      </c>
    </row>
    <row r="123" spans="1:13" x14ac:dyDescent="0.25">
      <c r="A123" s="2" t="s">
        <v>22</v>
      </c>
      <c r="B123" s="4">
        <v>46019</v>
      </c>
      <c r="C123" s="5">
        <v>0.42016203703703703</v>
      </c>
      <c r="D123" s="8" t="s">
        <v>4</v>
      </c>
      <c r="E123" s="8" t="s">
        <v>8</v>
      </c>
      <c r="F123" s="8"/>
      <c r="H123" s="8"/>
      <c r="I123" s="8" t="s">
        <v>7977</v>
      </c>
      <c r="J123" s="8" t="s">
        <v>2987</v>
      </c>
      <c r="K123" t="s">
        <v>7978</v>
      </c>
      <c r="L123" t="s">
        <v>7979</v>
      </c>
      <c r="M123" s="3" t="str">
        <f>HYPERLINK(склад2въезд13192021222378[[#This Row],[RelativePath]])</f>
        <v>12 Площадка 3 кран\K07156189_20_20251228T100502Z.jpg</v>
      </c>
    </row>
    <row r="124" spans="1:13" x14ac:dyDescent="0.25">
      <c r="A124" s="2" t="s">
        <v>22</v>
      </c>
      <c r="B124" s="4">
        <v>46019</v>
      </c>
      <c r="C124" s="5">
        <v>0.59362268518518524</v>
      </c>
      <c r="D124" s="8" t="s">
        <v>4</v>
      </c>
      <c r="E124" s="8" t="s">
        <v>12</v>
      </c>
      <c r="F124" s="8"/>
      <c r="H124" s="8"/>
      <c r="I124" s="8" t="s">
        <v>7980</v>
      </c>
      <c r="J124" s="8" t="s">
        <v>2987</v>
      </c>
      <c r="K124" t="s">
        <v>7981</v>
      </c>
      <c r="L124" t="s">
        <v>7982</v>
      </c>
      <c r="M124" s="3" t="str">
        <f>HYPERLINK(склад2въезд13192021222378[[#This Row],[RelativePath]])</f>
        <v>12 Площадка 3 кран\K07156189_20_20251228T141449Z.jpg</v>
      </c>
    </row>
    <row r="125" spans="1:13" x14ac:dyDescent="0.25">
      <c r="A125" s="2" t="s">
        <v>13</v>
      </c>
      <c r="B125" s="4">
        <v>46020</v>
      </c>
      <c r="C125" s="5">
        <v>0.59993055555555552</v>
      </c>
      <c r="D125" s="8" t="s">
        <v>2004</v>
      </c>
      <c r="E125" s="8" t="s">
        <v>8</v>
      </c>
      <c r="F125" s="8"/>
      <c r="H125" s="8"/>
      <c r="I125" s="8" t="s">
        <v>8315</v>
      </c>
      <c r="J125" s="8" t="s">
        <v>2987</v>
      </c>
      <c r="K125" t="s">
        <v>8316</v>
      </c>
      <c r="L125" t="s">
        <v>8317</v>
      </c>
      <c r="M125" s="3" t="str">
        <f>HYPERLINK(склад2въезд13192021222378[[#This Row],[RelativePath]])</f>
        <v>12 Площадка 3 кран\K07156189_20_20251229T142354Z.jpg</v>
      </c>
    </row>
    <row r="126" spans="1:13" x14ac:dyDescent="0.25">
      <c r="A126" s="2" t="s">
        <v>14</v>
      </c>
      <c r="B126" s="4">
        <v>46021</v>
      </c>
      <c r="C126" s="5">
        <v>0.58385416666666667</v>
      </c>
      <c r="D126" s="8" t="s">
        <v>2004</v>
      </c>
      <c r="E126" s="8" t="s">
        <v>8</v>
      </c>
      <c r="F126" s="8"/>
      <c r="H126" s="8"/>
      <c r="I126" s="8" t="s">
        <v>8318</v>
      </c>
      <c r="J126" s="8" t="s">
        <v>2987</v>
      </c>
      <c r="K126" t="s">
        <v>8319</v>
      </c>
      <c r="L126" t="s">
        <v>8320</v>
      </c>
      <c r="M126" s="3" t="str">
        <f>HYPERLINK(склад2въезд13192021222378[[#This Row],[RelativePath]])</f>
        <v>12 Площадка 3 кран\K07156189_20_20251230T140045Z.jpg</v>
      </c>
    </row>
    <row r="127" spans="1:13" x14ac:dyDescent="0.25">
      <c r="A127" s="2" t="s">
        <v>15</v>
      </c>
      <c r="B127" s="4">
        <v>46022</v>
      </c>
      <c r="C127" s="5">
        <v>0.54982638888888891</v>
      </c>
      <c r="D127" s="8" t="s">
        <v>2004</v>
      </c>
      <c r="E127" s="8" t="s">
        <v>8</v>
      </c>
      <c r="F127" s="8"/>
      <c r="H127" s="8"/>
      <c r="I127" s="8" t="s">
        <v>8321</v>
      </c>
      <c r="J127" s="8" t="s">
        <v>2987</v>
      </c>
      <c r="K127" t="s">
        <v>8322</v>
      </c>
      <c r="L127" t="s">
        <v>8323</v>
      </c>
      <c r="M127" s="3" t="str">
        <f>HYPERLINK(склад2въезд13192021222378[[#This Row],[RelativePath]])</f>
        <v>12 Площадка 3 кран\K07156189_20_20251231T131145Z.jpg</v>
      </c>
    </row>
    <row r="128" spans="1:13" x14ac:dyDescent="0.25">
      <c r="A128" s="2" t="s">
        <v>16</v>
      </c>
      <c r="B128" s="4">
        <v>46023</v>
      </c>
      <c r="C128" s="5">
        <v>0.46509259259259261</v>
      </c>
      <c r="D128" s="8" t="s">
        <v>2004</v>
      </c>
      <c r="E128" s="8" t="s">
        <v>8</v>
      </c>
      <c r="F128" s="8"/>
      <c r="H128" s="8"/>
      <c r="I128" s="8" t="s">
        <v>8324</v>
      </c>
      <c r="J128" s="8" t="s">
        <v>2987</v>
      </c>
      <c r="K128" t="s">
        <v>8325</v>
      </c>
      <c r="L128" t="s">
        <v>8326</v>
      </c>
      <c r="M128" s="3" t="str">
        <f>HYPERLINK(склад2въезд13192021222378[[#This Row],[RelativePath]])</f>
        <v>12 Площадка 3 кран\K07156189_20_20260101T110944Z.jpg</v>
      </c>
    </row>
    <row r="129" spans="1:13" x14ac:dyDescent="0.25">
      <c r="A129" s="2" t="s">
        <v>16</v>
      </c>
      <c r="B129" s="4">
        <v>46023</v>
      </c>
      <c r="C129" s="5">
        <v>0.68612268518518515</v>
      </c>
      <c r="D129" s="8" t="s">
        <v>2004</v>
      </c>
      <c r="E129" s="8" t="s">
        <v>8</v>
      </c>
      <c r="F129" s="8"/>
      <c r="H129" s="8"/>
      <c r="I129" s="8" t="s">
        <v>8327</v>
      </c>
      <c r="J129" s="8" t="s">
        <v>2987</v>
      </c>
      <c r="K129" t="s">
        <v>8328</v>
      </c>
      <c r="L129" t="s">
        <v>8329</v>
      </c>
      <c r="M129" s="3" t="str">
        <f>HYPERLINK(склад2въезд13192021222378[[#This Row],[RelativePath]])</f>
        <v>12 Площадка 3 кран\K07156189_20_20260101T162801Z.jpg</v>
      </c>
    </row>
    <row r="130" spans="1:13" x14ac:dyDescent="0.25">
      <c r="A130" s="2" t="s">
        <v>17</v>
      </c>
      <c r="B130" s="4">
        <v>46024</v>
      </c>
      <c r="C130" s="5">
        <v>0.69896990740740739</v>
      </c>
      <c r="D130" s="8" t="s">
        <v>2004</v>
      </c>
      <c r="E130" s="8" t="s">
        <v>8</v>
      </c>
      <c r="F130" s="8"/>
      <c r="H130" s="8"/>
      <c r="I130" s="8" t="s">
        <v>8456</v>
      </c>
      <c r="J130" s="8" t="s">
        <v>2987</v>
      </c>
      <c r="K130" t="s">
        <v>8457</v>
      </c>
      <c r="L130" t="s">
        <v>8458</v>
      </c>
      <c r="M130" s="3" t="str">
        <f>HYPERLINK(склад2въезд13192021222378[[#This Row],[RelativePath]])</f>
        <v>12 Площадка 3 кран\K07156189_20_20260102T164631Z.jpg</v>
      </c>
    </row>
    <row r="131" spans="1:13" x14ac:dyDescent="0.25">
      <c r="A131" s="2" t="s">
        <v>18</v>
      </c>
      <c r="B131" s="4">
        <v>46025</v>
      </c>
      <c r="C131" s="5">
        <v>0.74777777777777776</v>
      </c>
      <c r="D131" s="8" t="s">
        <v>2004</v>
      </c>
      <c r="E131" s="8" t="s">
        <v>8</v>
      </c>
      <c r="F131" s="8"/>
      <c r="H131" s="8"/>
      <c r="I131" s="8" t="s">
        <v>8459</v>
      </c>
      <c r="J131" s="8" t="s">
        <v>2987</v>
      </c>
      <c r="K131" t="s">
        <v>8460</v>
      </c>
      <c r="L131" t="s">
        <v>8461</v>
      </c>
      <c r="M131" s="3" t="str">
        <f>HYPERLINK(склад2въезд13192021222378[[#This Row],[RelativePath]])</f>
        <v>12 Площадка 3 кран\K07156189_20_20260103T175648Z.jpg</v>
      </c>
    </row>
    <row r="132" spans="1:13" x14ac:dyDescent="0.25">
      <c r="A132" s="2" t="s">
        <v>22</v>
      </c>
      <c r="B132" s="4">
        <v>46026</v>
      </c>
      <c r="C132" s="5">
        <v>0.34827546296296297</v>
      </c>
      <c r="D132" s="8" t="s">
        <v>2004</v>
      </c>
      <c r="E132" s="8" t="s">
        <v>8</v>
      </c>
      <c r="F132" s="8"/>
      <c r="H132" s="8"/>
      <c r="I132" s="8" t="s">
        <v>8462</v>
      </c>
      <c r="J132" s="8" t="s">
        <v>2987</v>
      </c>
      <c r="K132" t="s">
        <v>8463</v>
      </c>
      <c r="L132" t="s">
        <v>8464</v>
      </c>
      <c r="M132" s="3" t="str">
        <f>HYPERLINK(склад2въезд13192021222378[[#This Row],[RelativePath]])</f>
        <v>12 Площадка 3 кран\K07156189_20_20260104T082131Z.jpg</v>
      </c>
    </row>
    <row r="133" spans="1:13" x14ac:dyDescent="0.25">
      <c r="A133" s="2" t="s">
        <v>13</v>
      </c>
      <c r="B133" s="4">
        <v>46027</v>
      </c>
      <c r="C133" s="5">
        <v>0.70246527777777779</v>
      </c>
      <c r="D133" s="8" t="s">
        <v>2004</v>
      </c>
      <c r="E133" s="8" t="s">
        <v>8</v>
      </c>
      <c r="F133" s="8"/>
      <c r="H133" s="8"/>
      <c r="I133" s="8" t="s">
        <v>8757</v>
      </c>
      <c r="J133" s="8" t="s">
        <v>2987</v>
      </c>
      <c r="K133" t="s">
        <v>8758</v>
      </c>
      <c r="L133" t="s">
        <v>8759</v>
      </c>
      <c r="M133" s="3" t="str">
        <f>HYPERLINK(склад2въезд13192021222378[[#This Row],[RelativePath]])</f>
        <v>12 Площадка 3 кран\K07156189_20_20260105T165133Z.jpg</v>
      </c>
    </row>
    <row r="134" spans="1:13" x14ac:dyDescent="0.25">
      <c r="A134" s="2" t="s">
        <v>14</v>
      </c>
      <c r="B134" s="4">
        <v>46028</v>
      </c>
      <c r="C134" s="5">
        <v>0.68702546296296296</v>
      </c>
      <c r="D134" s="8" t="s">
        <v>2004</v>
      </c>
      <c r="E134" s="8" t="s">
        <v>8</v>
      </c>
      <c r="F134" s="8"/>
      <c r="H134" s="8"/>
      <c r="I134" s="8" t="s">
        <v>8760</v>
      </c>
      <c r="J134" s="8" t="s">
        <v>2987</v>
      </c>
      <c r="K134" t="s">
        <v>8761</v>
      </c>
      <c r="L134" t="s">
        <v>8762</v>
      </c>
      <c r="M134" s="3" t="str">
        <f>HYPERLINK(склад2въезд13192021222378[[#This Row],[RelativePath]])</f>
        <v>12 Площадка 3 кран\K07156189_20_20260106T162919Z.jpg</v>
      </c>
    </row>
    <row r="135" spans="1:13" x14ac:dyDescent="0.25">
      <c r="A135" s="2" t="s">
        <v>15</v>
      </c>
      <c r="B135" s="4">
        <v>46029</v>
      </c>
      <c r="C135" s="5">
        <v>0.75293981481481487</v>
      </c>
      <c r="D135" s="8" t="s">
        <v>2004</v>
      </c>
      <c r="E135" s="8" t="s">
        <v>8</v>
      </c>
      <c r="F135" s="8"/>
      <c r="H135" s="8"/>
      <c r="I135" s="8" t="s">
        <v>8763</v>
      </c>
      <c r="J135" s="8" t="s">
        <v>2987</v>
      </c>
      <c r="K135" t="s">
        <v>8764</v>
      </c>
      <c r="L135" t="s">
        <v>8765</v>
      </c>
      <c r="M135" s="3" t="str">
        <f>HYPERLINK(склад2въезд13192021222378[[#This Row],[RelativePath]])</f>
        <v>12 Площадка 3 кран\K07156189_20_20260107T180414Z.jpg</v>
      </c>
    </row>
    <row r="136" spans="1:13" x14ac:dyDescent="0.25">
      <c r="A136" s="2" t="s">
        <v>16</v>
      </c>
      <c r="B136" s="4">
        <v>46030</v>
      </c>
      <c r="C136" s="5">
        <v>0.76821759259259259</v>
      </c>
      <c r="D136" s="8" t="s">
        <v>2004</v>
      </c>
      <c r="E136" s="8" t="s">
        <v>8</v>
      </c>
      <c r="F136" s="8"/>
      <c r="H136" s="8"/>
      <c r="I136" s="8" t="s">
        <v>8766</v>
      </c>
      <c r="J136" s="8" t="s">
        <v>2987</v>
      </c>
      <c r="K136" t="s">
        <v>8767</v>
      </c>
      <c r="L136" t="s">
        <v>8768</v>
      </c>
      <c r="M136" s="3" t="str">
        <f>HYPERLINK(склад2въезд13192021222378[[#This Row],[RelativePath]])</f>
        <v>12 Площадка 3 кран\K07156189_20_20260108T182614Z.jpg</v>
      </c>
    </row>
    <row r="137" spans="1:13" x14ac:dyDescent="0.25">
      <c r="A137" s="2" t="s">
        <v>17</v>
      </c>
      <c r="B137" s="4">
        <v>46031</v>
      </c>
      <c r="C137" s="5">
        <v>0.7603819444444444</v>
      </c>
      <c r="D137" s="8" t="s">
        <v>2004</v>
      </c>
      <c r="E137" s="8" t="s">
        <v>8</v>
      </c>
      <c r="F137" s="8"/>
      <c r="H137" s="8"/>
      <c r="I137" s="8" t="s">
        <v>8769</v>
      </c>
      <c r="J137" s="8" t="s">
        <v>2987</v>
      </c>
      <c r="K137" t="s">
        <v>8770</v>
      </c>
      <c r="L137" t="s">
        <v>8771</v>
      </c>
      <c r="M137" s="3" t="str">
        <f>HYPERLINK(склад2въезд13192021222378[[#This Row],[RelativePath]])</f>
        <v>12 Площадка 3 кран\K07156189_20_20260109T181457Z.jpg</v>
      </c>
    </row>
    <row r="138" spans="1:13" x14ac:dyDescent="0.25">
      <c r="A138" s="2" t="s">
        <v>18</v>
      </c>
      <c r="B138" s="4">
        <v>46032</v>
      </c>
      <c r="C138" s="5">
        <v>0.6454050925925926</v>
      </c>
      <c r="D138" s="8" t="s">
        <v>2004</v>
      </c>
      <c r="E138" s="8" t="s">
        <v>8</v>
      </c>
      <c r="F138" s="8"/>
      <c r="H138" s="8"/>
      <c r="I138" s="8" t="s">
        <v>8772</v>
      </c>
      <c r="J138" s="8" t="s">
        <v>2987</v>
      </c>
      <c r="K138" t="s">
        <v>8773</v>
      </c>
      <c r="L138" t="s">
        <v>8774</v>
      </c>
      <c r="M138" s="3" t="str">
        <f>HYPERLINK(склад2въезд13192021222378[[#This Row],[RelativePath]])</f>
        <v>12 Площадка 3 кран\K07156189_20_20260110T152923Z.jpg</v>
      </c>
    </row>
    <row r="139" spans="1:13" x14ac:dyDescent="0.25">
      <c r="A139" s="2" t="s">
        <v>22</v>
      </c>
      <c r="B139" s="4">
        <v>46033</v>
      </c>
      <c r="C139" s="5">
        <v>0.42637731481481483</v>
      </c>
      <c r="D139" s="8" t="s">
        <v>2004</v>
      </c>
      <c r="E139" s="8" t="s">
        <v>8</v>
      </c>
      <c r="F139" s="8"/>
      <c r="H139" s="8"/>
      <c r="I139" s="8" t="s">
        <v>8775</v>
      </c>
      <c r="J139" s="8" t="s">
        <v>2987</v>
      </c>
      <c r="K139" t="s">
        <v>8776</v>
      </c>
      <c r="L139" t="s">
        <v>8777</v>
      </c>
      <c r="M139" s="3" t="str">
        <f>HYPERLINK(склад2въезд13192021222378[[#This Row],[RelativePath]])</f>
        <v>12 Площадка 3 кран\K07156189_20_20260111T101359Z.jpg</v>
      </c>
    </row>
  </sheetData>
  <conditionalFormatting sqref="D140:D150 E140:E153 G2:H139 D2:E139">
    <cfRule type="containsText" dxfId="578" priority="14" operator="containsText" text="Выезд с территории">
      <formula>NOT(ISERROR(SEARCH("Выезд с территории",D2)))</formula>
    </cfRule>
  </conditionalFormatting>
  <conditionalFormatting sqref="F2:F139">
    <cfRule type="notContainsText" dxfId="577" priority="13" operator="notContains" text="порожний">
      <formula>ISERROR(SEARCH("порожний",F2))</formula>
    </cfRule>
  </conditionalFormatting>
  <conditionalFormatting sqref="E2:E153">
    <cfRule type="containsText" dxfId="576" priority="11" operator="containsText" text="Газель базы">
      <formula>NOT(ISERROR(SEARCH("Газель базы",E2)))</formula>
    </cfRule>
    <cfRule type="containsText" dxfId="575" priority="12" operator="containsText" text="Погрузчик базы">
      <formula>NOT(ISERROR(SEARCH("Погрузчик базы",E2)))</formula>
    </cfRule>
  </conditionalFormatting>
  <conditionalFormatting sqref="E2:E153">
    <cfRule type="containsText" dxfId="574" priority="10" operator="containsText" text="Трактор базы">
      <formula>NOT(ISERROR(SEARCH("Трактор базы",E2)))</formula>
    </cfRule>
  </conditionalFormatting>
  <conditionalFormatting sqref="A2:C139">
    <cfRule type="expression" dxfId="573" priority="9">
      <formula>$A2="пн"</formula>
    </cfRule>
  </conditionalFormatting>
  <conditionalFormatting sqref="A2:C141">
    <cfRule type="expression" dxfId="572" priority="3">
      <formula>$A2="вс"</formula>
    </cfRule>
    <cfRule type="expression" dxfId="571" priority="4">
      <formula>$A2="сб"</formula>
    </cfRule>
    <cfRule type="expression" dxfId="570" priority="5">
      <formula>$A2="пт"</formula>
    </cfRule>
    <cfRule type="expression" dxfId="569" priority="6">
      <formula>$A2="чт"</formula>
    </cfRule>
    <cfRule type="expression" dxfId="568" priority="7">
      <formula>$A2="ср"</formula>
    </cfRule>
    <cfRule type="expression" dxfId="567" priority="8">
      <formula>$A2="вт"</formula>
    </cfRule>
  </conditionalFormatting>
  <conditionalFormatting sqref="D2:D150">
    <cfRule type="containsText" dxfId="56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50">
    <cfRule type="containsText" dxfId="56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116"/>
  <sheetViews>
    <sheetView zoomScale="90" zoomScaleNormal="90" workbookViewId="0">
      <pane ySplit="1" topLeftCell="A101" activePane="bottomLeft" state="frozen"/>
      <selection pane="bottomLeft" activeCell="I110" sqref="I110:I11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5703125" bestFit="1" customWidth="1"/>
    <col min="5" max="5" width="41" bestFit="1" customWidth="1"/>
    <col min="6" max="6" width="28.85546875" bestFit="1" customWidth="1"/>
    <col min="7" max="7" width="7.28515625" bestFit="1" customWidth="1"/>
    <col min="8" max="8" width="26.85546875" bestFit="1" customWidth="1"/>
    <col min="9" max="9" width="36.7109375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s="8" t="s">
        <v>4</v>
      </c>
      <c r="E2" s="8" t="s">
        <v>8</v>
      </c>
      <c r="F2" s="8"/>
      <c r="H2" s="8"/>
      <c r="I2" s="8" t="s">
        <v>1937</v>
      </c>
      <c r="J2" s="8" t="s">
        <v>2988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s="8" t="s">
        <v>4</v>
      </c>
      <c r="E3" s="8" t="s">
        <v>8</v>
      </c>
      <c r="F3" s="8"/>
      <c r="H3" s="8"/>
      <c r="I3" s="8" t="s">
        <v>1940</v>
      </c>
      <c r="J3" s="8" t="s">
        <v>2988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s="8" t="s">
        <v>4</v>
      </c>
      <c r="E4" s="8" t="s">
        <v>8</v>
      </c>
      <c r="F4" s="8"/>
      <c r="H4" s="8"/>
      <c r="I4" s="8" t="s">
        <v>1943</v>
      </c>
      <c r="J4" s="8" t="s">
        <v>2988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s="8" t="s">
        <v>4</v>
      </c>
      <c r="E5" s="8" t="s">
        <v>8</v>
      </c>
      <c r="F5" s="8"/>
      <c r="H5" s="8"/>
      <c r="I5" s="8" t="s">
        <v>1946</v>
      </c>
      <c r="J5" s="8" t="s">
        <v>2988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s="8" t="s">
        <v>4</v>
      </c>
      <c r="E6" s="8" t="s">
        <v>8</v>
      </c>
      <c r="F6" s="8"/>
      <c r="H6" s="8"/>
      <c r="I6" s="8" t="s">
        <v>1949</v>
      </c>
      <c r="J6" s="8" t="s">
        <v>2988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s="8" t="s">
        <v>289</v>
      </c>
      <c r="E7" s="8" t="s">
        <v>86</v>
      </c>
      <c r="F7" s="8" t="s">
        <v>1998</v>
      </c>
      <c r="H7" s="8"/>
      <c r="I7" s="8" t="s">
        <v>1952</v>
      </c>
      <c r="J7" s="8" t="s">
        <v>2988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s="8" t="s">
        <v>1999</v>
      </c>
      <c r="E8" s="8" t="s">
        <v>86</v>
      </c>
      <c r="F8" s="8" t="s">
        <v>1998</v>
      </c>
      <c r="H8" s="8"/>
      <c r="I8" s="8" t="s">
        <v>1955</v>
      </c>
      <c r="J8" s="8" t="s">
        <v>2988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s="8" t="s">
        <v>1999</v>
      </c>
      <c r="E9" s="8" t="s">
        <v>86</v>
      </c>
      <c r="F9" s="8" t="s">
        <v>1998</v>
      </c>
      <c r="H9" s="8"/>
      <c r="I9" s="8" t="s">
        <v>1958</v>
      </c>
      <c r="J9" s="8" t="s">
        <v>2988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s="8" t="s">
        <v>4</v>
      </c>
      <c r="E10" s="8" t="s">
        <v>8</v>
      </c>
      <c r="F10" s="8"/>
      <c r="H10" s="8"/>
      <c r="I10" s="8" t="s">
        <v>1961</v>
      </c>
      <c r="J10" s="8" t="s">
        <v>2988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s="8" t="s">
        <v>4</v>
      </c>
      <c r="E11" s="8" t="s">
        <v>8</v>
      </c>
      <c r="F11" s="8"/>
      <c r="H11" s="8"/>
      <c r="I11" s="8" t="s">
        <v>1964</v>
      </c>
      <c r="J11" s="8" t="s">
        <v>2988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s="8" t="s">
        <v>4</v>
      </c>
      <c r="E12" s="8" t="s">
        <v>8</v>
      </c>
      <c r="F12" s="8"/>
      <c r="H12" s="8"/>
      <c r="I12" s="8" t="s">
        <v>1967</v>
      </c>
      <c r="J12" s="8" t="s">
        <v>2988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s="8" t="s">
        <v>4</v>
      </c>
      <c r="E13" s="8" t="s">
        <v>8</v>
      </c>
      <c r="F13" s="8"/>
      <c r="H13" s="8"/>
      <c r="I13" s="8" t="s">
        <v>1970</v>
      </c>
      <c r="J13" s="8" t="s">
        <v>2988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s="8" t="s">
        <v>4</v>
      </c>
      <c r="E14" s="8" t="s">
        <v>8</v>
      </c>
      <c r="F14" s="8"/>
      <c r="H14" s="8"/>
      <c r="I14" s="8" t="s">
        <v>1973</v>
      </c>
      <c r="J14" s="8" t="s">
        <v>2988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s="8" t="s">
        <v>4</v>
      </c>
      <c r="E15" s="8" t="s">
        <v>8</v>
      </c>
      <c r="F15" s="8"/>
      <c r="H15" s="8"/>
      <c r="I15" s="8" t="s">
        <v>1976</v>
      </c>
      <c r="J15" s="8" t="s">
        <v>2988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s="8" t="s">
        <v>4</v>
      </c>
      <c r="E16" s="8" t="s">
        <v>8</v>
      </c>
      <c r="F16" s="8"/>
      <c r="H16" s="8"/>
      <c r="I16" s="8" t="s">
        <v>1979</v>
      </c>
      <c r="J16" s="8" t="s">
        <v>2988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s="8" t="s">
        <v>4</v>
      </c>
      <c r="E17" s="8" t="s">
        <v>8</v>
      </c>
      <c r="F17" s="8"/>
      <c r="H17" s="8"/>
      <c r="I17" s="8" t="s">
        <v>1982</v>
      </c>
      <c r="J17" s="8" t="s">
        <v>2988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s="8" t="s">
        <v>4</v>
      </c>
      <c r="E18" s="8" t="s">
        <v>8</v>
      </c>
      <c r="F18" s="8"/>
      <c r="H18" s="8"/>
      <c r="I18" s="8" t="s">
        <v>1985</v>
      </c>
      <c r="J18" s="8" t="s">
        <v>2988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s="8" t="s">
        <v>4</v>
      </c>
      <c r="E19" s="8" t="s">
        <v>8</v>
      </c>
      <c r="F19" s="8"/>
      <c r="H19" s="8"/>
      <c r="I19" s="8" t="s">
        <v>1988</v>
      </c>
      <c r="J19" s="8" t="s">
        <v>2988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s="8" t="s">
        <v>4</v>
      </c>
      <c r="E20" s="8" t="s">
        <v>8</v>
      </c>
      <c r="F20" s="8"/>
      <c r="H20" s="8"/>
      <c r="I20" s="8" t="s">
        <v>1991</v>
      </c>
      <c r="J20" s="8" t="s">
        <v>2988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s="8" t="s">
        <v>4</v>
      </c>
      <c r="E21" s="8" t="s">
        <v>8</v>
      </c>
      <c r="F21" s="8"/>
      <c r="H21" s="8"/>
      <c r="I21" s="8" t="s">
        <v>1994</v>
      </c>
      <c r="J21" s="8" t="s">
        <v>2988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s="8" t="s">
        <v>4</v>
      </c>
      <c r="E22" s="8" t="s">
        <v>8</v>
      </c>
      <c r="F22" s="8"/>
      <c r="H22" s="8"/>
      <c r="I22" s="8" t="s">
        <v>2976</v>
      </c>
      <c r="J22" s="8" t="s">
        <v>2988</v>
      </c>
      <c r="K22" t="s">
        <v>2977</v>
      </c>
      <c r="L22" t="s">
        <v>2978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s="8" t="s">
        <v>533</v>
      </c>
      <c r="E23" s="8" t="s">
        <v>531</v>
      </c>
      <c r="F23" s="8" t="s">
        <v>58</v>
      </c>
      <c r="H23" s="8" t="s">
        <v>2979</v>
      </c>
      <c r="I23" s="8" t="s">
        <v>2896</v>
      </c>
      <c r="J23" s="8" t="s">
        <v>2988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s="8" t="s">
        <v>533</v>
      </c>
      <c r="E24" s="8" t="s">
        <v>531</v>
      </c>
      <c r="F24" s="8" t="s">
        <v>58</v>
      </c>
      <c r="H24" s="8" t="s">
        <v>2979</v>
      </c>
      <c r="I24" s="8" t="s">
        <v>2899</v>
      </c>
      <c r="J24" s="8" t="s">
        <v>2988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s="8" t="s">
        <v>533</v>
      </c>
      <c r="E25" s="8" t="s">
        <v>531</v>
      </c>
      <c r="F25" s="8" t="s">
        <v>58</v>
      </c>
      <c r="H25" s="8" t="s">
        <v>2979</v>
      </c>
      <c r="I25" s="8" t="s">
        <v>2902</v>
      </c>
      <c r="J25" s="8" t="s">
        <v>2988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s="8" t="s">
        <v>2004</v>
      </c>
      <c r="E26" s="8"/>
      <c r="F26" s="8"/>
      <c r="H26" s="8"/>
      <c r="I26" s="8" t="s">
        <v>2905</v>
      </c>
      <c r="J26" s="8" t="s">
        <v>2988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s="8" t="s">
        <v>2004</v>
      </c>
      <c r="E27" s="8"/>
      <c r="F27" s="8"/>
      <c r="H27" s="8"/>
      <c r="I27" s="8" t="s">
        <v>2908</v>
      </c>
      <c r="J27" s="8" t="s">
        <v>2988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s="8" t="s">
        <v>2014</v>
      </c>
      <c r="E28" s="8"/>
      <c r="F28" s="8"/>
      <c r="H28" s="8"/>
      <c r="I28" s="8" t="s">
        <v>2911</v>
      </c>
      <c r="J28" s="8" t="s">
        <v>2988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s="8" t="s">
        <v>2004</v>
      </c>
      <c r="E29" s="8"/>
      <c r="F29" s="8"/>
      <c r="H29" s="8"/>
      <c r="I29" s="8" t="s">
        <v>2914</v>
      </c>
      <c r="J29" s="8" t="s">
        <v>2988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s="8" t="s">
        <v>2004</v>
      </c>
      <c r="E30" s="8"/>
      <c r="F30" s="8"/>
      <c r="H30" s="8"/>
      <c r="I30" s="8" t="s">
        <v>2917</v>
      </c>
      <c r="J30" s="8" t="s">
        <v>2988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s="8" t="s">
        <v>2014</v>
      </c>
      <c r="E31" s="8"/>
      <c r="F31" s="8"/>
      <c r="H31" s="8"/>
      <c r="I31" s="8" t="s">
        <v>4166</v>
      </c>
      <c r="J31" s="8" t="s">
        <v>2988</v>
      </c>
      <c r="K31" t="s">
        <v>4167</v>
      </c>
      <c r="L31" t="s">
        <v>4168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s="8" t="s">
        <v>4</v>
      </c>
      <c r="E32" s="8" t="s">
        <v>4249</v>
      </c>
      <c r="F32" s="8"/>
      <c r="H32" s="8"/>
      <c r="I32" s="8" t="s">
        <v>4169</v>
      </c>
      <c r="J32" s="8" t="s">
        <v>2988</v>
      </c>
      <c r="K32" t="s">
        <v>4170</v>
      </c>
      <c r="L32" t="s">
        <v>4171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s="8" t="s">
        <v>4</v>
      </c>
      <c r="E33" s="8" t="s">
        <v>4250</v>
      </c>
      <c r="F33" s="8"/>
      <c r="H33" s="8"/>
      <c r="I33" s="8" t="s">
        <v>4172</v>
      </c>
      <c r="J33" s="8" t="s">
        <v>2988</v>
      </c>
      <c r="K33" t="s">
        <v>4173</v>
      </c>
      <c r="L33" t="s">
        <v>4174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s="8" t="s">
        <v>4</v>
      </c>
      <c r="E34" s="8" t="s">
        <v>4251</v>
      </c>
      <c r="F34" s="8"/>
      <c r="H34" s="8"/>
      <c r="I34" s="8" t="s">
        <v>4175</v>
      </c>
      <c r="J34" s="8" t="s">
        <v>2988</v>
      </c>
      <c r="K34" t="s">
        <v>4176</v>
      </c>
      <c r="L34" t="s">
        <v>4177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s="8" t="s">
        <v>4</v>
      </c>
      <c r="E35" s="8" t="s">
        <v>8</v>
      </c>
      <c r="F35" s="8"/>
      <c r="H35" s="8"/>
      <c r="I35" s="8" t="s">
        <v>4178</v>
      </c>
      <c r="J35" s="8" t="s">
        <v>2988</v>
      </c>
      <c r="K35" t="s">
        <v>4179</v>
      </c>
      <c r="L35" t="s">
        <v>4180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s="8" t="s">
        <v>4</v>
      </c>
      <c r="E36" s="8" t="s">
        <v>8</v>
      </c>
      <c r="F36" s="8"/>
      <c r="H36" s="8"/>
      <c r="I36" s="8" t="s">
        <v>4181</v>
      </c>
      <c r="J36" s="8" t="s">
        <v>2988</v>
      </c>
      <c r="K36" t="s">
        <v>4182</v>
      </c>
      <c r="L36" t="s">
        <v>4183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s="8" t="s">
        <v>4212</v>
      </c>
      <c r="E37" s="8"/>
      <c r="F37" s="8"/>
      <c r="H37" s="8"/>
      <c r="I37" s="8" t="s">
        <v>4187</v>
      </c>
      <c r="J37" s="8" t="s">
        <v>2988</v>
      </c>
      <c r="K37" t="s">
        <v>4188</v>
      </c>
      <c r="L37" t="s">
        <v>4189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s="8" t="s">
        <v>2004</v>
      </c>
      <c r="E38" s="8"/>
      <c r="F38" s="8"/>
      <c r="H38" s="8"/>
      <c r="I38" s="8" t="s">
        <v>4184</v>
      </c>
      <c r="J38" s="8" t="s">
        <v>2988</v>
      </c>
      <c r="K38" t="s">
        <v>4185</v>
      </c>
      <c r="L38" t="s">
        <v>4186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s="8" t="s">
        <v>4298</v>
      </c>
      <c r="E39" s="8"/>
      <c r="F39" s="8"/>
      <c r="H39" s="8"/>
      <c r="I39" s="8" t="s">
        <v>4294</v>
      </c>
      <c r="J39" s="8" t="s">
        <v>2988</v>
      </c>
      <c r="K39" t="s">
        <v>4295</v>
      </c>
      <c r="L39" t="s">
        <v>4296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s="8" t="s">
        <v>2014</v>
      </c>
      <c r="E40" s="8"/>
      <c r="F40" s="8"/>
      <c r="H40" s="8"/>
      <c r="I40" s="8" t="s">
        <v>4981</v>
      </c>
      <c r="J40" s="8" t="s">
        <v>2988</v>
      </c>
      <c r="K40" t="s">
        <v>4982</v>
      </c>
      <c r="L40" t="s">
        <v>4983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s="8" t="s">
        <v>2014</v>
      </c>
      <c r="E41" s="8"/>
      <c r="F41" s="8"/>
      <c r="H41" s="8"/>
      <c r="I41" s="8" t="s">
        <v>4984</v>
      </c>
      <c r="J41" s="8" t="s">
        <v>2988</v>
      </c>
      <c r="K41" t="s">
        <v>4985</v>
      </c>
      <c r="L41" t="s">
        <v>4986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s="8" t="s">
        <v>2014</v>
      </c>
      <c r="E42" s="8"/>
      <c r="F42" s="8"/>
      <c r="H42" s="8"/>
      <c r="I42" s="8" t="s">
        <v>4987</v>
      </c>
      <c r="J42" s="8" t="s">
        <v>2988</v>
      </c>
      <c r="K42" t="s">
        <v>4988</v>
      </c>
      <c r="L42" t="s">
        <v>4989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s="8" t="s">
        <v>2014</v>
      </c>
      <c r="E43" s="8"/>
      <c r="F43" s="8"/>
      <c r="H43" s="8"/>
      <c r="I43" s="8" t="s">
        <v>4990</v>
      </c>
      <c r="J43" s="8" t="s">
        <v>2988</v>
      </c>
      <c r="K43" t="s">
        <v>4991</v>
      </c>
      <c r="L43" t="s">
        <v>4992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s="8" t="s">
        <v>2014</v>
      </c>
      <c r="E44" s="8"/>
      <c r="F44" s="8"/>
      <c r="H44" s="8"/>
      <c r="I44" s="8" t="s">
        <v>4993</v>
      </c>
      <c r="J44" s="8" t="s">
        <v>2988</v>
      </c>
      <c r="K44" t="s">
        <v>4994</v>
      </c>
      <c r="L44" t="s">
        <v>4995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s="8" t="s">
        <v>2014</v>
      </c>
      <c r="E45" s="8"/>
      <c r="F45" s="8"/>
      <c r="H45" s="8"/>
      <c r="I45" s="8" t="s">
        <v>4996</v>
      </c>
      <c r="J45" s="8" t="s">
        <v>2988</v>
      </c>
      <c r="K45" t="s">
        <v>4997</v>
      </c>
      <c r="L45" t="s">
        <v>4998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s="8" t="s">
        <v>4</v>
      </c>
      <c r="E46" s="8" t="s">
        <v>5266</v>
      </c>
      <c r="F46" s="8"/>
      <c r="H46" s="8"/>
      <c r="I46" s="8" t="s">
        <v>5220</v>
      </c>
      <c r="J46" s="8" t="s">
        <v>2988</v>
      </c>
      <c r="K46" t="s">
        <v>5221</v>
      </c>
      <c r="L46" t="s">
        <v>5222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s="8" t="s">
        <v>4</v>
      </c>
      <c r="E47" s="8" t="s">
        <v>5267</v>
      </c>
      <c r="F47" s="8"/>
      <c r="H47" s="8"/>
      <c r="I47" s="8" t="s">
        <v>5223</v>
      </c>
      <c r="J47" s="8" t="s">
        <v>2988</v>
      </c>
      <c r="K47" t="s">
        <v>5224</v>
      </c>
      <c r="L47" t="s">
        <v>5225</v>
      </c>
      <c r="M47" s="3" t="str">
        <f>HYPERLINK(склад2въезд131920212223789[[#This Row],[RelativePath]])</f>
        <v>13 Склад хол\K07156189_23_20251207T162847Z.jpg</v>
      </c>
    </row>
    <row r="48" spans="1:13" x14ac:dyDescent="0.25">
      <c r="A48" s="2" t="s">
        <v>13</v>
      </c>
      <c r="B48" s="4">
        <v>45999</v>
      </c>
      <c r="C48" s="5">
        <v>0.38511574074074073</v>
      </c>
      <c r="D48" s="8" t="s">
        <v>159</v>
      </c>
      <c r="E48" s="8" t="s">
        <v>5480</v>
      </c>
      <c r="F48" s="8" t="s">
        <v>4240</v>
      </c>
      <c r="H48" s="8"/>
      <c r="I48" s="8" t="s">
        <v>5468</v>
      </c>
      <c r="J48" s="8" t="s">
        <v>2988</v>
      </c>
      <c r="K48" t="s">
        <v>5469</v>
      </c>
      <c r="L48" t="s">
        <v>5470</v>
      </c>
      <c r="M48" s="3" t="str">
        <f>HYPERLINK(склад2въезд131920212223789[[#This Row],[RelativePath]])</f>
        <v>13 Склад хол\K07156189_23_20251208T091434Z.jpg</v>
      </c>
    </row>
    <row r="49" spans="1:13" x14ac:dyDescent="0.25">
      <c r="A49" s="2" t="s">
        <v>13</v>
      </c>
      <c r="B49" s="4">
        <v>45999</v>
      </c>
      <c r="C49" s="5">
        <v>0.71109953703703699</v>
      </c>
      <c r="D49" s="8" t="s">
        <v>4</v>
      </c>
      <c r="E49" s="8" t="s">
        <v>8</v>
      </c>
      <c r="F49" s="8"/>
      <c r="H49" s="8"/>
      <c r="I49" s="8" t="s">
        <v>5471</v>
      </c>
      <c r="J49" s="8" t="s">
        <v>2988</v>
      </c>
      <c r="K49" t="s">
        <v>5472</v>
      </c>
      <c r="L49" t="s">
        <v>5473</v>
      </c>
      <c r="M49" s="3" t="str">
        <f>HYPERLINK(склад2въезд131920212223789[[#This Row],[RelativePath]])</f>
        <v>13 Склад хол\K07156189_23_20251208T170359Z.jpg</v>
      </c>
    </row>
    <row r="50" spans="1:13" x14ac:dyDescent="0.25">
      <c r="A50" s="2" t="s">
        <v>14</v>
      </c>
      <c r="B50" s="4">
        <v>46000</v>
      </c>
      <c r="C50" s="5">
        <v>0.4255902777777778</v>
      </c>
      <c r="D50" s="8" t="s">
        <v>6191</v>
      </c>
      <c r="E50" s="8" t="s">
        <v>5480</v>
      </c>
      <c r="F50" s="8" t="s">
        <v>6182</v>
      </c>
      <c r="H50" s="8"/>
      <c r="I50" s="8" t="s">
        <v>5666</v>
      </c>
      <c r="J50" s="8" t="s">
        <v>2988</v>
      </c>
      <c r="K50" t="s">
        <v>5667</v>
      </c>
      <c r="L50" t="s">
        <v>5668</v>
      </c>
      <c r="M50" s="3" t="str">
        <f>HYPERLINK(склад2въезд131920212223789[[#This Row],[RelativePath]])</f>
        <v>13 Склад хол\K07156189_23_20251209T101251Z.jpg</v>
      </c>
    </row>
    <row r="51" spans="1:13" x14ac:dyDescent="0.25">
      <c r="A51" s="2" t="s">
        <v>14</v>
      </c>
      <c r="B51" s="4">
        <v>46000</v>
      </c>
      <c r="C51" s="5">
        <v>0.42586805555555557</v>
      </c>
      <c r="D51" s="8" t="s">
        <v>6191</v>
      </c>
      <c r="E51" s="8" t="s">
        <v>5480</v>
      </c>
      <c r="F51" s="8" t="s">
        <v>6182</v>
      </c>
      <c r="H51" s="8" t="s">
        <v>2936</v>
      </c>
      <c r="I51" s="8" t="s">
        <v>5669</v>
      </c>
      <c r="J51" s="8" t="s">
        <v>2988</v>
      </c>
      <c r="K51" t="s">
        <v>5670</v>
      </c>
      <c r="L51" t="s">
        <v>5671</v>
      </c>
      <c r="M51" s="3" t="str">
        <f>HYPERLINK(склад2въезд131920212223789[[#This Row],[RelativePath]])</f>
        <v>13 Склад хол\K07156189_23_20251209T101315Z.jpg</v>
      </c>
    </row>
    <row r="52" spans="1:13" x14ac:dyDescent="0.25">
      <c r="A52" s="2" t="s">
        <v>14</v>
      </c>
      <c r="B52" s="4">
        <v>46000</v>
      </c>
      <c r="C52" s="5">
        <v>0.65454861111111107</v>
      </c>
      <c r="D52" s="8" t="s">
        <v>4</v>
      </c>
      <c r="E52" s="8" t="s">
        <v>8</v>
      </c>
      <c r="F52" s="8"/>
      <c r="H52" s="8"/>
      <c r="I52" s="8" t="s">
        <v>5672</v>
      </c>
      <c r="J52" s="8" t="s">
        <v>2988</v>
      </c>
      <c r="K52" t="s">
        <v>5673</v>
      </c>
      <c r="L52" t="s">
        <v>5674</v>
      </c>
      <c r="M52" s="3" t="str">
        <f>HYPERLINK(склад2въезд131920212223789[[#This Row],[RelativePath]])</f>
        <v>13 Склад хол\K07156189_23_20251209T154233Z.jpg</v>
      </c>
    </row>
    <row r="53" spans="1:13" x14ac:dyDescent="0.25">
      <c r="A53" s="2" t="s">
        <v>15</v>
      </c>
      <c r="B53" s="4">
        <v>46001</v>
      </c>
      <c r="C53" s="5">
        <v>0.50247685185185187</v>
      </c>
      <c r="D53" s="8" t="s">
        <v>4</v>
      </c>
      <c r="E53" s="8" t="s">
        <v>8</v>
      </c>
      <c r="F53" s="8"/>
      <c r="H53" s="8"/>
      <c r="I53" s="8" t="s">
        <v>5675</v>
      </c>
      <c r="J53" s="8" t="s">
        <v>2988</v>
      </c>
      <c r="K53" t="s">
        <v>5676</v>
      </c>
      <c r="L53" t="s">
        <v>5677</v>
      </c>
      <c r="M53" s="3" t="str">
        <f>HYPERLINK(склад2въезд131920212223789[[#This Row],[RelativePath]])</f>
        <v>13 Склад хол\K07156189_23_20251210T120334Z.jpg</v>
      </c>
    </row>
    <row r="54" spans="1:13" x14ac:dyDescent="0.25">
      <c r="A54" s="2" t="s">
        <v>15</v>
      </c>
      <c r="B54" s="4">
        <v>46001</v>
      </c>
      <c r="C54" s="5">
        <v>0.50800925925925922</v>
      </c>
      <c r="D54" s="8" t="s">
        <v>4</v>
      </c>
      <c r="E54" s="8" t="s">
        <v>8</v>
      </c>
      <c r="F54" s="8"/>
      <c r="H54" s="8"/>
      <c r="I54" s="8" t="s">
        <v>5678</v>
      </c>
      <c r="J54" s="8" t="s">
        <v>2988</v>
      </c>
      <c r="K54" t="s">
        <v>5679</v>
      </c>
      <c r="L54" t="s">
        <v>5680</v>
      </c>
      <c r="M54" s="3" t="str">
        <f>HYPERLINK(склад2въезд131920212223789[[#This Row],[RelativePath]])</f>
        <v>13 Склад хол\K07156189_23_20251210T121132Z.jpg</v>
      </c>
    </row>
    <row r="55" spans="1:13" x14ac:dyDescent="0.25">
      <c r="A55" s="2" t="s">
        <v>16</v>
      </c>
      <c r="B55" s="4">
        <v>46002</v>
      </c>
      <c r="C55" s="5">
        <v>0.86337962962962966</v>
      </c>
      <c r="D55" s="8" t="s">
        <v>2014</v>
      </c>
      <c r="E55" s="8"/>
      <c r="F55" s="8"/>
      <c r="H55" s="8"/>
      <c r="I55" s="8" t="s">
        <v>5681</v>
      </c>
      <c r="J55" s="8" t="s">
        <v>2988</v>
      </c>
      <c r="K55" t="s">
        <v>5682</v>
      </c>
      <c r="L55" t="s">
        <v>5683</v>
      </c>
      <c r="M55" s="3" t="str">
        <f>HYPERLINK(склад2въезд131920212223789[[#This Row],[RelativePath]])</f>
        <v>13 Склад хол\K07156189_23_20251211T204316Z.jpg</v>
      </c>
    </row>
    <row r="56" spans="1:13" x14ac:dyDescent="0.25">
      <c r="A56" s="2" t="s">
        <v>17</v>
      </c>
      <c r="B56" s="4">
        <v>46003</v>
      </c>
      <c r="C56" s="5">
        <v>0.42656250000000001</v>
      </c>
      <c r="D56" s="8" t="s">
        <v>6191</v>
      </c>
      <c r="E56" s="8" t="s">
        <v>5480</v>
      </c>
      <c r="F56" s="8" t="s">
        <v>6172</v>
      </c>
      <c r="H56" s="8"/>
      <c r="I56" s="8" t="s">
        <v>5990</v>
      </c>
      <c r="J56" s="8" t="s">
        <v>2988</v>
      </c>
      <c r="K56" t="s">
        <v>5991</v>
      </c>
      <c r="L56" t="s">
        <v>5992</v>
      </c>
      <c r="M56" s="3" t="str">
        <f>HYPERLINK(склад2въезд131920212223789[[#This Row],[RelativePath]])</f>
        <v>13 Склад хол\K07156189_23_20251212T101415Z.jpg</v>
      </c>
    </row>
    <row r="57" spans="1:13" x14ac:dyDescent="0.25">
      <c r="A57" s="2" t="s">
        <v>17</v>
      </c>
      <c r="B57" s="4">
        <v>46003</v>
      </c>
      <c r="C57" s="5">
        <v>0.47609953703703706</v>
      </c>
      <c r="D57" s="8" t="s">
        <v>4</v>
      </c>
      <c r="E57" s="8" t="s">
        <v>8</v>
      </c>
      <c r="F57" s="8"/>
      <c r="H57" s="8"/>
      <c r="I57" s="8" t="s">
        <v>5993</v>
      </c>
      <c r="J57" s="8" t="s">
        <v>2988</v>
      </c>
      <c r="K57" t="s">
        <v>5994</v>
      </c>
      <c r="L57" t="s">
        <v>5995</v>
      </c>
      <c r="M57" s="3" t="str">
        <f>HYPERLINK(склад2въезд131920212223789[[#This Row],[RelativePath]])</f>
        <v>13 Склад хол\K07156189_23_20251212T112535Z.jpg</v>
      </c>
    </row>
    <row r="58" spans="1:13" x14ac:dyDescent="0.25">
      <c r="A58" s="2" t="s">
        <v>17</v>
      </c>
      <c r="B58" s="4">
        <v>46003</v>
      </c>
      <c r="C58" s="5">
        <v>0.48775462962962962</v>
      </c>
      <c r="D58" s="8" t="s">
        <v>4</v>
      </c>
      <c r="E58" s="8" t="s">
        <v>8</v>
      </c>
      <c r="F58" s="8"/>
      <c r="H58" s="8"/>
      <c r="I58" s="8" t="s">
        <v>5996</v>
      </c>
      <c r="J58" s="8" t="s">
        <v>2988</v>
      </c>
      <c r="K58" t="s">
        <v>5997</v>
      </c>
      <c r="L58" t="s">
        <v>5998</v>
      </c>
      <c r="M58" s="3" t="str">
        <f>HYPERLINK(склад2въезд131920212223789[[#This Row],[RelativePath]])</f>
        <v>13 Склад хол\K07156189_23_20251212T114222Z.jpg</v>
      </c>
    </row>
    <row r="59" spans="1:13" x14ac:dyDescent="0.25">
      <c r="A59" s="2" t="s">
        <v>18</v>
      </c>
      <c r="B59" s="4">
        <v>46004</v>
      </c>
      <c r="C59" s="5">
        <v>0.55222222222222217</v>
      </c>
      <c r="D59" s="8" t="s">
        <v>4</v>
      </c>
      <c r="E59" s="8" t="s">
        <v>6167</v>
      </c>
      <c r="F59" s="8"/>
      <c r="H59" s="8"/>
      <c r="I59" s="8" t="s">
        <v>5999</v>
      </c>
      <c r="J59" s="8" t="s">
        <v>2988</v>
      </c>
      <c r="K59" t="s">
        <v>6000</v>
      </c>
      <c r="L59" t="s">
        <v>6001</v>
      </c>
      <c r="M59" s="3" t="str">
        <f>HYPERLINK(склад2въезд131920212223789[[#This Row],[RelativePath]])</f>
        <v>13 Склад хол\K07156189_23_20251213T131512Z.jpg</v>
      </c>
    </row>
    <row r="60" spans="1:13" x14ac:dyDescent="0.25">
      <c r="A60" s="2" t="s">
        <v>18</v>
      </c>
      <c r="B60" s="4">
        <v>46004</v>
      </c>
      <c r="C60" s="5">
        <v>0.58324074074074073</v>
      </c>
      <c r="D60" s="8" t="s">
        <v>4</v>
      </c>
      <c r="E60" s="8" t="s">
        <v>8</v>
      </c>
      <c r="F60" s="8"/>
      <c r="H60" s="8"/>
      <c r="I60" s="8" t="s">
        <v>6002</v>
      </c>
      <c r="J60" s="8" t="s">
        <v>2988</v>
      </c>
      <c r="K60" t="s">
        <v>6003</v>
      </c>
      <c r="L60" t="s">
        <v>6004</v>
      </c>
      <c r="M60" s="3" t="str">
        <f>HYPERLINK(склад2въезд131920212223789[[#This Row],[RelativePath]])</f>
        <v>13 Склад хол\K07156189_23_20251213T135952Z.jpg</v>
      </c>
    </row>
    <row r="61" spans="1:13" x14ac:dyDescent="0.25">
      <c r="A61" s="2" t="s">
        <v>22</v>
      </c>
      <c r="B61" s="4">
        <v>46005</v>
      </c>
      <c r="C61" s="5">
        <v>0.72364583333333332</v>
      </c>
      <c r="D61" s="8" t="s">
        <v>2004</v>
      </c>
      <c r="E61" s="8" t="s">
        <v>8</v>
      </c>
      <c r="F61" s="8"/>
      <c r="H61" s="8"/>
      <c r="I61" s="8" t="s">
        <v>6255</v>
      </c>
      <c r="J61" s="8" t="s">
        <v>2988</v>
      </c>
      <c r="K61" t="s">
        <v>6256</v>
      </c>
      <c r="L61" t="s">
        <v>6257</v>
      </c>
      <c r="M61" s="3" t="str">
        <f>HYPERLINK(склад2въезд131920212223789[[#This Row],[RelativePath]])</f>
        <v>13 Склад хол\K07156189_23_20251214T172203Z.jpg</v>
      </c>
    </row>
    <row r="62" spans="1:13" x14ac:dyDescent="0.25">
      <c r="A62" s="2" t="s">
        <v>13</v>
      </c>
      <c r="B62" s="4">
        <v>46006</v>
      </c>
      <c r="C62" s="5">
        <v>0.62061342592592594</v>
      </c>
      <c r="D62" s="8" t="s">
        <v>289</v>
      </c>
      <c r="E62" s="8" t="s">
        <v>5480</v>
      </c>
      <c r="F62" s="8" t="s">
        <v>528</v>
      </c>
      <c r="H62" s="8"/>
      <c r="I62" s="8" t="s">
        <v>6515</v>
      </c>
      <c r="J62" s="8" t="s">
        <v>2988</v>
      </c>
      <c r="K62" t="s">
        <v>6516</v>
      </c>
      <c r="L62" t="s">
        <v>6517</v>
      </c>
      <c r="M62" s="3" t="str">
        <f>HYPERLINK(склад2въезд131920212223789[[#This Row],[RelativePath]])</f>
        <v>13 Склад хол\K07156189_23_20251215T145341Z.jpg</v>
      </c>
    </row>
    <row r="63" spans="1:13" x14ac:dyDescent="0.25">
      <c r="A63" s="2" t="s">
        <v>13</v>
      </c>
      <c r="B63" s="4">
        <v>46006</v>
      </c>
      <c r="C63" s="5">
        <v>0.62665509259259256</v>
      </c>
      <c r="D63" s="8" t="s">
        <v>289</v>
      </c>
      <c r="E63" s="8" t="s">
        <v>5480</v>
      </c>
      <c r="F63" s="8" t="s">
        <v>528</v>
      </c>
      <c r="H63" s="8"/>
      <c r="I63" s="8" t="s">
        <v>6518</v>
      </c>
      <c r="J63" s="8" t="s">
        <v>2988</v>
      </c>
      <c r="K63" t="s">
        <v>6519</v>
      </c>
      <c r="L63" t="s">
        <v>6520</v>
      </c>
      <c r="M63" s="3" t="str">
        <f>HYPERLINK(склад2въезд131920212223789[[#This Row],[RelativePath]])</f>
        <v>13 Склад хол\K07156189_23_20251215T150223Z.jpg</v>
      </c>
    </row>
    <row r="64" spans="1:13" x14ac:dyDescent="0.25">
      <c r="A64" s="2" t="s">
        <v>13</v>
      </c>
      <c r="B64" s="4">
        <v>46006</v>
      </c>
      <c r="C64" s="5">
        <v>0.63099537037037035</v>
      </c>
      <c r="D64" s="8" t="s">
        <v>289</v>
      </c>
      <c r="E64" s="8" t="s">
        <v>5480</v>
      </c>
      <c r="F64" s="8" t="s">
        <v>1621</v>
      </c>
      <c r="H64" s="8"/>
      <c r="I64" s="8" t="s">
        <v>6521</v>
      </c>
      <c r="J64" s="8" t="s">
        <v>2988</v>
      </c>
      <c r="K64" t="s">
        <v>6522</v>
      </c>
      <c r="L64" t="s">
        <v>6523</v>
      </c>
      <c r="M64" s="3" t="str">
        <f>HYPERLINK(склад2въезд131920212223789[[#This Row],[RelativePath]])</f>
        <v>13 Склад хол\K07156189_23_20251215T150838Z.jpg</v>
      </c>
    </row>
    <row r="65" spans="1:13" x14ac:dyDescent="0.25">
      <c r="A65" s="2" t="s">
        <v>14</v>
      </c>
      <c r="B65" s="4">
        <v>46007</v>
      </c>
      <c r="C65" s="5">
        <v>0.39892361111111113</v>
      </c>
      <c r="D65" s="8" t="s">
        <v>533</v>
      </c>
      <c r="E65" s="8" t="s">
        <v>531</v>
      </c>
      <c r="F65" s="8" t="s">
        <v>58</v>
      </c>
      <c r="H65" s="8"/>
      <c r="I65" s="8" t="s">
        <v>6644</v>
      </c>
      <c r="J65" s="8" t="s">
        <v>2988</v>
      </c>
      <c r="K65" t="s">
        <v>6645</v>
      </c>
      <c r="L65" t="s">
        <v>6646</v>
      </c>
      <c r="M65" s="3" t="str">
        <f>HYPERLINK(склад2въезд131920212223789[[#This Row],[RelativePath]])</f>
        <v>13 Склад хол\K07156189_23_20251216T093427Z.jpg</v>
      </c>
    </row>
    <row r="66" spans="1:13" x14ac:dyDescent="0.25">
      <c r="A66" s="2" t="s">
        <v>14</v>
      </c>
      <c r="B66" s="4">
        <v>46007</v>
      </c>
      <c r="C66" s="5">
        <v>0.40010416666666665</v>
      </c>
      <c r="D66" s="8" t="s">
        <v>533</v>
      </c>
      <c r="E66" s="8" t="s">
        <v>531</v>
      </c>
      <c r="F66" s="8" t="s">
        <v>58</v>
      </c>
      <c r="H66" s="8"/>
      <c r="I66" s="8" t="s">
        <v>6647</v>
      </c>
      <c r="J66" s="8" t="s">
        <v>2988</v>
      </c>
      <c r="K66" t="s">
        <v>6648</v>
      </c>
      <c r="L66" t="s">
        <v>6649</v>
      </c>
      <c r="M66" s="3" t="str">
        <f>HYPERLINK(склад2въезд131920212223789[[#This Row],[RelativePath]])</f>
        <v>13 Склад хол\K07156189_23_20251216T093609Z.jpg</v>
      </c>
    </row>
    <row r="67" spans="1:13" x14ac:dyDescent="0.25">
      <c r="A67" s="2" t="s">
        <v>14</v>
      </c>
      <c r="B67" s="4">
        <v>46007</v>
      </c>
      <c r="C67" s="5">
        <v>0.40134259259259258</v>
      </c>
      <c r="D67" s="8" t="s">
        <v>533</v>
      </c>
      <c r="E67" s="8" t="s">
        <v>531</v>
      </c>
      <c r="F67" s="8" t="s">
        <v>58</v>
      </c>
      <c r="H67" s="8"/>
      <c r="I67" s="8" t="s">
        <v>6650</v>
      </c>
      <c r="J67" s="8" t="s">
        <v>2988</v>
      </c>
      <c r="K67" t="s">
        <v>6651</v>
      </c>
      <c r="L67" t="s">
        <v>6652</v>
      </c>
      <c r="M67" s="3" t="str">
        <f>HYPERLINK(склад2въезд131920212223789[[#This Row],[RelativePath]])</f>
        <v>13 Склад хол\K07156189_23_20251216T093756Z.jpg</v>
      </c>
    </row>
    <row r="68" spans="1:13" x14ac:dyDescent="0.25">
      <c r="A68" s="2" t="s">
        <v>14</v>
      </c>
      <c r="B68" s="4">
        <v>46007</v>
      </c>
      <c r="C68" s="5">
        <v>0.66119212962962959</v>
      </c>
      <c r="D68" s="8" t="s">
        <v>4</v>
      </c>
      <c r="E68" s="8" t="s">
        <v>8</v>
      </c>
      <c r="F68" s="8"/>
      <c r="H68" s="8"/>
      <c r="I68" s="8" t="s">
        <v>6653</v>
      </c>
      <c r="J68" s="8" t="s">
        <v>2988</v>
      </c>
      <c r="K68" t="s">
        <v>6654</v>
      </c>
      <c r="L68" t="s">
        <v>6655</v>
      </c>
      <c r="M68" s="3" t="str">
        <f>HYPERLINK(склад2въезд131920212223789[[#This Row],[RelativePath]])</f>
        <v>13 Склад хол\K07156189_23_20251216T155207Z.jpg</v>
      </c>
    </row>
    <row r="69" spans="1:13" x14ac:dyDescent="0.25">
      <c r="A69" s="2" t="s">
        <v>15</v>
      </c>
      <c r="B69" s="4">
        <v>46008</v>
      </c>
      <c r="C69" s="5">
        <v>0.67952546296296301</v>
      </c>
      <c r="D69" s="8" t="s">
        <v>289</v>
      </c>
      <c r="E69" s="8" t="s">
        <v>5480</v>
      </c>
      <c r="F69" s="8" t="s">
        <v>528</v>
      </c>
      <c r="H69" s="8"/>
      <c r="I69" s="8" t="s">
        <v>6829</v>
      </c>
      <c r="J69" s="8" t="s">
        <v>2988</v>
      </c>
      <c r="K69" t="s">
        <v>6830</v>
      </c>
      <c r="L69" t="s">
        <v>6831</v>
      </c>
      <c r="M69" s="3" t="str">
        <f>HYPERLINK(склад2въезд131920212223789[[#This Row],[RelativePath]])</f>
        <v>13 Склад хол\K07156189_23_20251217T161831Z.jpg</v>
      </c>
    </row>
    <row r="70" spans="1:13" x14ac:dyDescent="0.25">
      <c r="A70" s="2" t="s">
        <v>15</v>
      </c>
      <c r="B70" s="4">
        <v>46008</v>
      </c>
      <c r="C70" s="5">
        <v>0.68071759259259257</v>
      </c>
      <c r="D70" s="8" t="s">
        <v>289</v>
      </c>
      <c r="E70" s="8" t="s">
        <v>5480</v>
      </c>
      <c r="F70" s="8" t="s">
        <v>528</v>
      </c>
      <c r="H70" s="8" t="s">
        <v>2936</v>
      </c>
      <c r="I70" s="8" t="s">
        <v>6832</v>
      </c>
      <c r="J70" s="8" t="s">
        <v>2988</v>
      </c>
      <c r="K70" t="s">
        <v>6833</v>
      </c>
      <c r="L70" t="s">
        <v>6834</v>
      </c>
      <c r="M70" s="3" t="str">
        <f>HYPERLINK(склад2въезд131920212223789[[#This Row],[RelativePath]])</f>
        <v>13 Склад хол\K07156189_23_20251217T162014Z.jpg</v>
      </c>
    </row>
    <row r="71" spans="1:13" x14ac:dyDescent="0.25">
      <c r="A71" s="2" t="s">
        <v>15</v>
      </c>
      <c r="B71" s="4">
        <v>46008</v>
      </c>
      <c r="C71" s="5">
        <v>0.68144675925925924</v>
      </c>
      <c r="D71" s="8" t="s">
        <v>158</v>
      </c>
      <c r="E71" s="8" t="s">
        <v>5480</v>
      </c>
      <c r="F71" s="8" t="s">
        <v>528</v>
      </c>
      <c r="H71" s="8" t="s">
        <v>5102</v>
      </c>
      <c r="I71" s="8" t="s">
        <v>6835</v>
      </c>
      <c r="J71" s="8" t="s">
        <v>2988</v>
      </c>
      <c r="K71" t="s">
        <v>6836</v>
      </c>
      <c r="L71" t="s">
        <v>6837</v>
      </c>
      <c r="M71" s="3" t="str">
        <f>HYPERLINK(склад2въезд131920212223789[[#This Row],[RelativePath]])</f>
        <v>13 Склад хол\K07156189_23_20251217T162117Z.jpg</v>
      </c>
    </row>
    <row r="72" spans="1:13" x14ac:dyDescent="0.25">
      <c r="A72" s="2" t="s">
        <v>15</v>
      </c>
      <c r="B72" s="4">
        <v>46008</v>
      </c>
      <c r="C72" s="5">
        <v>0.68444444444444441</v>
      </c>
      <c r="D72" s="8" t="s">
        <v>289</v>
      </c>
      <c r="E72" s="8" t="s">
        <v>5480</v>
      </c>
      <c r="F72" s="8" t="s">
        <v>528</v>
      </c>
      <c r="H72" s="8"/>
      <c r="I72" s="8" t="s">
        <v>6838</v>
      </c>
      <c r="J72" s="8" t="s">
        <v>2988</v>
      </c>
      <c r="K72" t="s">
        <v>6839</v>
      </c>
      <c r="L72" t="s">
        <v>6840</v>
      </c>
      <c r="M72" s="3" t="str">
        <f>HYPERLINK(склад2въезд131920212223789[[#This Row],[RelativePath]])</f>
        <v>13 Склад хол\K07156189_23_20251217T162536Z.jpg</v>
      </c>
    </row>
    <row r="73" spans="1:13" x14ac:dyDescent="0.25">
      <c r="A73" s="2" t="s">
        <v>15</v>
      </c>
      <c r="B73" s="4">
        <v>46008</v>
      </c>
      <c r="C73" s="5">
        <v>0.68527777777777776</v>
      </c>
      <c r="D73" s="8" t="s">
        <v>158</v>
      </c>
      <c r="E73" s="8" t="s">
        <v>5480</v>
      </c>
      <c r="F73" s="8" t="s">
        <v>528</v>
      </c>
      <c r="H73" s="8" t="s">
        <v>5102</v>
      </c>
      <c r="I73" s="8" t="s">
        <v>6841</v>
      </c>
      <c r="J73" s="8" t="s">
        <v>2988</v>
      </c>
      <c r="K73" t="s">
        <v>6842</v>
      </c>
      <c r="L73" t="s">
        <v>6843</v>
      </c>
      <c r="M73" s="3" t="str">
        <f>HYPERLINK(склад2въезд131920212223789[[#This Row],[RelativePath]])</f>
        <v>13 Склад хол\K07156189_23_20251217T162648Z.jpg</v>
      </c>
    </row>
    <row r="74" spans="1:13" x14ac:dyDescent="0.25">
      <c r="A74" s="2" t="s">
        <v>16</v>
      </c>
      <c r="B74" s="4">
        <v>46009</v>
      </c>
      <c r="C74" s="5">
        <v>0.44422453703703701</v>
      </c>
      <c r="D74" s="8" t="s">
        <v>4223</v>
      </c>
      <c r="E74" s="8" t="s">
        <v>5480</v>
      </c>
      <c r="F74" s="8" t="s">
        <v>6872</v>
      </c>
      <c r="H74" s="8" t="s">
        <v>6531</v>
      </c>
      <c r="I74" s="8" t="s">
        <v>6844</v>
      </c>
      <c r="J74" s="8" t="s">
        <v>2988</v>
      </c>
      <c r="K74" t="s">
        <v>6845</v>
      </c>
      <c r="L74" t="s">
        <v>6846</v>
      </c>
      <c r="M74" s="3" t="str">
        <f>HYPERLINK(склад2въезд131920212223789[[#This Row],[RelativePath]])</f>
        <v>13 Склад хол\K07156189_23_20251218T103941Z.jpg</v>
      </c>
    </row>
    <row r="75" spans="1:13" x14ac:dyDescent="0.25">
      <c r="A75" s="2" t="s">
        <v>16</v>
      </c>
      <c r="B75" s="4">
        <v>46009</v>
      </c>
      <c r="C75" s="5">
        <v>0.44549768518518518</v>
      </c>
      <c r="D75" s="8" t="s">
        <v>4223</v>
      </c>
      <c r="E75" s="8" t="s">
        <v>5480</v>
      </c>
      <c r="F75" s="8" t="s">
        <v>6872</v>
      </c>
      <c r="H75" s="8" t="s">
        <v>2936</v>
      </c>
      <c r="I75" s="8" t="s">
        <v>6847</v>
      </c>
      <c r="J75" s="8" t="s">
        <v>2988</v>
      </c>
      <c r="K75" t="s">
        <v>6848</v>
      </c>
      <c r="L75" t="s">
        <v>6849</v>
      </c>
      <c r="M75" s="3" t="str">
        <f>HYPERLINK(склад2въезд131920212223789[[#This Row],[RelativePath]])</f>
        <v>13 Склад хол\K07156189_23_20251218T104131Z.jpg</v>
      </c>
    </row>
    <row r="76" spans="1:13" x14ac:dyDescent="0.25">
      <c r="A76" s="2" t="s">
        <v>16</v>
      </c>
      <c r="B76" s="4">
        <v>46009</v>
      </c>
      <c r="C76" s="5">
        <v>0.44664351851851852</v>
      </c>
      <c r="D76" s="8" t="s">
        <v>158</v>
      </c>
      <c r="E76" s="8" t="s">
        <v>5480</v>
      </c>
      <c r="F76" s="8" t="s">
        <v>6872</v>
      </c>
      <c r="H76" s="8" t="s">
        <v>5102</v>
      </c>
      <c r="I76" s="8" t="s">
        <v>6850</v>
      </c>
      <c r="J76" s="8" t="s">
        <v>2988</v>
      </c>
      <c r="K76" t="s">
        <v>6851</v>
      </c>
      <c r="L76" t="s">
        <v>6852</v>
      </c>
      <c r="M76" s="3" t="str">
        <f>HYPERLINK(склад2въезд131920212223789[[#This Row],[RelativePath]])</f>
        <v>13 Склад хол\K07156189_23_20251218T104310Z.jpg</v>
      </c>
    </row>
    <row r="77" spans="1:13" x14ac:dyDescent="0.25">
      <c r="A77" s="2" t="s">
        <v>16</v>
      </c>
      <c r="B77" s="4">
        <v>46009</v>
      </c>
      <c r="C77" s="5">
        <v>0.56633101851851853</v>
      </c>
      <c r="D77" s="8" t="s">
        <v>4</v>
      </c>
      <c r="E77" s="8" t="s">
        <v>6873</v>
      </c>
      <c r="F77" s="8"/>
      <c r="H77" s="8" t="s">
        <v>6531</v>
      </c>
      <c r="I77" s="8" t="s">
        <v>6853</v>
      </c>
      <c r="J77" s="8" t="s">
        <v>2988</v>
      </c>
      <c r="K77" t="s">
        <v>6854</v>
      </c>
      <c r="L77" t="s">
        <v>6855</v>
      </c>
      <c r="M77" s="3" t="str">
        <f>HYPERLINK(склад2въезд131920212223789[[#This Row],[RelativePath]])</f>
        <v>13 Склад хол\K07156189_23_20251218T133531Z.jpg</v>
      </c>
    </row>
    <row r="78" spans="1:13" x14ac:dyDescent="0.25">
      <c r="A78" s="2" t="s">
        <v>16</v>
      </c>
      <c r="B78" s="4">
        <v>46009</v>
      </c>
      <c r="C78" s="5">
        <v>0.58986111111111106</v>
      </c>
      <c r="D78" s="8" t="s">
        <v>4</v>
      </c>
      <c r="E78" s="8" t="s">
        <v>2932</v>
      </c>
      <c r="F78" s="8"/>
      <c r="H78" s="8"/>
      <c r="I78" s="8" t="s">
        <v>6856</v>
      </c>
      <c r="J78" s="8" t="s">
        <v>2988</v>
      </c>
      <c r="K78" t="s">
        <v>6857</v>
      </c>
      <c r="L78" t="s">
        <v>6858</v>
      </c>
      <c r="M78" s="3" t="str">
        <f>HYPERLINK(склад2въезд131920212223789[[#This Row],[RelativePath]])</f>
        <v>13 Склад хол\K07156189_23_20251218T140924Z.jpg</v>
      </c>
    </row>
    <row r="79" spans="1:13" x14ac:dyDescent="0.25">
      <c r="A79" s="2" t="s">
        <v>16</v>
      </c>
      <c r="B79" s="4">
        <v>46009</v>
      </c>
      <c r="C79" s="5">
        <v>0.59215277777777775</v>
      </c>
      <c r="D79" s="8" t="s">
        <v>4</v>
      </c>
      <c r="E79" s="8" t="s">
        <v>6874</v>
      </c>
      <c r="F79" s="8"/>
      <c r="H79" s="8"/>
      <c r="I79" s="8" t="s">
        <v>6859</v>
      </c>
      <c r="J79" s="8" t="s">
        <v>2988</v>
      </c>
      <c r="K79" t="s">
        <v>6860</v>
      </c>
      <c r="L79" t="s">
        <v>6861</v>
      </c>
      <c r="M79" s="3" t="str">
        <f>HYPERLINK(склад2въезд131920212223789[[#This Row],[RelativePath]])</f>
        <v>13 Склад хол\K07156189_23_20251218T141242Z.jpg</v>
      </c>
    </row>
    <row r="80" spans="1:13" x14ac:dyDescent="0.25">
      <c r="A80" s="2" t="s">
        <v>16</v>
      </c>
      <c r="B80" s="4">
        <v>46009</v>
      </c>
      <c r="C80" s="5">
        <v>0.69392361111111112</v>
      </c>
      <c r="D80" s="8" t="s">
        <v>4</v>
      </c>
      <c r="E80" s="8" t="s">
        <v>8</v>
      </c>
      <c r="F80" s="8"/>
      <c r="H80" s="8"/>
      <c r="I80" s="8" t="s">
        <v>6862</v>
      </c>
      <c r="J80" s="8" t="s">
        <v>2988</v>
      </c>
      <c r="K80" t="s">
        <v>6863</v>
      </c>
      <c r="L80" t="s">
        <v>6864</v>
      </c>
      <c r="M80" s="3" t="str">
        <f>HYPERLINK(склад2въезд131920212223789[[#This Row],[RelativePath]])</f>
        <v>13 Склад хол\K07156189_23_20251218T163915Z.jpg</v>
      </c>
    </row>
    <row r="81" spans="1:13" x14ac:dyDescent="0.25">
      <c r="A81" s="2" t="s">
        <v>17</v>
      </c>
      <c r="B81" s="4">
        <v>46010</v>
      </c>
      <c r="C81" s="5">
        <v>0.66483796296296294</v>
      </c>
      <c r="D81" s="8" t="s">
        <v>2004</v>
      </c>
      <c r="E81" s="8" t="s">
        <v>8</v>
      </c>
      <c r="F81" s="8"/>
      <c r="H81" s="8"/>
      <c r="I81" s="8" t="s">
        <v>7163</v>
      </c>
      <c r="J81" s="8" t="s">
        <v>2988</v>
      </c>
      <c r="K81" t="s">
        <v>7164</v>
      </c>
      <c r="L81" t="s">
        <v>7165</v>
      </c>
      <c r="M81" s="3" t="str">
        <f>HYPERLINK(склад2въезд131920212223789[[#This Row],[RelativePath]])</f>
        <v>13 Склад хол\K07156189_23_20251219T155722Z.jpg</v>
      </c>
    </row>
    <row r="82" spans="1:13" x14ac:dyDescent="0.25">
      <c r="A82" s="2" t="s">
        <v>18</v>
      </c>
      <c r="B82" s="4">
        <v>46011</v>
      </c>
      <c r="C82" s="5">
        <v>0.69364583333333329</v>
      </c>
      <c r="D82" s="8" t="s">
        <v>2004</v>
      </c>
      <c r="E82" s="8" t="s">
        <v>8</v>
      </c>
      <c r="F82" s="8"/>
      <c r="H82" s="8"/>
      <c r="I82" s="8" t="s">
        <v>7157</v>
      </c>
      <c r="J82" s="8" t="s">
        <v>2988</v>
      </c>
      <c r="K82" t="s">
        <v>7158</v>
      </c>
      <c r="L82" t="s">
        <v>7159</v>
      </c>
      <c r="M82" s="3" t="str">
        <f>HYPERLINK(склад2въезд131920212223789[[#This Row],[RelativePath]])</f>
        <v>13 Склад хол\K07156189_23_20251220T163851Z.jpg</v>
      </c>
    </row>
    <row r="83" spans="1:13" x14ac:dyDescent="0.25">
      <c r="A83" s="2" t="s">
        <v>22</v>
      </c>
      <c r="B83" s="4">
        <v>46012</v>
      </c>
      <c r="C83" s="5">
        <v>0.7047106481481481</v>
      </c>
      <c r="D83" s="8" t="s">
        <v>2004</v>
      </c>
      <c r="E83" s="8" t="s">
        <v>8</v>
      </c>
      <c r="F83" s="8"/>
      <c r="H83" s="8"/>
      <c r="I83" s="8" t="s">
        <v>7211</v>
      </c>
      <c r="J83" s="8" t="s">
        <v>2988</v>
      </c>
      <c r="K83" t="s">
        <v>7212</v>
      </c>
      <c r="L83" t="s">
        <v>7213</v>
      </c>
      <c r="M83" s="3" t="str">
        <f>HYPERLINK(склад2въезд131920212223789[[#This Row],[RelativePath]])</f>
        <v>13 Склад хол\K07156189_23_20251221T165447Z.jpg</v>
      </c>
    </row>
    <row r="84" spans="1:13" x14ac:dyDescent="0.25">
      <c r="A84" s="2" t="s">
        <v>13</v>
      </c>
      <c r="B84" s="4">
        <v>46013</v>
      </c>
      <c r="C84" s="5">
        <v>0.70993055555555551</v>
      </c>
      <c r="D84" s="8" t="s">
        <v>2004</v>
      </c>
      <c r="E84" s="8" t="s">
        <v>8</v>
      </c>
      <c r="F84" s="8"/>
      <c r="H84" s="8"/>
      <c r="I84" s="8" t="s">
        <v>7311</v>
      </c>
      <c r="J84" s="8" t="s">
        <v>2988</v>
      </c>
      <c r="K84" t="s">
        <v>7312</v>
      </c>
      <c r="L84" t="s">
        <v>7313</v>
      </c>
      <c r="M84" s="3" t="str">
        <f>HYPERLINK(склад2въезд131920212223789[[#This Row],[RelativePath]])</f>
        <v>13 Склад хол\K07156189_23_20251222T170218Z.jpg</v>
      </c>
    </row>
    <row r="85" spans="1:13" x14ac:dyDescent="0.25">
      <c r="A85" s="2" t="s">
        <v>14</v>
      </c>
      <c r="B85" s="4">
        <v>46014</v>
      </c>
      <c r="C85" s="5">
        <v>0.74131944444444442</v>
      </c>
      <c r="D85" s="8" t="s">
        <v>2004</v>
      </c>
      <c r="E85" s="8" t="s">
        <v>8</v>
      </c>
      <c r="F85" s="8"/>
      <c r="H85" s="8"/>
      <c r="I85" s="8" t="s">
        <v>7314</v>
      </c>
      <c r="J85" s="8" t="s">
        <v>2988</v>
      </c>
      <c r="K85" t="s">
        <v>7315</v>
      </c>
      <c r="L85" t="s">
        <v>7316</v>
      </c>
      <c r="M85" s="3" t="str">
        <f>HYPERLINK(склад2въезд131920212223789[[#This Row],[RelativePath]])</f>
        <v>13 Склад хол\K07156189_23_20251223T174730Z.jpg</v>
      </c>
    </row>
    <row r="86" spans="1:13" x14ac:dyDescent="0.25">
      <c r="A86" s="2" t="s">
        <v>15</v>
      </c>
      <c r="B86" s="4">
        <v>46015</v>
      </c>
      <c r="C86" s="5">
        <v>0.6643634259259259</v>
      </c>
      <c r="D86" s="8" t="s">
        <v>4223</v>
      </c>
      <c r="E86" s="8" t="s">
        <v>5480</v>
      </c>
      <c r="F86" s="8" t="s">
        <v>60</v>
      </c>
      <c r="H86" s="8"/>
      <c r="I86" s="8" t="s">
        <v>7679</v>
      </c>
      <c r="J86" s="8" t="s">
        <v>2988</v>
      </c>
      <c r="K86" t="s">
        <v>7680</v>
      </c>
      <c r="L86" t="s">
        <v>7681</v>
      </c>
      <c r="M86" s="3" t="str">
        <f>HYPERLINK(склад2въезд131920212223789[[#This Row],[RelativePath]])</f>
        <v>13 Склад хол\K07156189_23_20251224T155641Z.jpg</v>
      </c>
    </row>
    <row r="87" spans="1:13" x14ac:dyDescent="0.25">
      <c r="A87" s="2" t="s">
        <v>15</v>
      </c>
      <c r="B87" s="4">
        <v>46015</v>
      </c>
      <c r="C87" s="5">
        <v>0.7075231481481481</v>
      </c>
      <c r="D87" s="8" t="s">
        <v>2004</v>
      </c>
      <c r="E87" s="8" t="s">
        <v>8</v>
      </c>
      <c r="F87" s="8"/>
      <c r="H87" s="8"/>
      <c r="I87" s="8" t="s">
        <v>7682</v>
      </c>
      <c r="J87" s="8" t="s">
        <v>2988</v>
      </c>
      <c r="K87" t="s">
        <v>7683</v>
      </c>
      <c r="L87" t="s">
        <v>7684</v>
      </c>
      <c r="M87" s="3" t="str">
        <f>HYPERLINK(склад2въезд131920212223789[[#This Row],[RelativePath]])</f>
        <v>13 Склад хол\K07156189_23_20251224T165850Z.jpg</v>
      </c>
    </row>
    <row r="88" spans="1:13" x14ac:dyDescent="0.25">
      <c r="A88" s="2" t="s">
        <v>16</v>
      </c>
      <c r="B88" s="4">
        <v>46016</v>
      </c>
      <c r="C88" s="5">
        <v>0.52539351851851857</v>
      </c>
      <c r="D88" s="8" t="s">
        <v>4</v>
      </c>
      <c r="E88" s="8" t="s">
        <v>4193</v>
      </c>
      <c r="F88" s="8"/>
      <c r="H88" s="8" t="s">
        <v>7718</v>
      </c>
      <c r="I88" s="8" t="s">
        <v>7685</v>
      </c>
      <c r="J88" s="8" t="s">
        <v>2988</v>
      </c>
      <c r="K88" t="s">
        <v>7686</v>
      </c>
      <c r="L88" t="s">
        <v>7687</v>
      </c>
      <c r="M88" s="3" t="str">
        <f>HYPERLINK(склад2въезд131920212223789[[#This Row],[RelativePath]])</f>
        <v>13 Склад хол\K07156189_23_20251225T123634Z.jpg</v>
      </c>
    </row>
    <row r="89" spans="1:13" x14ac:dyDescent="0.25">
      <c r="A89" s="2" t="s">
        <v>16</v>
      </c>
      <c r="B89" s="4">
        <v>46016</v>
      </c>
      <c r="C89" s="5">
        <v>0.52629629629629626</v>
      </c>
      <c r="D89" s="8" t="s">
        <v>4223</v>
      </c>
      <c r="E89" s="8" t="s">
        <v>5480</v>
      </c>
      <c r="F89" s="8" t="s">
        <v>7713</v>
      </c>
      <c r="H89" s="8"/>
      <c r="I89" s="8" t="s">
        <v>7688</v>
      </c>
      <c r="J89" s="8" t="s">
        <v>2988</v>
      </c>
      <c r="K89" t="s">
        <v>7689</v>
      </c>
      <c r="L89" t="s">
        <v>7690</v>
      </c>
      <c r="M89" s="3" t="str">
        <f>HYPERLINK(склад2въезд131920212223789[[#This Row],[RelativePath]])</f>
        <v>13 Склад хол\K07156189_23_20251225T123752Z.jpg</v>
      </c>
    </row>
    <row r="90" spans="1:13" x14ac:dyDescent="0.25">
      <c r="A90" s="2" t="s">
        <v>16</v>
      </c>
      <c r="B90" s="4">
        <v>46016</v>
      </c>
      <c r="C90" s="5">
        <v>0.68274305555555559</v>
      </c>
      <c r="D90" s="8" t="s">
        <v>4223</v>
      </c>
      <c r="E90" s="8" t="s">
        <v>5480</v>
      </c>
      <c r="F90" s="8" t="s">
        <v>7719</v>
      </c>
      <c r="H90" s="8"/>
      <c r="I90" s="8" t="s">
        <v>7691</v>
      </c>
      <c r="J90" s="8" t="s">
        <v>2988</v>
      </c>
      <c r="K90" t="s">
        <v>7692</v>
      </c>
      <c r="L90" t="s">
        <v>7693</v>
      </c>
      <c r="M90" s="3" t="str">
        <f>HYPERLINK(склад2въезд131920212223789[[#This Row],[RelativePath]])</f>
        <v>13 Склад хол\K07156189_23_20251225T162309Z.jpg</v>
      </c>
    </row>
    <row r="91" spans="1:13" x14ac:dyDescent="0.25">
      <c r="A91" s="2" t="s">
        <v>17</v>
      </c>
      <c r="B91" s="4">
        <v>46017</v>
      </c>
      <c r="C91" s="5">
        <v>0.39837962962962964</v>
      </c>
      <c r="D91" s="8" t="s">
        <v>4223</v>
      </c>
      <c r="E91" s="8" t="s">
        <v>5480</v>
      </c>
      <c r="F91" s="8" t="s">
        <v>60</v>
      </c>
      <c r="H91" s="8"/>
      <c r="I91" s="8" t="s">
        <v>7792</v>
      </c>
      <c r="J91" s="8" t="s">
        <v>2988</v>
      </c>
      <c r="K91" t="s">
        <v>7793</v>
      </c>
      <c r="L91" t="s">
        <v>7794</v>
      </c>
      <c r="M91" s="3" t="str">
        <f>HYPERLINK(склад2въезд131920212223789[[#This Row],[RelativePath]])</f>
        <v>13 Склад хол\K07156189_23_20251226T093340Z.jpg</v>
      </c>
    </row>
    <row r="92" spans="1:13" x14ac:dyDescent="0.25">
      <c r="A92" s="2" t="s">
        <v>17</v>
      </c>
      <c r="B92" s="4">
        <v>46017</v>
      </c>
      <c r="C92" s="5">
        <v>0.39859953703703704</v>
      </c>
      <c r="D92" s="8" t="s">
        <v>4223</v>
      </c>
      <c r="E92" s="8" t="s">
        <v>5480</v>
      </c>
      <c r="F92" s="8" t="s">
        <v>60</v>
      </c>
      <c r="H92" s="8"/>
      <c r="I92" s="8" t="s">
        <v>7795</v>
      </c>
      <c r="J92" s="8" t="s">
        <v>2988</v>
      </c>
      <c r="K92" t="s">
        <v>7796</v>
      </c>
      <c r="L92" t="s">
        <v>7797</v>
      </c>
      <c r="M92" s="3" t="str">
        <f>HYPERLINK(склад2въезд131920212223789[[#This Row],[RelativePath]])</f>
        <v>13 Склад хол\K07156189_23_20251226T093359Z.jpg</v>
      </c>
    </row>
    <row r="93" spans="1:13" x14ac:dyDescent="0.25">
      <c r="A93" s="2" t="s">
        <v>17</v>
      </c>
      <c r="B93" s="4">
        <v>46017</v>
      </c>
      <c r="C93" s="5">
        <v>0.40739583333333335</v>
      </c>
      <c r="D93" s="8" t="s">
        <v>4223</v>
      </c>
      <c r="E93" s="8" t="s">
        <v>5480</v>
      </c>
      <c r="F93" s="8" t="s">
        <v>7719</v>
      </c>
      <c r="H93" s="8"/>
      <c r="I93" s="8" t="s">
        <v>7798</v>
      </c>
      <c r="J93" s="8" t="s">
        <v>2988</v>
      </c>
      <c r="K93" t="s">
        <v>7799</v>
      </c>
      <c r="L93" t="s">
        <v>7800</v>
      </c>
      <c r="M93" s="3" t="str">
        <f>HYPERLINK(склад2въезд131920212223789[[#This Row],[RelativePath]])</f>
        <v>13 Склад хол\K07156189_23_20251226T094639Z.jpg</v>
      </c>
    </row>
    <row r="94" spans="1:13" x14ac:dyDescent="0.25">
      <c r="A94" s="2" t="s">
        <v>17</v>
      </c>
      <c r="B94" s="4">
        <v>46017</v>
      </c>
      <c r="C94" s="5">
        <v>0.42027777777777775</v>
      </c>
      <c r="D94" s="8" t="s">
        <v>4</v>
      </c>
      <c r="E94" s="8" t="s">
        <v>4193</v>
      </c>
      <c r="F94" s="8"/>
      <c r="H94" s="8" t="s">
        <v>7718</v>
      </c>
      <c r="I94" s="8" t="s">
        <v>7801</v>
      </c>
      <c r="J94" s="8" t="s">
        <v>2988</v>
      </c>
      <c r="K94" t="s">
        <v>7802</v>
      </c>
      <c r="L94" t="s">
        <v>7803</v>
      </c>
      <c r="M94" s="3" t="str">
        <f>HYPERLINK(склад2въезд131920212223789[[#This Row],[RelativePath]])</f>
        <v>13 Склад хол\K07156189_23_20251226T100512Z.jpg</v>
      </c>
    </row>
    <row r="95" spans="1:13" x14ac:dyDescent="0.25">
      <c r="A95" s="2" t="s">
        <v>17</v>
      </c>
      <c r="B95" s="4">
        <v>46017</v>
      </c>
      <c r="C95" s="5">
        <v>0.44064814814814812</v>
      </c>
      <c r="D95" s="8" t="s">
        <v>4</v>
      </c>
      <c r="E95" s="8" t="s">
        <v>8</v>
      </c>
      <c r="F95" s="8"/>
      <c r="H95" s="8" t="s">
        <v>2936</v>
      </c>
      <c r="I95" s="8" t="s">
        <v>7804</v>
      </c>
      <c r="J95" s="8" t="s">
        <v>2988</v>
      </c>
      <c r="K95" t="s">
        <v>7805</v>
      </c>
      <c r="L95" t="s">
        <v>7806</v>
      </c>
      <c r="M95" s="3" t="str">
        <f>HYPERLINK(склад2въезд131920212223789[[#This Row],[RelativePath]])</f>
        <v>13 Склад хол\K07156189_23_20251226T103432Z.jpg</v>
      </c>
    </row>
    <row r="96" spans="1:13" x14ac:dyDescent="0.25">
      <c r="A96" s="2" t="s">
        <v>17</v>
      </c>
      <c r="B96" s="4">
        <v>46017</v>
      </c>
      <c r="C96" s="5">
        <v>0.4448611111111111</v>
      </c>
      <c r="D96" s="8" t="s">
        <v>4</v>
      </c>
      <c r="E96" s="8" t="s">
        <v>8</v>
      </c>
      <c r="F96" s="8"/>
      <c r="H96" s="8" t="s">
        <v>2936</v>
      </c>
      <c r="I96" s="8" t="s">
        <v>7807</v>
      </c>
      <c r="J96" s="8" t="s">
        <v>2988</v>
      </c>
      <c r="K96" t="s">
        <v>7808</v>
      </c>
      <c r="L96" t="s">
        <v>7809</v>
      </c>
      <c r="M96" s="3" t="str">
        <f>HYPERLINK(склад2въезд131920212223789[[#This Row],[RelativePath]])</f>
        <v>13 Склад хол\K07156189_23_20251226T104036Z.jpg</v>
      </c>
    </row>
    <row r="97" spans="1:13" x14ac:dyDescent="0.25">
      <c r="A97" s="2" t="s">
        <v>17</v>
      </c>
      <c r="B97" s="4">
        <v>46017</v>
      </c>
      <c r="C97" s="5">
        <v>0.4556365740740741</v>
      </c>
      <c r="D97" s="8" t="s">
        <v>4223</v>
      </c>
      <c r="E97" s="8" t="s">
        <v>5480</v>
      </c>
      <c r="F97" s="8" t="s">
        <v>7714</v>
      </c>
      <c r="H97" s="8"/>
      <c r="I97" s="8" t="s">
        <v>7810</v>
      </c>
      <c r="J97" s="8" t="s">
        <v>2988</v>
      </c>
      <c r="K97" t="s">
        <v>7811</v>
      </c>
      <c r="L97" t="s">
        <v>7812</v>
      </c>
      <c r="M97" s="3" t="str">
        <f>HYPERLINK(склад2въезд131920212223789[[#This Row],[RelativePath]])</f>
        <v>13 Склад хол\K07156189_23_20251226T105607Z.jpg</v>
      </c>
    </row>
    <row r="98" spans="1:13" x14ac:dyDescent="0.25">
      <c r="A98" s="2" t="s">
        <v>17</v>
      </c>
      <c r="B98" s="4">
        <v>46017</v>
      </c>
      <c r="C98" s="5">
        <v>0.51545138888888886</v>
      </c>
      <c r="D98" s="8" t="s">
        <v>4223</v>
      </c>
      <c r="E98" s="8" t="s">
        <v>5480</v>
      </c>
      <c r="F98" s="8" t="s">
        <v>60</v>
      </c>
      <c r="H98" s="8"/>
      <c r="I98" s="8" t="s">
        <v>7813</v>
      </c>
      <c r="J98" s="8" t="s">
        <v>2988</v>
      </c>
      <c r="K98" t="s">
        <v>7814</v>
      </c>
      <c r="L98" t="s">
        <v>7815</v>
      </c>
      <c r="M98" s="3" t="str">
        <f>HYPERLINK(склад2въезд131920212223789[[#This Row],[RelativePath]])</f>
        <v>13 Склад хол\K07156189_23_20251226T122215Z.jpg</v>
      </c>
    </row>
    <row r="99" spans="1:13" x14ac:dyDescent="0.25">
      <c r="A99" s="2" t="s">
        <v>17</v>
      </c>
      <c r="B99" s="4">
        <v>46017</v>
      </c>
      <c r="C99" s="5">
        <v>0.70399305555555558</v>
      </c>
      <c r="D99" s="8" t="s">
        <v>4</v>
      </c>
      <c r="E99" s="8" t="s">
        <v>8</v>
      </c>
      <c r="F99" s="8"/>
      <c r="H99" s="8"/>
      <c r="I99" s="8" t="s">
        <v>7816</v>
      </c>
      <c r="J99" s="8" t="s">
        <v>2988</v>
      </c>
      <c r="K99" t="s">
        <v>7817</v>
      </c>
      <c r="L99" t="s">
        <v>7818</v>
      </c>
      <c r="M99" s="3" t="str">
        <f>HYPERLINK(склад2въезд131920212223789[[#This Row],[RelativePath]])</f>
        <v>13 Склад хол\K07156189_23_20251226T165345Z.jpg</v>
      </c>
    </row>
    <row r="100" spans="1:13" x14ac:dyDescent="0.25">
      <c r="A100" s="2" t="s">
        <v>18</v>
      </c>
      <c r="B100" s="4">
        <v>46018</v>
      </c>
      <c r="C100" s="5">
        <v>0.64461805555555551</v>
      </c>
      <c r="D100" s="8" t="s">
        <v>4</v>
      </c>
      <c r="E100" s="8" t="s">
        <v>8</v>
      </c>
      <c r="F100" s="8"/>
      <c r="H100" s="8"/>
      <c r="I100" s="8" t="s">
        <v>7983</v>
      </c>
      <c r="J100" s="8" t="s">
        <v>2988</v>
      </c>
      <c r="K100" t="s">
        <v>7984</v>
      </c>
      <c r="L100" t="s">
        <v>7985</v>
      </c>
      <c r="M100" s="3" t="str">
        <f>HYPERLINK(склад2въезд131920212223789[[#This Row],[RelativePath]])</f>
        <v>13 Склад хол\K07156189_23_20251227T152815Z.jpg</v>
      </c>
    </row>
    <row r="101" spans="1:13" x14ac:dyDescent="0.25">
      <c r="A101" s="2" t="s">
        <v>18</v>
      </c>
      <c r="B101" s="4">
        <v>46018</v>
      </c>
      <c r="C101" s="5">
        <v>0.71253472222222225</v>
      </c>
      <c r="D101" s="8" t="s">
        <v>4</v>
      </c>
      <c r="E101" s="8" t="s">
        <v>8</v>
      </c>
      <c r="F101" s="8"/>
      <c r="H101" s="8"/>
      <c r="I101" s="8" t="s">
        <v>7986</v>
      </c>
      <c r="J101" s="8" t="s">
        <v>2988</v>
      </c>
      <c r="K101" t="s">
        <v>7987</v>
      </c>
      <c r="L101" t="s">
        <v>7988</v>
      </c>
      <c r="M101" s="3" t="str">
        <f>HYPERLINK(склад2въезд131920212223789[[#This Row],[RelativePath]])</f>
        <v>13 Склад хол\K07156189_23_20251227T170603Z.jpg</v>
      </c>
    </row>
    <row r="102" spans="1:13" x14ac:dyDescent="0.25">
      <c r="A102" s="2" t="s">
        <v>22</v>
      </c>
      <c r="B102" s="4">
        <v>46019</v>
      </c>
      <c r="C102" s="5">
        <v>0.57256944444444446</v>
      </c>
      <c r="D102" s="8" t="s">
        <v>4</v>
      </c>
      <c r="E102" s="8" t="s">
        <v>8</v>
      </c>
      <c r="F102" s="8"/>
      <c r="H102" s="8"/>
      <c r="I102" s="8" t="s">
        <v>7989</v>
      </c>
      <c r="J102" s="8" t="s">
        <v>2988</v>
      </c>
      <c r="K102" t="s">
        <v>7990</v>
      </c>
      <c r="L102" t="s">
        <v>7991</v>
      </c>
      <c r="M102" s="3" t="str">
        <f>HYPERLINK(склад2въезд131920212223789[[#This Row],[RelativePath]])</f>
        <v>13 Склад хол\K07156189_23_20251228T134430Z.jpg</v>
      </c>
    </row>
    <row r="103" spans="1:13" x14ac:dyDescent="0.25">
      <c r="A103" s="2" t="s">
        <v>13</v>
      </c>
      <c r="B103" s="4">
        <v>46020</v>
      </c>
      <c r="C103" s="5">
        <v>0.61881944444444448</v>
      </c>
      <c r="D103" s="8" t="s">
        <v>533</v>
      </c>
      <c r="E103" s="8" t="s">
        <v>531</v>
      </c>
      <c r="F103" s="8" t="s">
        <v>8361</v>
      </c>
      <c r="H103" s="8"/>
      <c r="I103" s="8" t="s">
        <v>8273</v>
      </c>
      <c r="J103" s="8" t="s">
        <v>2988</v>
      </c>
      <c r="K103" t="s">
        <v>8274</v>
      </c>
      <c r="L103" t="s">
        <v>8275</v>
      </c>
      <c r="M103" s="3" t="str">
        <f>HYPERLINK(склад2въезд131920212223789[[#This Row],[RelativePath]])</f>
        <v>13 Склад хол\K07156189_23_20251229T145106Z.jpg</v>
      </c>
    </row>
    <row r="104" spans="1:13" x14ac:dyDescent="0.25">
      <c r="A104" s="2" t="s">
        <v>14</v>
      </c>
      <c r="B104" s="4">
        <v>46021</v>
      </c>
      <c r="C104" s="5">
        <v>0.68046296296296294</v>
      </c>
      <c r="D104" s="8" t="s">
        <v>2004</v>
      </c>
      <c r="E104" s="8" t="s">
        <v>8</v>
      </c>
      <c r="F104" s="8"/>
      <c r="H104" s="8"/>
      <c r="I104" s="8" t="s">
        <v>8276</v>
      </c>
      <c r="J104" s="8" t="s">
        <v>2988</v>
      </c>
      <c r="K104" t="s">
        <v>8277</v>
      </c>
      <c r="L104" t="s">
        <v>8278</v>
      </c>
      <c r="M104" s="3" t="str">
        <f>HYPERLINK(склад2въезд131920212223789[[#This Row],[RelativePath]])</f>
        <v>13 Склад хол\K07156189_23_20251230T161952Z.jpg</v>
      </c>
    </row>
    <row r="105" spans="1:13" x14ac:dyDescent="0.25">
      <c r="A105" s="2" t="s">
        <v>15</v>
      </c>
      <c r="B105" s="4">
        <v>46022</v>
      </c>
      <c r="C105" s="5">
        <v>0.62459490740740742</v>
      </c>
      <c r="D105" s="8" t="s">
        <v>2004</v>
      </c>
      <c r="E105" s="8" t="s">
        <v>8</v>
      </c>
      <c r="F105" s="8"/>
      <c r="H105" s="8"/>
      <c r="I105" s="8" t="s">
        <v>8279</v>
      </c>
      <c r="J105" s="8" t="s">
        <v>2988</v>
      </c>
      <c r="K105" t="s">
        <v>8280</v>
      </c>
      <c r="L105" t="s">
        <v>8281</v>
      </c>
      <c r="M105" s="3" t="str">
        <f>HYPERLINK(склад2въезд131920212223789[[#This Row],[RelativePath]])</f>
        <v>13 Склад хол\K07156189_23_20251231T145925Z.jpg</v>
      </c>
    </row>
    <row r="106" spans="1:13" x14ac:dyDescent="0.25">
      <c r="A106" s="2" t="s">
        <v>16</v>
      </c>
      <c r="B106" s="4">
        <v>46023</v>
      </c>
      <c r="C106" s="5">
        <v>0.71039351851851851</v>
      </c>
      <c r="D106" s="8" t="s">
        <v>2004</v>
      </c>
      <c r="E106" s="8" t="s">
        <v>8</v>
      </c>
      <c r="F106" s="8"/>
      <c r="H106" s="8"/>
      <c r="I106" s="8" t="s">
        <v>8282</v>
      </c>
      <c r="J106" s="8" t="s">
        <v>2988</v>
      </c>
      <c r="K106" t="s">
        <v>8283</v>
      </c>
      <c r="L106" t="s">
        <v>8284</v>
      </c>
      <c r="M106" s="3" t="str">
        <f>HYPERLINK(склад2въезд131920212223789[[#This Row],[RelativePath]])</f>
        <v>13 Склад хол\K07156189_23_20260101T170258Z.jpg</v>
      </c>
    </row>
    <row r="107" spans="1:13" x14ac:dyDescent="0.25">
      <c r="A107" s="2" t="s">
        <v>17</v>
      </c>
      <c r="B107" s="4">
        <v>46024</v>
      </c>
      <c r="C107" s="5">
        <v>0.58374999999999999</v>
      </c>
      <c r="D107" s="8" t="s">
        <v>2004</v>
      </c>
      <c r="E107" s="8" t="s">
        <v>8</v>
      </c>
      <c r="F107" s="8"/>
      <c r="H107" s="8"/>
      <c r="I107" s="8" t="s">
        <v>8465</v>
      </c>
      <c r="J107" s="8" t="s">
        <v>2988</v>
      </c>
      <c r="K107" t="s">
        <v>8466</v>
      </c>
      <c r="L107" t="s">
        <v>8467</v>
      </c>
      <c r="M107" s="3" t="str">
        <f>HYPERLINK(склад2въезд131920212223789[[#This Row],[RelativePath]])</f>
        <v>13 Склад хол\K07156189_23_20260102T140036Z.jpg</v>
      </c>
    </row>
    <row r="108" spans="1:13" x14ac:dyDescent="0.25">
      <c r="A108" s="2" t="s">
        <v>18</v>
      </c>
      <c r="B108" s="4">
        <v>46025</v>
      </c>
      <c r="C108" s="5">
        <v>0.68453703703703705</v>
      </c>
      <c r="D108" s="8" t="s">
        <v>2004</v>
      </c>
      <c r="E108" s="8" t="s">
        <v>8</v>
      </c>
      <c r="F108" s="8"/>
      <c r="H108" s="8"/>
      <c r="I108" s="8" t="s">
        <v>8468</v>
      </c>
      <c r="J108" s="8" t="s">
        <v>2988</v>
      </c>
      <c r="K108" t="s">
        <v>8469</v>
      </c>
      <c r="L108" t="s">
        <v>8470</v>
      </c>
      <c r="M108" s="3" t="str">
        <f>HYPERLINK(склад2въезд131920212223789[[#This Row],[RelativePath]])</f>
        <v>13 Склад хол\K07156189_23_20260103T162544Z.jpg</v>
      </c>
    </row>
    <row r="109" spans="1:13" x14ac:dyDescent="0.25">
      <c r="A109" s="2" t="s">
        <v>22</v>
      </c>
      <c r="B109" s="4">
        <v>46026</v>
      </c>
      <c r="C109" s="5">
        <v>0.60297453703703707</v>
      </c>
      <c r="D109" s="8" t="s">
        <v>2004</v>
      </c>
      <c r="E109" s="8" t="s">
        <v>8</v>
      </c>
      <c r="F109" s="8"/>
      <c r="H109" s="8"/>
      <c r="I109" s="8" t="s">
        <v>8471</v>
      </c>
      <c r="J109" s="8" t="s">
        <v>2988</v>
      </c>
      <c r="K109" t="s">
        <v>8472</v>
      </c>
      <c r="L109" t="s">
        <v>8473</v>
      </c>
      <c r="M109" s="3" t="str">
        <f>HYPERLINK(склад2въезд131920212223789[[#This Row],[RelativePath]])</f>
        <v>13 Склад хол\K07156189_23_20260104T142817Z.jpg</v>
      </c>
    </row>
    <row r="110" spans="1:13" x14ac:dyDescent="0.25">
      <c r="A110" s="2" t="s">
        <v>13</v>
      </c>
      <c r="B110" s="4">
        <v>46027</v>
      </c>
      <c r="C110" s="5">
        <v>0.54106481481481483</v>
      </c>
      <c r="D110" s="8" t="s">
        <v>2004</v>
      </c>
      <c r="E110" s="8" t="s">
        <v>8</v>
      </c>
      <c r="F110" s="8"/>
      <c r="H110" s="8"/>
      <c r="I110" s="8" t="s">
        <v>8778</v>
      </c>
      <c r="J110" s="8" t="s">
        <v>2988</v>
      </c>
      <c r="K110" t="s">
        <v>8779</v>
      </c>
      <c r="L110" t="s">
        <v>8780</v>
      </c>
      <c r="M110" s="3" t="str">
        <f>HYPERLINK(склад2въезд131920212223789[[#This Row],[RelativePath]])</f>
        <v>13 Склад хол\K07156189_23_20260105T125908Z.jpg</v>
      </c>
    </row>
    <row r="111" spans="1:13" x14ac:dyDescent="0.25">
      <c r="A111" s="2" t="s">
        <v>14</v>
      </c>
      <c r="B111" s="4">
        <v>46028</v>
      </c>
      <c r="C111" s="5">
        <v>0.45634259259259258</v>
      </c>
      <c r="D111" s="8" t="s">
        <v>2004</v>
      </c>
      <c r="E111" s="8" t="s">
        <v>8</v>
      </c>
      <c r="F111" s="8"/>
      <c r="H111" s="8"/>
      <c r="I111" s="8" t="s">
        <v>8781</v>
      </c>
      <c r="J111" s="8" t="s">
        <v>2988</v>
      </c>
      <c r="K111" t="s">
        <v>8782</v>
      </c>
      <c r="L111" t="s">
        <v>8783</v>
      </c>
      <c r="M111" s="3" t="str">
        <f>HYPERLINK(склад2въезд131920212223789[[#This Row],[RelativePath]])</f>
        <v>13 Склад хол\K07156189_23_20260106T105708Z.jpg</v>
      </c>
    </row>
    <row r="112" spans="1:13" x14ac:dyDescent="0.25">
      <c r="A112" s="2" t="s">
        <v>15</v>
      </c>
      <c r="B112" s="4">
        <v>46029</v>
      </c>
      <c r="C112" s="5">
        <v>0.5448263888888889</v>
      </c>
      <c r="D112" s="8" t="s">
        <v>2004</v>
      </c>
      <c r="E112" s="8" t="s">
        <v>8</v>
      </c>
      <c r="F112" s="8"/>
      <c r="H112" s="8"/>
      <c r="I112" s="8" t="s">
        <v>8784</v>
      </c>
      <c r="J112" s="8" t="s">
        <v>2988</v>
      </c>
      <c r="K112" t="s">
        <v>8785</v>
      </c>
      <c r="L112" t="s">
        <v>8786</v>
      </c>
      <c r="M112" s="3" t="str">
        <f>HYPERLINK(склад2въезд131920212223789[[#This Row],[RelativePath]])</f>
        <v>13 Склад хол\K07156189_23_20260107T130433Z.jpg</v>
      </c>
    </row>
    <row r="113" spans="1:13" x14ac:dyDescent="0.25">
      <c r="A113" s="2" t="s">
        <v>16</v>
      </c>
      <c r="B113" s="4">
        <v>46030</v>
      </c>
      <c r="C113" s="5">
        <v>0.53621527777777778</v>
      </c>
      <c r="D113" s="8" t="s">
        <v>2004</v>
      </c>
      <c r="E113" s="8" t="s">
        <v>8</v>
      </c>
      <c r="F113" s="8"/>
      <c r="H113" s="8"/>
      <c r="I113" s="8" t="s">
        <v>8787</v>
      </c>
      <c r="J113" s="8" t="s">
        <v>2988</v>
      </c>
      <c r="K113" t="s">
        <v>8788</v>
      </c>
      <c r="L113" t="s">
        <v>8789</v>
      </c>
      <c r="M113" s="3" t="str">
        <f>HYPERLINK(склад2въезд131920212223789[[#This Row],[RelativePath]])</f>
        <v>13 Склад хол\K07156189_23_20260108T125209Z.jpg</v>
      </c>
    </row>
    <row r="114" spans="1:13" x14ac:dyDescent="0.25">
      <c r="A114" s="2" t="s">
        <v>17</v>
      </c>
      <c r="B114" s="4">
        <v>46031</v>
      </c>
      <c r="C114" s="5">
        <v>0.53267361111111111</v>
      </c>
      <c r="D114" s="8" t="s">
        <v>2004</v>
      </c>
      <c r="E114" s="8" t="s">
        <v>8</v>
      </c>
      <c r="F114" s="8"/>
      <c r="H114" s="8"/>
      <c r="I114" s="8" t="s">
        <v>8790</v>
      </c>
      <c r="J114" s="8" t="s">
        <v>2988</v>
      </c>
      <c r="K114" t="s">
        <v>8791</v>
      </c>
      <c r="L114" t="s">
        <v>8792</v>
      </c>
      <c r="M114" s="3" t="str">
        <f>HYPERLINK(склад2въезд131920212223789[[#This Row],[RelativePath]])</f>
        <v>13 Склад хол\K07156189_23_20260109T124703Z.jpg</v>
      </c>
    </row>
    <row r="115" spans="1:13" x14ac:dyDescent="0.25">
      <c r="A115" s="2" t="s">
        <v>18</v>
      </c>
      <c r="B115" s="4">
        <v>46032</v>
      </c>
      <c r="C115" s="5">
        <v>0.50515046296296295</v>
      </c>
      <c r="D115" s="8" t="s">
        <v>2004</v>
      </c>
      <c r="E115" s="8" t="s">
        <v>8</v>
      </c>
      <c r="F115" s="8"/>
      <c r="H115" s="8"/>
      <c r="I115" s="8" t="s">
        <v>8793</v>
      </c>
      <c r="J115" s="8" t="s">
        <v>2988</v>
      </c>
      <c r="K115" t="s">
        <v>8794</v>
      </c>
      <c r="L115" t="s">
        <v>8795</v>
      </c>
      <c r="M115" s="3" t="str">
        <f>HYPERLINK(склад2въезд131920212223789[[#This Row],[RelativePath]])</f>
        <v>13 Склад хол\K07156189_23_20260110T120725Z.jpg</v>
      </c>
    </row>
    <row r="116" spans="1:13" x14ac:dyDescent="0.25">
      <c r="A116" s="2" t="s">
        <v>22</v>
      </c>
      <c r="B116" s="4">
        <v>46033</v>
      </c>
      <c r="C116" s="5">
        <v>0.57033564814814819</v>
      </c>
      <c r="D116" s="8" t="s">
        <v>2004</v>
      </c>
      <c r="E116" s="8" t="s">
        <v>8</v>
      </c>
      <c r="F116" s="8"/>
      <c r="H116" s="8"/>
      <c r="I116" s="8" t="s">
        <v>8796</v>
      </c>
      <c r="J116" s="8" t="s">
        <v>2988</v>
      </c>
      <c r="K116" t="s">
        <v>8797</v>
      </c>
      <c r="L116" t="s">
        <v>8798</v>
      </c>
      <c r="M116" s="3" t="str">
        <f>HYPERLINK(склад2въезд131920212223789[[#This Row],[RelativePath]])</f>
        <v>13 Склад хол\K07156189_23_20260111T134117Z.jpg</v>
      </c>
    </row>
  </sheetData>
  <conditionalFormatting sqref="D117:D127 E117:E130 G2:H116 D2:E116">
    <cfRule type="containsText" dxfId="564" priority="14" operator="containsText" text="Выезд с территории">
      <formula>NOT(ISERROR(SEARCH("Выезд с территории",D2)))</formula>
    </cfRule>
  </conditionalFormatting>
  <conditionalFormatting sqref="F2:F116">
    <cfRule type="notContainsText" dxfId="563" priority="13" operator="notContains" text="порожний">
      <formula>ISERROR(SEARCH("порожний",F2))</formula>
    </cfRule>
  </conditionalFormatting>
  <conditionalFormatting sqref="E2:E130">
    <cfRule type="containsText" dxfId="562" priority="11" operator="containsText" text="Газель базы">
      <formula>NOT(ISERROR(SEARCH("Газель базы",E2)))</formula>
    </cfRule>
    <cfRule type="containsText" dxfId="561" priority="12" operator="containsText" text="Погрузчик базы">
      <formula>NOT(ISERROR(SEARCH("Погрузчик базы",E2)))</formula>
    </cfRule>
  </conditionalFormatting>
  <conditionalFormatting sqref="E2:E130">
    <cfRule type="containsText" dxfId="560" priority="10" operator="containsText" text="Трактор базы">
      <formula>NOT(ISERROR(SEARCH("Трактор базы",E2)))</formula>
    </cfRule>
  </conditionalFormatting>
  <conditionalFormatting sqref="A2:C116">
    <cfRule type="expression" dxfId="559" priority="9">
      <formula>$A2="пн"</formula>
    </cfRule>
  </conditionalFormatting>
  <conditionalFormatting sqref="A2:C118">
    <cfRule type="expression" dxfId="558" priority="3">
      <formula>$A2="вс"</formula>
    </cfRule>
    <cfRule type="expression" dxfId="557" priority="4">
      <formula>$A2="сб"</formula>
    </cfRule>
    <cfRule type="expression" dxfId="556" priority="5">
      <formula>$A2="пт"</formula>
    </cfRule>
    <cfRule type="expression" dxfId="555" priority="6">
      <formula>$A2="чт"</formula>
    </cfRule>
    <cfRule type="expression" dxfId="554" priority="7">
      <formula>$A2="ср"</formula>
    </cfRule>
    <cfRule type="expression" dxfId="553" priority="8">
      <formula>$A2="вт"</formula>
    </cfRule>
  </conditionalFormatting>
  <conditionalFormatting sqref="D2:D127">
    <cfRule type="containsText" dxfId="55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7">
    <cfRule type="containsText" dxfId="55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2797"/>
  <sheetViews>
    <sheetView topLeftCell="A2522" zoomScale="90" zoomScaleNormal="90" workbookViewId="0">
      <selection activeCell="A2744" sqref="A2744:B2797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hidden="1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hidden="1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hidden="1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hidden="1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hidden="1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1103</v>
      </c>
    </row>
    <row r="41" spans="1:7" hidden="1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hidden="1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hidden="1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hidden="1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hidden="1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hidden="1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hidden="1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1103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1103</v>
      </c>
    </row>
    <row r="50" spans="1:7" hidden="1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hidden="1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hidden="1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hidden="1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hidden="1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hidden="1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1103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1103</v>
      </c>
    </row>
    <row r="58" spans="1:7" hidden="1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hidden="1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hidden="1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1103</v>
      </c>
    </row>
    <row r="62" spans="1:7" hidden="1" x14ac:dyDescent="0.25">
      <c r="A62" t="s">
        <v>4</v>
      </c>
      <c r="B62" t="s">
        <v>8</v>
      </c>
      <c r="F62" t="s">
        <v>161</v>
      </c>
      <c r="G62" t="s">
        <v>1103</v>
      </c>
    </row>
    <row r="63" spans="1:7" hidden="1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hidden="1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hidden="1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hidden="1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hidden="1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hidden="1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hidden="1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hidden="1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hidden="1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hidden="1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hidden="1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hidden="1" x14ac:dyDescent="0.25">
      <c r="A74" t="s">
        <v>4</v>
      </c>
      <c r="B74" t="s">
        <v>8</v>
      </c>
      <c r="F74" t="s">
        <v>197</v>
      </c>
      <c r="G74" t="s">
        <v>1103</v>
      </c>
    </row>
    <row r="75" spans="1:7" hidden="1" x14ac:dyDescent="0.25">
      <c r="A75" t="s">
        <v>4</v>
      </c>
      <c r="B75" t="s">
        <v>8</v>
      </c>
      <c r="F75" t="s">
        <v>203</v>
      </c>
      <c r="G75" t="s">
        <v>91</v>
      </c>
    </row>
    <row r="76" spans="1:7" hidden="1" x14ac:dyDescent="0.25">
      <c r="A76" t="s">
        <v>4</v>
      </c>
      <c r="B76" t="s">
        <v>8</v>
      </c>
      <c r="F76" t="s">
        <v>207</v>
      </c>
      <c r="G76" t="s">
        <v>91</v>
      </c>
    </row>
    <row r="77" spans="1:7" hidden="1" x14ac:dyDescent="0.25">
      <c r="A77" t="s">
        <v>4</v>
      </c>
      <c r="B77" t="s">
        <v>8</v>
      </c>
      <c r="F77" t="s">
        <v>210</v>
      </c>
      <c r="G77" t="s">
        <v>91</v>
      </c>
    </row>
    <row r="78" spans="1:7" hidden="1" x14ac:dyDescent="0.25">
      <c r="A78" t="s">
        <v>4</v>
      </c>
      <c r="B78" t="s">
        <v>8</v>
      </c>
      <c r="F78" t="s">
        <v>213</v>
      </c>
      <c r="G78" t="s">
        <v>91</v>
      </c>
    </row>
    <row r="79" spans="1:7" hidden="1" x14ac:dyDescent="0.25">
      <c r="A79" t="s">
        <v>4</v>
      </c>
      <c r="B79" t="s">
        <v>8</v>
      </c>
      <c r="F79" t="s">
        <v>216</v>
      </c>
      <c r="G79" t="s">
        <v>91</v>
      </c>
    </row>
    <row r="80" spans="1:7" hidden="1" x14ac:dyDescent="0.25">
      <c r="A80" t="s">
        <v>4</v>
      </c>
      <c r="B80" t="s">
        <v>8</v>
      </c>
      <c r="F80" t="s">
        <v>219</v>
      </c>
      <c r="G80" t="s">
        <v>91</v>
      </c>
    </row>
    <row r="81" spans="1:7" hidden="1" x14ac:dyDescent="0.25">
      <c r="A81" t="s">
        <v>4</v>
      </c>
      <c r="B81" t="s">
        <v>8</v>
      </c>
      <c r="F81" t="s">
        <v>222</v>
      </c>
      <c r="G81" t="s">
        <v>91</v>
      </c>
    </row>
    <row r="82" spans="1:7" hidden="1" x14ac:dyDescent="0.25">
      <c r="A82" t="s">
        <v>4</v>
      </c>
      <c r="B82" t="s">
        <v>8</v>
      </c>
      <c r="F82" t="s">
        <v>225</v>
      </c>
      <c r="G82" t="s">
        <v>91</v>
      </c>
    </row>
    <row r="83" spans="1:7" hidden="1" x14ac:dyDescent="0.25">
      <c r="A83" t="s">
        <v>4</v>
      </c>
      <c r="B83" t="s">
        <v>8</v>
      </c>
      <c r="F83" t="s">
        <v>228</v>
      </c>
      <c r="G83" t="s">
        <v>91</v>
      </c>
    </row>
    <row r="84" spans="1:7" hidden="1" x14ac:dyDescent="0.25">
      <c r="A84" t="s">
        <v>4</v>
      </c>
      <c r="B84" t="s">
        <v>8</v>
      </c>
      <c r="F84" t="s">
        <v>231</v>
      </c>
      <c r="G84" t="s">
        <v>91</v>
      </c>
    </row>
    <row r="85" spans="1:7" hidden="1" x14ac:dyDescent="0.25">
      <c r="A85" t="s">
        <v>4</v>
      </c>
      <c r="B85" t="s">
        <v>8</v>
      </c>
      <c r="F85" t="s">
        <v>234</v>
      </c>
      <c r="G85" t="s">
        <v>91</v>
      </c>
    </row>
    <row r="86" spans="1:7" hidden="1" x14ac:dyDescent="0.25">
      <c r="A86" t="s">
        <v>4</v>
      </c>
      <c r="B86" t="s">
        <v>8</v>
      </c>
      <c r="F86" t="s">
        <v>237</v>
      </c>
      <c r="G86" t="s">
        <v>91</v>
      </c>
    </row>
    <row r="87" spans="1:7" hidden="1" x14ac:dyDescent="0.25">
      <c r="A87" t="s">
        <v>4</v>
      </c>
      <c r="B87" t="s">
        <v>8</v>
      </c>
      <c r="F87" t="s">
        <v>240</v>
      </c>
      <c r="G87" t="s">
        <v>91</v>
      </c>
    </row>
    <row r="88" spans="1:7" hidden="1" x14ac:dyDescent="0.25">
      <c r="A88" t="s">
        <v>4</v>
      </c>
      <c r="B88" t="s">
        <v>8</v>
      </c>
      <c r="F88" t="s">
        <v>243</v>
      </c>
      <c r="G88" t="s">
        <v>91</v>
      </c>
    </row>
    <row r="89" spans="1:7" hidden="1" x14ac:dyDescent="0.25">
      <c r="A89" t="s">
        <v>4</v>
      </c>
      <c r="B89" t="s">
        <v>8</v>
      </c>
      <c r="F89" t="s">
        <v>246</v>
      </c>
      <c r="G89" t="s">
        <v>91</v>
      </c>
    </row>
    <row r="90" spans="1:7" hidden="1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hidden="1" x14ac:dyDescent="0.25">
      <c r="A91" t="s">
        <v>4</v>
      </c>
      <c r="B91" t="s">
        <v>8</v>
      </c>
      <c r="F91" t="s">
        <v>252</v>
      </c>
      <c r="G91" t="s">
        <v>91</v>
      </c>
    </row>
    <row r="92" spans="1:7" hidden="1" x14ac:dyDescent="0.25">
      <c r="A92" t="s">
        <v>4</v>
      </c>
      <c r="B92" t="s">
        <v>8</v>
      </c>
      <c r="F92" t="s">
        <v>255</v>
      </c>
      <c r="G92" t="s">
        <v>91</v>
      </c>
    </row>
    <row r="93" spans="1:7" hidden="1" x14ac:dyDescent="0.25">
      <c r="A93" t="s">
        <v>4</v>
      </c>
      <c r="B93" t="s">
        <v>8</v>
      </c>
      <c r="F93" t="s">
        <v>258</v>
      </c>
      <c r="G93" t="s">
        <v>91</v>
      </c>
    </row>
    <row r="94" spans="1:7" hidden="1" x14ac:dyDescent="0.25">
      <c r="A94" t="s">
        <v>4</v>
      </c>
      <c r="B94" t="s">
        <v>8</v>
      </c>
      <c r="F94" t="s">
        <v>261</v>
      </c>
      <c r="G94" t="s">
        <v>91</v>
      </c>
    </row>
    <row r="95" spans="1:7" hidden="1" x14ac:dyDescent="0.25">
      <c r="A95" t="s">
        <v>4</v>
      </c>
      <c r="B95" t="s">
        <v>8</v>
      </c>
      <c r="F95" t="s">
        <v>264</v>
      </c>
      <c r="G95" t="s">
        <v>91</v>
      </c>
    </row>
    <row r="96" spans="1:7" hidden="1" x14ac:dyDescent="0.25">
      <c r="A96" t="s">
        <v>4</v>
      </c>
      <c r="B96" t="s">
        <v>8</v>
      </c>
      <c r="F96" t="s">
        <v>267</v>
      </c>
      <c r="G96" t="s">
        <v>91</v>
      </c>
    </row>
    <row r="97" spans="1:7" hidden="1" x14ac:dyDescent="0.25">
      <c r="A97" t="s">
        <v>4</v>
      </c>
      <c r="B97" t="s">
        <v>8</v>
      </c>
      <c r="F97" t="s">
        <v>270</v>
      </c>
      <c r="G97" t="s">
        <v>91</v>
      </c>
    </row>
    <row r="98" spans="1:7" hidden="1" x14ac:dyDescent="0.25">
      <c r="A98" t="s">
        <v>4</v>
      </c>
      <c r="B98" t="s">
        <v>8</v>
      </c>
      <c r="F98" t="s">
        <v>273</v>
      </c>
      <c r="G98" t="s">
        <v>91</v>
      </c>
    </row>
    <row r="99" spans="1:7" hidden="1" x14ac:dyDescent="0.25">
      <c r="A99" t="s">
        <v>4</v>
      </c>
      <c r="B99" t="s">
        <v>8</v>
      </c>
      <c r="F99" t="s">
        <v>276</v>
      </c>
      <c r="G99" t="s">
        <v>91</v>
      </c>
    </row>
    <row r="100" spans="1:7" hidden="1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hidden="1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hidden="1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hidden="1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hidden="1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hidden="1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hidden="1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hidden="1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hidden="1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hidden="1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hidden="1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hidden="1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hidden="1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hidden="1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hidden="1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hidden="1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hidden="1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hidden="1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hidden="1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hidden="1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hidden="1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hidden="1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hidden="1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hidden="1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hidden="1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hidden="1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hidden="1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hidden="1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hidden="1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hidden="1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hidden="1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hidden="1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hidden="1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hidden="1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hidden="1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hidden="1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hidden="1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hidden="1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hidden="1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hidden="1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hidden="1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hidden="1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hidden="1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hidden="1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hidden="1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hidden="1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hidden="1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hidden="1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hidden="1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hidden="1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hidden="1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hidden="1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hidden="1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hidden="1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hidden="1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hidden="1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hidden="1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hidden="1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hidden="1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hidden="1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hidden="1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hidden="1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hidden="1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hidden="1" x14ac:dyDescent="0.25">
      <c r="A220" t="s">
        <v>794</v>
      </c>
      <c r="F220" t="s">
        <v>678</v>
      </c>
      <c r="G220" t="s">
        <v>796</v>
      </c>
    </row>
    <row r="221" spans="1:7" hidden="1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hidden="1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hidden="1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hidden="1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hidden="1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hidden="1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hidden="1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hidden="1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hidden="1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hidden="1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hidden="1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hidden="1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hidden="1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hidden="1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hidden="1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hidden="1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hidden="1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hidden="1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hidden="1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hidden="1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hidden="1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hidden="1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hidden="1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hidden="1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hidden="1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hidden="1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hidden="1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hidden="1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hidden="1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hidden="1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hidden="1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hidden="1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hidden="1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hidden="1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hidden="1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hidden="1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hidden="1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hidden="1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hidden="1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hidden="1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hidden="1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hidden="1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hidden="1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hidden="1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hidden="1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hidden="1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hidden="1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hidden="1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hidden="1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hidden="1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hidden="1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hidden="1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hidden="1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hidden="1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hidden="1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hidden="1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hidden="1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hidden="1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hidden="1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hidden="1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hidden="1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hidden="1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hidden="1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hidden="1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hidden="1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hidden="1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hidden="1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hidden="1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hidden="1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hidden="1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hidden="1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hidden="1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hidden="1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hidden="1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hidden="1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hidden="1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hidden="1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hidden="1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hidden="1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hidden="1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hidden="1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hidden="1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hidden="1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hidden="1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hidden="1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hidden="1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hidden="1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hidden="1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hidden="1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hidden="1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hidden="1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hidden="1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hidden="1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hidden="1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hidden="1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hidden="1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hidden="1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hidden="1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hidden="1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hidden="1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hidden="1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hidden="1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hidden="1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hidden="1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hidden="1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hidden="1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hidden="1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hidden="1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hidden="1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hidden="1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hidden="1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hidden="1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hidden="1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hidden="1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hidden="1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hidden="1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hidden="1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hidden="1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hidden="1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hidden="1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hidden="1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hidden="1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hidden="1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hidden="1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hidden="1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hidden="1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hidden="1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hidden="1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hidden="1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hidden="1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hidden="1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hidden="1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hidden="1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hidden="1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hidden="1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hidden="1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hidden="1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hidden="1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hidden="1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hidden="1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hidden="1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hidden="1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hidden="1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hidden="1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hidden="1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hidden="1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hidden="1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hidden="1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hidden="1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hidden="1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hidden="1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hidden="1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hidden="1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hidden="1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hidden="1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hidden="1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hidden="1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hidden="1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hidden="1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hidden="1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hidden="1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hidden="1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hidden="1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hidden="1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hidden="1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hidden="1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hidden="1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hidden="1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hidden="1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hidden="1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hidden="1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hidden="1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hidden="1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hidden="1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hidden="1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hidden="1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hidden="1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hidden="1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hidden="1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hidden="1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hidden="1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hidden="1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hidden="1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hidden="1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hidden="1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hidden="1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hidden="1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hidden="1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hidden="1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hidden="1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hidden="1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hidden="1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hidden="1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hidden="1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hidden="1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hidden="1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hidden="1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hidden="1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hidden="1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hidden="1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hidden="1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hidden="1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hidden="1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hidden="1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hidden="1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hidden="1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hidden="1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hidden="1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hidden="1" x14ac:dyDescent="0.25">
      <c r="A432" t="s">
        <v>1623</v>
      </c>
      <c r="F432" t="s">
        <v>1513</v>
      </c>
      <c r="G432" t="s">
        <v>1603</v>
      </c>
    </row>
    <row r="433" spans="1:7" hidden="1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hidden="1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hidden="1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hidden="1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hidden="1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hidden="1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hidden="1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hidden="1" x14ac:dyDescent="0.25">
      <c r="A441" t="s">
        <v>1623</v>
      </c>
      <c r="F441" t="s">
        <v>1540</v>
      </c>
      <c r="G441" t="s">
        <v>1603</v>
      </c>
    </row>
    <row r="442" spans="1:7" hidden="1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hidden="1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hidden="1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hidden="1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hidden="1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hidden="1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hidden="1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hidden="1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hidden="1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hidden="1" x14ac:dyDescent="0.25">
      <c r="A451" t="s">
        <v>1623</v>
      </c>
      <c r="F451" t="s">
        <v>1570</v>
      </c>
      <c r="G451" t="s">
        <v>1603</v>
      </c>
    </row>
    <row r="452" spans="1:7" hidden="1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hidden="1" x14ac:dyDescent="0.25">
      <c r="A454" t="s">
        <v>1623</v>
      </c>
      <c r="F454" t="s">
        <v>1579</v>
      </c>
      <c r="G454" t="s">
        <v>1603</v>
      </c>
    </row>
    <row r="455" spans="1:7" hidden="1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hidden="1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hidden="1" x14ac:dyDescent="0.25">
      <c r="A458" t="s">
        <v>1623</v>
      </c>
      <c r="F458" t="s">
        <v>1591</v>
      </c>
      <c r="G458" t="s">
        <v>1603</v>
      </c>
    </row>
    <row r="459" spans="1:7" hidden="1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hidden="1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hidden="1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hidden="1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hidden="1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hidden="1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hidden="1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hidden="1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hidden="1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hidden="1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hidden="1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hidden="1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hidden="1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hidden="1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hidden="1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hidden="1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hidden="1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hidden="1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hidden="1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hidden="1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hidden="1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hidden="1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hidden="1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hidden="1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hidden="1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hidden="1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hidden="1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hidden="1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hidden="1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hidden="1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hidden="1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hidden="1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hidden="1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hidden="1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hidden="1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hidden="1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hidden="1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hidden="1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hidden="1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hidden="1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hidden="1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hidden="1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hidden="1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hidden="1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hidden="1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hidden="1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hidden="1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hidden="1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hidden="1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hidden="1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hidden="1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hidden="1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hidden="1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hidden="1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hidden="1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hidden="1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hidden="1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hidden="1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hidden="1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hidden="1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hidden="1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hidden="1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hidden="1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hidden="1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hidden="1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hidden="1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hidden="1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hidden="1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hidden="1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hidden="1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hidden="1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hidden="1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hidden="1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hidden="1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hidden="1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hidden="1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hidden="1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hidden="1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hidden="1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hidden="1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hidden="1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hidden="1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hidden="1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hidden="1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hidden="1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hidden="1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hidden="1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hidden="1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hidden="1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hidden="1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hidden="1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hidden="1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hidden="1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hidden="1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hidden="1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hidden="1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hidden="1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hidden="1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hidden="1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hidden="1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hidden="1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hidden="1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hidden="1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hidden="1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hidden="1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hidden="1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hidden="1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hidden="1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hidden="1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hidden="1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hidden="1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hidden="1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hidden="1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hidden="1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hidden="1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hidden="1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hidden="1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hidden="1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hidden="1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hidden="1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hidden="1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hidden="1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hidden="1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hidden="1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hidden="1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hidden="1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hidden="1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hidden="1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hidden="1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hidden="1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hidden="1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hidden="1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hidden="1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hidden="1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hidden="1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hidden="1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hidden="1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hidden="1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hidden="1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hidden="1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hidden="1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hidden="1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hidden="1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hidden="1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hidden="1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hidden="1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hidden="1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hidden="1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hidden="1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hidden="1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hidden="1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hidden="1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hidden="1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hidden="1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hidden="1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hidden="1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hidden="1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hidden="1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hidden="1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hidden="1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hidden="1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hidden="1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hidden="1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hidden="1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hidden="1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hidden="1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hidden="1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hidden="1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hidden="1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hidden="1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hidden="1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hidden="1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hidden="1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hidden="1" x14ac:dyDescent="0.25">
      <c r="A648" t="s">
        <v>2004</v>
      </c>
      <c r="F648" t="s">
        <v>2049</v>
      </c>
      <c r="G648" t="s">
        <v>1102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hidden="1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hidden="1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hidden="1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hidden="1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hidden="1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hidden="1" x14ac:dyDescent="0.25">
      <c r="A658" t="s">
        <v>2004</v>
      </c>
      <c r="F658" t="s">
        <v>2059</v>
      </c>
      <c r="G658" t="s">
        <v>1102</v>
      </c>
    </row>
    <row r="659" spans="1:7" hidden="1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hidden="1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hidden="1" x14ac:dyDescent="0.25">
      <c r="A661" t="s">
        <v>2004</v>
      </c>
      <c r="F661" t="s">
        <v>2062</v>
      </c>
      <c r="G661" t="s">
        <v>1102</v>
      </c>
    </row>
    <row r="662" spans="1:7" hidden="1" x14ac:dyDescent="0.25">
      <c r="A662" t="s">
        <v>2004</v>
      </c>
      <c r="F662" t="s">
        <v>2063</v>
      </c>
      <c r="G662" t="s">
        <v>1102</v>
      </c>
    </row>
    <row r="663" spans="1:7" hidden="1" x14ac:dyDescent="0.25">
      <c r="A663" t="s">
        <v>2004</v>
      </c>
      <c r="F663" t="s">
        <v>2025</v>
      </c>
      <c r="G663" t="s">
        <v>1103</v>
      </c>
    </row>
    <row r="664" spans="1:7" hidden="1" x14ac:dyDescent="0.25">
      <c r="A664" t="s">
        <v>2004</v>
      </c>
      <c r="F664" t="s">
        <v>2028</v>
      </c>
      <c r="G664" t="s">
        <v>1103</v>
      </c>
    </row>
    <row r="665" spans="1:7" hidden="1" x14ac:dyDescent="0.25">
      <c r="A665" t="s">
        <v>2004</v>
      </c>
      <c r="F665" t="s">
        <v>2031</v>
      </c>
      <c r="G665" t="s">
        <v>1103</v>
      </c>
    </row>
    <row r="666" spans="1:7" hidden="1" x14ac:dyDescent="0.25">
      <c r="A666" t="s">
        <v>2926</v>
      </c>
      <c r="F666" t="s">
        <v>2034</v>
      </c>
      <c r="G666" t="s">
        <v>1103</v>
      </c>
    </row>
    <row r="667" spans="1:7" hidden="1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hidden="1" x14ac:dyDescent="0.25">
      <c r="A668" t="s">
        <v>2004</v>
      </c>
      <c r="F668" t="s">
        <v>2040</v>
      </c>
      <c r="G668" t="s">
        <v>1103</v>
      </c>
    </row>
    <row r="669" spans="1:7" hidden="1" x14ac:dyDescent="0.25">
      <c r="A669" t="s">
        <v>2004</v>
      </c>
      <c r="F669" t="s">
        <v>2043</v>
      </c>
      <c r="G669" t="s">
        <v>1103</v>
      </c>
    </row>
    <row r="670" spans="1:7" hidden="1" x14ac:dyDescent="0.25">
      <c r="A670" t="s">
        <v>2004</v>
      </c>
      <c r="F670" t="s">
        <v>2046</v>
      </c>
      <c r="G670" t="s">
        <v>1103</v>
      </c>
    </row>
    <row r="671" spans="1:7" hidden="1" x14ac:dyDescent="0.25">
      <c r="A671" t="s">
        <v>2004</v>
      </c>
      <c r="F671" t="s">
        <v>2064</v>
      </c>
      <c r="G671" t="s">
        <v>91</v>
      </c>
    </row>
    <row r="672" spans="1:7" hidden="1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hidden="1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hidden="1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hidden="1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hidden="1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hidden="1" x14ac:dyDescent="0.25">
      <c r="A677" t="s">
        <v>289</v>
      </c>
      <c r="B677" t="s">
        <v>2927</v>
      </c>
      <c r="C677" t="s">
        <v>2929</v>
      </c>
      <c r="E677" t="s">
        <v>4203</v>
      </c>
      <c r="F677" t="s">
        <v>2082</v>
      </c>
      <c r="G677" t="s">
        <v>91</v>
      </c>
    </row>
    <row r="678" spans="1:7" hidden="1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hidden="1" x14ac:dyDescent="0.25">
      <c r="A679" t="s">
        <v>2004</v>
      </c>
      <c r="F679" t="s">
        <v>2088</v>
      </c>
      <c r="G679" t="s">
        <v>91</v>
      </c>
    </row>
    <row r="680" spans="1:7" hidden="1" x14ac:dyDescent="0.25">
      <c r="A680" t="s">
        <v>2004</v>
      </c>
      <c r="F680" t="s">
        <v>2091</v>
      </c>
      <c r="G680" t="s">
        <v>91</v>
      </c>
    </row>
    <row r="681" spans="1:7" hidden="1" x14ac:dyDescent="0.25">
      <c r="A681" t="s">
        <v>2004</v>
      </c>
      <c r="F681" t="s">
        <v>2133</v>
      </c>
      <c r="G681" t="s">
        <v>1104</v>
      </c>
    </row>
    <row r="682" spans="1:7" hidden="1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hidden="1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hidden="1" x14ac:dyDescent="0.25">
      <c r="A684" t="s">
        <v>2004</v>
      </c>
      <c r="F684" t="s">
        <v>2142</v>
      </c>
      <c r="G684" t="s">
        <v>1104</v>
      </c>
    </row>
    <row r="685" spans="1:7" hidden="1" x14ac:dyDescent="0.25">
      <c r="A685" t="s">
        <v>2004</v>
      </c>
      <c r="F685" t="s">
        <v>2145</v>
      </c>
      <c r="G685" t="s">
        <v>1104</v>
      </c>
    </row>
    <row r="686" spans="1:7" hidden="1" x14ac:dyDescent="0.25">
      <c r="A686" t="s">
        <v>2004</v>
      </c>
      <c r="F686" t="s">
        <v>2148</v>
      </c>
      <c r="G686" t="s">
        <v>1104</v>
      </c>
    </row>
    <row r="687" spans="1:7" hidden="1" x14ac:dyDescent="0.25">
      <c r="A687" t="s">
        <v>2004</v>
      </c>
      <c r="F687" t="s">
        <v>2151</v>
      </c>
      <c r="G687" t="s">
        <v>1104</v>
      </c>
    </row>
    <row r="688" spans="1:7" hidden="1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hidden="1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hidden="1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hidden="1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hidden="1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hidden="1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hidden="1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hidden="1" x14ac:dyDescent="0.25">
      <c r="A695" t="s">
        <v>2004</v>
      </c>
      <c r="F695" t="s">
        <v>2115</v>
      </c>
      <c r="G695" t="s">
        <v>1106</v>
      </c>
    </row>
    <row r="696" spans="1:7" hidden="1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hidden="1" x14ac:dyDescent="0.25">
      <c r="A697" t="s">
        <v>2004</v>
      </c>
      <c r="F697" t="s">
        <v>2118</v>
      </c>
      <c r="G697" t="s">
        <v>1106</v>
      </c>
    </row>
    <row r="698" spans="1:7" hidden="1" x14ac:dyDescent="0.25">
      <c r="A698" t="s">
        <v>2004</v>
      </c>
      <c r="F698" t="s">
        <v>2121</v>
      </c>
      <c r="G698" t="s">
        <v>1106</v>
      </c>
    </row>
    <row r="699" spans="1:7" hidden="1" x14ac:dyDescent="0.25">
      <c r="A699" t="s">
        <v>2004</v>
      </c>
      <c r="F699" t="s">
        <v>2124</v>
      </c>
      <c r="G699" t="s">
        <v>1106</v>
      </c>
    </row>
    <row r="700" spans="1:7" hidden="1" x14ac:dyDescent="0.25">
      <c r="A700" t="s">
        <v>2004</v>
      </c>
      <c r="F700" t="s">
        <v>2127</v>
      </c>
      <c r="G700" t="s">
        <v>1106</v>
      </c>
    </row>
    <row r="701" spans="1:7" hidden="1" x14ac:dyDescent="0.25">
      <c r="A701" t="s">
        <v>2004</v>
      </c>
      <c r="F701" t="s">
        <v>2130</v>
      </c>
      <c r="G701" t="s">
        <v>1106</v>
      </c>
    </row>
    <row r="702" spans="1:7" x14ac:dyDescent="0.25">
      <c r="A702" t="s">
        <v>11</v>
      </c>
      <c r="F702" t="s">
        <v>2154</v>
      </c>
      <c r="G702" t="s">
        <v>1107</v>
      </c>
    </row>
    <row r="703" spans="1:7" x14ac:dyDescent="0.25">
      <c r="A703" t="s">
        <v>11</v>
      </c>
      <c r="F703" t="s">
        <v>2157</v>
      </c>
      <c r="G703" t="s">
        <v>1107</v>
      </c>
    </row>
    <row r="704" spans="1:7" x14ac:dyDescent="0.25">
      <c r="A704" t="s">
        <v>11</v>
      </c>
      <c r="F704" t="s">
        <v>2160</v>
      </c>
      <c r="G704" t="s">
        <v>1107</v>
      </c>
    </row>
    <row r="705" spans="1:7" x14ac:dyDescent="0.25">
      <c r="A705" t="s">
        <v>11</v>
      </c>
      <c r="F705" t="s">
        <v>2163</v>
      </c>
      <c r="G705" t="s">
        <v>1107</v>
      </c>
    </row>
    <row r="706" spans="1:7" x14ac:dyDescent="0.25">
      <c r="A706" t="s">
        <v>11</v>
      </c>
      <c r="F706" t="s">
        <v>2166</v>
      </c>
      <c r="G706" t="s">
        <v>1107</v>
      </c>
    </row>
    <row r="707" spans="1:7" x14ac:dyDescent="0.25">
      <c r="A707" t="s">
        <v>11</v>
      </c>
      <c r="F707" t="s">
        <v>2169</v>
      </c>
      <c r="G707" t="s">
        <v>1107</v>
      </c>
    </row>
    <row r="708" spans="1:7" x14ac:dyDescent="0.25">
      <c r="A708" t="s">
        <v>11</v>
      </c>
      <c r="F708" t="s">
        <v>2172</v>
      </c>
      <c r="G708" t="s">
        <v>1107</v>
      </c>
    </row>
    <row r="709" spans="1:7" x14ac:dyDescent="0.25">
      <c r="A709" t="s">
        <v>11</v>
      </c>
      <c r="F709" t="s">
        <v>2175</v>
      </c>
      <c r="G709" t="s">
        <v>1107</v>
      </c>
    </row>
    <row r="710" spans="1:7" x14ac:dyDescent="0.25">
      <c r="A710" t="s">
        <v>11</v>
      </c>
      <c r="F710" t="s">
        <v>2178</v>
      </c>
      <c r="G710" t="s">
        <v>1107</v>
      </c>
    </row>
    <row r="711" spans="1:7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x14ac:dyDescent="0.25">
      <c r="A712" t="s">
        <v>11</v>
      </c>
      <c r="F712" t="s">
        <v>2184</v>
      </c>
      <c r="G712" t="s">
        <v>1107</v>
      </c>
    </row>
    <row r="713" spans="1:7" x14ac:dyDescent="0.25">
      <c r="A713" t="s">
        <v>11</v>
      </c>
      <c r="F713" t="s">
        <v>2187</v>
      </c>
      <c r="G713" t="s">
        <v>1107</v>
      </c>
    </row>
    <row r="714" spans="1:7" x14ac:dyDescent="0.25">
      <c r="A714" t="s">
        <v>11</v>
      </c>
      <c r="F714" t="s">
        <v>2190</v>
      </c>
      <c r="G714" t="s">
        <v>1107</v>
      </c>
    </row>
    <row r="715" spans="1:7" x14ac:dyDescent="0.25">
      <c r="A715" t="s">
        <v>11</v>
      </c>
      <c r="F715" t="s">
        <v>2193</v>
      </c>
      <c r="G715" t="s">
        <v>1107</v>
      </c>
    </row>
    <row r="716" spans="1:7" x14ac:dyDescent="0.25">
      <c r="A716" t="s">
        <v>11</v>
      </c>
      <c r="F716" t="s">
        <v>2196</v>
      </c>
      <c r="G716" t="s">
        <v>1107</v>
      </c>
    </row>
    <row r="717" spans="1:7" x14ac:dyDescent="0.25">
      <c r="A717" t="s">
        <v>11</v>
      </c>
      <c r="F717" t="s">
        <v>2199</v>
      </c>
      <c r="G717" t="s">
        <v>1107</v>
      </c>
    </row>
    <row r="718" spans="1:7" x14ac:dyDescent="0.25">
      <c r="A718" t="s">
        <v>11</v>
      </c>
      <c r="F718" t="s">
        <v>2202</v>
      </c>
      <c r="G718" t="s">
        <v>1107</v>
      </c>
    </row>
    <row r="719" spans="1:7" x14ac:dyDescent="0.25">
      <c r="A719" t="s">
        <v>11</v>
      </c>
      <c r="F719" t="s">
        <v>2205</v>
      </c>
      <c r="G719" t="s">
        <v>1107</v>
      </c>
    </row>
    <row r="720" spans="1:7" x14ac:dyDescent="0.25">
      <c r="A720" t="s">
        <v>11</v>
      </c>
      <c r="F720" t="s">
        <v>2208</v>
      </c>
      <c r="G720" t="s">
        <v>1107</v>
      </c>
    </row>
    <row r="721" spans="1:7" x14ac:dyDescent="0.25">
      <c r="A721" t="s">
        <v>11</v>
      </c>
      <c r="F721" t="s">
        <v>2211</v>
      </c>
      <c r="G721" t="s">
        <v>1107</v>
      </c>
    </row>
    <row r="722" spans="1:7" x14ac:dyDescent="0.25">
      <c r="A722" t="s">
        <v>11</v>
      </c>
      <c r="F722" t="s">
        <v>2214</v>
      </c>
      <c r="G722" t="s">
        <v>1107</v>
      </c>
    </row>
    <row r="723" spans="1:7" x14ac:dyDescent="0.25">
      <c r="A723" t="s">
        <v>11</v>
      </c>
      <c r="F723" t="s">
        <v>2217</v>
      </c>
      <c r="G723" t="s">
        <v>1107</v>
      </c>
    </row>
    <row r="724" spans="1:7" x14ac:dyDescent="0.25">
      <c r="A724" t="s">
        <v>11</v>
      </c>
      <c r="F724" t="s">
        <v>2220</v>
      </c>
      <c r="G724" t="s">
        <v>1107</v>
      </c>
    </row>
    <row r="725" spans="1:7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x14ac:dyDescent="0.25">
      <c r="A726" t="s">
        <v>2004</v>
      </c>
      <c r="F726" t="s">
        <v>2226</v>
      </c>
      <c r="G726" t="s">
        <v>1107</v>
      </c>
    </row>
    <row r="727" spans="1:7" x14ac:dyDescent="0.25">
      <c r="A727" t="s">
        <v>2004</v>
      </c>
      <c r="F727" t="s">
        <v>2229</v>
      </c>
      <c r="G727" t="s">
        <v>1107</v>
      </c>
    </row>
    <row r="728" spans="1:7" hidden="1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hidden="1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hidden="1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hidden="1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hidden="1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hidden="1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hidden="1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hidden="1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hidden="1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hidden="1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hidden="1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hidden="1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hidden="1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hidden="1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hidden="1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hidden="1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hidden="1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hidden="1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hidden="1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hidden="1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hidden="1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hidden="1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hidden="1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hidden="1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hidden="1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hidden="1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hidden="1" x14ac:dyDescent="0.25">
      <c r="A754" t="s">
        <v>2004</v>
      </c>
      <c r="B754" t="s">
        <v>8</v>
      </c>
      <c r="F754" t="s">
        <v>2310</v>
      </c>
      <c r="G754" t="s">
        <v>796</v>
      </c>
    </row>
    <row r="755" spans="1:7" hidden="1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hidden="1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hidden="1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hidden="1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hidden="1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hidden="1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hidden="1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hidden="1" x14ac:dyDescent="0.25">
      <c r="A762" t="s">
        <v>2004</v>
      </c>
      <c r="B762" t="s">
        <v>8</v>
      </c>
      <c r="F762" t="s">
        <v>2334</v>
      </c>
      <c r="G762" t="s">
        <v>796</v>
      </c>
    </row>
    <row r="763" spans="1:7" hidden="1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hidden="1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hidden="1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hidden="1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hidden="1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hidden="1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hidden="1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hidden="1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hidden="1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hidden="1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hidden="1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hidden="1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hidden="1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hidden="1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hidden="1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hidden="1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hidden="1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hidden="1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hidden="1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hidden="1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hidden="1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hidden="1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hidden="1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hidden="1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hidden="1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hidden="1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hidden="1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hidden="1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hidden="1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hidden="1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hidden="1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hidden="1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hidden="1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hidden="1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hidden="1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hidden="1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hidden="1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hidden="1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hidden="1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hidden="1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hidden="1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hidden="1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hidden="1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hidden="1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hidden="1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hidden="1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hidden="1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hidden="1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hidden="1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hidden="1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hidden="1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hidden="1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hidden="1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hidden="1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hidden="1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hidden="1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hidden="1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hidden="1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hidden="1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hidden="1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hidden="1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hidden="1" x14ac:dyDescent="0.25">
      <c r="A824" t="s">
        <v>2004</v>
      </c>
      <c r="F824" t="s">
        <v>2520</v>
      </c>
      <c r="G824" t="s">
        <v>1100</v>
      </c>
    </row>
    <row r="825" spans="1:7" hidden="1" x14ac:dyDescent="0.25">
      <c r="A825" t="s">
        <v>2004</v>
      </c>
      <c r="F825" t="s">
        <v>2523</v>
      </c>
      <c r="G825" t="s">
        <v>1100</v>
      </c>
    </row>
    <row r="826" spans="1:7" hidden="1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hidden="1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hidden="1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hidden="1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hidden="1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hidden="1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hidden="1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hidden="1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hidden="1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hidden="1" x14ac:dyDescent="0.25">
      <c r="A835" t="s">
        <v>289</v>
      </c>
      <c r="B835" t="s">
        <v>70</v>
      </c>
      <c r="C835" t="s">
        <v>58</v>
      </c>
      <c r="E835" t="s">
        <v>2956</v>
      </c>
      <c r="F835" t="s">
        <v>2658</v>
      </c>
      <c r="G835" s="1" t="s">
        <v>1603</v>
      </c>
    </row>
    <row r="836" spans="1:7" hidden="1" x14ac:dyDescent="0.25">
      <c r="A836" t="s">
        <v>1999</v>
      </c>
      <c r="B836" t="s">
        <v>70</v>
      </c>
      <c r="C836" t="s">
        <v>58</v>
      </c>
      <c r="E836" t="s">
        <v>2956</v>
      </c>
      <c r="F836" t="s">
        <v>2661</v>
      </c>
      <c r="G836" s="1" t="s">
        <v>1603</v>
      </c>
    </row>
    <row r="837" spans="1:7" hidden="1" x14ac:dyDescent="0.25">
      <c r="A837" t="s">
        <v>1999</v>
      </c>
      <c r="B837" t="s">
        <v>70</v>
      </c>
      <c r="C837" t="s">
        <v>58</v>
      </c>
      <c r="E837" t="s">
        <v>2956</v>
      </c>
      <c r="F837" t="s">
        <v>2664</v>
      </c>
      <c r="G837" s="1" t="s">
        <v>1603</v>
      </c>
    </row>
    <row r="838" spans="1:7" hidden="1" x14ac:dyDescent="0.25">
      <c r="A838" t="s">
        <v>1999</v>
      </c>
      <c r="B838" t="s">
        <v>70</v>
      </c>
      <c r="C838" t="s">
        <v>58</v>
      </c>
      <c r="E838" t="s">
        <v>2956</v>
      </c>
      <c r="F838" t="s">
        <v>2667</v>
      </c>
      <c r="G838" s="1" t="s">
        <v>1603</v>
      </c>
    </row>
    <row r="839" spans="1:7" hidden="1" x14ac:dyDescent="0.25">
      <c r="A839" t="s">
        <v>1999</v>
      </c>
      <c r="B839" t="s">
        <v>70</v>
      </c>
      <c r="C839" t="s">
        <v>58</v>
      </c>
      <c r="E839" t="s">
        <v>2956</v>
      </c>
      <c r="F839" t="s">
        <v>2670</v>
      </c>
      <c r="G839" s="1" t="s">
        <v>1603</v>
      </c>
    </row>
    <row r="840" spans="1:7" hidden="1" x14ac:dyDescent="0.25">
      <c r="A840" t="s">
        <v>1999</v>
      </c>
      <c r="B840" t="s">
        <v>70</v>
      </c>
      <c r="C840" t="s">
        <v>2950</v>
      </c>
      <c r="E840" t="s">
        <v>2956</v>
      </c>
      <c r="F840" t="s">
        <v>2673</v>
      </c>
      <c r="G840" s="1" t="s">
        <v>1603</v>
      </c>
    </row>
    <row r="841" spans="1:7" hidden="1" x14ac:dyDescent="0.25">
      <c r="A841" t="s">
        <v>1999</v>
      </c>
      <c r="B841" t="s">
        <v>70</v>
      </c>
      <c r="C841" t="s">
        <v>2951</v>
      </c>
      <c r="E841" t="s">
        <v>2956</v>
      </c>
      <c r="F841" t="s">
        <v>2676</v>
      </c>
      <c r="G841" s="1" t="s">
        <v>1603</v>
      </c>
    </row>
    <row r="842" spans="1:7" hidden="1" x14ac:dyDescent="0.25">
      <c r="A842" t="s">
        <v>1999</v>
      </c>
      <c r="B842" t="s">
        <v>70</v>
      </c>
      <c r="C842" t="s">
        <v>2952</v>
      </c>
      <c r="E842" t="s">
        <v>2956</v>
      </c>
      <c r="F842" t="s">
        <v>2679</v>
      </c>
      <c r="G842" s="1" t="s">
        <v>1603</v>
      </c>
    </row>
    <row r="843" spans="1:7" hidden="1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hidden="1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hidden="1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hidden="1" x14ac:dyDescent="0.25">
      <c r="A846" t="s">
        <v>159</v>
      </c>
      <c r="B846" t="s">
        <v>2920</v>
      </c>
      <c r="F846" t="s">
        <v>2691</v>
      </c>
      <c r="G846" s="1" t="s">
        <v>1603</v>
      </c>
    </row>
    <row r="847" spans="1:7" hidden="1" x14ac:dyDescent="0.25">
      <c r="A847" t="s">
        <v>1606</v>
      </c>
      <c r="B847" t="s">
        <v>2920</v>
      </c>
      <c r="E847" t="s">
        <v>2955</v>
      </c>
      <c r="F847" t="s">
        <v>2694</v>
      </c>
      <c r="G847" s="1" t="s">
        <v>1603</v>
      </c>
    </row>
    <row r="848" spans="1:7" hidden="1" x14ac:dyDescent="0.25">
      <c r="A848" t="s">
        <v>289</v>
      </c>
      <c r="B848" t="s">
        <v>2920</v>
      </c>
      <c r="C848" t="s">
        <v>58</v>
      </c>
      <c r="E848" t="s">
        <v>2957</v>
      </c>
      <c r="F848" t="s">
        <v>2697</v>
      </c>
      <c r="G848" s="1" t="s">
        <v>1603</v>
      </c>
    </row>
    <row r="849" spans="1:7" hidden="1" x14ac:dyDescent="0.25">
      <c r="A849" t="s">
        <v>1999</v>
      </c>
      <c r="B849" t="s">
        <v>2920</v>
      </c>
      <c r="C849" t="s">
        <v>58</v>
      </c>
      <c r="E849" t="s">
        <v>2957</v>
      </c>
      <c r="F849" t="s">
        <v>2699</v>
      </c>
      <c r="G849" s="1" t="s">
        <v>1603</v>
      </c>
    </row>
    <row r="850" spans="1:7" hidden="1" x14ac:dyDescent="0.25">
      <c r="A850" t="s">
        <v>1999</v>
      </c>
      <c r="B850" t="s">
        <v>2920</v>
      </c>
      <c r="C850" t="s">
        <v>58</v>
      </c>
      <c r="E850" t="s">
        <v>2957</v>
      </c>
      <c r="F850" t="s">
        <v>2701</v>
      </c>
      <c r="G850" s="1" t="s">
        <v>1603</v>
      </c>
    </row>
    <row r="851" spans="1:7" hidden="1" x14ac:dyDescent="0.25">
      <c r="A851" t="s">
        <v>533</v>
      </c>
      <c r="B851" t="s">
        <v>1607</v>
      </c>
      <c r="C851" t="s">
        <v>58</v>
      </c>
      <c r="E851" t="s">
        <v>2958</v>
      </c>
      <c r="F851" t="s">
        <v>2704</v>
      </c>
      <c r="G851" s="1" t="s">
        <v>1603</v>
      </c>
    </row>
    <row r="852" spans="1:7" hidden="1" x14ac:dyDescent="0.25">
      <c r="A852" t="s">
        <v>533</v>
      </c>
      <c r="B852" t="s">
        <v>1607</v>
      </c>
      <c r="C852" t="s">
        <v>58</v>
      </c>
      <c r="E852" t="s">
        <v>2958</v>
      </c>
      <c r="F852" t="s">
        <v>2707</v>
      </c>
      <c r="G852" s="1" t="s">
        <v>1603</v>
      </c>
    </row>
    <row r="853" spans="1:7" hidden="1" x14ac:dyDescent="0.25">
      <c r="A853" t="s">
        <v>533</v>
      </c>
      <c r="B853" t="s">
        <v>1607</v>
      </c>
      <c r="C853" t="s">
        <v>58</v>
      </c>
      <c r="E853" t="s">
        <v>2958</v>
      </c>
      <c r="F853" t="s">
        <v>2710</v>
      </c>
      <c r="G853" s="1" t="s">
        <v>1603</v>
      </c>
    </row>
    <row r="854" spans="1:7" hidden="1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hidden="1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2959</v>
      </c>
      <c r="G855" s="1" t="s">
        <v>1603</v>
      </c>
    </row>
    <row r="856" spans="1:7" hidden="1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hidden="1" x14ac:dyDescent="0.25">
      <c r="A857" t="s">
        <v>533</v>
      </c>
      <c r="B857" t="s">
        <v>1607</v>
      </c>
      <c r="C857" t="s">
        <v>2962</v>
      </c>
      <c r="E857" t="s">
        <v>2954</v>
      </c>
      <c r="F857" t="s">
        <v>2719</v>
      </c>
      <c r="G857" s="1" t="s">
        <v>1603</v>
      </c>
    </row>
    <row r="858" spans="1:7" hidden="1" x14ac:dyDescent="0.25">
      <c r="A858" t="s">
        <v>533</v>
      </c>
      <c r="B858" t="s">
        <v>1607</v>
      </c>
      <c r="C858" t="s">
        <v>2962</v>
      </c>
      <c r="E858" t="s">
        <v>2954</v>
      </c>
      <c r="F858" t="s">
        <v>2722</v>
      </c>
      <c r="G858" s="1" t="s">
        <v>1603</v>
      </c>
    </row>
    <row r="859" spans="1:7" hidden="1" x14ac:dyDescent="0.25">
      <c r="A859" t="s">
        <v>533</v>
      </c>
      <c r="B859" t="s">
        <v>1607</v>
      </c>
      <c r="C859" t="s">
        <v>2962</v>
      </c>
      <c r="E859" t="s">
        <v>2954</v>
      </c>
      <c r="F859" t="s">
        <v>2725</v>
      </c>
      <c r="G859" s="1" t="s">
        <v>1603</v>
      </c>
    </row>
    <row r="860" spans="1:7" hidden="1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hidden="1" x14ac:dyDescent="0.25">
      <c r="A861" t="s">
        <v>289</v>
      </c>
      <c r="B861" t="s">
        <v>70</v>
      </c>
      <c r="C861" t="s">
        <v>58</v>
      </c>
      <c r="E861" t="s">
        <v>2956</v>
      </c>
      <c r="F861" t="s">
        <v>2731</v>
      </c>
      <c r="G861" s="1" t="s">
        <v>1603</v>
      </c>
    </row>
    <row r="862" spans="1:7" hidden="1" x14ac:dyDescent="0.25">
      <c r="A862" t="s">
        <v>1999</v>
      </c>
      <c r="B862" t="s">
        <v>70</v>
      </c>
      <c r="C862" t="s">
        <v>58</v>
      </c>
      <c r="E862" t="s">
        <v>2956</v>
      </c>
      <c r="F862" t="s">
        <v>2734</v>
      </c>
      <c r="G862" s="1" t="s">
        <v>1603</v>
      </c>
    </row>
    <row r="863" spans="1:7" hidden="1" x14ac:dyDescent="0.25">
      <c r="A863" t="s">
        <v>1999</v>
      </c>
      <c r="B863" t="s">
        <v>70</v>
      </c>
      <c r="C863" t="s">
        <v>58</v>
      </c>
      <c r="E863" t="s">
        <v>2956</v>
      </c>
      <c r="F863" t="s">
        <v>2737</v>
      </c>
      <c r="G863" s="1" t="s">
        <v>1603</v>
      </c>
    </row>
    <row r="864" spans="1:7" hidden="1" x14ac:dyDescent="0.25">
      <c r="A864" t="s">
        <v>1999</v>
      </c>
      <c r="B864" t="s">
        <v>70</v>
      </c>
      <c r="C864" t="s">
        <v>58</v>
      </c>
      <c r="E864" t="s">
        <v>2956</v>
      </c>
      <c r="F864" t="s">
        <v>2740</v>
      </c>
      <c r="G864" s="1" t="s">
        <v>1603</v>
      </c>
    </row>
    <row r="865" spans="1:7" hidden="1" x14ac:dyDescent="0.25">
      <c r="A865" t="s">
        <v>1999</v>
      </c>
      <c r="B865" t="s">
        <v>70</v>
      </c>
      <c r="C865" t="s">
        <v>58</v>
      </c>
      <c r="E865" t="s">
        <v>2956</v>
      </c>
      <c r="F865" t="s">
        <v>2743</v>
      </c>
      <c r="G865" s="1" t="s">
        <v>1603</v>
      </c>
    </row>
    <row r="866" spans="1:7" hidden="1" x14ac:dyDescent="0.25">
      <c r="A866" t="s">
        <v>1999</v>
      </c>
      <c r="B866" t="s">
        <v>70</v>
      </c>
      <c r="C866" t="s">
        <v>58</v>
      </c>
      <c r="E866" t="s">
        <v>2956</v>
      </c>
      <c r="F866" t="s">
        <v>2746</v>
      </c>
      <c r="G866" s="1" t="s">
        <v>1603</v>
      </c>
    </row>
    <row r="867" spans="1:7" hidden="1" x14ac:dyDescent="0.25">
      <c r="A867" t="s">
        <v>1999</v>
      </c>
      <c r="B867" t="s">
        <v>70</v>
      </c>
      <c r="C867" t="s">
        <v>58</v>
      </c>
      <c r="E867" t="s">
        <v>2956</v>
      </c>
      <c r="F867" t="s">
        <v>2749</v>
      </c>
      <c r="G867" s="1" t="s">
        <v>1603</v>
      </c>
    </row>
    <row r="868" spans="1:7" hidden="1" x14ac:dyDescent="0.25">
      <c r="A868" t="s">
        <v>1999</v>
      </c>
      <c r="B868" t="s">
        <v>70</v>
      </c>
      <c r="C868" t="s">
        <v>58</v>
      </c>
      <c r="E868" t="s">
        <v>2956</v>
      </c>
      <c r="F868" t="s">
        <v>2752</v>
      </c>
      <c r="G868" s="1" t="s">
        <v>1603</v>
      </c>
    </row>
    <row r="869" spans="1:7" hidden="1" x14ac:dyDescent="0.25">
      <c r="A869" t="s">
        <v>1999</v>
      </c>
      <c r="B869" t="s">
        <v>70</v>
      </c>
      <c r="C869" t="s">
        <v>58</v>
      </c>
      <c r="E869" t="s">
        <v>2956</v>
      </c>
      <c r="F869" t="s">
        <v>2755</v>
      </c>
      <c r="G869" s="1" t="s">
        <v>1603</v>
      </c>
    </row>
    <row r="870" spans="1:7" hidden="1" x14ac:dyDescent="0.25">
      <c r="A870" t="s">
        <v>1999</v>
      </c>
      <c r="B870" t="s">
        <v>70</v>
      </c>
      <c r="C870" t="s">
        <v>58</v>
      </c>
      <c r="E870" t="s">
        <v>2956</v>
      </c>
      <c r="F870" t="s">
        <v>2758</v>
      </c>
      <c r="G870" s="1" t="s">
        <v>1603</v>
      </c>
    </row>
    <row r="871" spans="1:7" hidden="1" x14ac:dyDescent="0.25">
      <c r="A871" t="s">
        <v>1999</v>
      </c>
      <c r="B871" t="s">
        <v>70</v>
      </c>
      <c r="C871" t="s">
        <v>58</v>
      </c>
      <c r="E871" t="s">
        <v>2963</v>
      </c>
      <c r="F871" t="s">
        <v>2761</v>
      </c>
      <c r="G871" s="1" t="s">
        <v>1603</v>
      </c>
    </row>
    <row r="872" spans="1:7" hidden="1" x14ac:dyDescent="0.25">
      <c r="A872" t="s">
        <v>1999</v>
      </c>
      <c r="B872" t="s">
        <v>70</v>
      </c>
      <c r="C872" t="s">
        <v>2962</v>
      </c>
      <c r="E872" t="s">
        <v>2956</v>
      </c>
      <c r="F872" t="s">
        <v>2764</v>
      </c>
      <c r="G872" s="1" t="s">
        <v>1603</v>
      </c>
    </row>
    <row r="873" spans="1:7" hidden="1" x14ac:dyDescent="0.25">
      <c r="A873" t="s">
        <v>1999</v>
      </c>
      <c r="B873" t="s">
        <v>70</v>
      </c>
      <c r="C873" t="s">
        <v>58</v>
      </c>
      <c r="E873" t="s">
        <v>2963</v>
      </c>
      <c r="F873" t="s">
        <v>2767</v>
      </c>
      <c r="G873" s="1" t="s">
        <v>1603</v>
      </c>
    </row>
    <row r="874" spans="1:7" hidden="1" x14ac:dyDescent="0.25">
      <c r="A874" t="s">
        <v>1999</v>
      </c>
      <c r="B874" t="s">
        <v>70</v>
      </c>
      <c r="C874" t="s">
        <v>58</v>
      </c>
      <c r="E874" t="s">
        <v>2963</v>
      </c>
      <c r="F874" t="s">
        <v>2770</v>
      </c>
      <c r="G874" s="1" t="s">
        <v>1603</v>
      </c>
    </row>
    <row r="875" spans="1:7" hidden="1" x14ac:dyDescent="0.25">
      <c r="A875" t="s">
        <v>1999</v>
      </c>
      <c r="B875" t="s">
        <v>70</v>
      </c>
      <c r="C875" t="s">
        <v>58</v>
      </c>
      <c r="E875" t="s">
        <v>2963</v>
      </c>
      <c r="F875" t="s">
        <v>2773</v>
      </c>
      <c r="G875" s="1" t="s">
        <v>1603</v>
      </c>
    </row>
    <row r="876" spans="1:7" hidden="1" x14ac:dyDescent="0.25">
      <c r="A876" t="s">
        <v>1999</v>
      </c>
      <c r="B876" t="s">
        <v>70</v>
      </c>
      <c r="C876" t="s">
        <v>58</v>
      </c>
      <c r="E876" t="s">
        <v>2957</v>
      </c>
      <c r="F876" t="s">
        <v>2776</v>
      </c>
      <c r="G876" s="1" t="s">
        <v>1603</v>
      </c>
    </row>
    <row r="877" spans="1:7" hidden="1" x14ac:dyDescent="0.25">
      <c r="A877" t="s">
        <v>1999</v>
      </c>
      <c r="B877" t="s">
        <v>70</v>
      </c>
      <c r="C877" t="s">
        <v>2962</v>
      </c>
      <c r="E877" t="s">
        <v>2957</v>
      </c>
      <c r="F877" t="s">
        <v>2779</v>
      </c>
      <c r="G877" s="1" t="s">
        <v>1603</v>
      </c>
    </row>
    <row r="878" spans="1:7" hidden="1" x14ac:dyDescent="0.25">
      <c r="A878" t="s">
        <v>1999</v>
      </c>
      <c r="B878" t="s">
        <v>70</v>
      </c>
      <c r="C878" t="s">
        <v>2962</v>
      </c>
      <c r="E878" t="s">
        <v>2957</v>
      </c>
      <c r="F878" t="s">
        <v>2782</v>
      </c>
      <c r="G878" s="1" t="s">
        <v>1603</v>
      </c>
    </row>
    <row r="879" spans="1:7" hidden="1" x14ac:dyDescent="0.25">
      <c r="A879" t="s">
        <v>1999</v>
      </c>
      <c r="B879" t="s">
        <v>70</v>
      </c>
      <c r="C879" t="s">
        <v>2962</v>
      </c>
      <c r="E879" t="s">
        <v>2957</v>
      </c>
      <c r="F879" t="s">
        <v>2785</v>
      </c>
      <c r="G879" s="1" t="s">
        <v>1603</v>
      </c>
    </row>
    <row r="880" spans="1:7" hidden="1" x14ac:dyDescent="0.25">
      <c r="A880" t="s">
        <v>1999</v>
      </c>
      <c r="B880" t="s">
        <v>70</v>
      </c>
      <c r="C880" t="s">
        <v>2962</v>
      </c>
      <c r="E880" t="s">
        <v>2957</v>
      </c>
      <c r="F880" t="s">
        <v>2788</v>
      </c>
      <c r="G880" s="1" t="s">
        <v>1603</v>
      </c>
    </row>
    <row r="881" spans="1:7" hidden="1" x14ac:dyDescent="0.25">
      <c r="A881" t="s">
        <v>1999</v>
      </c>
      <c r="B881" t="s">
        <v>70</v>
      </c>
      <c r="C881" t="s">
        <v>2962</v>
      </c>
      <c r="E881" t="s">
        <v>2957</v>
      </c>
      <c r="F881" t="s">
        <v>2791</v>
      </c>
      <c r="G881" s="1" t="s">
        <v>1603</v>
      </c>
    </row>
    <row r="882" spans="1:7" hidden="1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hidden="1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hidden="1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hidden="1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hidden="1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hidden="1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hidden="1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hidden="1" x14ac:dyDescent="0.25">
      <c r="A889" t="s">
        <v>533</v>
      </c>
      <c r="B889" t="s">
        <v>531</v>
      </c>
      <c r="C889" t="s">
        <v>58</v>
      </c>
      <c r="E889" t="s">
        <v>2958</v>
      </c>
      <c r="F889" t="s">
        <v>2815</v>
      </c>
      <c r="G889" s="1" t="s">
        <v>1603</v>
      </c>
    </row>
    <row r="890" spans="1:7" hidden="1" x14ac:dyDescent="0.25">
      <c r="A890" t="s">
        <v>533</v>
      </c>
      <c r="B890" t="s">
        <v>531</v>
      </c>
      <c r="C890" t="s">
        <v>58</v>
      </c>
      <c r="E890" t="s">
        <v>2958</v>
      </c>
      <c r="F890" t="s">
        <v>2818</v>
      </c>
      <c r="G890" s="1" t="s">
        <v>1603</v>
      </c>
    </row>
    <row r="891" spans="1:7" hidden="1" x14ac:dyDescent="0.25">
      <c r="A891" t="s">
        <v>533</v>
      </c>
      <c r="B891" t="s">
        <v>531</v>
      </c>
      <c r="C891" t="s">
        <v>58</v>
      </c>
      <c r="E891" t="s">
        <v>2958</v>
      </c>
      <c r="F891" t="s">
        <v>2821</v>
      </c>
      <c r="G891" s="1" t="s">
        <v>1603</v>
      </c>
    </row>
    <row r="892" spans="1:7" hidden="1" x14ac:dyDescent="0.25">
      <c r="A892" t="s">
        <v>533</v>
      </c>
      <c r="B892" t="s">
        <v>531</v>
      </c>
      <c r="C892" t="s">
        <v>2964</v>
      </c>
      <c r="E892" t="s">
        <v>2958</v>
      </c>
      <c r="F892" t="s">
        <v>2824</v>
      </c>
      <c r="G892" s="1" t="s">
        <v>1603</v>
      </c>
    </row>
    <row r="893" spans="1:7" hidden="1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hidden="1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hidden="1" x14ac:dyDescent="0.25">
      <c r="A895" t="s">
        <v>2965</v>
      </c>
      <c r="F895" t="s">
        <v>2833</v>
      </c>
      <c r="G895" s="1" t="s">
        <v>1603</v>
      </c>
    </row>
    <row r="896" spans="1:7" hidden="1" x14ac:dyDescent="0.25">
      <c r="A896" t="s">
        <v>2965</v>
      </c>
      <c r="F896" t="s">
        <v>2836</v>
      </c>
      <c r="G896" s="1" t="s">
        <v>1603</v>
      </c>
    </row>
    <row r="897" spans="1:7" hidden="1" x14ac:dyDescent="0.25">
      <c r="A897" t="s">
        <v>4</v>
      </c>
      <c r="B897" t="s">
        <v>8</v>
      </c>
      <c r="E897" t="s">
        <v>2967</v>
      </c>
      <c r="F897" t="s">
        <v>2839</v>
      </c>
      <c r="G897" s="1" t="s">
        <v>1603</v>
      </c>
    </row>
    <row r="898" spans="1:7" hidden="1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hidden="1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hidden="1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hidden="1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hidden="1" x14ac:dyDescent="0.25">
      <c r="A902" t="s">
        <v>4</v>
      </c>
      <c r="B902" t="s">
        <v>8</v>
      </c>
      <c r="E902" t="s">
        <v>2967</v>
      </c>
      <c r="F902" t="s">
        <v>2854</v>
      </c>
      <c r="G902" s="1" t="s">
        <v>1603</v>
      </c>
    </row>
    <row r="903" spans="1:7" hidden="1" x14ac:dyDescent="0.25">
      <c r="A903" t="s">
        <v>533</v>
      </c>
      <c r="B903" t="s">
        <v>1607</v>
      </c>
      <c r="C903" t="s">
        <v>58</v>
      </c>
      <c r="E903" t="s">
        <v>2958</v>
      </c>
      <c r="F903" t="s">
        <v>2857</v>
      </c>
      <c r="G903" s="1" t="s">
        <v>1603</v>
      </c>
    </row>
    <row r="904" spans="1:7" hidden="1" x14ac:dyDescent="0.25">
      <c r="A904" t="s">
        <v>2966</v>
      </c>
      <c r="B904" t="s">
        <v>1607</v>
      </c>
      <c r="C904" t="s">
        <v>58</v>
      </c>
      <c r="E904" t="s">
        <v>2958</v>
      </c>
      <c r="F904" t="s">
        <v>2860</v>
      </c>
      <c r="G904" s="1" t="s">
        <v>1603</v>
      </c>
    </row>
    <row r="905" spans="1:7" hidden="1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hidden="1" x14ac:dyDescent="0.25">
      <c r="A906" t="s">
        <v>2966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hidden="1" x14ac:dyDescent="0.25">
      <c r="A907" t="s">
        <v>2966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hidden="1" x14ac:dyDescent="0.25">
      <c r="A908" t="s">
        <v>2966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hidden="1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hidden="1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hidden="1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hidden="1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hidden="1" x14ac:dyDescent="0.25">
      <c r="A913" t="s">
        <v>2004</v>
      </c>
      <c r="F913" t="s">
        <v>2887</v>
      </c>
      <c r="G913" s="1" t="s">
        <v>1603</v>
      </c>
    </row>
    <row r="914" spans="1:7" hidden="1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hidden="1" x14ac:dyDescent="0.25">
      <c r="A915" t="s">
        <v>2004</v>
      </c>
      <c r="F915" t="s">
        <v>2893</v>
      </c>
      <c r="G915" s="1" t="s">
        <v>1603</v>
      </c>
    </row>
    <row r="916" spans="1:7" hidden="1" x14ac:dyDescent="0.25">
      <c r="A916" t="s">
        <v>533</v>
      </c>
      <c r="B916" t="s">
        <v>1607</v>
      </c>
      <c r="C916" t="s">
        <v>2962</v>
      </c>
      <c r="E916" t="s">
        <v>2958</v>
      </c>
      <c r="F916" t="s">
        <v>2526</v>
      </c>
      <c r="G916" t="s">
        <v>1817</v>
      </c>
    </row>
    <row r="917" spans="1:7" hidden="1" x14ac:dyDescent="0.25">
      <c r="A917" t="s">
        <v>533</v>
      </c>
      <c r="B917" t="s">
        <v>531</v>
      </c>
      <c r="C917" t="s">
        <v>58</v>
      </c>
      <c r="E917" t="s">
        <v>2968</v>
      </c>
      <c r="F917" t="s">
        <v>2529</v>
      </c>
      <c r="G917" t="s">
        <v>1817</v>
      </c>
    </row>
    <row r="918" spans="1:7" hidden="1" x14ac:dyDescent="0.25">
      <c r="A918" t="s">
        <v>2980</v>
      </c>
      <c r="B918" t="s">
        <v>2920</v>
      </c>
      <c r="C918" t="s">
        <v>58</v>
      </c>
      <c r="E918" t="s">
        <v>2957</v>
      </c>
      <c r="F918" t="s">
        <v>2532</v>
      </c>
      <c r="G918" t="s">
        <v>1817</v>
      </c>
    </row>
    <row r="919" spans="1:7" hidden="1" x14ac:dyDescent="0.25">
      <c r="A919" t="s">
        <v>1999</v>
      </c>
      <c r="B919" t="s">
        <v>2920</v>
      </c>
      <c r="C919" t="s">
        <v>58</v>
      </c>
      <c r="E919" t="s">
        <v>2957</v>
      </c>
      <c r="F919" t="s">
        <v>2535</v>
      </c>
      <c r="G919" t="s">
        <v>1817</v>
      </c>
    </row>
    <row r="920" spans="1:7" hidden="1" x14ac:dyDescent="0.25">
      <c r="A920" t="s">
        <v>1999</v>
      </c>
      <c r="B920" t="s">
        <v>2920</v>
      </c>
      <c r="C920" t="s">
        <v>58</v>
      </c>
      <c r="E920" t="s">
        <v>2957</v>
      </c>
      <c r="F920" t="s">
        <v>2538</v>
      </c>
      <c r="G920" t="s">
        <v>1817</v>
      </c>
    </row>
    <row r="921" spans="1:7" hidden="1" x14ac:dyDescent="0.25">
      <c r="A921" t="s">
        <v>1999</v>
      </c>
      <c r="B921" t="s">
        <v>2920</v>
      </c>
      <c r="C921" t="s">
        <v>58</v>
      </c>
      <c r="E921" t="s">
        <v>2957</v>
      </c>
      <c r="F921" t="s">
        <v>2541</v>
      </c>
      <c r="G921" t="s">
        <v>1817</v>
      </c>
    </row>
    <row r="922" spans="1:7" hidden="1" x14ac:dyDescent="0.25">
      <c r="A922" t="s">
        <v>1999</v>
      </c>
      <c r="B922" t="s">
        <v>2920</v>
      </c>
      <c r="C922" t="s">
        <v>58</v>
      </c>
      <c r="E922" t="s">
        <v>2957</v>
      </c>
      <c r="F922" t="s">
        <v>2544</v>
      </c>
      <c r="G922" t="s">
        <v>1817</v>
      </c>
    </row>
    <row r="923" spans="1:7" hidden="1" x14ac:dyDescent="0.25">
      <c r="A923" t="s">
        <v>1999</v>
      </c>
      <c r="B923" t="s">
        <v>2920</v>
      </c>
      <c r="C923" t="s">
        <v>58</v>
      </c>
      <c r="E923" t="s">
        <v>2957</v>
      </c>
      <c r="F923" t="s">
        <v>2547</v>
      </c>
      <c r="G923" t="s">
        <v>1817</v>
      </c>
    </row>
    <row r="924" spans="1:7" hidden="1" x14ac:dyDescent="0.25">
      <c r="A924" t="s">
        <v>1999</v>
      </c>
      <c r="B924" t="s">
        <v>2920</v>
      </c>
      <c r="C924" t="s">
        <v>58</v>
      </c>
      <c r="E924" t="s">
        <v>2957</v>
      </c>
      <c r="F924" t="s">
        <v>2550</v>
      </c>
      <c r="G924" t="s">
        <v>1817</v>
      </c>
    </row>
    <row r="925" spans="1:7" hidden="1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hidden="1" x14ac:dyDescent="0.25">
      <c r="A926" t="s">
        <v>533</v>
      </c>
      <c r="B926" t="s">
        <v>531</v>
      </c>
      <c r="C926" t="s">
        <v>58</v>
      </c>
      <c r="E926" t="s">
        <v>2958</v>
      </c>
      <c r="F926" t="s">
        <v>2556</v>
      </c>
      <c r="G926" t="s">
        <v>1817</v>
      </c>
    </row>
    <row r="927" spans="1:7" hidden="1" x14ac:dyDescent="0.25">
      <c r="A927" t="s">
        <v>533</v>
      </c>
      <c r="B927" t="s">
        <v>1607</v>
      </c>
      <c r="C927" t="s">
        <v>58</v>
      </c>
      <c r="E927" t="s">
        <v>2958</v>
      </c>
      <c r="F927" t="s">
        <v>2559</v>
      </c>
      <c r="G927" t="s">
        <v>1817</v>
      </c>
    </row>
    <row r="928" spans="1:7" hidden="1" x14ac:dyDescent="0.25">
      <c r="A928" t="s">
        <v>533</v>
      </c>
      <c r="B928" t="s">
        <v>1607</v>
      </c>
      <c r="C928" t="s">
        <v>58</v>
      </c>
      <c r="E928" t="s">
        <v>2958</v>
      </c>
      <c r="F928" t="s">
        <v>2562</v>
      </c>
      <c r="G928" t="s">
        <v>1817</v>
      </c>
    </row>
    <row r="929" spans="1:7" hidden="1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hidden="1" x14ac:dyDescent="0.25">
      <c r="A930" t="s">
        <v>533</v>
      </c>
      <c r="B930" t="s">
        <v>1607</v>
      </c>
      <c r="C930" t="s">
        <v>58</v>
      </c>
      <c r="E930" t="s">
        <v>2958</v>
      </c>
      <c r="F930" t="s">
        <v>2568</v>
      </c>
      <c r="G930" t="s">
        <v>1817</v>
      </c>
    </row>
    <row r="931" spans="1:7" hidden="1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hidden="1" x14ac:dyDescent="0.25">
      <c r="A932" t="s">
        <v>2004</v>
      </c>
      <c r="F932" t="s">
        <v>2574</v>
      </c>
      <c r="G932" t="s">
        <v>1817</v>
      </c>
    </row>
    <row r="933" spans="1:7" hidden="1" x14ac:dyDescent="0.25">
      <c r="A933" t="s">
        <v>4</v>
      </c>
      <c r="B933" t="s">
        <v>8</v>
      </c>
      <c r="F933" t="s">
        <v>2969</v>
      </c>
      <c r="G933" t="s">
        <v>1817</v>
      </c>
    </row>
    <row r="934" spans="1:7" hidden="1" x14ac:dyDescent="0.25">
      <c r="A934" t="s">
        <v>4</v>
      </c>
      <c r="B934" t="s">
        <v>8</v>
      </c>
      <c r="E934" t="s">
        <v>2975</v>
      </c>
      <c r="F934" t="s">
        <v>2972</v>
      </c>
      <c r="G934" t="s">
        <v>1817</v>
      </c>
    </row>
    <row r="935" spans="1:7" hidden="1" x14ac:dyDescent="0.25">
      <c r="A935" t="s">
        <v>4</v>
      </c>
      <c r="B935" t="s">
        <v>8</v>
      </c>
      <c r="E935" t="s">
        <v>2975</v>
      </c>
      <c r="F935" t="s">
        <v>2577</v>
      </c>
      <c r="G935" t="s">
        <v>1817</v>
      </c>
    </row>
    <row r="936" spans="1:7" hidden="1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hidden="1" x14ac:dyDescent="0.25">
      <c r="A937" t="s">
        <v>2004</v>
      </c>
      <c r="F937" t="s">
        <v>2583</v>
      </c>
      <c r="G937" t="s">
        <v>1817</v>
      </c>
    </row>
    <row r="938" spans="1:7" hidden="1" x14ac:dyDescent="0.25">
      <c r="A938" t="s">
        <v>2004</v>
      </c>
      <c r="F938" t="s">
        <v>2586</v>
      </c>
      <c r="G938" t="s">
        <v>1817</v>
      </c>
    </row>
    <row r="939" spans="1:7" hidden="1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hidden="1" x14ac:dyDescent="0.25">
      <c r="A940" t="s">
        <v>7</v>
      </c>
      <c r="F940" t="s">
        <v>2592</v>
      </c>
      <c r="G940" t="s">
        <v>1934</v>
      </c>
    </row>
    <row r="941" spans="1:7" hidden="1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hidden="1" x14ac:dyDescent="0.25">
      <c r="A942" t="s">
        <v>11</v>
      </c>
      <c r="F942" t="s">
        <v>2598</v>
      </c>
      <c r="G942" t="s">
        <v>1934</v>
      </c>
    </row>
    <row r="943" spans="1:7" hidden="1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hidden="1" x14ac:dyDescent="0.25">
      <c r="A944" t="s">
        <v>2004</v>
      </c>
      <c r="F944" t="s">
        <v>2604</v>
      </c>
      <c r="G944" t="s">
        <v>1934</v>
      </c>
    </row>
    <row r="945" spans="1:7" hidden="1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hidden="1" x14ac:dyDescent="0.25">
      <c r="A946" t="s">
        <v>2004</v>
      </c>
      <c r="F946" t="s">
        <v>2610</v>
      </c>
      <c r="G946" t="s">
        <v>1934</v>
      </c>
    </row>
    <row r="947" spans="1:7" hidden="1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hidden="1" x14ac:dyDescent="0.25">
      <c r="A948" t="s">
        <v>2004</v>
      </c>
      <c r="F948" t="s">
        <v>2616</v>
      </c>
      <c r="G948" t="s">
        <v>1934</v>
      </c>
    </row>
    <row r="949" spans="1:7" hidden="1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hidden="1" x14ac:dyDescent="0.25">
      <c r="A950" t="s">
        <v>2004</v>
      </c>
      <c r="F950" t="s">
        <v>2622</v>
      </c>
      <c r="G950" t="s">
        <v>1934</v>
      </c>
    </row>
    <row r="951" spans="1:7" hidden="1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hidden="1" x14ac:dyDescent="0.25">
      <c r="A952" t="s">
        <v>2004</v>
      </c>
      <c r="F952" t="s">
        <v>2628</v>
      </c>
      <c r="G952" t="s">
        <v>1934</v>
      </c>
    </row>
    <row r="953" spans="1:7" hidden="1" x14ac:dyDescent="0.25">
      <c r="A953" t="s">
        <v>4</v>
      </c>
      <c r="B953" t="s">
        <v>8</v>
      </c>
      <c r="F953" t="s">
        <v>2976</v>
      </c>
      <c r="G953" t="s">
        <v>1997</v>
      </c>
    </row>
    <row r="954" spans="1:7" hidden="1" x14ac:dyDescent="0.25">
      <c r="A954" t="s">
        <v>533</v>
      </c>
      <c r="B954" t="s">
        <v>531</v>
      </c>
      <c r="C954" t="s">
        <v>58</v>
      </c>
      <c r="E954" t="s">
        <v>2979</v>
      </c>
      <c r="F954" t="s">
        <v>2896</v>
      </c>
      <c r="G954" t="s">
        <v>1997</v>
      </c>
    </row>
    <row r="955" spans="1:7" hidden="1" x14ac:dyDescent="0.25">
      <c r="A955" t="s">
        <v>533</v>
      </c>
      <c r="B955" t="s">
        <v>531</v>
      </c>
      <c r="C955" t="s">
        <v>58</v>
      </c>
      <c r="E955" t="s">
        <v>2979</v>
      </c>
      <c r="F955" t="s">
        <v>2899</v>
      </c>
      <c r="G955" t="s">
        <v>1997</v>
      </c>
    </row>
    <row r="956" spans="1:7" hidden="1" x14ac:dyDescent="0.25">
      <c r="A956" t="s">
        <v>533</v>
      </c>
      <c r="B956" t="s">
        <v>531</v>
      </c>
      <c r="C956" t="s">
        <v>58</v>
      </c>
      <c r="E956" t="s">
        <v>2979</v>
      </c>
      <c r="F956" t="s">
        <v>2902</v>
      </c>
      <c r="G956" t="s">
        <v>1997</v>
      </c>
    </row>
    <row r="957" spans="1:7" hidden="1" x14ac:dyDescent="0.25">
      <c r="A957" t="s">
        <v>2004</v>
      </c>
      <c r="F957" t="s">
        <v>2905</v>
      </c>
      <c r="G957" t="s">
        <v>1997</v>
      </c>
    </row>
    <row r="958" spans="1:7" hidden="1" x14ac:dyDescent="0.25">
      <c r="A958" t="s">
        <v>2004</v>
      </c>
      <c r="F958" t="s">
        <v>2908</v>
      </c>
      <c r="G958" t="s">
        <v>1997</v>
      </c>
    </row>
    <row r="959" spans="1:7" hidden="1" x14ac:dyDescent="0.25">
      <c r="A959" t="s">
        <v>2014</v>
      </c>
      <c r="F959" t="s">
        <v>2911</v>
      </c>
      <c r="G959" t="s">
        <v>1997</v>
      </c>
    </row>
    <row r="960" spans="1:7" hidden="1" x14ac:dyDescent="0.25">
      <c r="A960" t="s">
        <v>2004</v>
      </c>
      <c r="F960" t="s">
        <v>2914</v>
      </c>
      <c r="G960" t="s">
        <v>1997</v>
      </c>
    </row>
    <row r="961" spans="1:7" hidden="1" x14ac:dyDescent="0.25">
      <c r="A961" t="s">
        <v>2004</v>
      </c>
      <c r="F961" t="s">
        <v>2917</v>
      </c>
      <c r="G961" t="s">
        <v>1997</v>
      </c>
    </row>
    <row r="962" spans="1:7" hidden="1" x14ac:dyDescent="0.25">
      <c r="A962" t="s">
        <v>91</v>
      </c>
      <c r="B962" t="s">
        <v>70</v>
      </c>
      <c r="F962" t="s">
        <v>2994</v>
      </c>
      <c r="G962" t="s">
        <v>1102</v>
      </c>
    </row>
    <row r="963" spans="1:7" hidden="1" x14ac:dyDescent="0.25">
      <c r="A963" t="s">
        <v>62</v>
      </c>
      <c r="B963" t="s">
        <v>70</v>
      </c>
      <c r="F963" t="s">
        <v>2997</v>
      </c>
      <c r="G963" t="s">
        <v>1102</v>
      </c>
    </row>
    <row r="964" spans="1:7" hidden="1" x14ac:dyDescent="0.25">
      <c r="A964" t="s">
        <v>3018</v>
      </c>
      <c r="B964" t="s">
        <v>1607</v>
      </c>
      <c r="C964" t="s">
        <v>2929</v>
      </c>
      <c r="F964" t="s">
        <v>3000</v>
      </c>
      <c r="G964" t="s">
        <v>1102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3003</v>
      </c>
      <c r="G965" t="s">
        <v>1102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3006</v>
      </c>
      <c r="G966" t="s">
        <v>1102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3009</v>
      </c>
      <c r="G967" t="s">
        <v>1102</v>
      </c>
    </row>
    <row r="968" spans="1:7" hidden="1" x14ac:dyDescent="0.25">
      <c r="A968" t="s">
        <v>3019</v>
      </c>
      <c r="B968" t="s">
        <v>70</v>
      </c>
      <c r="C968" t="s">
        <v>58</v>
      </c>
      <c r="F968" t="s">
        <v>3012</v>
      </c>
      <c r="G968" t="s">
        <v>1102</v>
      </c>
    </row>
    <row r="969" spans="1:7" hidden="1" x14ac:dyDescent="0.25">
      <c r="A969" t="s">
        <v>3019</v>
      </c>
      <c r="B969" t="s">
        <v>70</v>
      </c>
      <c r="C969" t="s">
        <v>58</v>
      </c>
      <c r="E969" t="s">
        <v>2936</v>
      </c>
      <c r="F969" t="s">
        <v>3015</v>
      </c>
      <c r="G969" t="s">
        <v>1102</v>
      </c>
    </row>
    <row r="970" spans="1:7" hidden="1" x14ac:dyDescent="0.25">
      <c r="A970" t="s">
        <v>289</v>
      </c>
      <c r="B970" t="s">
        <v>86</v>
      </c>
      <c r="C970" t="s">
        <v>3071</v>
      </c>
      <c r="E970" t="s">
        <v>3072</v>
      </c>
      <c r="F970" t="s">
        <v>3020</v>
      </c>
      <c r="G970" t="s">
        <v>1103</v>
      </c>
    </row>
    <row r="971" spans="1:7" hidden="1" x14ac:dyDescent="0.25">
      <c r="A971" t="s">
        <v>3073</v>
      </c>
      <c r="B971" t="s">
        <v>86</v>
      </c>
      <c r="C971" t="s">
        <v>3071</v>
      </c>
      <c r="E971" t="s">
        <v>3074</v>
      </c>
      <c r="F971" t="s">
        <v>3023</v>
      </c>
      <c r="G971" t="s">
        <v>1103</v>
      </c>
    </row>
    <row r="972" spans="1:7" hidden="1" x14ac:dyDescent="0.25">
      <c r="A972" t="s">
        <v>289</v>
      </c>
      <c r="B972" t="s">
        <v>86</v>
      </c>
      <c r="C972" t="s">
        <v>3071</v>
      </c>
      <c r="E972" t="s">
        <v>3072</v>
      </c>
      <c r="F972" t="s">
        <v>3026</v>
      </c>
      <c r="G972" t="s">
        <v>1103</v>
      </c>
    </row>
    <row r="973" spans="1:7" hidden="1" x14ac:dyDescent="0.25">
      <c r="A973" t="s">
        <v>3073</v>
      </c>
      <c r="B973" t="s">
        <v>86</v>
      </c>
      <c r="C973" t="s">
        <v>3071</v>
      </c>
      <c r="E973" t="s">
        <v>3074</v>
      </c>
      <c r="F973" t="s">
        <v>3029</v>
      </c>
      <c r="G973" t="s">
        <v>1103</v>
      </c>
    </row>
    <row r="974" spans="1:7" hidden="1" x14ac:dyDescent="0.25">
      <c r="A974" t="s">
        <v>158</v>
      </c>
      <c r="B974" t="s">
        <v>86</v>
      </c>
      <c r="C974" t="s">
        <v>60</v>
      </c>
      <c r="D974">
        <v>4</v>
      </c>
      <c r="E974" t="s">
        <v>3075</v>
      </c>
      <c r="F974" t="s">
        <v>3032</v>
      </c>
      <c r="G974" t="s">
        <v>1103</v>
      </c>
    </row>
    <row r="975" spans="1:7" hidden="1" x14ac:dyDescent="0.25">
      <c r="A975" t="s">
        <v>289</v>
      </c>
      <c r="B975" t="s">
        <v>86</v>
      </c>
      <c r="C975" t="s">
        <v>3071</v>
      </c>
      <c r="E975" t="s">
        <v>3072</v>
      </c>
      <c r="F975" t="s">
        <v>3035</v>
      </c>
      <c r="G975" t="s">
        <v>1103</v>
      </c>
    </row>
    <row r="976" spans="1:7" hidden="1" x14ac:dyDescent="0.25">
      <c r="A976" t="s">
        <v>3073</v>
      </c>
      <c r="B976" t="s">
        <v>86</v>
      </c>
      <c r="C976" t="s">
        <v>3071</v>
      </c>
      <c r="E976" t="s">
        <v>3074</v>
      </c>
      <c r="F976" t="s">
        <v>3038</v>
      </c>
      <c r="G976" t="s">
        <v>1103</v>
      </c>
    </row>
    <row r="977" spans="1:7" hidden="1" x14ac:dyDescent="0.25">
      <c r="A977" t="s">
        <v>289</v>
      </c>
      <c r="B977" t="s">
        <v>86</v>
      </c>
      <c r="C977" t="s">
        <v>3071</v>
      </c>
      <c r="E977" t="s">
        <v>3072</v>
      </c>
      <c r="F977" t="s">
        <v>3041</v>
      </c>
      <c r="G977" t="s">
        <v>1103</v>
      </c>
    </row>
    <row r="978" spans="1:7" hidden="1" x14ac:dyDescent="0.25">
      <c r="A978" t="s">
        <v>3073</v>
      </c>
      <c r="B978" t="s">
        <v>86</v>
      </c>
      <c r="C978" t="s">
        <v>3071</v>
      </c>
      <c r="E978" t="s">
        <v>3074</v>
      </c>
      <c r="F978" t="s">
        <v>3044</v>
      </c>
      <c r="G978" t="s">
        <v>1103</v>
      </c>
    </row>
    <row r="979" spans="1:7" hidden="1" x14ac:dyDescent="0.25">
      <c r="A979" t="s">
        <v>289</v>
      </c>
      <c r="B979" t="s">
        <v>86</v>
      </c>
      <c r="C979" t="s">
        <v>3071</v>
      </c>
      <c r="E979" t="s">
        <v>3072</v>
      </c>
      <c r="F979" t="s">
        <v>3047</v>
      </c>
      <c r="G979" t="s">
        <v>1103</v>
      </c>
    </row>
    <row r="980" spans="1:7" hidden="1" x14ac:dyDescent="0.25">
      <c r="A980" t="s">
        <v>3073</v>
      </c>
      <c r="B980" t="s">
        <v>86</v>
      </c>
      <c r="C980" t="s">
        <v>3071</v>
      </c>
      <c r="E980" t="s">
        <v>3074</v>
      </c>
      <c r="F980" t="s">
        <v>3050</v>
      </c>
      <c r="G980" t="s">
        <v>1103</v>
      </c>
    </row>
    <row r="981" spans="1:7" hidden="1" x14ac:dyDescent="0.25">
      <c r="A981" t="s">
        <v>289</v>
      </c>
      <c r="B981" t="s">
        <v>86</v>
      </c>
      <c r="C981" t="s">
        <v>3076</v>
      </c>
      <c r="D981">
        <v>1</v>
      </c>
      <c r="F981" t="s">
        <v>3053</v>
      </c>
      <c r="G981" t="s">
        <v>1103</v>
      </c>
    </row>
    <row r="982" spans="1:7" hidden="1" x14ac:dyDescent="0.25">
      <c r="A982" t="s">
        <v>3073</v>
      </c>
      <c r="B982" t="s">
        <v>86</v>
      </c>
      <c r="C982" t="s">
        <v>3076</v>
      </c>
      <c r="D982">
        <v>1</v>
      </c>
      <c r="E982" t="s">
        <v>3077</v>
      </c>
      <c r="F982" t="s">
        <v>3056</v>
      </c>
      <c r="G982" t="s">
        <v>1103</v>
      </c>
    </row>
    <row r="983" spans="1:7" hidden="1" x14ac:dyDescent="0.25">
      <c r="A983" t="s">
        <v>289</v>
      </c>
      <c r="B983" t="s">
        <v>86</v>
      </c>
      <c r="C983" t="s">
        <v>3076</v>
      </c>
      <c r="D983">
        <v>1</v>
      </c>
      <c r="F983" t="s">
        <v>3059</v>
      </c>
      <c r="G983" t="s">
        <v>1103</v>
      </c>
    </row>
    <row r="984" spans="1:7" hidden="1" x14ac:dyDescent="0.25">
      <c r="A984" t="s">
        <v>3073</v>
      </c>
      <c r="B984" t="s">
        <v>86</v>
      </c>
      <c r="C984" t="s">
        <v>3076</v>
      </c>
      <c r="D984">
        <v>1</v>
      </c>
      <c r="E984" t="s">
        <v>3077</v>
      </c>
      <c r="F984" t="s">
        <v>3062</v>
      </c>
      <c r="G984" t="s">
        <v>1103</v>
      </c>
    </row>
    <row r="985" spans="1:7" hidden="1" x14ac:dyDescent="0.25">
      <c r="A985" t="s">
        <v>158</v>
      </c>
      <c r="B985" t="s">
        <v>86</v>
      </c>
      <c r="C985" t="s">
        <v>60</v>
      </c>
      <c r="D985">
        <v>1</v>
      </c>
      <c r="E985" t="s">
        <v>3075</v>
      </c>
      <c r="F985" t="s">
        <v>3065</v>
      </c>
      <c r="G985" t="s">
        <v>1103</v>
      </c>
    </row>
    <row r="986" spans="1:7" hidden="1" x14ac:dyDescent="0.25">
      <c r="A986" t="s">
        <v>4</v>
      </c>
      <c r="B986" t="s">
        <v>8</v>
      </c>
      <c r="E986" t="s">
        <v>3078</v>
      </c>
      <c r="F986" t="s">
        <v>3068</v>
      </c>
      <c r="G986" t="s">
        <v>1103</v>
      </c>
    </row>
    <row r="987" spans="1:7" hidden="1" x14ac:dyDescent="0.25">
      <c r="A987" t="s">
        <v>4190</v>
      </c>
      <c r="B987" t="s">
        <v>4192</v>
      </c>
      <c r="C987" t="s">
        <v>51</v>
      </c>
      <c r="F987" t="s">
        <v>3225</v>
      </c>
      <c r="G987" t="s">
        <v>1102</v>
      </c>
    </row>
    <row r="988" spans="1:7" hidden="1" x14ac:dyDescent="0.25">
      <c r="A988" t="s">
        <v>85</v>
      </c>
      <c r="B988" t="s">
        <v>4192</v>
      </c>
      <c r="C988" t="s">
        <v>58</v>
      </c>
      <c r="F988" t="s">
        <v>3228</v>
      </c>
      <c r="G988" t="s">
        <v>1102</v>
      </c>
    </row>
    <row r="989" spans="1:7" hidden="1" x14ac:dyDescent="0.25">
      <c r="A989" t="s">
        <v>91</v>
      </c>
      <c r="B989" t="s">
        <v>4192</v>
      </c>
      <c r="C989" t="s">
        <v>58</v>
      </c>
      <c r="F989" t="s">
        <v>3231</v>
      </c>
      <c r="G989" t="s">
        <v>1102</v>
      </c>
    </row>
    <row r="990" spans="1:7" hidden="1" x14ac:dyDescent="0.25">
      <c r="A990" t="s">
        <v>62</v>
      </c>
      <c r="B990" t="s">
        <v>4192</v>
      </c>
      <c r="C990" t="s">
        <v>58</v>
      </c>
      <c r="F990" t="s">
        <v>3234</v>
      </c>
      <c r="G990" t="s">
        <v>1102</v>
      </c>
    </row>
    <row r="991" spans="1:7" hidden="1" x14ac:dyDescent="0.25">
      <c r="A991" t="s">
        <v>4190</v>
      </c>
      <c r="B991" t="s">
        <v>4191</v>
      </c>
      <c r="F991" t="s">
        <v>3237</v>
      </c>
      <c r="G991" t="s">
        <v>1102</v>
      </c>
    </row>
    <row r="992" spans="1:7" hidden="1" x14ac:dyDescent="0.25">
      <c r="A992" t="s">
        <v>85</v>
      </c>
      <c r="B992" t="s">
        <v>4191</v>
      </c>
      <c r="F992" t="s">
        <v>3240</v>
      </c>
      <c r="G992" t="s">
        <v>1102</v>
      </c>
    </row>
    <row r="993" spans="1:7" hidden="1" x14ac:dyDescent="0.25">
      <c r="A993" t="s">
        <v>64</v>
      </c>
      <c r="B993" t="s">
        <v>4193</v>
      </c>
      <c r="F993" t="s">
        <v>3243</v>
      </c>
      <c r="G993" t="s">
        <v>1102</v>
      </c>
    </row>
    <row r="994" spans="1:7" hidden="1" x14ac:dyDescent="0.25">
      <c r="A994" t="s">
        <v>85</v>
      </c>
      <c r="B994" t="s">
        <v>4193</v>
      </c>
      <c r="F994" t="s">
        <v>3246</v>
      </c>
      <c r="G994" t="s">
        <v>1102</v>
      </c>
    </row>
    <row r="995" spans="1:7" hidden="1" x14ac:dyDescent="0.25">
      <c r="A995" t="s">
        <v>91</v>
      </c>
      <c r="B995" t="s">
        <v>4194</v>
      </c>
      <c r="C995" t="s">
        <v>51</v>
      </c>
      <c r="F995" t="s">
        <v>3249</v>
      </c>
      <c r="G995" t="s">
        <v>1102</v>
      </c>
    </row>
    <row r="996" spans="1:7" hidden="1" x14ac:dyDescent="0.25">
      <c r="A996" t="s">
        <v>91</v>
      </c>
      <c r="B996" t="s">
        <v>4195</v>
      </c>
      <c r="C996" t="s">
        <v>51</v>
      </c>
      <c r="F996" t="s">
        <v>3252</v>
      </c>
      <c r="G996" t="s">
        <v>1102</v>
      </c>
    </row>
    <row r="997" spans="1:7" hidden="1" x14ac:dyDescent="0.25">
      <c r="A997" t="s">
        <v>91</v>
      </c>
      <c r="B997" t="s">
        <v>4194</v>
      </c>
      <c r="C997" t="s">
        <v>4196</v>
      </c>
      <c r="E997" t="s">
        <v>4197</v>
      </c>
      <c r="F997" t="s">
        <v>3255</v>
      </c>
      <c r="G997" t="s">
        <v>1102</v>
      </c>
    </row>
    <row r="998" spans="1:7" hidden="1" x14ac:dyDescent="0.25">
      <c r="A998" t="s">
        <v>62</v>
      </c>
      <c r="B998" t="s">
        <v>4194</v>
      </c>
      <c r="C998" t="s">
        <v>4196</v>
      </c>
      <c r="F998" t="s">
        <v>3258</v>
      </c>
      <c r="G998" t="s">
        <v>1102</v>
      </c>
    </row>
    <row r="999" spans="1:7" hidden="1" x14ac:dyDescent="0.25">
      <c r="A999" t="s">
        <v>4198</v>
      </c>
      <c r="B999" t="s">
        <v>4192</v>
      </c>
      <c r="C999" t="s">
        <v>51</v>
      </c>
      <c r="F999" t="s">
        <v>3261</v>
      </c>
      <c r="G999" t="s">
        <v>1103</v>
      </c>
    </row>
    <row r="1000" spans="1:7" hidden="1" x14ac:dyDescent="0.25">
      <c r="A1000" t="s">
        <v>4199</v>
      </c>
      <c r="B1000" t="s">
        <v>4200</v>
      </c>
      <c r="E1000" t="s">
        <v>3075</v>
      </c>
      <c r="F1000" t="s">
        <v>3264</v>
      </c>
      <c r="G1000" t="s">
        <v>1103</v>
      </c>
    </row>
    <row r="1001" spans="1:7" hidden="1" x14ac:dyDescent="0.25">
      <c r="A1001" t="s">
        <v>4199</v>
      </c>
      <c r="B1001" t="s">
        <v>4200</v>
      </c>
      <c r="E1001" t="s">
        <v>2936</v>
      </c>
      <c r="F1001" t="s">
        <v>3267</v>
      </c>
      <c r="G1001" t="s">
        <v>1103</v>
      </c>
    </row>
    <row r="1002" spans="1:7" hidden="1" x14ac:dyDescent="0.25">
      <c r="A1002" t="s">
        <v>4199</v>
      </c>
      <c r="B1002" t="s">
        <v>4200</v>
      </c>
      <c r="E1002" t="s">
        <v>2936</v>
      </c>
      <c r="F1002" t="s">
        <v>3270</v>
      </c>
      <c r="G1002" t="s">
        <v>1103</v>
      </c>
    </row>
    <row r="1003" spans="1:7" hidden="1" x14ac:dyDescent="0.25">
      <c r="A1003" t="s">
        <v>4199</v>
      </c>
      <c r="B1003" t="s">
        <v>4200</v>
      </c>
      <c r="E1003" t="s">
        <v>2936</v>
      </c>
      <c r="F1003" t="s">
        <v>3273</v>
      </c>
      <c r="G1003" t="s">
        <v>1103</v>
      </c>
    </row>
    <row r="1004" spans="1:7" hidden="1" x14ac:dyDescent="0.25">
      <c r="A1004" t="s">
        <v>4199</v>
      </c>
      <c r="B1004" t="s">
        <v>4200</v>
      </c>
      <c r="E1004" t="s">
        <v>2936</v>
      </c>
      <c r="F1004" t="s">
        <v>3276</v>
      </c>
      <c r="G1004" t="s">
        <v>1103</v>
      </c>
    </row>
    <row r="1005" spans="1:7" hidden="1" x14ac:dyDescent="0.25">
      <c r="A1005" t="s">
        <v>4199</v>
      </c>
      <c r="B1005" t="s">
        <v>4200</v>
      </c>
      <c r="E1005" t="s">
        <v>2936</v>
      </c>
      <c r="F1005" t="s">
        <v>3279</v>
      </c>
      <c r="G1005" t="s">
        <v>1103</v>
      </c>
    </row>
    <row r="1006" spans="1:7" hidden="1" x14ac:dyDescent="0.25">
      <c r="A1006" t="s">
        <v>4199</v>
      </c>
      <c r="B1006" t="s">
        <v>4200</v>
      </c>
      <c r="E1006" t="s">
        <v>2936</v>
      </c>
      <c r="F1006" t="s">
        <v>3282</v>
      </c>
      <c r="G1006" t="s">
        <v>1103</v>
      </c>
    </row>
    <row r="1007" spans="1:7" hidden="1" x14ac:dyDescent="0.25">
      <c r="A1007" t="s">
        <v>4199</v>
      </c>
      <c r="B1007" t="s">
        <v>4200</v>
      </c>
      <c r="E1007" t="s">
        <v>2936</v>
      </c>
      <c r="F1007" t="s">
        <v>3285</v>
      </c>
      <c r="G1007" t="s">
        <v>1103</v>
      </c>
    </row>
    <row r="1008" spans="1:7" hidden="1" x14ac:dyDescent="0.25">
      <c r="A1008" t="s">
        <v>4199</v>
      </c>
      <c r="B1008" t="s">
        <v>4200</v>
      </c>
      <c r="E1008" t="s">
        <v>2936</v>
      </c>
      <c r="F1008" t="s">
        <v>3288</v>
      </c>
      <c r="G1008" t="s">
        <v>1103</v>
      </c>
    </row>
    <row r="1009" spans="1:7" hidden="1" x14ac:dyDescent="0.25">
      <c r="A1009" t="s">
        <v>4199</v>
      </c>
      <c r="B1009" t="s">
        <v>4200</v>
      </c>
      <c r="E1009" t="s">
        <v>2936</v>
      </c>
      <c r="F1009" t="s">
        <v>3291</v>
      </c>
      <c r="G1009" t="s">
        <v>1103</v>
      </c>
    </row>
    <row r="1010" spans="1:7" hidden="1" x14ac:dyDescent="0.25">
      <c r="A1010" t="s">
        <v>4199</v>
      </c>
      <c r="B1010" t="s">
        <v>4200</v>
      </c>
      <c r="E1010" t="s">
        <v>2936</v>
      </c>
      <c r="F1010" t="s">
        <v>3294</v>
      </c>
      <c r="G1010" t="s">
        <v>1103</v>
      </c>
    </row>
    <row r="1011" spans="1:7" hidden="1" x14ac:dyDescent="0.25">
      <c r="A1011" t="s">
        <v>289</v>
      </c>
      <c r="B1011" t="s">
        <v>86</v>
      </c>
      <c r="C1011" t="s">
        <v>3071</v>
      </c>
      <c r="E1011" t="s">
        <v>3072</v>
      </c>
      <c r="F1011" t="s">
        <v>3297</v>
      </c>
      <c r="G1011" t="s">
        <v>1103</v>
      </c>
    </row>
    <row r="1012" spans="1:7" hidden="1" x14ac:dyDescent="0.25">
      <c r="A1012" t="s">
        <v>3073</v>
      </c>
      <c r="B1012" t="s">
        <v>86</v>
      </c>
      <c r="C1012" t="s">
        <v>3071</v>
      </c>
      <c r="E1012" t="s">
        <v>3074</v>
      </c>
      <c r="F1012" t="s">
        <v>3300</v>
      </c>
      <c r="G1012" t="s">
        <v>1103</v>
      </c>
    </row>
    <row r="1013" spans="1:7" hidden="1" x14ac:dyDescent="0.25">
      <c r="A1013" t="s">
        <v>289</v>
      </c>
      <c r="B1013" t="s">
        <v>86</v>
      </c>
      <c r="C1013" t="s">
        <v>3071</v>
      </c>
      <c r="E1013" t="s">
        <v>3072</v>
      </c>
      <c r="F1013" t="s">
        <v>3303</v>
      </c>
      <c r="G1013" t="s">
        <v>1103</v>
      </c>
    </row>
    <row r="1014" spans="1:7" hidden="1" x14ac:dyDescent="0.25">
      <c r="A1014" t="s">
        <v>3073</v>
      </c>
      <c r="B1014" t="s">
        <v>86</v>
      </c>
      <c r="C1014" t="s">
        <v>3071</v>
      </c>
      <c r="E1014" t="s">
        <v>3074</v>
      </c>
      <c r="F1014" t="s">
        <v>3306</v>
      </c>
      <c r="G1014" t="s">
        <v>1103</v>
      </c>
    </row>
    <row r="1015" spans="1:7" hidden="1" x14ac:dyDescent="0.25">
      <c r="A1015" t="s">
        <v>289</v>
      </c>
      <c r="B1015" t="s">
        <v>86</v>
      </c>
      <c r="C1015" t="s">
        <v>3071</v>
      </c>
      <c r="E1015" t="s">
        <v>3072</v>
      </c>
      <c r="F1015" t="s">
        <v>3309</v>
      </c>
      <c r="G1015" t="s">
        <v>1103</v>
      </c>
    </row>
    <row r="1016" spans="1:7" hidden="1" x14ac:dyDescent="0.25">
      <c r="A1016" t="s">
        <v>3073</v>
      </c>
      <c r="B1016" t="s">
        <v>86</v>
      </c>
      <c r="C1016" t="s">
        <v>3071</v>
      </c>
      <c r="E1016" t="s">
        <v>3074</v>
      </c>
      <c r="F1016" t="s">
        <v>3312</v>
      </c>
      <c r="G1016" t="s">
        <v>1103</v>
      </c>
    </row>
    <row r="1017" spans="1:7" hidden="1" x14ac:dyDescent="0.25">
      <c r="A1017" t="s">
        <v>289</v>
      </c>
      <c r="B1017" t="s">
        <v>86</v>
      </c>
      <c r="C1017" t="s">
        <v>3071</v>
      </c>
      <c r="E1017" t="s">
        <v>3072</v>
      </c>
      <c r="F1017" t="s">
        <v>3315</v>
      </c>
      <c r="G1017" t="s">
        <v>1103</v>
      </c>
    </row>
    <row r="1018" spans="1:7" hidden="1" x14ac:dyDescent="0.25">
      <c r="A1018" t="s">
        <v>3073</v>
      </c>
      <c r="B1018" t="s">
        <v>86</v>
      </c>
      <c r="C1018" t="s">
        <v>3071</v>
      </c>
      <c r="E1018" t="s">
        <v>3074</v>
      </c>
      <c r="F1018" t="s">
        <v>3318</v>
      </c>
      <c r="G1018" t="s">
        <v>1103</v>
      </c>
    </row>
    <row r="1019" spans="1:7" hidden="1" x14ac:dyDescent="0.25">
      <c r="A1019" t="s">
        <v>4202</v>
      </c>
      <c r="B1019" t="s">
        <v>4193</v>
      </c>
      <c r="C1019" t="s">
        <v>51</v>
      </c>
      <c r="F1019" t="s">
        <v>3321</v>
      </c>
      <c r="G1019" t="s">
        <v>1103</v>
      </c>
    </row>
    <row r="1020" spans="1:7" hidden="1" x14ac:dyDescent="0.25">
      <c r="A1020" t="s">
        <v>4202</v>
      </c>
      <c r="B1020" t="s">
        <v>4193</v>
      </c>
      <c r="C1020" t="s">
        <v>51</v>
      </c>
      <c r="E1020" t="s">
        <v>2936</v>
      </c>
      <c r="F1020" t="s">
        <v>3324</v>
      </c>
      <c r="G1020" t="s">
        <v>1103</v>
      </c>
    </row>
    <row r="1021" spans="1:7" hidden="1" x14ac:dyDescent="0.25">
      <c r="A1021" t="s">
        <v>4202</v>
      </c>
      <c r="B1021" t="s">
        <v>4193</v>
      </c>
      <c r="C1021" t="s">
        <v>51</v>
      </c>
      <c r="E1021" t="s">
        <v>2936</v>
      </c>
      <c r="F1021" t="s">
        <v>3327</v>
      </c>
      <c r="G1021" t="s">
        <v>1103</v>
      </c>
    </row>
    <row r="1022" spans="1:7" hidden="1" x14ac:dyDescent="0.25">
      <c r="A1022" t="s">
        <v>4201</v>
      </c>
      <c r="B1022" t="s">
        <v>4193</v>
      </c>
      <c r="F1022" t="s">
        <v>3330</v>
      </c>
      <c r="G1022" t="s">
        <v>1103</v>
      </c>
    </row>
    <row r="1023" spans="1:7" hidden="1" x14ac:dyDescent="0.25">
      <c r="A1023" t="s">
        <v>4</v>
      </c>
      <c r="B1023" t="s">
        <v>8</v>
      </c>
      <c r="E1023" t="s">
        <v>3078</v>
      </c>
      <c r="F1023" t="s">
        <v>3333</v>
      </c>
      <c r="G1023" t="s">
        <v>1103</v>
      </c>
    </row>
    <row r="1024" spans="1:7" hidden="1" x14ac:dyDescent="0.25">
      <c r="A1024" t="s">
        <v>4</v>
      </c>
      <c r="B1024" t="s">
        <v>8</v>
      </c>
      <c r="F1024" t="s">
        <v>3336</v>
      </c>
      <c r="G1024" t="s">
        <v>91</v>
      </c>
    </row>
    <row r="1025" spans="1:7" hidden="1" x14ac:dyDescent="0.25">
      <c r="A1025" t="s">
        <v>4</v>
      </c>
      <c r="B1025" t="s">
        <v>8</v>
      </c>
      <c r="F1025" t="s">
        <v>3339</v>
      </c>
      <c r="G1025" t="s">
        <v>91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3342</v>
      </c>
      <c r="G1026" t="s">
        <v>91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4204</v>
      </c>
      <c r="F1027" t="s">
        <v>3345</v>
      </c>
      <c r="G1027" t="s">
        <v>91</v>
      </c>
    </row>
    <row r="1028" spans="1:7" hidden="1" x14ac:dyDescent="0.25">
      <c r="A1028" t="s">
        <v>4</v>
      </c>
      <c r="B1028" t="s">
        <v>8</v>
      </c>
      <c r="F1028" t="s">
        <v>3348</v>
      </c>
      <c r="G1028" t="s">
        <v>91</v>
      </c>
    </row>
    <row r="1029" spans="1:7" hidden="1" x14ac:dyDescent="0.25">
      <c r="A1029" t="s">
        <v>2004</v>
      </c>
      <c r="F1029" t="s">
        <v>3351</v>
      </c>
      <c r="G1029" t="s">
        <v>91</v>
      </c>
    </row>
    <row r="1030" spans="1:7" hidden="1" x14ac:dyDescent="0.25">
      <c r="A1030" t="s">
        <v>4</v>
      </c>
      <c r="B1030" t="s">
        <v>4192</v>
      </c>
      <c r="C1030" t="s">
        <v>58</v>
      </c>
      <c r="F1030" t="s">
        <v>3354</v>
      </c>
      <c r="G1030" t="s">
        <v>91</v>
      </c>
    </row>
    <row r="1031" spans="1:7" hidden="1" x14ac:dyDescent="0.25">
      <c r="A1031" t="s">
        <v>4</v>
      </c>
      <c r="B1031" t="s">
        <v>8</v>
      </c>
      <c r="F1031" t="s">
        <v>3357</v>
      </c>
      <c r="G1031" t="s">
        <v>91</v>
      </c>
    </row>
    <row r="1032" spans="1:7" hidden="1" x14ac:dyDescent="0.25">
      <c r="A1032" t="s">
        <v>4</v>
      </c>
      <c r="B1032" t="s">
        <v>8</v>
      </c>
      <c r="F1032" t="s">
        <v>3360</v>
      </c>
      <c r="G1032" t="s">
        <v>91</v>
      </c>
    </row>
    <row r="1033" spans="1:7" hidden="1" x14ac:dyDescent="0.25">
      <c r="A1033" t="s">
        <v>2004</v>
      </c>
      <c r="F1033" t="s">
        <v>3363</v>
      </c>
      <c r="G1033" t="s">
        <v>91</v>
      </c>
    </row>
    <row r="1034" spans="1:7" hidden="1" x14ac:dyDescent="0.25">
      <c r="A1034" t="s">
        <v>4</v>
      </c>
      <c r="B1034" t="s">
        <v>8</v>
      </c>
      <c r="F1034" t="s">
        <v>3366</v>
      </c>
      <c r="G1034" t="s">
        <v>91</v>
      </c>
    </row>
    <row r="1035" spans="1:7" hidden="1" x14ac:dyDescent="0.25">
      <c r="A1035" t="s">
        <v>2004</v>
      </c>
      <c r="F1035" t="s">
        <v>3369</v>
      </c>
      <c r="G1035" t="s">
        <v>91</v>
      </c>
    </row>
    <row r="1036" spans="1:7" hidden="1" x14ac:dyDescent="0.25">
      <c r="A1036" t="s">
        <v>4</v>
      </c>
      <c r="B1036" t="s">
        <v>8</v>
      </c>
      <c r="F1036" t="s">
        <v>3372</v>
      </c>
      <c r="G1036" t="s">
        <v>91</v>
      </c>
    </row>
    <row r="1037" spans="1:7" hidden="1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3375</v>
      </c>
      <c r="G1037" t="s">
        <v>91</v>
      </c>
    </row>
    <row r="1038" spans="1:7" hidden="1" x14ac:dyDescent="0.25">
      <c r="A1038" t="s">
        <v>4</v>
      </c>
      <c r="B1038" t="s">
        <v>4194</v>
      </c>
      <c r="C1038" t="s">
        <v>4196</v>
      </c>
      <c r="F1038" t="s">
        <v>3378</v>
      </c>
      <c r="G1038" t="s">
        <v>91</v>
      </c>
    </row>
    <row r="1039" spans="1:7" hidden="1" x14ac:dyDescent="0.25">
      <c r="A1039" t="s">
        <v>4</v>
      </c>
      <c r="B1039" t="s">
        <v>8</v>
      </c>
      <c r="F1039" t="s">
        <v>3381</v>
      </c>
      <c r="G1039" t="s">
        <v>1104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3384</v>
      </c>
      <c r="G1040" t="s">
        <v>1104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3387</v>
      </c>
      <c r="G1041" t="s">
        <v>1104</v>
      </c>
    </row>
    <row r="1042" spans="1:7" hidden="1" x14ac:dyDescent="0.25">
      <c r="A1042" t="s">
        <v>4</v>
      </c>
      <c r="B1042" t="s">
        <v>8</v>
      </c>
      <c r="F1042" t="s">
        <v>3390</v>
      </c>
      <c r="G1042" t="s">
        <v>1104</v>
      </c>
    </row>
    <row r="1043" spans="1:7" hidden="1" x14ac:dyDescent="0.25">
      <c r="A1043" t="s">
        <v>4</v>
      </c>
      <c r="B1043" t="s">
        <v>8</v>
      </c>
      <c r="F1043" t="s">
        <v>3393</v>
      </c>
      <c r="G1043" t="s">
        <v>1104</v>
      </c>
    </row>
    <row r="1044" spans="1:7" hidden="1" x14ac:dyDescent="0.25">
      <c r="A1044" t="s">
        <v>4</v>
      </c>
      <c r="B1044" t="s">
        <v>8</v>
      </c>
      <c r="F1044" t="s">
        <v>3396</v>
      </c>
      <c r="G1044" t="s">
        <v>1104</v>
      </c>
    </row>
    <row r="1045" spans="1:7" hidden="1" x14ac:dyDescent="0.25">
      <c r="A1045" t="s">
        <v>4</v>
      </c>
      <c r="B1045" t="s">
        <v>8</v>
      </c>
      <c r="F1045" t="s">
        <v>3399</v>
      </c>
      <c r="G1045" t="s">
        <v>1104</v>
      </c>
    </row>
    <row r="1046" spans="1:7" hidden="1" x14ac:dyDescent="0.25">
      <c r="A1046" t="s">
        <v>4</v>
      </c>
      <c r="B1046" t="s">
        <v>4194</v>
      </c>
      <c r="C1046" t="s">
        <v>4196</v>
      </c>
      <c r="E1046" t="s">
        <v>4205</v>
      </c>
      <c r="F1046" t="s">
        <v>3402</v>
      </c>
      <c r="G1046" t="s">
        <v>1104</v>
      </c>
    </row>
    <row r="1047" spans="1:7" hidden="1" x14ac:dyDescent="0.25">
      <c r="A1047" t="s">
        <v>4</v>
      </c>
      <c r="B1047" t="s">
        <v>8</v>
      </c>
      <c r="F1047" t="s">
        <v>3079</v>
      </c>
      <c r="G1047" t="s">
        <v>1105</v>
      </c>
    </row>
    <row r="1048" spans="1:7" hidden="1" x14ac:dyDescent="0.25">
      <c r="A1048" t="s">
        <v>4</v>
      </c>
      <c r="B1048" t="s">
        <v>8</v>
      </c>
      <c r="F1048" t="s">
        <v>3082</v>
      </c>
      <c r="G1048" t="s">
        <v>1105</v>
      </c>
    </row>
    <row r="1049" spans="1:7" hidden="1" x14ac:dyDescent="0.25">
      <c r="A1049" t="s">
        <v>4</v>
      </c>
      <c r="B1049" t="s">
        <v>8</v>
      </c>
      <c r="F1049" t="s">
        <v>3085</v>
      </c>
      <c r="G1049" t="s">
        <v>1105</v>
      </c>
    </row>
    <row r="1050" spans="1:7" hidden="1" x14ac:dyDescent="0.25">
      <c r="A1050" t="s">
        <v>4</v>
      </c>
      <c r="B1050" t="s">
        <v>8</v>
      </c>
      <c r="F1050" t="s">
        <v>3088</v>
      </c>
      <c r="G1050" t="s">
        <v>1105</v>
      </c>
    </row>
    <row r="1051" spans="1:7" hidden="1" x14ac:dyDescent="0.25">
      <c r="A1051" t="s">
        <v>4</v>
      </c>
      <c r="B1051" t="s">
        <v>8</v>
      </c>
      <c r="F1051" t="s">
        <v>3091</v>
      </c>
      <c r="G1051" t="s">
        <v>1105</v>
      </c>
    </row>
    <row r="1052" spans="1:7" hidden="1" x14ac:dyDescent="0.25">
      <c r="A1052" t="s">
        <v>4</v>
      </c>
      <c r="B1052" t="s">
        <v>8</v>
      </c>
      <c r="F1052" t="s">
        <v>3094</v>
      </c>
      <c r="G1052" t="s">
        <v>1105</v>
      </c>
    </row>
    <row r="1053" spans="1:7" hidden="1" x14ac:dyDescent="0.25">
      <c r="A1053" t="s">
        <v>4</v>
      </c>
      <c r="B1053" t="s">
        <v>8</v>
      </c>
      <c r="F1053" t="s">
        <v>3097</v>
      </c>
      <c r="G1053" t="s">
        <v>1105</v>
      </c>
    </row>
    <row r="1054" spans="1:7" hidden="1" x14ac:dyDescent="0.25">
      <c r="A1054" t="s">
        <v>4</v>
      </c>
      <c r="B1054" t="s">
        <v>8</v>
      </c>
      <c r="F1054" t="s">
        <v>3100</v>
      </c>
      <c r="G1054" t="s">
        <v>1105</v>
      </c>
    </row>
    <row r="1055" spans="1:7" hidden="1" x14ac:dyDescent="0.25">
      <c r="A1055" t="s">
        <v>4</v>
      </c>
      <c r="B1055" t="s">
        <v>8</v>
      </c>
      <c r="F1055" t="s">
        <v>3405</v>
      </c>
      <c r="G1055" t="s">
        <v>1106</v>
      </c>
    </row>
    <row r="1056" spans="1:7" hidden="1" x14ac:dyDescent="0.25">
      <c r="A1056" t="s">
        <v>4</v>
      </c>
      <c r="B1056" t="s">
        <v>8</v>
      </c>
      <c r="F1056" t="s">
        <v>4206</v>
      </c>
      <c r="G1056" t="s">
        <v>1106</v>
      </c>
    </row>
    <row r="1057" spans="1:7" hidden="1" x14ac:dyDescent="0.25">
      <c r="A1057" t="s">
        <v>4</v>
      </c>
      <c r="B1057" t="s">
        <v>8</v>
      </c>
      <c r="F1057" t="s">
        <v>3408</v>
      </c>
      <c r="G1057" t="s">
        <v>1106</v>
      </c>
    </row>
    <row r="1058" spans="1:7" hidden="1" x14ac:dyDescent="0.25">
      <c r="A1058" t="s">
        <v>4209</v>
      </c>
      <c r="B1058" t="s">
        <v>4210</v>
      </c>
      <c r="F1058" t="s">
        <v>3411</v>
      </c>
      <c r="G1058" t="s">
        <v>1106</v>
      </c>
    </row>
    <row r="1059" spans="1:7" hidden="1" x14ac:dyDescent="0.25">
      <c r="A1059" t="s">
        <v>4209</v>
      </c>
      <c r="B1059" t="s">
        <v>4210</v>
      </c>
      <c r="E1059" t="s">
        <v>2936</v>
      </c>
      <c r="F1059" t="s">
        <v>3414</v>
      </c>
      <c r="G1059" t="s">
        <v>1106</v>
      </c>
    </row>
    <row r="1060" spans="1:7" hidden="1" x14ac:dyDescent="0.25">
      <c r="A1060" t="s">
        <v>4209</v>
      </c>
      <c r="B1060" t="s">
        <v>4210</v>
      </c>
      <c r="E1060" t="s">
        <v>2936</v>
      </c>
      <c r="F1060" t="s">
        <v>3417</v>
      </c>
      <c r="G1060" t="s">
        <v>1106</v>
      </c>
    </row>
    <row r="1061" spans="1:7" hidden="1" x14ac:dyDescent="0.25">
      <c r="A1061" t="s">
        <v>4209</v>
      </c>
      <c r="B1061" t="s">
        <v>4210</v>
      </c>
      <c r="E1061" t="s">
        <v>2936</v>
      </c>
      <c r="F1061" t="s">
        <v>3420</v>
      </c>
      <c r="G1061" t="s">
        <v>1106</v>
      </c>
    </row>
    <row r="1062" spans="1:7" hidden="1" x14ac:dyDescent="0.25">
      <c r="A1062" t="s">
        <v>4209</v>
      </c>
      <c r="B1062" t="s">
        <v>4210</v>
      </c>
      <c r="E1062" t="s">
        <v>2936</v>
      </c>
      <c r="F1062" t="s">
        <v>3423</v>
      </c>
      <c r="G1062" t="s">
        <v>1106</v>
      </c>
    </row>
    <row r="1063" spans="1:7" hidden="1" x14ac:dyDescent="0.25">
      <c r="A1063" t="s">
        <v>4209</v>
      </c>
      <c r="B1063" t="s">
        <v>4210</v>
      </c>
      <c r="E1063" t="s">
        <v>2936</v>
      </c>
      <c r="F1063" t="s">
        <v>3426</v>
      </c>
      <c r="G1063" t="s">
        <v>1106</v>
      </c>
    </row>
    <row r="1064" spans="1:7" hidden="1" x14ac:dyDescent="0.25">
      <c r="A1064" t="s">
        <v>4209</v>
      </c>
      <c r="B1064" t="s">
        <v>4210</v>
      </c>
      <c r="E1064" t="s">
        <v>2936</v>
      </c>
      <c r="F1064" t="s">
        <v>3429</v>
      </c>
      <c r="G1064" t="s">
        <v>1106</v>
      </c>
    </row>
    <row r="1065" spans="1:7" hidden="1" x14ac:dyDescent="0.25">
      <c r="A1065" t="s">
        <v>4209</v>
      </c>
      <c r="B1065" t="s">
        <v>4210</v>
      </c>
      <c r="E1065" t="s">
        <v>2936</v>
      </c>
      <c r="F1065" t="s">
        <v>3432</v>
      </c>
      <c r="G1065" t="s">
        <v>1106</v>
      </c>
    </row>
    <row r="1066" spans="1:7" hidden="1" x14ac:dyDescent="0.25">
      <c r="A1066" t="s">
        <v>4209</v>
      </c>
      <c r="B1066" t="s">
        <v>4210</v>
      </c>
      <c r="E1066" t="s">
        <v>2936</v>
      </c>
      <c r="F1066" t="s">
        <v>3435</v>
      </c>
      <c r="G1066" t="s">
        <v>1106</v>
      </c>
    </row>
    <row r="1067" spans="1:7" hidden="1" x14ac:dyDescent="0.25">
      <c r="A1067" t="s">
        <v>4209</v>
      </c>
      <c r="B1067" t="s">
        <v>4210</v>
      </c>
      <c r="E1067" t="s">
        <v>2936</v>
      </c>
      <c r="F1067" t="s">
        <v>3438</v>
      </c>
      <c r="G1067" t="s">
        <v>1106</v>
      </c>
    </row>
    <row r="1068" spans="1:7" hidden="1" x14ac:dyDescent="0.25">
      <c r="A1068" t="s">
        <v>4209</v>
      </c>
      <c r="B1068" t="s">
        <v>4210</v>
      </c>
      <c r="E1068" t="s">
        <v>2936</v>
      </c>
      <c r="F1068" t="s">
        <v>3441</v>
      </c>
      <c r="G1068" t="s">
        <v>1106</v>
      </c>
    </row>
    <row r="1069" spans="1:7" hidden="1" x14ac:dyDescent="0.25">
      <c r="A1069" t="s">
        <v>4209</v>
      </c>
      <c r="B1069" t="s">
        <v>4210</v>
      </c>
      <c r="E1069" t="s">
        <v>2936</v>
      </c>
      <c r="F1069" t="s">
        <v>3444</v>
      </c>
      <c r="G1069" t="s">
        <v>1106</v>
      </c>
    </row>
    <row r="1070" spans="1:7" hidden="1" x14ac:dyDescent="0.25">
      <c r="A1070" t="s">
        <v>4</v>
      </c>
      <c r="B1070" t="s">
        <v>8</v>
      </c>
      <c r="F1070" t="s">
        <v>3447</v>
      </c>
      <c r="G1070" t="s">
        <v>1106</v>
      </c>
    </row>
    <row r="1071" spans="1:7" hidden="1" x14ac:dyDescent="0.25">
      <c r="A1071" t="s">
        <v>289</v>
      </c>
      <c r="B1071" t="s">
        <v>4211</v>
      </c>
      <c r="F1071" t="s">
        <v>3450</v>
      </c>
      <c r="G1071" t="s">
        <v>1106</v>
      </c>
    </row>
    <row r="1072" spans="1:7" hidden="1" x14ac:dyDescent="0.25">
      <c r="A1072" t="s">
        <v>289</v>
      </c>
      <c r="B1072" t="s">
        <v>4211</v>
      </c>
      <c r="E1072" t="s">
        <v>2936</v>
      </c>
      <c r="F1072" t="s">
        <v>3453</v>
      </c>
      <c r="G1072" t="s">
        <v>1106</v>
      </c>
    </row>
    <row r="1073" spans="1:7" hidden="1" x14ac:dyDescent="0.25">
      <c r="A1073" t="s">
        <v>289</v>
      </c>
      <c r="B1073" t="s">
        <v>4211</v>
      </c>
      <c r="E1073" t="s">
        <v>2936</v>
      </c>
      <c r="F1073" t="s">
        <v>3456</v>
      </c>
      <c r="G1073" t="s">
        <v>1106</v>
      </c>
    </row>
    <row r="1074" spans="1:7" hidden="1" x14ac:dyDescent="0.25">
      <c r="A1074" t="s">
        <v>289</v>
      </c>
      <c r="B1074" t="s">
        <v>4211</v>
      </c>
      <c r="E1074" t="s">
        <v>2936</v>
      </c>
      <c r="F1074" t="s">
        <v>3459</v>
      </c>
      <c r="G1074" t="s">
        <v>1106</v>
      </c>
    </row>
    <row r="1075" spans="1:7" hidden="1" x14ac:dyDescent="0.25">
      <c r="A1075" t="s">
        <v>289</v>
      </c>
      <c r="B1075" t="s">
        <v>4211</v>
      </c>
      <c r="E1075" t="s">
        <v>2936</v>
      </c>
      <c r="F1075" t="s">
        <v>3462</v>
      </c>
      <c r="G1075" t="s">
        <v>1106</v>
      </c>
    </row>
    <row r="1076" spans="1:7" hidden="1" x14ac:dyDescent="0.25">
      <c r="A1076" t="s">
        <v>4</v>
      </c>
      <c r="B1076" t="s">
        <v>8</v>
      </c>
      <c r="F1076" t="s">
        <v>3465</v>
      </c>
      <c r="G1076" t="s">
        <v>1106</v>
      </c>
    </row>
    <row r="1077" spans="1:7" x14ac:dyDescent="0.25">
      <c r="A1077" t="s">
        <v>4</v>
      </c>
      <c r="B1077" t="s">
        <v>8</v>
      </c>
      <c r="F1077" t="s">
        <v>3468</v>
      </c>
      <c r="G1077" t="s">
        <v>1107</v>
      </c>
    </row>
    <row r="1078" spans="1:7" x14ac:dyDescent="0.25">
      <c r="A1078" t="s">
        <v>4</v>
      </c>
      <c r="B1078" t="s">
        <v>8</v>
      </c>
      <c r="F1078" t="s">
        <v>3471</v>
      </c>
      <c r="G1078" t="s">
        <v>1107</v>
      </c>
    </row>
    <row r="1079" spans="1:7" x14ac:dyDescent="0.25">
      <c r="A1079" t="s">
        <v>4</v>
      </c>
      <c r="B1079" t="s">
        <v>8</v>
      </c>
      <c r="F1079" t="s">
        <v>3474</v>
      </c>
      <c r="G1079" t="s">
        <v>1107</v>
      </c>
    </row>
    <row r="1080" spans="1:7" x14ac:dyDescent="0.25">
      <c r="A1080" t="s">
        <v>4212</v>
      </c>
      <c r="F1080" t="s">
        <v>4213</v>
      </c>
      <c r="G1080" t="s">
        <v>1107</v>
      </c>
    </row>
    <row r="1081" spans="1:7" x14ac:dyDescent="0.25">
      <c r="A1081" t="s">
        <v>4</v>
      </c>
      <c r="B1081" t="s">
        <v>8</v>
      </c>
      <c r="F1081" t="s">
        <v>3477</v>
      </c>
      <c r="G1081" t="s">
        <v>1107</v>
      </c>
    </row>
    <row r="1082" spans="1:7" x14ac:dyDescent="0.25">
      <c r="A1082" t="s">
        <v>4209</v>
      </c>
      <c r="B1082" t="s">
        <v>4210</v>
      </c>
      <c r="F1082" t="s">
        <v>3480</v>
      </c>
      <c r="G1082" t="s">
        <v>1107</v>
      </c>
    </row>
    <row r="1083" spans="1:7" x14ac:dyDescent="0.25">
      <c r="A1083" t="s">
        <v>4209</v>
      </c>
      <c r="B1083" t="s">
        <v>4210</v>
      </c>
      <c r="E1083" t="s">
        <v>2936</v>
      </c>
      <c r="F1083" t="s">
        <v>3483</v>
      </c>
      <c r="G1083" t="s">
        <v>1107</v>
      </c>
    </row>
    <row r="1084" spans="1:7" x14ac:dyDescent="0.25">
      <c r="A1084" t="s">
        <v>4209</v>
      </c>
      <c r="B1084" t="s">
        <v>4210</v>
      </c>
      <c r="E1084" t="s">
        <v>2936</v>
      </c>
      <c r="F1084" t="s">
        <v>3486</v>
      </c>
      <c r="G1084" t="s">
        <v>1107</v>
      </c>
    </row>
    <row r="1085" spans="1:7" x14ac:dyDescent="0.25">
      <c r="A1085" t="s">
        <v>4209</v>
      </c>
      <c r="B1085" t="s">
        <v>4210</v>
      </c>
      <c r="E1085" t="s">
        <v>2936</v>
      </c>
      <c r="F1085" t="s">
        <v>3489</v>
      </c>
      <c r="G1085" t="s">
        <v>1107</v>
      </c>
    </row>
    <row r="1086" spans="1:7" x14ac:dyDescent="0.25">
      <c r="A1086" t="s">
        <v>4209</v>
      </c>
      <c r="B1086" t="s">
        <v>4210</v>
      </c>
      <c r="E1086" t="s">
        <v>2936</v>
      </c>
      <c r="F1086" t="s">
        <v>3492</v>
      </c>
      <c r="G1086" t="s">
        <v>1107</v>
      </c>
    </row>
    <row r="1087" spans="1:7" x14ac:dyDescent="0.25">
      <c r="A1087" t="s">
        <v>4209</v>
      </c>
      <c r="B1087" t="s">
        <v>4210</v>
      </c>
      <c r="E1087" t="s">
        <v>2936</v>
      </c>
      <c r="F1087" t="s">
        <v>3495</v>
      </c>
      <c r="G1087" t="s">
        <v>1107</v>
      </c>
    </row>
    <row r="1088" spans="1:7" x14ac:dyDescent="0.25">
      <c r="A1088" t="s">
        <v>4209</v>
      </c>
      <c r="B1088" t="s">
        <v>4210</v>
      </c>
      <c r="E1088" t="s">
        <v>2936</v>
      </c>
      <c r="F1088" t="s">
        <v>3498</v>
      </c>
      <c r="G1088" t="s">
        <v>1107</v>
      </c>
    </row>
    <row r="1089" spans="1:7" x14ac:dyDescent="0.25">
      <c r="A1089" t="s">
        <v>4209</v>
      </c>
      <c r="B1089" t="s">
        <v>4210</v>
      </c>
      <c r="E1089" t="s">
        <v>2936</v>
      </c>
      <c r="F1089" t="s">
        <v>3501</v>
      </c>
      <c r="G1089" t="s">
        <v>1107</v>
      </c>
    </row>
    <row r="1090" spans="1:7" x14ac:dyDescent="0.25">
      <c r="A1090" t="s">
        <v>4209</v>
      </c>
      <c r="B1090" t="s">
        <v>4210</v>
      </c>
      <c r="E1090" t="s">
        <v>2936</v>
      </c>
      <c r="F1090" t="s">
        <v>3504</v>
      </c>
      <c r="G1090" t="s">
        <v>1107</v>
      </c>
    </row>
    <row r="1091" spans="1:7" x14ac:dyDescent="0.25">
      <c r="A1091" t="s">
        <v>4209</v>
      </c>
      <c r="B1091" t="s">
        <v>4210</v>
      </c>
      <c r="E1091" t="s">
        <v>2936</v>
      </c>
      <c r="F1091" t="s">
        <v>3507</v>
      </c>
      <c r="G1091" t="s">
        <v>1107</v>
      </c>
    </row>
    <row r="1092" spans="1:7" x14ac:dyDescent="0.25">
      <c r="A1092" t="s">
        <v>4209</v>
      </c>
      <c r="B1092" t="s">
        <v>4210</v>
      </c>
      <c r="E1092" t="s">
        <v>2936</v>
      </c>
      <c r="F1092" t="s">
        <v>3510</v>
      </c>
      <c r="G1092" t="s">
        <v>1107</v>
      </c>
    </row>
    <row r="1093" spans="1:7" x14ac:dyDescent="0.25">
      <c r="A1093" t="s">
        <v>4209</v>
      </c>
      <c r="B1093" t="s">
        <v>4210</v>
      </c>
      <c r="E1093" t="s">
        <v>2936</v>
      </c>
      <c r="F1093" t="s">
        <v>3513</v>
      </c>
      <c r="G1093" t="s">
        <v>1107</v>
      </c>
    </row>
    <row r="1094" spans="1:7" x14ac:dyDescent="0.25">
      <c r="A1094" t="s">
        <v>4209</v>
      </c>
      <c r="B1094" t="s">
        <v>4210</v>
      </c>
      <c r="E1094" t="s">
        <v>2936</v>
      </c>
      <c r="F1094" t="s">
        <v>3516</v>
      </c>
      <c r="G1094" t="s">
        <v>1107</v>
      </c>
    </row>
    <row r="1095" spans="1:7" x14ac:dyDescent="0.25">
      <c r="A1095" t="s">
        <v>4209</v>
      </c>
      <c r="B1095" t="s">
        <v>4210</v>
      </c>
      <c r="E1095" t="s">
        <v>2936</v>
      </c>
      <c r="F1095" t="s">
        <v>3519</v>
      </c>
      <c r="G1095" t="s">
        <v>1107</v>
      </c>
    </row>
    <row r="1096" spans="1:7" x14ac:dyDescent="0.25">
      <c r="A1096" t="s">
        <v>4209</v>
      </c>
      <c r="B1096" t="s">
        <v>4210</v>
      </c>
      <c r="E1096" t="s">
        <v>2936</v>
      </c>
      <c r="F1096" t="s">
        <v>3522</v>
      </c>
      <c r="G1096" t="s">
        <v>1107</v>
      </c>
    </row>
    <row r="1097" spans="1:7" x14ac:dyDescent="0.25">
      <c r="A1097" t="s">
        <v>4209</v>
      </c>
      <c r="B1097" t="s">
        <v>4210</v>
      </c>
      <c r="E1097" t="s">
        <v>2936</v>
      </c>
      <c r="F1097" t="s">
        <v>3525</v>
      </c>
      <c r="G1097" t="s">
        <v>1107</v>
      </c>
    </row>
    <row r="1098" spans="1:7" x14ac:dyDescent="0.25">
      <c r="A1098" t="s">
        <v>4209</v>
      </c>
      <c r="B1098" t="s">
        <v>4210</v>
      </c>
      <c r="E1098" t="s">
        <v>2936</v>
      </c>
      <c r="F1098" t="s">
        <v>3528</v>
      </c>
      <c r="G1098" t="s">
        <v>1107</v>
      </c>
    </row>
    <row r="1099" spans="1:7" x14ac:dyDescent="0.25">
      <c r="A1099" t="s">
        <v>4209</v>
      </c>
      <c r="B1099" t="s">
        <v>4210</v>
      </c>
      <c r="E1099" t="s">
        <v>2936</v>
      </c>
      <c r="F1099" t="s">
        <v>3531</v>
      </c>
      <c r="G1099" t="s">
        <v>1107</v>
      </c>
    </row>
    <row r="1100" spans="1:7" x14ac:dyDescent="0.25">
      <c r="A1100" t="s">
        <v>4209</v>
      </c>
      <c r="B1100" t="s">
        <v>4210</v>
      </c>
      <c r="E1100" t="s">
        <v>2936</v>
      </c>
      <c r="F1100" t="s">
        <v>3534</v>
      </c>
      <c r="G1100" t="s">
        <v>1107</v>
      </c>
    </row>
    <row r="1101" spans="1:7" x14ac:dyDescent="0.25">
      <c r="A1101" t="s">
        <v>4209</v>
      </c>
      <c r="B1101" t="s">
        <v>4210</v>
      </c>
      <c r="E1101" t="s">
        <v>2936</v>
      </c>
      <c r="F1101" t="s">
        <v>3537</v>
      </c>
      <c r="G1101" t="s">
        <v>1107</v>
      </c>
    </row>
    <row r="1102" spans="1:7" x14ac:dyDescent="0.25">
      <c r="A1102" t="s">
        <v>4216</v>
      </c>
      <c r="B1102" t="s">
        <v>4211</v>
      </c>
      <c r="F1102" t="s">
        <v>3540</v>
      </c>
      <c r="G1102" t="s">
        <v>1107</v>
      </c>
    </row>
    <row r="1103" spans="1:7" x14ac:dyDescent="0.25">
      <c r="A1103" t="s">
        <v>4216</v>
      </c>
      <c r="B1103" t="s">
        <v>4211</v>
      </c>
      <c r="E1103" t="s">
        <v>2936</v>
      </c>
      <c r="F1103" t="s">
        <v>3543</v>
      </c>
      <c r="G1103" t="s">
        <v>1107</v>
      </c>
    </row>
    <row r="1104" spans="1:7" x14ac:dyDescent="0.25">
      <c r="A1104" t="s">
        <v>4216</v>
      </c>
      <c r="B1104" t="s">
        <v>4211</v>
      </c>
      <c r="E1104" t="s">
        <v>2936</v>
      </c>
      <c r="F1104" t="s">
        <v>3546</v>
      </c>
      <c r="G1104" t="s">
        <v>1107</v>
      </c>
    </row>
    <row r="1105" spans="1:7" x14ac:dyDescent="0.25">
      <c r="A1105" t="s">
        <v>4216</v>
      </c>
      <c r="B1105" t="s">
        <v>4211</v>
      </c>
      <c r="E1105" t="s">
        <v>2936</v>
      </c>
      <c r="F1105" t="s">
        <v>3549</v>
      </c>
      <c r="G1105" t="s">
        <v>1107</v>
      </c>
    </row>
    <row r="1106" spans="1:7" x14ac:dyDescent="0.25">
      <c r="A1106" t="s">
        <v>4216</v>
      </c>
      <c r="B1106" t="s">
        <v>4211</v>
      </c>
      <c r="E1106" t="s">
        <v>2936</v>
      </c>
      <c r="F1106" t="s">
        <v>3552</v>
      </c>
      <c r="G1106" t="s">
        <v>1107</v>
      </c>
    </row>
    <row r="1107" spans="1:7" x14ac:dyDescent="0.25">
      <c r="A1107" t="s">
        <v>4216</v>
      </c>
      <c r="B1107" t="s">
        <v>4211</v>
      </c>
      <c r="E1107" t="s">
        <v>2936</v>
      </c>
      <c r="F1107" t="s">
        <v>3555</v>
      </c>
      <c r="G1107" t="s">
        <v>1107</v>
      </c>
    </row>
    <row r="1108" spans="1:7" x14ac:dyDescent="0.25">
      <c r="A1108" t="s">
        <v>4</v>
      </c>
      <c r="B1108" t="s">
        <v>8</v>
      </c>
      <c r="F1108" t="s">
        <v>3558</v>
      </c>
      <c r="G1108" t="s">
        <v>1107</v>
      </c>
    </row>
    <row r="1109" spans="1:7" x14ac:dyDescent="0.25">
      <c r="A1109" t="s">
        <v>1606</v>
      </c>
      <c r="B1109" t="s">
        <v>4194</v>
      </c>
      <c r="F1109" t="s">
        <v>3561</v>
      </c>
      <c r="G1109" t="s">
        <v>1107</v>
      </c>
    </row>
    <row r="1110" spans="1:7" x14ac:dyDescent="0.25">
      <c r="A1110" t="s">
        <v>1606</v>
      </c>
      <c r="B1110" t="s">
        <v>4217</v>
      </c>
      <c r="F1110" t="s">
        <v>3564</v>
      </c>
      <c r="G1110" t="s">
        <v>1107</v>
      </c>
    </row>
    <row r="1111" spans="1:7" x14ac:dyDescent="0.25">
      <c r="A1111" t="s">
        <v>289</v>
      </c>
      <c r="B1111" t="s">
        <v>4217</v>
      </c>
      <c r="C1111" t="s">
        <v>4211</v>
      </c>
      <c r="F1111" t="s">
        <v>3567</v>
      </c>
      <c r="G1111" t="s">
        <v>1107</v>
      </c>
    </row>
    <row r="1112" spans="1:7" x14ac:dyDescent="0.25">
      <c r="A1112" t="s">
        <v>289</v>
      </c>
      <c r="B1112" t="s">
        <v>4217</v>
      </c>
      <c r="C1112" t="s">
        <v>4211</v>
      </c>
      <c r="E1112" t="s">
        <v>2936</v>
      </c>
      <c r="F1112" t="s">
        <v>3570</v>
      </c>
      <c r="G1112" t="s">
        <v>1107</v>
      </c>
    </row>
    <row r="1113" spans="1:7" x14ac:dyDescent="0.25">
      <c r="A1113" t="s">
        <v>289</v>
      </c>
      <c r="B1113" t="s">
        <v>4217</v>
      </c>
      <c r="C1113" t="s">
        <v>4211</v>
      </c>
      <c r="E1113" t="s">
        <v>2936</v>
      </c>
      <c r="F1113" t="s">
        <v>3573</v>
      </c>
      <c r="G1113" t="s">
        <v>1107</v>
      </c>
    </row>
    <row r="1114" spans="1:7" x14ac:dyDescent="0.25">
      <c r="A1114" t="s">
        <v>289</v>
      </c>
      <c r="B1114" t="s">
        <v>4217</v>
      </c>
      <c r="C1114" t="s">
        <v>4211</v>
      </c>
      <c r="E1114" t="s">
        <v>2936</v>
      </c>
      <c r="F1114" t="s">
        <v>3576</v>
      </c>
      <c r="G1114" t="s">
        <v>1107</v>
      </c>
    </row>
    <row r="1115" spans="1:7" x14ac:dyDescent="0.25">
      <c r="A1115" t="s">
        <v>289</v>
      </c>
      <c r="B1115" t="s">
        <v>4217</v>
      </c>
      <c r="C1115" t="s">
        <v>4211</v>
      </c>
      <c r="E1115" t="s">
        <v>2936</v>
      </c>
      <c r="F1115" t="s">
        <v>3579</v>
      </c>
      <c r="G1115" t="s">
        <v>1107</v>
      </c>
    </row>
    <row r="1116" spans="1:7" x14ac:dyDescent="0.25">
      <c r="A1116" t="s">
        <v>289</v>
      </c>
      <c r="B1116" t="s">
        <v>4217</v>
      </c>
      <c r="C1116" t="s">
        <v>4211</v>
      </c>
      <c r="E1116" t="s">
        <v>2936</v>
      </c>
      <c r="F1116" t="s">
        <v>3582</v>
      </c>
      <c r="G1116" t="s">
        <v>1107</v>
      </c>
    </row>
    <row r="1117" spans="1:7" x14ac:dyDescent="0.25">
      <c r="A1117" t="s">
        <v>289</v>
      </c>
      <c r="B1117" t="s">
        <v>4217</v>
      </c>
      <c r="C1117" t="s">
        <v>4211</v>
      </c>
      <c r="E1117" t="s">
        <v>2936</v>
      </c>
      <c r="F1117" t="s">
        <v>3585</v>
      </c>
      <c r="G1117" t="s">
        <v>1107</v>
      </c>
    </row>
    <row r="1118" spans="1:7" x14ac:dyDescent="0.25">
      <c r="A1118" t="s">
        <v>289</v>
      </c>
      <c r="B1118" t="s">
        <v>4217</v>
      </c>
      <c r="C1118" t="s">
        <v>4211</v>
      </c>
      <c r="E1118" t="s">
        <v>2936</v>
      </c>
      <c r="F1118" t="s">
        <v>3588</v>
      </c>
      <c r="G1118" t="s">
        <v>1107</v>
      </c>
    </row>
    <row r="1119" spans="1:7" x14ac:dyDescent="0.25">
      <c r="A1119" t="s">
        <v>289</v>
      </c>
      <c r="B1119" t="s">
        <v>4217</v>
      </c>
      <c r="C1119" t="s">
        <v>4211</v>
      </c>
      <c r="E1119" t="s">
        <v>2936</v>
      </c>
      <c r="F1119" t="s">
        <v>3591</v>
      </c>
      <c r="G1119" t="s">
        <v>1107</v>
      </c>
    </row>
    <row r="1120" spans="1:7" x14ac:dyDescent="0.25">
      <c r="A1120" t="s">
        <v>289</v>
      </c>
      <c r="B1120" t="s">
        <v>4217</v>
      </c>
      <c r="C1120" t="s">
        <v>4211</v>
      </c>
      <c r="E1120" t="s">
        <v>2936</v>
      </c>
      <c r="F1120" t="s">
        <v>3594</v>
      </c>
      <c r="G1120" t="s">
        <v>1107</v>
      </c>
    </row>
    <row r="1121" spans="1:7" x14ac:dyDescent="0.25">
      <c r="A1121" t="s">
        <v>289</v>
      </c>
      <c r="B1121" t="s">
        <v>4217</v>
      </c>
      <c r="C1121" t="s">
        <v>4211</v>
      </c>
      <c r="E1121" t="s">
        <v>2936</v>
      </c>
      <c r="F1121" t="s">
        <v>3597</v>
      </c>
      <c r="G1121" t="s">
        <v>1107</v>
      </c>
    </row>
    <row r="1122" spans="1:7" x14ac:dyDescent="0.25">
      <c r="A1122" t="s">
        <v>289</v>
      </c>
      <c r="B1122" t="s">
        <v>4217</v>
      </c>
      <c r="C1122" t="s">
        <v>4211</v>
      </c>
      <c r="E1122" t="s">
        <v>2936</v>
      </c>
      <c r="F1122" t="s">
        <v>3600</v>
      </c>
      <c r="G1122" t="s">
        <v>1107</v>
      </c>
    </row>
    <row r="1123" spans="1:7" x14ac:dyDescent="0.25">
      <c r="A1123" t="s">
        <v>289</v>
      </c>
      <c r="B1123" t="s">
        <v>4217</v>
      </c>
      <c r="C1123" t="s">
        <v>4211</v>
      </c>
      <c r="E1123" t="s">
        <v>2936</v>
      </c>
      <c r="F1123" t="s">
        <v>3603</v>
      </c>
      <c r="G1123" t="s">
        <v>1107</v>
      </c>
    </row>
    <row r="1124" spans="1:7" x14ac:dyDescent="0.25">
      <c r="A1124" t="s">
        <v>289</v>
      </c>
      <c r="B1124" t="s">
        <v>4217</v>
      </c>
      <c r="C1124" t="s">
        <v>4211</v>
      </c>
      <c r="E1124" t="s">
        <v>2936</v>
      </c>
      <c r="F1124" t="s">
        <v>3606</v>
      </c>
      <c r="G1124" t="s">
        <v>1107</v>
      </c>
    </row>
    <row r="1125" spans="1:7" x14ac:dyDescent="0.25">
      <c r="A1125" t="s">
        <v>650</v>
      </c>
      <c r="B1125" t="s">
        <v>4217</v>
      </c>
      <c r="C1125" t="s">
        <v>4211</v>
      </c>
      <c r="E1125" t="s">
        <v>4218</v>
      </c>
      <c r="F1125" t="s">
        <v>3609</v>
      </c>
      <c r="G1125" t="s">
        <v>1107</v>
      </c>
    </row>
    <row r="1126" spans="1:7" x14ac:dyDescent="0.25">
      <c r="A1126" t="s">
        <v>289</v>
      </c>
      <c r="B1126" t="s">
        <v>4194</v>
      </c>
      <c r="C1126" t="s">
        <v>4211</v>
      </c>
      <c r="F1126" t="s">
        <v>3612</v>
      </c>
      <c r="G1126" t="s">
        <v>1107</v>
      </c>
    </row>
    <row r="1127" spans="1:7" x14ac:dyDescent="0.25">
      <c r="A1127" t="s">
        <v>289</v>
      </c>
      <c r="B1127" t="s">
        <v>4194</v>
      </c>
      <c r="C1127" t="s">
        <v>4211</v>
      </c>
      <c r="E1127" t="s">
        <v>2936</v>
      </c>
      <c r="F1127" t="s">
        <v>3615</v>
      </c>
      <c r="G1127" t="s">
        <v>1107</v>
      </c>
    </row>
    <row r="1128" spans="1:7" x14ac:dyDescent="0.25">
      <c r="A1128" t="s">
        <v>289</v>
      </c>
      <c r="B1128" t="s">
        <v>4194</v>
      </c>
      <c r="C1128" t="s">
        <v>4211</v>
      </c>
      <c r="E1128" t="s">
        <v>2936</v>
      </c>
      <c r="F1128" t="s">
        <v>3618</v>
      </c>
      <c r="G1128" t="s">
        <v>1107</v>
      </c>
    </row>
    <row r="1129" spans="1:7" x14ac:dyDescent="0.25">
      <c r="A1129" t="s">
        <v>289</v>
      </c>
      <c r="B1129" t="s">
        <v>4194</v>
      </c>
      <c r="C1129" t="s">
        <v>4211</v>
      </c>
      <c r="E1129" t="s">
        <v>2936</v>
      </c>
      <c r="F1129" t="s">
        <v>3621</v>
      </c>
      <c r="G1129" t="s">
        <v>1107</v>
      </c>
    </row>
    <row r="1130" spans="1:7" x14ac:dyDescent="0.25">
      <c r="A1130" t="s">
        <v>289</v>
      </c>
      <c r="B1130" t="s">
        <v>4194</v>
      </c>
      <c r="C1130" t="s">
        <v>4211</v>
      </c>
      <c r="E1130" t="s">
        <v>2936</v>
      </c>
      <c r="F1130" t="s">
        <v>3624</v>
      </c>
      <c r="G1130" t="s">
        <v>1107</v>
      </c>
    </row>
    <row r="1131" spans="1:7" x14ac:dyDescent="0.25">
      <c r="A1131" t="s">
        <v>289</v>
      </c>
      <c r="B1131" t="s">
        <v>4194</v>
      </c>
      <c r="C1131" t="s">
        <v>4211</v>
      </c>
      <c r="E1131" t="s">
        <v>2936</v>
      </c>
      <c r="F1131" t="s">
        <v>3627</v>
      </c>
      <c r="G1131" t="s">
        <v>1107</v>
      </c>
    </row>
    <row r="1132" spans="1:7" x14ac:dyDescent="0.25">
      <c r="A1132" t="s">
        <v>289</v>
      </c>
      <c r="B1132" t="s">
        <v>4194</v>
      </c>
      <c r="C1132" t="s">
        <v>4211</v>
      </c>
      <c r="E1132" t="s">
        <v>2936</v>
      </c>
      <c r="F1132" t="s">
        <v>3630</v>
      </c>
      <c r="G1132" t="s">
        <v>1107</v>
      </c>
    </row>
    <row r="1133" spans="1:7" x14ac:dyDescent="0.25">
      <c r="A1133" t="s">
        <v>289</v>
      </c>
      <c r="B1133" t="s">
        <v>4194</v>
      </c>
      <c r="C1133" t="s">
        <v>4211</v>
      </c>
      <c r="E1133" t="s">
        <v>2936</v>
      </c>
      <c r="F1133" t="s">
        <v>3633</v>
      </c>
      <c r="G1133" t="s">
        <v>1107</v>
      </c>
    </row>
    <row r="1134" spans="1:7" x14ac:dyDescent="0.25">
      <c r="A1134" t="s">
        <v>289</v>
      </c>
      <c r="B1134" t="s">
        <v>4194</v>
      </c>
      <c r="C1134" t="s">
        <v>4211</v>
      </c>
      <c r="E1134" t="s">
        <v>2936</v>
      </c>
      <c r="F1134" t="s">
        <v>3636</v>
      </c>
      <c r="G1134" t="s">
        <v>1107</v>
      </c>
    </row>
    <row r="1135" spans="1:7" x14ac:dyDescent="0.25">
      <c r="A1135" t="s">
        <v>289</v>
      </c>
      <c r="B1135" t="s">
        <v>4194</v>
      </c>
      <c r="C1135" t="s">
        <v>4211</v>
      </c>
      <c r="E1135" t="s">
        <v>2936</v>
      </c>
      <c r="F1135" t="s">
        <v>3639</v>
      </c>
      <c r="G1135" t="s">
        <v>1107</v>
      </c>
    </row>
    <row r="1136" spans="1:7" x14ac:dyDescent="0.25">
      <c r="A1136" t="s">
        <v>289</v>
      </c>
      <c r="B1136" t="s">
        <v>4194</v>
      </c>
      <c r="C1136" t="s">
        <v>4211</v>
      </c>
      <c r="E1136" t="s">
        <v>2936</v>
      </c>
      <c r="F1136" t="s">
        <v>3642</v>
      </c>
      <c r="G1136" t="s">
        <v>1107</v>
      </c>
    </row>
    <row r="1137" spans="1:7" x14ac:dyDescent="0.25">
      <c r="A1137" t="s">
        <v>289</v>
      </c>
      <c r="B1137" t="s">
        <v>4194</v>
      </c>
      <c r="C1137" t="s">
        <v>87</v>
      </c>
      <c r="F1137" t="s">
        <v>3645</v>
      </c>
      <c r="G1137" t="s">
        <v>1107</v>
      </c>
    </row>
    <row r="1138" spans="1:7" x14ac:dyDescent="0.25">
      <c r="A1138" t="s">
        <v>1606</v>
      </c>
      <c r="B1138" t="s">
        <v>4195</v>
      </c>
      <c r="F1138" t="s">
        <v>3648</v>
      </c>
      <c r="G1138" t="s">
        <v>1107</v>
      </c>
    </row>
    <row r="1139" spans="1:7" x14ac:dyDescent="0.25">
      <c r="A1139" t="s">
        <v>1606</v>
      </c>
      <c r="B1139" t="s">
        <v>4195</v>
      </c>
      <c r="E1139" t="s">
        <v>2936</v>
      </c>
      <c r="F1139" t="s">
        <v>3650</v>
      </c>
      <c r="G1139" t="s">
        <v>1107</v>
      </c>
    </row>
    <row r="1140" spans="1:7" x14ac:dyDescent="0.25">
      <c r="A1140" t="s">
        <v>289</v>
      </c>
      <c r="B1140" t="s">
        <v>4195</v>
      </c>
      <c r="C1140" t="s">
        <v>4211</v>
      </c>
      <c r="F1140" t="s">
        <v>3653</v>
      </c>
      <c r="G1140" t="s">
        <v>1107</v>
      </c>
    </row>
    <row r="1141" spans="1:7" x14ac:dyDescent="0.25">
      <c r="A1141" t="s">
        <v>289</v>
      </c>
      <c r="B1141" t="s">
        <v>4195</v>
      </c>
      <c r="C1141" t="s">
        <v>4211</v>
      </c>
      <c r="E1141" t="s">
        <v>2936</v>
      </c>
      <c r="F1141" t="s">
        <v>3656</v>
      </c>
      <c r="G1141" t="s">
        <v>1107</v>
      </c>
    </row>
    <row r="1142" spans="1:7" x14ac:dyDescent="0.25">
      <c r="A1142" t="s">
        <v>289</v>
      </c>
      <c r="B1142" t="s">
        <v>4195</v>
      </c>
      <c r="C1142" t="s">
        <v>4211</v>
      </c>
      <c r="E1142" t="s">
        <v>2936</v>
      </c>
      <c r="F1142" t="s">
        <v>3659</v>
      </c>
      <c r="G1142" t="s">
        <v>1107</v>
      </c>
    </row>
    <row r="1143" spans="1:7" x14ac:dyDescent="0.25">
      <c r="A1143" t="s">
        <v>289</v>
      </c>
      <c r="B1143" t="s">
        <v>4195</v>
      </c>
      <c r="C1143" t="s">
        <v>4211</v>
      </c>
      <c r="E1143" t="s">
        <v>2936</v>
      </c>
      <c r="F1143" t="s">
        <v>3662</v>
      </c>
      <c r="G1143" t="s">
        <v>1107</v>
      </c>
    </row>
    <row r="1144" spans="1:7" x14ac:dyDescent="0.25">
      <c r="A1144" t="s">
        <v>289</v>
      </c>
      <c r="B1144" t="s">
        <v>4195</v>
      </c>
      <c r="C1144" t="s">
        <v>4211</v>
      </c>
      <c r="E1144" t="s">
        <v>2936</v>
      </c>
      <c r="F1144" t="s">
        <v>3665</v>
      </c>
      <c r="G1144" t="s">
        <v>1107</v>
      </c>
    </row>
    <row r="1145" spans="1:7" x14ac:dyDescent="0.25">
      <c r="A1145" t="s">
        <v>289</v>
      </c>
      <c r="B1145" t="s">
        <v>4195</v>
      </c>
      <c r="C1145" t="s">
        <v>4211</v>
      </c>
      <c r="E1145" t="s">
        <v>2936</v>
      </c>
      <c r="F1145" t="s">
        <v>3668</v>
      </c>
      <c r="G1145" t="s">
        <v>1107</v>
      </c>
    </row>
    <row r="1146" spans="1:7" x14ac:dyDescent="0.25">
      <c r="A1146" t="s">
        <v>289</v>
      </c>
      <c r="B1146" t="s">
        <v>4195</v>
      </c>
      <c r="C1146" t="s">
        <v>4211</v>
      </c>
      <c r="E1146" t="s">
        <v>2936</v>
      </c>
      <c r="F1146" t="s">
        <v>3671</v>
      </c>
      <c r="G1146" t="s">
        <v>1107</v>
      </c>
    </row>
    <row r="1147" spans="1:7" x14ac:dyDescent="0.25">
      <c r="A1147" t="s">
        <v>289</v>
      </c>
      <c r="B1147" t="s">
        <v>4195</v>
      </c>
      <c r="C1147" t="s">
        <v>4211</v>
      </c>
      <c r="E1147" t="s">
        <v>2936</v>
      </c>
      <c r="F1147" t="s">
        <v>3674</v>
      </c>
      <c r="G1147" t="s">
        <v>1107</v>
      </c>
    </row>
    <row r="1148" spans="1:7" x14ac:dyDescent="0.25">
      <c r="A1148" t="s">
        <v>289</v>
      </c>
      <c r="B1148" t="s">
        <v>4195</v>
      </c>
      <c r="C1148" t="s">
        <v>4211</v>
      </c>
      <c r="E1148" t="s">
        <v>2936</v>
      </c>
      <c r="F1148" t="s">
        <v>3677</v>
      </c>
      <c r="G1148" t="s">
        <v>1107</v>
      </c>
    </row>
    <row r="1149" spans="1:7" x14ac:dyDescent="0.25">
      <c r="A1149" t="s">
        <v>289</v>
      </c>
      <c r="B1149" t="s">
        <v>4195</v>
      </c>
      <c r="C1149" t="s">
        <v>4211</v>
      </c>
      <c r="E1149" t="s">
        <v>2936</v>
      </c>
      <c r="F1149" t="s">
        <v>3680</v>
      </c>
      <c r="G1149" t="s">
        <v>1107</v>
      </c>
    </row>
    <row r="1150" spans="1:7" x14ac:dyDescent="0.25">
      <c r="A1150" t="s">
        <v>289</v>
      </c>
      <c r="B1150" t="s">
        <v>4195</v>
      </c>
      <c r="C1150" t="s">
        <v>4211</v>
      </c>
      <c r="E1150" t="s">
        <v>2936</v>
      </c>
      <c r="F1150" t="s">
        <v>3683</v>
      </c>
      <c r="G1150" t="s">
        <v>1107</v>
      </c>
    </row>
    <row r="1151" spans="1:7" x14ac:dyDescent="0.25">
      <c r="A1151" t="s">
        <v>289</v>
      </c>
      <c r="B1151" t="s">
        <v>4195</v>
      </c>
      <c r="C1151" t="s">
        <v>4211</v>
      </c>
      <c r="E1151" t="s">
        <v>2936</v>
      </c>
      <c r="F1151" t="s">
        <v>3686</v>
      </c>
      <c r="G1151" t="s">
        <v>1107</v>
      </c>
    </row>
    <row r="1152" spans="1:7" x14ac:dyDescent="0.25">
      <c r="A1152" t="s">
        <v>289</v>
      </c>
      <c r="B1152" t="s">
        <v>4195</v>
      </c>
      <c r="C1152" t="s">
        <v>4211</v>
      </c>
      <c r="E1152" t="s">
        <v>2936</v>
      </c>
      <c r="F1152" t="s">
        <v>3689</v>
      </c>
      <c r="G1152" t="s">
        <v>1107</v>
      </c>
    </row>
    <row r="1153" spans="1:7" x14ac:dyDescent="0.25">
      <c r="A1153" t="s">
        <v>289</v>
      </c>
      <c r="B1153" t="s">
        <v>4195</v>
      </c>
      <c r="C1153" t="s">
        <v>4211</v>
      </c>
      <c r="E1153" t="s">
        <v>2936</v>
      </c>
      <c r="F1153" t="s">
        <v>3692</v>
      </c>
      <c r="G1153" t="s">
        <v>1107</v>
      </c>
    </row>
    <row r="1154" spans="1:7" x14ac:dyDescent="0.25">
      <c r="A1154" t="s">
        <v>289</v>
      </c>
      <c r="B1154" t="s">
        <v>4195</v>
      </c>
      <c r="C1154" t="s">
        <v>4211</v>
      </c>
      <c r="E1154" t="s">
        <v>2936</v>
      </c>
      <c r="F1154" t="s">
        <v>3695</v>
      </c>
      <c r="G1154" t="s">
        <v>1107</v>
      </c>
    </row>
    <row r="1155" spans="1:7" x14ac:dyDescent="0.25">
      <c r="A1155" t="s">
        <v>289</v>
      </c>
      <c r="B1155" t="s">
        <v>4195</v>
      </c>
      <c r="C1155" t="s">
        <v>4211</v>
      </c>
      <c r="E1155" t="s">
        <v>2936</v>
      </c>
      <c r="F1155" t="s">
        <v>3698</v>
      </c>
      <c r="G1155" t="s">
        <v>1107</v>
      </c>
    </row>
    <row r="1156" spans="1:7" x14ac:dyDescent="0.25">
      <c r="A1156" t="s">
        <v>289</v>
      </c>
      <c r="B1156" t="s">
        <v>4195</v>
      </c>
      <c r="C1156" t="s">
        <v>4211</v>
      </c>
      <c r="E1156" t="s">
        <v>2936</v>
      </c>
      <c r="F1156" t="s">
        <v>3701</v>
      </c>
      <c r="G1156" t="s">
        <v>1107</v>
      </c>
    </row>
    <row r="1157" spans="1:7" x14ac:dyDescent="0.25">
      <c r="A1157" t="s">
        <v>289</v>
      </c>
      <c r="B1157" t="s">
        <v>4195</v>
      </c>
      <c r="C1157" t="s">
        <v>4211</v>
      </c>
      <c r="E1157" t="s">
        <v>2936</v>
      </c>
      <c r="F1157" t="s">
        <v>3704</v>
      </c>
      <c r="G1157" t="s">
        <v>1107</v>
      </c>
    </row>
    <row r="1158" spans="1:7" x14ac:dyDescent="0.25">
      <c r="A1158" t="s">
        <v>289</v>
      </c>
      <c r="B1158" t="s">
        <v>4195</v>
      </c>
      <c r="C1158" t="s">
        <v>4211</v>
      </c>
      <c r="E1158" t="s">
        <v>2936</v>
      </c>
      <c r="F1158" t="s">
        <v>3707</v>
      </c>
      <c r="G1158" t="s">
        <v>1107</v>
      </c>
    </row>
    <row r="1159" spans="1:7" x14ac:dyDescent="0.25">
      <c r="A1159" t="s">
        <v>289</v>
      </c>
      <c r="B1159" t="s">
        <v>4195</v>
      </c>
      <c r="C1159" t="s">
        <v>4211</v>
      </c>
      <c r="E1159" t="s">
        <v>2936</v>
      </c>
      <c r="F1159" t="s">
        <v>3710</v>
      </c>
      <c r="G1159" t="s">
        <v>1107</v>
      </c>
    </row>
    <row r="1160" spans="1:7" x14ac:dyDescent="0.25">
      <c r="A1160" t="s">
        <v>471</v>
      </c>
      <c r="B1160" t="s">
        <v>4195</v>
      </c>
      <c r="F1160" t="s">
        <v>3713</v>
      </c>
      <c r="G1160" t="s">
        <v>1107</v>
      </c>
    </row>
    <row r="1161" spans="1:7" x14ac:dyDescent="0.25">
      <c r="A1161" t="s">
        <v>650</v>
      </c>
      <c r="B1161" t="s">
        <v>4195</v>
      </c>
      <c r="C1161" t="s">
        <v>4211</v>
      </c>
      <c r="E1161" t="s">
        <v>4219</v>
      </c>
      <c r="F1161" t="s">
        <v>3716</v>
      </c>
      <c r="G1161" t="s">
        <v>1107</v>
      </c>
    </row>
    <row r="1162" spans="1:7" hidden="1" x14ac:dyDescent="0.25">
      <c r="A1162" t="s">
        <v>2004</v>
      </c>
      <c r="B1162" t="s">
        <v>8</v>
      </c>
      <c r="F1162" t="s">
        <v>3718</v>
      </c>
      <c r="G1162" t="s">
        <v>796</v>
      </c>
    </row>
    <row r="1163" spans="1:7" hidden="1" x14ac:dyDescent="0.25">
      <c r="A1163" t="s">
        <v>2004</v>
      </c>
      <c r="B1163" t="s">
        <v>8</v>
      </c>
      <c r="F1163" t="s">
        <v>3721</v>
      </c>
      <c r="G1163" t="s">
        <v>796</v>
      </c>
    </row>
    <row r="1164" spans="1:7" hidden="1" x14ac:dyDescent="0.25">
      <c r="A1164" t="s">
        <v>2004</v>
      </c>
      <c r="B1164" t="s">
        <v>8</v>
      </c>
      <c r="F1164" t="s">
        <v>3724</v>
      </c>
      <c r="G1164" t="s">
        <v>796</v>
      </c>
    </row>
    <row r="1165" spans="1:7" hidden="1" x14ac:dyDescent="0.25">
      <c r="A1165" t="s">
        <v>2004</v>
      </c>
      <c r="B1165" t="s">
        <v>8</v>
      </c>
      <c r="F1165" t="s">
        <v>3727</v>
      </c>
      <c r="G1165" t="s">
        <v>796</v>
      </c>
    </row>
    <row r="1166" spans="1:7" hidden="1" x14ac:dyDescent="0.25">
      <c r="A1166" t="s">
        <v>2004</v>
      </c>
      <c r="B1166" t="s">
        <v>8</v>
      </c>
      <c r="F1166" t="s">
        <v>3730</v>
      </c>
      <c r="G1166" t="s">
        <v>796</v>
      </c>
    </row>
    <row r="1167" spans="1:7" hidden="1" x14ac:dyDescent="0.25">
      <c r="A1167" t="s">
        <v>1091</v>
      </c>
      <c r="B1167" t="s">
        <v>4220</v>
      </c>
      <c r="C1167" t="s">
        <v>1099</v>
      </c>
      <c r="D1167">
        <v>4</v>
      </c>
      <c r="F1167" t="s">
        <v>3733</v>
      </c>
      <c r="G1167" t="s">
        <v>796</v>
      </c>
    </row>
    <row r="1168" spans="1:7" hidden="1" x14ac:dyDescent="0.25">
      <c r="A1168" t="s">
        <v>4</v>
      </c>
      <c r="B1168" t="s">
        <v>9</v>
      </c>
      <c r="F1168" t="s">
        <v>3736</v>
      </c>
      <c r="G1168" t="s">
        <v>1100</v>
      </c>
    </row>
    <row r="1169" spans="1:7" hidden="1" x14ac:dyDescent="0.25">
      <c r="A1169" t="s">
        <v>4</v>
      </c>
      <c r="B1169" t="s">
        <v>9</v>
      </c>
      <c r="E1169" t="s">
        <v>2936</v>
      </c>
      <c r="F1169" t="s">
        <v>3739</v>
      </c>
      <c r="G1169" t="s">
        <v>1100</v>
      </c>
    </row>
    <row r="1170" spans="1:7" hidden="1" x14ac:dyDescent="0.25">
      <c r="A1170" t="s">
        <v>4</v>
      </c>
      <c r="B1170" t="s">
        <v>9</v>
      </c>
      <c r="E1170" t="s">
        <v>2936</v>
      </c>
      <c r="F1170" t="s">
        <v>3742</v>
      </c>
      <c r="G1170" t="s">
        <v>1100</v>
      </c>
    </row>
    <row r="1171" spans="1:7" hidden="1" x14ac:dyDescent="0.25">
      <c r="A1171" t="s">
        <v>4</v>
      </c>
      <c r="B1171" t="s">
        <v>9</v>
      </c>
      <c r="E1171" t="s">
        <v>2936</v>
      </c>
      <c r="F1171" t="s">
        <v>3745</v>
      </c>
      <c r="G1171" t="s">
        <v>1100</v>
      </c>
    </row>
    <row r="1172" spans="1:7" hidden="1" x14ac:dyDescent="0.25">
      <c r="A1172" t="s">
        <v>4</v>
      </c>
      <c r="B1172" t="s">
        <v>9</v>
      </c>
      <c r="E1172" t="s">
        <v>2936</v>
      </c>
      <c r="F1172" t="s">
        <v>3748</v>
      </c>
      <c r="G1172" t="s">
        <v>1100</v>
      </c>
    </row>
    <row r="1173" spans="1:7" hidden="1" x14ac:dyDescent="0.25">
      <c r="A1173" t="s">
        <v>4</v>
      </c>
      <c r="B1173" t="s">
        <v>9</v>
      </c>
      <c r="F1173" t="s">
        <v>3751</v>
      </c>
      <c r="G1173" t="s">
        <v>1100</v>
      </c>
    </row>
    <row r="1174" spans="1:7" hidden="1" x14ac:dyDescent="0.25">
      <c r="A1174" t="s">
        <v>2024</v>
      </c>
      <c r="B1174" t="s">
        <v>1304</v>
      </c>
      <c r="F1174" t="s">
        <v>3754</v>
      </c>
      <c r="G1174" t="s">
        <v>1100</v>
      </c>
    </row>
    <row r="1175" spans="1:7" hidden="1" x14ac:dyDescent="0.25">
      <c r="A1175" t="s">
        <v>2024</v>
      </c>
      <c r="B1175" t="s">
        <v>1304</v>
      </c>
      <c r="E1175" t="s">
        <v>2936</v>
      </c>
      <c r="F1175" t="s">
        <v>3757</v>
      </c>
      <c r="G1175" t="s">
        <v>1100</v>
      </c>
    </row>
    <row r="1176" spans="1:7" hidden="1" x14ac:dyDescent="0.25">
      <c r="A1176" t="s">
        <v>2024</v>
      </c>
      <c r="B1176" t="s">
        <v>1304</v>
      </c>
      <c r="E1176" t="s">
        <v>2936</v>
      </c>
      <c r="F1176" t="s">
        <v>3760</v>
      </c>
      <c r="G1176" t="s">
        <v>1100</v>
      </c>
    </row>
    <row r="1177" spans="1:7" hidden="1" x14ac:dyDescent="0.25">
      <c r="A1177" t="s">
        <v>2024</v>
      </c>
      <c r="B1177" t="s">
        <v>1304</v>
      </c>
      <c r="E1177" t="s">
        <v>2936</v>
      </c>
      <c r="F1177" t="s">
        <v>3763</v>
      </c>
      <c r="G1177" t="s">
        <v>1100</v>
      </c>
    </row>
    <row r="1178" spans="1:7" hidden="1" x14ac:dyDescent="0.25">
      <c r="A1178" t="s">
        <v>2024</v>
      </c>
      <c r="B1178" t="s">
        <v>1304</v>
      </c>
      <c r="E1178" t="s">
        <v>2936</v>
      </c>
      <c r="F1178" t="s">
        <v>3766</v>
      </c>
      <c r="G1178" t="s">
        <v>1100</v>
      </c>
    </row>
    <row r="1179" spans="1:7" hidden="1" x14ac:dyDescent="0.25">
      <c r="A1179" t="s">
        <v>4</v>
      </c>
      <c r="B1179" t="s">
        <v>9</v>
      </c>
      <c r="F1179" t="s">
        <v>3769</v>
      </c>
      <c r="G1179" t="s">
        <v>1100</v>
      </c>
    </row>
    <row r="1180" spans="1:7" hidden="1" x14ac:dyDescent="0.25">
      <c r="A1180" t="s">
        <v>2024</v>
      </c>
      <c r="B1180" t="s">
        <v>1304</v>
      </c>
      <c r="E1180" t="s">
        <v>2936</v>
      </c>
      <c r="F1180" t="s">
        <v>3772</v>
      </c>
      <c r="G1180" t="s">
        <v>1100</v>
      </c>
    </row>
    <row r="1181" spans="1:7" hidden="1" x14ac:dyDescent="0.25">
      <c r="A1181" t="s">
        <v>2024</v>
      </c>
      <c r="B1181" t="s">
        <v>1304</v>
      </c>
      <c r="E1181" t="s">
        <v>2936</v>
      </c>
      <c r="F1181" t="s">
        <v>3775</v>
      </c>
      <c r="G1181" t="s">
        <v>1100</v>
      </c>
    </row>
    <row r="1182" spans="1:7" hidden="1" x14ac:dyDescent="0.25">
      <c r="A1182" t="s">
        <v>2024</v>
      </c>
      <c r="B1182" t="s">
        <v>1304</v>
      </c>
      <c r="E1182" t="s">
        <v>2936</v>
      </c>
      <c r="F1182" t="s">
        <v>3778</v>
      </c>
      <c r="G1182" t="s">
        <v>1100</v>
      </c>
    </row>
    <row r="1183" spans="1:7" hidden="1" x14ac:dyDescent="0.25">
      <c r="A1183" t="s">
        <v>2024</v>
      </c>
      <c r="B1183" t="s">
        <v>1304</v>
      </c>
      <c r="E1183" t="s">
        <v>2936</v>
      </c>
      <c r="F1183" t="s">
        <v>3781</v>
      </c>
      <c r="G1183" t="s">
        <v>1100</v>
      </c>
    </row>
    <row r="1184" spans="1:7" hidden="1" x14ac:dyDescent="0.25">
      <c r="A1184" t="s">
        <v>2024</v>
      </c>
      <c r="B1184" t="s">
        <v>1304</v>
      </c>
      <c r="E1184" t="s">
        <v>2936</v>
      </c>
      <c r="F1184" t="s">
        <v>3784</v>
      </c>
      <c r="G1184" t="s">
        <v>1100</v>
      </c>
    </row>
    <row r="1185" spans="1:7" hidden="1" x14ac:dyDescent="0.25">
      <c r="A1185" t="s">
        <v>2024</v>
      </c>
      <c r="B1185" t="s">
        <v>1304</v>
      </c>
      <c r="E1185" t="s">
        <v>2936</v>
      </c>
      <c r="F1185" t="s">
        <v>3787</v>
      </c>
      <c r="G1185" t="s">
        <v>1100</v>
      </c>
    </row>
    <row r="1186" spans="1:7" hidden="1" x14ac:dyDescent="0.25">
      <c r="A1186" t="s">
        <v>2024</v>
      </c>
      <c r="B1186" t="s">
        <v>1304</v>
      </c>
      <c r="E1186" t="s">
        <v>2936</v>
      </c>
      <c r="F1186" t="s">
        <v>3790</v>
      </c>
      <c r="G1186" t="s">
        <v>1100</v>
      </c>
    </row>
    <row r="1187" spans="1:7" hidden="1" x14ac:dyDescent="0.25">
      <c r="A1187" t="s">
        <v>2024</v>
      </c>
      <c r="B1187" t="s">
        <v>1304</v>
      </c>
      <c r="E1187" t="s">
        <v>2936</v>
      </c>
      <c r="F1187" t="s">
        <v>3793</v>
      </c>
      <c r="G1187" t="s">
        <v>1100</v>
      </c>
    </row>
    <row r="1188" spans="1:7" hidden="1" x14ac:dyDescent="0.25">
      <c r="A1188" t="s">
        <v>2024</v>
      </c>
      <c r="B1188" t="s">
        <v>1304</v>
      </c>
      <c r="E1188" t="s">
        <v>2936</v>
      </c>
      <c r="F1188" t="s">
        <v>3796</v>
      </c>
      <c r="G1188" t="s">
        <v>1100</v>
      </c>
    </row>
    <row r="1189" spans="1:7" hidden="1" x14ac:dyDescent="0.25">
      <c r="A1189" t="s">
        <v>4</v>
      </c>
      <c r="B1189" t="s">
        <v>9</v>
      </c>
      <c r="F1189" t="s">
        <v>3799</v>
      </c>
      <c r="G1189" t="s">
        <v>1100</v>
      </c>
    </row>
    <row r="1190" spans="1:7" hidden="1" x14ac:dyDescent="0.25">
      <c r="A1190" t="s">
        <v>4</v>
      </c>
      <c r="B1190" t="s">
        <v>9</v>
      </c>
      <c r="E1190" t="s">
        <v>2936</v>
      </c>
      <c r="F1190" t="s">
        <v>3802</v>
      </c>
      <c r="G1190" t="s">
        <v>1100</v>
      </c>
    </row>
    <row r="1191" spans="1:7" hidden="1" x14ac:dyDescent="0.25">
      <c r="A1191" t="s">
        <v>4</v>
      </c>
      <c r="B1191" t="s">
        <v>9</v>
      </c>
      <c r="E1191" t="s">
        <v>2936</v>
      </c>
      <c r="F1191" t="s">
        <v>3805</v>
      </c>
      <c r="G1191" t="s">
        <v>1100</v>
      </c>
    </row>
    <row r="1192" spans="1:7" hidden="1" x14ac:dyDescent="0.25">
      <c r="A1192" t="s">
        <v>4</v>
      </c>
      <c r="B1192" t="s">
        <v>9</v>
      </c>
      <c r="E1192" t="s">
        <v>2936</v>
      </c>
      <c r="F1192" t="s">
        <v>3808</v>
      </c>
      <c r="G1192" t="s">
        <v>1100</v>
      </c>
    </row>
    <row r="1193" spans="1:7" hidden="1" x14ac:dyDescent="0.25">
      <c r="A1193" t="s">
        <v>4</v>
      </c>
      <c r="B1193" t="s">
        <v>9</v>
      </c>
      <c r="E1193" t="s">
        <v>2936</v>
      </c>
      <c r="F1193" t="s">
        <v>3811</v>
      </c>
      <c r="G1193" t="s">
        <v>1100</v>
      </c>
    </row>
    <row r="1194" spans="1:7" hidden="1" x14ac:dyDescent="0.25">
      <c r="A1194" t="s">
        <v>4</v>
      </c>
      <c r="B1194" t="s">
        <v>9</v>
      </c>
      <c r="E1194" t="s">
        <v>2936</v>
      </c>
      <c r="F1194" t="s">
        <v>3814</v>
      </c>
      <c r="G1194" t="s">
        <v>1100</v>
      </c>
    </row>
    <row r="1195" spans="1:7" hidden="1" x14ac:dyDescent="0.25">
      <c r="A1195" t="s">
        <v>4</v>
      </c>
      <c r="B1195" t="s">
        <v>9</v>
      </c>
      <c r="E1195" t="s">
        <v>2936</v>
      </c>
      <c r="F1195" t="s">
        <v>3817</v>
      </c>
      <c r="G1195" t="s">
        <v>1100</v>
      </c>
    </row>
    <row r="1196" spans="1:7" hidden="1" x14ac:dyDescent="0.25">
      <c r="A1196" t="s">
        <v>4</v>
      </c>
      <c r="B1196" t="s">
        <v>9</v>
      </c>
      <c r="E1196" t="s">
        <v>2936</v>
      </c>
      <c r="F1196" t="s">
        <v>3820</v>
      </c>
      <c r="G1196" t="s">
        <v>1100</v>
      </c>
    </row>
    <row r="1197" spans="1:7" hidden="1" x14ac:dyDescent="0.25">
      <c r="A1197" t="s">
        <v>4</v>
      </c>
      <c r="B1197" t="s">
        <v>9</v>
      </c>
      <c r="E1197" t="s">
        <v>2936</v>
      </c>
      <c r="F1197" t="s">
        <v>3823</v>
      </c>
      <c r="G1197" t="s">
        <v>1100</v>
      </c>
    </row>
    <row r="1198" spans="1:7" hidden="1" x14ac:dyDescent="0.25">
      <c r="A1198" t="s">
        <v>4</v>
      </c>
      <c r="B1198" t="s">
        <v>9</v>
      </c>
      <c r="E1198" t="s">
        <v>2936</v>
      </c>
      <c r="F1198" t="s">
        <v>3826</v>
      </c>
      <c r="G1198" t="s">
        <v>1100</v>
      </c>
    </row>
    <row r="1199" spans="1:7" hidden="1" x14ac:dyDescent="0.25">
      <c r="A1199" t="s">
        <v>4</v>
      </c>
      <c r="B1199" t="s">
        <v>9</v>
      </c>
      <c r="E1199" t="s">
        <v>2936</v>
      </c>
      <c r="F1199" t="s">
        <v>3829</v>
      </c>
      <c r="G1199" t="s">
        <v>1100</v>
      </c>
    </row>
    <row r="1200" spans="1:7" hidden="1" x14ac:dyDescent="0.25">
      <c r="A1200" t="s">
        <v>4</v>
      </c>
      <c r="B1200" t="s">
        <v>9</v>
      </c>
      <c r="E1200" t="s">
        <v>2936</v>
      </c>
      <c r="F1200" t="s">
        <v>3832</v>
      </c>
      <c r="G1200" t="s">
        <v>1100</v>
      </c>
    </row>
    <row r="1201" spans="1:7" hidden="1" x14ac:dyDescent="0.25">
      <c r="A1201" t="s">
        <v>4</v>
      </c>
      <c r="B1201" t="s">
        <v>9</v>
      </c>
      <c r="E1201" t="s">
        <v>2936</v>
      </c>
      <c r="F1201" t="s">
        <v>3835</v>
      </c>
      <c r="G1201" t="s">
        <v>1100</v>
      </c>
    </row>
    <row r="1202" spans="1:7" hidden="1" x14ac:dyDescent="0.25">
      <c r="A1202" t="s">
        <v>4</v>
      </c>
      <c r="B1202" t="s">
        <v>9</v>
      </c>
      <c r="E1202" t="s">
        <v>2936</v>
      </c>
      <c r="F1202" t="s">
        <v>3838</v>
      </c>
      <c r="G1202" t="s">
        <v>1100</v>
      </c>
    </row>
    <row r="1203" spans="1:7" hidden="1" x14ac:dyDescent="0.25">
      <c r="A1203" t="s">
        <v>4</v>
      </c>
      <c r="B1203" t="s">
        <v>9</v>
      </c>
      <c r="E1203" t="s">
        <v>2936</v>
      </c>
      <c r="F1203" t="s">
        <v>3841</v>
      </c>
      <c r="G1203" t="s">
        <v>1100</v>
      </c>
    </row>
    <row r="1204" spans="1:7" hidden="1" x14ac:dyDescent="0.25">
      <c r="A1204" t="s">
        <v>4</v>
      </c>
      <c r="B1204" t="s">
        <v>9</v>
      </c>
      <c r="E1204" t="s">
        <v>2936</v>
      </c>
      <c r="F1204" t="s">
        <v>3844</v>
      </c>
      <c r="G1204" t="s">
        <v>1100</v>
      </c>
    </row>
    <row r="1205" spans="1:7" hidden="1" x14ac:dyDescent="0.25">
      <c r="A1205" t="s">
        <v>4</v>
      </c>
      <c r="B1205" t="s">
        <v>9</v>
      </c>
      <c r="E1205" t="s">
        <v>2936</v>
      </c>
      <c r="F1205" t="s">
        <v>3847</v>
      </c>
      <c r="G1205" t="s">
        <v>1100</v>
      </c>
    </row>
    <row r="1206" spans="1:7" hidden="1" x14ac:dyDescent="0.25">
      <c r="A1206" t="s">
        <v>4</v>
      </c>
      <c r="B1206" t="s">
        <v>9</v>
      </c>
      <c r="E1206" t="s">
        <v>2936</v>
      </c>
      <c r="F1206" t="s">
        <v>3850</v>
      </c>
      <c r="G1206" t="s">
        <v>1100</v>
      </c>
    </row>
    <row r="1207" spans="1:7" hidden="1" x14ac:dyDescent="0.25">
      <c r="A1207" t="s">
        <v>4</v>
      </c>
      <c r="B1207" t="s">
        <v>9</v>
      </c>
      <c r="E1207" t="s">
        <v>2936</v>
      </c>
      <c r="F1207" t="s">
        <v>3853</v>
      </c>
      <c r="G1207" t="s">
        <v>1100</v>
      </c>
    </row>
    <row r="1208" spans="1:7" hidden="1" x14ac:dyDescent="0.25">
      <c r="A1208" t="s">
        <v>4</v>
      </c>
      <c r="B1208" t="s">
        <v>9</v>
      </c>
      <c r="E1208" t="s">
        <v>2936</v>
      </c>
      <c r="F1208" t="s">
        <v>3856</v>
      </c>
      <c r="G1208" t="s">
        <v>1100</v>
      </c>
    </row>
    <row r="1209" spans="1:7" hidden="1" x14ac:dyDescent="0.25">
      <c r="A1209" t="s">
        <v>4221</v>
      </c>
      <c r="B1209" t="s">
        <v>86</v>
      </c>
      <c r="C1209" t="s">
        <v>58</v>
      </c>
      <c r="F1209" t="s">
        <v>3859</v>
      </c>
      <c r="G1209" t="s">
        <v>1100</v>
      </c>
    </row>
    <row r="1210" spans="1:7" hidden="1" x14ac:dyDescent="0.25">
      <c r="A1210" t="s">
        <v>4</v>
      </c>
      <c r="B1210" t="s">
        <v>9</v>
      </c>
      <c r="F1210" t="s">
        <v>3862</v>
      </c>
      <c r="G1210" t="s">
        <v>1100</v>
      </c>
    </row>
    <row r="1211" spans="1:7" hidden="1" x14ac:dyDescent="0.25">
      <c r="A1211" t="s">
        <v>4</v>
      </c>
      <c r="B1211" t="s">
        <v>4222</v>
      </c>
      <c r="C1211" t="s">
        <v>1099</v>
      </c>
      <c r="F1211" t="s">
        <v>3865</v>
      </c>
      <c r="G1211" t="s">
        <v>1100</v>
      </c>
    </row>
    <row r="1212" spans="1:7" hidden="1" x14ac:dyDescent="0.25">
      <c r="A1212" t="s">
        <v>4223</v>
      </c>
      <c r="B1212" t="s">
        <v>86</v>
      </c>
      <c r="C1212" t="s">
        <v>200</v>
      </c>
      <c r="E1212" t="s">
        <v>4224</v>
      </c>
      <c r="F1212" t="s">
        <v>3868</v>
      </c>
      <c r="G1212" s="1" t="s">
        <v>1603</v>
      </c>
    </row>
    <row r="1213" spans="1:7" hidden="1" x14ac:dyDescent="0.25">
      <c r="A1213" t="s">
        <v>4225</v>
      </c>
      <c r="B1213" t="s">
        <v>86</v>
      </c>
      <c r="F1213" t="s">
        <v>3871</v>
      </c>
      <c r="G1213" s="1" t="s">
        <v>1603</v>
      </c>
    </row>
    <row r="1214" spans="1:7" hidden="1" x14ac:dyDescent="0.25">
      <c r="A1214" t="s">
        <v>4223</v>
      </c>
      <c r="B1214" t="s">
        <v>86</v>
      </c>
      <c r="C1214" t="s">
        <v>200</v>
      </c>
      <c r="E1214" t="s">
        <v>1605</v>
      </c>
      <c r="F1214" t="s">
        <v>3874</v>
      </c>
      <c r="G1214" s="1" t="s">
        <v>1603</v>
      </c>
    </row>
    <row r="1215" spans="1:7" hidden="1" x14ac:dyDescent="0.25">
      <c r="A1215" t="s">
        <v>1606</v>
      </c>
      <c r="B1215" t="s">
        <v>70</v>
      </c>
      <c r="C1215" t="s">
        <v>1609</v>
      </c>
      <c r="F1215" t="s">
        <v>3877</v>
      </c>
      <c r="G1215" s="1" t="s">
        <v>1603</v>
      </c>
    </row>
    <row r="1216" spans="1:7" hidden="1" x14ac:dyDescent="0.25">
      <c r="A1216" t="s">
        <v>4226</v>
      </c>
      <c r="B1216" t="s">
        <v>70</v>
      </c>
      <c r="C1216" t="s">
        <v>58</v>
      </c>
      <c r="F1216" t="s">
        <v>3880</v>
      </c>
      <c r="G1216" s="1" t="s">
        <v>1603</v>
      </c>
    </row>
    <row r="1217" spans="1:7" hidden="1" x14ac:dyDescent="0.25">
      <c r="A1217" t="s">
        <v>650</v>
      </c>
      <c r="B1217" t="s">
        <v>70</v>
      </c>
      <c r="F1217" t="s">
        <v>3883</v>
      </c>
      <c r="G1217" s="1" t="s">
        <v>1603</v>
      </c>
    </row>
    <row r="1218" spans="1:7" hidden="1" x14ac:dyDescent="0.25">
      <c r="A1218" t="s">
        <v>4</v>
      </c>
      <c r="B1218" t="s">
        <v>8</v>
      </c>
      <c r="F1218" t="s">
        <v>3886</v>
      </c>
      <c r="G1218" s="1" t="s">
        <v>1603</v>
      </c>
    </row>
    <row r="1219" spans="1:7" hidden="1" x14ac:dyDescent="0.25">
      <c r="A1219" t="s">
        <v>4227</v>
      </c>
      <c r="B1219" t="s">
        <v>4228</v>
      </c>
      <c r="C1219" t="s">
        <v>58</v>
      </c>
      <c r="E1219" t="s">
        <v>4229</v>
      </c>
      <c r="F1219" t="s">
        <v>3889</v>
      </c>
      <c r="G1219" s="1" t="s">
        <v>1603</v>
      </c>
    </row>
    <row r="1220" spans="1:7" hidden="1" x14ac:dyDescent="0.25">
      <c r="A1220" t="s">
        <v>4</v>
      </c>
      <c r="B1220" t="s">
        <v>8</v>
      </c>
      <c r="F1220" t="s">
        <v>3892</v>
      </c>
      <c r="G1220" s="1" t="s">
        <v>1603</v>
      </c>
    </row>
    <row r="1221" spans="1:7" hidden="1" x14ac:dyDescent="0.25">
      <c r="A1221" t="s">
        <v>4</v>
      </c>
      <c r="B1221" t="s">
        <v>8</v>
      </c>
      <c r="E1221" t="s">
        <v>2936</v>
      </c>
      <c r="F1221" t="s">
        <v>3895</v>
      </c>
      <c r="G1221" s="1" t="s">
        <v>1603</v>
      </c>
    </row>
    <row r="1222" spans="1:7" hidden="1" x14ac:dyDescent="0.25">
      <c r="A1222" t="s">
        <v>4</v>
      </c>
      <c r="B1222" t="s">
        <v>8</v>
      </c>
      <c r="E1222" t="s">
        <v>2936</v>
      </c>
      <c r="F1222" t="s">
        <v>3898</v>
      </c>
      <c r="G1222" s="1" t="s">
        <v>1603</v>
      </c>
    </row>
    <row r="1223" spans="1:7" hidden="1" x14ac:dyDescent="0.25">
      <c r="A1223" t="s">
        <v>4223</v>
      </c>
      <c r="B1223" t="s">
        <v>86</v>
      </c>
      <c r="C1223" t="s">
        <v>528</v>
      </c>
      <c r="E1223" t="s">
        <v>1605</v>
      </c>
      <c r="F1223" t="s">
        <v>3901</v>
      </c>
      <c r="G1223" s="1" t="s">
        <v>1603</v>
      </c>
    </row>
    <row r="1224" spans="1:7" hidden="1" x14ac:dyDescent="0.25">
      <c r="A1224" t="s">
        <v>1606</v>
      </c>
      <c r="B1224" t="s">
        <v>70</v>
      </c>
      <c r="C1224" t="s">
        <v>1609</v>
      </c>
      <c r="F1224" t="s">
        <v>3904</v>
      </c>
      <c r="G1224" s="1" t="s">
        <v>1603</v>
      </c>
    </row>
    <row r="1225" spans="1:7" hidden="1" x14ac:dyDescent="0.25">
      <c r="A1225" t="s">
        <v>4</v>
      </c>
      <c r="B1225" t="s">
        <v>70</v>
      </c>
      <c r="E1225" t="s">
        <v>4230</v>
      </c>
      <c r="F1225" t="s">
        <v>3907</v>
      </c>
      <c r="G1225" s="1" t="s">
        <v>1603</v>
      </c>
    </row>
    <row r="1226" spans="1:7" hidden="1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3910</v>
      </c>
      <c r="G1226" s="1" t="s">
        <v>1603</v>
      </c>
    </row>
    <row r="1227" spans="1:7" hidden="1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3913</v>
      </c>
      <c r="G1227" s="1" t="s">
        <v>1603</v>
      </c>
    </row>
    <row r="1228" spans="1:7" hidden="1" x14ac:dyDescent="0.25">
      <c r="A1228" t="s">
        <v>290</v>
      </c>
      <c r="B1228" t="s">
        <v>70</v>
      </c>
      <c r="C1228" t="s">
        <v>4231</v>
      </c>
      <c r="E1228" t="s">
        <v>1611</v>
      </c>
      <c r="F1228" t="s">
        <v>3916</v>
      </c>
      <c r="G1228" s="1" t="s">
        <v>1603</v>
      </c>
    </row>
    <row r="1229" spans="1:7" hidden="1" x14ac:dyDescent="0.25">
      <c r="A1229" t="s">
        <v>290</v>
      </c>
      <c r="B1229" t="s">
        <v>70</v>
      </c>
      <c r="C1229" t="s">
        <v>4231</v>
      </c>
      <c r="E1229" t="s">
        <v>2936</v>
      </c>
      <c r="F1229" t="s">
        <v>3919</v>
      </c>
      <c r="G1229" s="1" t="s">
        <v>1603</v>
      </c>
    </row>
    <row r="1230" spans="1:7" hidden="1" x14ac:dyDescent="0.25">
      <c r="A1230" t="s">
        <v>290</v>
      </c>
      <c r="B1230" t="s">
        <v>70</v>
      </c>
      <c r="C1230" t="s">
        <v>4231</v>
      </c>
      <c r="E1230" t="s">
        <v>1611</v>
      </c>
      <c r="F1230" t="s">
        <v>3922</v>
      </c>
      <c r="G1230" s="1" t="s">
        <v>1603</v>
      </c>
    </row>
    <row r="1231" spans="1:7" hidden="1" x14ac:dyDescent="0.25">
      <c r="A1231" t="s">
        <v>290</v>
      </c>
      <c r="B1231" t="s">
        <v>70</v>
      </c>
      <c r="C1231" t="s">
        <v>4231</v>
      </c>
      <c r="E1231" t="s">
        <v>2954</v>
      </c>
      <c r="F1231" t="s">
        <v>3925</v>
      </c>
      <c r="G1231" s="1" t="s">
        <v>1603</v>
      </c>
    </row>
    <row r="1232" spans="1:7" hidden="1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3928</v>
      </c>
      <c r="G1232" s="1" t="s">
        <v>1603</v>
      </c>
    </row>
    <row r="1233" spans="1:7" hidden="1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3931</v>
      </c>
      <c r="G1233" s="1" t="s">
        <v>1603</v>
      </c>
    </row>
    <row r="1234" spans="1:7" hidden="1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3934</v>
      </c>
      <c r="G1234" s="1" t="s">
        <v>1603</v>
      </c>
    </row>
    <row r="1235" spans="1:7" hidden="1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3937</v>
      </c>
      <c r="G1235" s="1" t="s">
        <v>1603</v>
      </c>
    </row>
    <row r="1236" spans="1:7" hidden="1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3940</v>
      </c>
      <c r="G1236" s="1" t="s">
        <v>1603</v>
      </c>
    </row>
    <row r="1237" spans="1:7" hidden="1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3943</v>
      </c>
      <c r="G1237" s="1" t="s">
        <v>1603</v>
      </c>
    </row>
    <row r="1238" spans="1:7" hidden="1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3946</v>
      </c>
      <c r="G1238" s="1" t="s">
        <v>1603</v>
      </c>
    </row>
    <row r="1239" spans="1:7" hidden="1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3949</v>
      </c>
      <c r="G1239" s="1" t="s">
        <v>1603</v>
      </c>
    </row>
    <row r="1240" spans="1:7" hidden="1" x14ac:dyDescent="0.25">
      <c r="A1240" t="s">
        <v>4232</v>
      </c>
      <c r="B1240" t="s">
        <v>70</v>
      </c>
      <c r="C1240" t="s">
        <v>58</v>
      </c>
      <c r="F1240" t="s">
        <v>3952</v>
      </c>
      <c r="G1240" s="1" t="s">
        <v>1603</v>
      </c>
    </row>
    <row r="1241" spans="1:7" hidden="1" x14ac:dyDescent="0.25">
      <c r="A1241" t="s">
        <v>289</v>
      </c>
      <c r="B1241" t="s">
        <v>70</v>
      </c>
      <c r="C1241" t="s">
        <v>4233</v>
      </c>
      <c r="E1241" t="s">
        <v>1618</v>
      </c>
      <c r="F1241" t="s">
        <v>3955</v>
      </c>
      <c r="G1241" s="1" t="s">
        <v>1603</v>
      </c>
    </row>
    <row r="1242" spans="1:7" hidden="1" x14ac:dyDescent="0.25">
      <c r="A1242" t="s">
        <v>4235</v>
      </c>
      <c r="B1242" t="s">
        <v>70</v>
      </c>
      <c r="C1242" t="s">
        <v>4233</v>
      </c>
      <c r="F1242" t="s">
        <v>3958</v>
      </c>
      <c r="G1242" s="1" t="s">
        <v>1603</v>
      </c>
    </row>
    <row r="1243" spans="1:7" hidden="1" x14ac:dyDescent="0.25">
      <c r="A1243" t="s">
        <v>650</v>
      </c>
      <c r="B1243" t="s">
        <v>70</v>
      </c>
      <c r="C1243" t="s">
        <v>4233</v>
      </c>
      <c r="E1243" t="s">
        <v>4234</v>
      </c>
      <c r="F1243" t="s">
        <v>3961</v>
      </c>
      <c r="G1243" s="1" t="s">
        <v>1603</v>
      </c>
    </row>
    <row r="1244" spans="1:7" hidden="1" x14ac:dyDescent="0.25">
      <c r="A1244" t="s">
        <v>1606</v>
      </c>
      <c r="B1244" t="s">
        <v>4192</v>
      </c>
      <c r="F1244" t="s">
        <v>3962</v>
      </c>
      <c r="G1244" s="1" t="s">
        <v>1603</v>
      </c>
    </row>
    <row r="1245" spans="1:7" hidden="1" x14ac:dyDescent="0.25">
      <c r="A1245" t="s">
        <v>289</v>
      </c>
      <c r="B1245" t="s">
        <v>4192</v>
      </c>
      <c r="C1245" t="s">
        <v>58</v>
      </c>
      <c r="E1245" t="s">
        <v>1620</v>
      </c>
      <c r="F1245" t="s">
        <v>3965</v>
      </c>
      <c r="G1245" s="1" t="s">
        <v>1603</v>
      </c>
    </row>
    <row r="1246" spans="1:7" hidden="1" x14ac:dyDescent="0.25">
      <c r="A1246" t="s">
        <v>289</v>
      </c>
      <c r="B1246" t="s">
        <v>4192</v>
      </c>
      <c r="C1246" t="s">
        <v>58</v>
      </c>
      <c r="E1246" t="s">
        <v>2936</v>
      </c>
      <c r="F1246" t="s">
        <v>3968</v>
      </c>
      <c r="G1246" s="1" t="s">
        <v>1603</v>
      </c>
    </row>
    <row r="1247" spans="1:7" hidden="1" x14ac:dyDescent="0.25">
      <c r="A1247" t="s">
        <v>289</v>
      </c>
      <c r="B1247" t="s">
        <v>4192</v>
      </c>
      <c r="C1247" t="s">
        <v>58</v>
      </c>
      <c r="E1247" t="s">
        <v>2936</v>
      </c>
      <c r="F1247" t="s">
        <v>3971</v>
      </c>
      <c r="G1247" s="1" t="s">
        <v>1603</v>
      </c>
    </row>
    <row r="1248" spans="1:7" hidden="1" x14ac:dyDescent="0.25">
      <c r="A1248" t="s">
        <v>289</v>
      </c>
      <c r="B1248" t="s">
        <v>4192</v>
      </c>
      <c r="C1248" t="s">
        <v>58</v>
      </c>
      <c r="E1248" t="s">
        <v>2936</v>
      </c>
      <c r="F1248" t="s">
        <v>3974</v>
      </c>
      <c r="G1248" s="1" t="s">
        <v>1603</v>
      </c>
    </row>
    <row r="1249" spans="1:7" hidden="1" x14ac:dyDescent="0.25">
      <c r="A1249" t="s">
        <v>289</v>
      </c>
      <c r="B1249" t="s">
        <v>4192</v>
      </c>
      <c r="C1249" t="s">
        <v>58</v>
      </c>
      <c r="E1249" t="s">
        <v>2936</v>
      </c>
      <c r="F1249" t="s">
        <v>3977</v>
      </c>
      <c r="G1249" s="1" t="s">
        <v>1603</v>
      </c>
    </row>
    <row r="1250" spans="1:7" hidden="1" x14ac:dyDescent="0.25">
      <c r="A1250" t="s">
        <v>289</v>
      </c>
      <c r="B1250" t="s">
        <v>4192</v>
      </c>
      <c r="C1250" t="s">
        <v>58</v>
      </c>
      <c r="E1250" t="s">
        <v>2936</v>
      </c>
      <c r="F1250" t="s">
        <v>3980</v>
      </c>
      <c r="G1250" s="1" t="s">
        <v>1603</v>
      </c>
    </row>
    <row r="1251" spans="1:7" hidden="1" x14ac:dyDescent="0.25">
      <c r="A1251" t="s">
        <v>289</v>
      </c>
      <c r="B1251" t="s">
        <v>4192</v>
      </c>
      <c r="C1251" t="s">
        <v>58</v>
      </c>
      <c r="E1251" t="s">
        <v>2936</v>
      </c>
      <c r="F1251" t="s">
        <v>3983</v>
      </c>
      <c r="G1251" s="1" t="s">
        <v>1603</v>
      </c>
    </row>
    <row r="1252" spans="1:7" hidden="1" x14ac:dyDescent="0.25">
      <c r="A1252" t="s">
        <v>2013</v>
      </c>
      <c r="B1252" t="s">
        <v>4192</v>
      </c>
      <c r="E1252" t="s">
        <v>4236</v>
      </c>
      <c r="F1252" t="s">
        <v>3986</v>
      </c>
      <c r="G1252" s="1" t="s">
        <v>1603</v>
      </c>
    </row>
    <row r="1253" spans="1:7" hidden="1" x14ac:dyDescent="0.25">
      <c r="A1253" t="s">
        <v>289</v>
      </c>
      <c r="B1253" t="s">
        <v>4192</v>
      </c>
      <c r="C1253" t="s">
        <v>58</v>
      </c>
      <c r="F1253" t="s">
        <v>3989</v>
      </c>
      <c r="G1253" s="1" t="s">
        <v>1603</v>
      </c>
    </row>
    <row r="1254" spans="1:7" hidden="1" x14ac:dyDescent="0.25">
      <c r="A1254" t="s">
        <v>289</v>
      </c>
      <c r="B1254" t="s">
        <v>4192</v>
      </c>
      <c r="C1254" t="s">
        <v>58</v>
      </c>
      <c r="E1254" t="s">
        <v>2936</v>
      </c>
      <c r="F1254" t="s">
        <v>3992</v>
      </c>
      <c r="G1254" s="1" t="s">
        <v>1603</v>
      </c>
    </row>
    <row r="1255" spans="1:7" hidden="1" x14ac:dyDescent="0.25">
      <c r="A1255" t="s">
        <v>289</v>
      </c>
      <c r="B1255" t="s">
        <v>4192</v>
      </c>
      <c r="C1255" t="s">
        <v>58</v>
      </c>
      <c r="E1255" t="s">
        <v>2936</v>
      </c>
      <c r="F1255" t="s">
        <v>3995</v>
      </c>
      <c r="G1255" s="1" t="s">
        <v>1603</v>
      </c>
    </row>
    <row r="1256" spans="1:7" hidden="1" x14ac:dyDescent="0.25">
      <c r="A1256" t="s">
        <v>4232</v>
      </c>
      <c r="B1256" t="s">
        <v>4192</v>
      </c>
      <c r="C1256" t="s">
        <v>58</v>
      </c>
      <c r="F1256" t="s">
        <v>3998</v>
      </c>
      <c r="G1256" s="1" t="s">
        <v>1603</v>
      </c>
    </row>
    <row r="1257" spans="1:7" hidden="1" x14ac:dyDescent="0.25">
      <c r="A1257" t="s">
        <v>2013</v>
      </c>
      <c r="B1257" t="s">
        <v>4192</v>
      </c>
      <c r="E1257" t="s">
        <v>4237</v>
      </c>
      <c r="F1257" t="s">
        <v>4001</v>
      </c>
      <c r="G1257" s="1" t="s">
        <v>1603</v>
      </c>
    </row>
    <row r="1258" spans="1:7" hidden="1" x14ac:dyDescent="0.25">
      <c r="A1258" t="s">
        <v>289</v>
      </c>
      <c r="B1258" t="s">
        <v>4192</v>
      </c>
      <c r="C1258" t="s">
        <v>58</v>
      </c>
      <c r="F1258" t="s">
        <v>4004</v>
      </c>
      <c r="G1258" s="1" t="s">
        <v>1603</v>
      </c>
    </row>
    <row r="1259" spans="1:7" hidden="1" x14ac:dyDescent="0.25">
      <c r="A1259" t="s">
        <v>289</v>
      </c>
      <c r="B1259" t="s">
        <v>4192</v>
      </c>
      <c r="C1259" t="s">
        <v>58</v>
      </c>
      <c r="E1259" t="s">
        <v>2936</v>
      </c>
      <c r="F1259" t="s">
        <v>4007</v>
      </c>
      <c r="G1259" s="1" t="s">
        <v>1603</v>
      </c>
    </row>
    <row r="1260" spans="1:7" hidden="1" x14ac:dyDescent="0.25">
      <c r="A1260" t="s">
        <v>289</v>
      </c>
      <c r="B1260" t="s">
        <v>4192</v>
      </c>
      <c r="C1260" t="s">
        <v>58</v>
      </c>
      <c r="E1260" t="s">
        <v>2936</v>
      </c>
      <c r="F1260" t="s">
        <v>4010</v>
      </c>
      <c r="G1260" s="1" t="s">
        <v>1603</v>
      </c>
    </row>
    <row r="1261" spans="1:7" hidden="1" x14ac:dyDescent="0.25">
      <c r="A1261" t="s">
        <v>289</v>
      </c>
      <c r="B1261" t="s">
        <v>4192</v>
      </c>
      <c r="C1261" t="s">
        <v>58</v>
      </c>
      <c r="E1261" t="s">
        <v>2936</v>
      </c>
      <c r="F1261" t="s">
        <v>4013</v>
      </c>
      <c r="G1261" s="1" t="s">
        <v>1603</v>
      </c>
    </row>
    <row r="1262" spans="1:7" hidden="1" x14ac:dyDescent="0.25">
      <c r="A1262" t="s">
        <v>4235</v>
      </c>
      <c r="B1262" t="s">
        <v>4192</v>
      </c>
      <c r="C1262" t="s">
        <v>58</v>
      </c>
      <c r="F1262" t="s">
        <v>4016</v>
      </c>
      <c r="G1262" s="1" t="s">
        <v>1603</v>
      </c>
    </row>
    <row r="1263" spans="1:7" hidden="1" x14ac:dyDescent="0.25">
      <c r="A1263" t="s">
        <v>4</v>
      </c>
      <c r="B1263" t="s">
        <v>86</v>
      </c>
      <c r="C1263" t="s">
        <v>4238</v>
      </c>
      <c r="E1263" t="s">
        <v>4239</v>
      </c>
      <c r="F1263" t="s">
        <v>4019</v>
      </c>
      <c r="G1263" s="1" t="s">
        <v>1603</v>
      </c>
    </row>
    <row r="1264" spans="1:7" hidden="1" x14ac:dyDescent="0.25">
      <c r="A1264" t="s">
        <v>289</v>
      </c>
      <c r="B1264" t="s">
        <v>86</v>
      </c>
      <c r="C1264" t="s">
        <v>4240</v>
      </c>
      <c r="F1264" t="s">
        <v>4022</v>
      </c>
      <c r="G1264" s="1" t="s">
        <v>1603</v>
      </c>
    </row>
    <row r="1265" spans="1:7" hidden="1" x14ac:dyDescent="0.25">
      <c r="A1265" t="s">
        <v>4241</v>
      </c>
      <c r="B1265" t="s">
        <v>86</v>
      </c>
      <c r="C1265" t="s">
        <v>4240</v>
      </c>
      <c r="E1265" t="s">
        <v>4236</v>
      </c>
      <c r="F1265" t="s">
        <v>4025</v>
      </c>
      <c r="G1265" s="1" t="s">
        <v>1603</v>
      </c>
    </row>
    <row r="1266" spans="1:7" hidden="1" x14ac:dyDescent="0.25">
      <c r="A1266" t="s">
        <v>3073</v>
      </c>
      <c r="B1266" t="s">
        <v>86</v>
      </c>
      <c r="C1266" t="s">
        <v>58</v>
      </c>
      <c r="E1266" t="s">
        <v>1620</v>
      </c>
      <c r="F1266" t="s">
        <v>4028</v>
      </c>
      <c r="G1266" s="1" t="s">
        <v>1603</v>
      </c>
    </row>
    <row r="1267" spans="1:7" hidden="1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4031</v>
      </c>
      <c r="G1267" s="1" t="s">
        <v>1603</v>
      </c>
    </row>
    <row r="1268" spans="1:7" hidden="1" x14ac:dyDescent="0.25">
      <c r="A1268" t="s">
        <v>533</v>
      </c>
      <c r="B1268" t="s">
        <v>1607</v>
      </c>
      <c r="C1268" t="s">
        <v>58</v>
      </c>
      <c r="E1268" t="s">
        <v>2958</v>
      </c>
      <c r="F1268" t="s">
        <v>4034</v>
      </c>
      <c r="G1268" s="1" t="s">
        <v>1603</v>
      </c>
    </row>
    <row r="1269" spans="1:7" hidden="1" x14ac:dyDescent="0.25">
      <c r="A1269" t="s">
        <v>533</v>
      </c>
      <c r="B1269" t="s">
        <v>1607</v>
      </c>
      <c r="C1269" t="s">
        <v>58</v>
      </c>
      <c r="E1269" t="s">
        <v>2958</v>
      </c>
      <c r="F1269" t="s">
        <v>4037</v>
      </c>
      <c r="G1269" s="1" t="s">
        <v>1603</v>
      </c>
    </row>
    <row r="1270" spans="1:7" hidden="1" x14ac:dyDescent="0.25">
      <c r="A1270" t="s">
        <v>533</v>
      </c>
      <c r="B1270" t="s">
        <v>1607</v>
      </c>
      <c r="C1270" t="s">
        <v>58</v>
      </c>
      <c r="E1270" t="s">
        <v>2958</v>
      </c>
      <c r="F1270" t="s">
        <v>4040</v>
      </c>
      <c r="G1270" s="1" t="s">
        <v>1603</v>
      </c>
    </row>
    <row r="1271" spans="1:7" hidden="1" x14ac:dyDescent="0.25">
      <c r="A1271" t="s">
        <v>533</v>
      </c>
      <c r="B1271" t="s">
        <v>1607</v>
      </c>
      <c r="C1271" t="s">
        <v>58</v>
      </c>
      <c r="E1271" t="s">
        <v>2958</v>
      </c>
      <c r="F1271" t="s">
        <v>4043</v>
      </c>
      <c r="G1271" s="1" t="s">
        <v>1603</v>
      </c>
    </row>
    <row r="1272" spans="1:7" hidden="1" x14ac:dyDescent="0.25">
      <c r="A1272" t="s">
        <v>533</v>
      </c>
      <c r="B1272" t="s">
        <v>1607</v>
      </c>
      <c r="C1272" t="s">
        <v>58</v>
      </c>
      <c r="E1272" t="s">
        <v>2958</v>
      </c>
      <c r="F1272" t="s">
        <v>4046</v>
      </c>
      <c r="G1272" s="1" t="s">
        <v>1603</v>
      </c>
    </row>
    <row r="1273" spans="1:7" hidden="1" x14ac:dyDescent="0.25">
      <c r="A1273" t="s">
        <v>533</v>
      </c>
      <c r="B1273" t="s">
        <v>1607</v>
      </c>
      <c r="C1273" t="s">
        <v>58</v>
      </c>
      <c r="E1273" t="s">
        <v>2958</v>
      </c>
      <c r="F1273" t="s">
        <v>4049</v>
      </c>
      <c r="G1273" s="1" t="s">
        <v>1603</v>
      </c>
    </row>
    <row r="1274" spans="1:7" hidden="1" x14ac:dyDescent="0.25">
      <c r="A1274" t="s">
        <v>533</v>
      </c>
      <c r="B1274" t="s">
        <v>1607</v>
      </c>
      <c r="C1274" t="s">
        <v>58</v>
      </c>
      <c r="E1274" t="s">
        <v>2958</v>
      </c>
      <c r="F1274" t="s">
        <v>4052</v>
      </c>
      <c r="G1274" s="1" t="s">
        <v>1603</v>
      </c>
    </row>
    <row r="1275" spans="1:7" hidden="1" x14ac:dyDescent="0.25">
      <c r="A1275" t="s">
        <v>533</v>
      </c>
      <c r="B1275" t="s">
        <v>1607</v>
      </c>
      <c r="C1275" t="s">
        <v>58</v>
      </c>
      <c r="E1275" t="s">
        <v>2958</v>
      </c>
      <c r="F1275" t="s">
        <v>4055</v>
      </c>
      <c r="G1275" s="1" t="s">
        <v>1603</v>
      </c>
    </row>
    <row r="1276" spans="1:7" hidden="1" x14ac:dyDescent="0.25">
      <c r="A1276" t="s">
        <v>533</v>
      </c>
      <c r="B1276" t="s">
        <v>1607</v>
      </c>
      <c r="C1276" t="s">
        <v>58</v>
      </c>
      <c r="E1276" t="s">
        <v>2958</v>
      </c>
      <c r="F1276" t="s">
        <v>4058</v>
      </c>
      <c r="G1276" s="1" t="s">
        <v>1603</v>
      </c>
    </row>
    <row r="1277" spans="1:7" hidden="1" x14ac:dyDescent="0.25">
      <c r="A1277" t="s">
        <v>533</v>
      </c>
      <c r="B1277" t="s">
        <v>1607</v>
      </c>
      <c r="C1277" t="s">
        <v>58</v>
      </c>
      <c r="E1277" t="s">
        <v>2958</v>
      </c>
      <c r="F1277" t="s">
        <v>4061</v>
      </c>
      <c r="G1277" s="1" t="s">
        <v>1603</v>
      </c>
    </row>
    <row r="1278" spans="1:7" hidden="1" x14ac:dyDescent="0.25">
      <c r="A1278" t="s">
        <v>533</v>
      </c>
      <c r="B1278" t="s">
        <v>1607</v>
      </c>
      <c r="C1278" t="s">
        <v>58</v>
      </c>
      <c r="E1278" t="s">
        <v>2958</v>
      </c>
      <c r="F1278" t="s">
        <v>4064</v>
      </c>
      <c r="G1278" s="1" t="s">
        <v>1603</v>
      </c>
    </row>
    <row r="1279" spans="1:7" hidden="1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4067</v>
      </c>
      <c r="G1279" s="1" t="s">
        <v>1603</v>
      </c>
    </row>
    <row r="1280" spans="1:7" hidden="1" x14ac:dyDescent="0.25">
      <c r="A1280" t="s">
        <v>4</v>
      </c>
      <c r="B1280" t="s">
        <v>8</v>
      </c>
      <c r="F1280" t="s">
        <v>4070</v>
      </c>
      <c r="G1280" t="s">
        <v>1817</v>
      </c>
    </row>
    <row r="1281" spans="1:7" hidden="1" x14ac:dyDescent="0.25">
      <c r="A1281" t="s">
        <v>533</v>
      </c>
      <c r="B1281" t="s">
        <v>531</v>
      </c>
      <c r="C1281" t="s">
        <v>4242</v>
      </c>
      <c r="D1281">
        <v>2</v>
      </c>
      <c r="E1281" t="s">
        <v>4243</v>
      </c>
      <c r="F1281" t="s">
        <v>4073</v>
      </c>
      <c r="G1281" t="s">
        <v>1817</v>
      </c>
    </row>
    <row r="1282" spans="1:7" hidden="1" x14ac:dyDescent="0.25">
      <c r="A1282" t="s">
        <v>533</v>
      </c>
      <c r="B1282" t="s">
        <v>531</v>
      </c>
      <c r="C1282" t="s">
        <v>4242</v>
      </c>
      <c r="D1282">
        <v>2</v>
      </c>
      <c r="E1282" t="s">
        <v>4243</v>
      </c>
      <c r="F1282" t="s">
        <v>4076</v>
      </c>
      <c r="G1282" t="s">
        <v>1817</v>
      </c>
    </row>
    <row r="1283" spans="1:7" hidden="1" x14ac:dyDescent="0.25">
      <c r="A1283" t="s">
        <v>4216</v>
      </c>
      <c r="B1283" t="s">
        <v>531</v>
      </c>
      <c r="C1283" t="s">
        <v>58</v>
      </c>
      <c r="E1283" t="s">
        <v>4244</v>
      </c>
      <c r="F1283" t="s">
        <v>4079</v>
      </c>
      <c r="G1283" t="s">
        <v>1817</v>
      </c>
    </row>
    <row r="1284" spans="1:7" hidden="1" x14ac:dyDescent="0.25">
      <c r="A1284" t="s">
        <v>4216</v>
      </c>
      <c r="B1284" t="s">
        <v>531</v>
      </c>
      <c r="C1284" t="s">
        <v>58</v>
      </c>
      <c r="E1284" t="s">
        <v>2936</v>
      </c>
      <c r="F1284" t="s">
        <v>4082</v>
      </c>
      <c r="G1284" t="s">
        <v>1817</v>
      </c>
    </row>
    <row r="1285" spans="1:7" hidden="1" x14ac:dyDescent="0.25">
      <c r="A1285" t="s">
        <v>4216</v>
      </c>
      <c r="B1285" t="s">
        <v>531</v>
      </c>
      <c r="C1285" t="s">
        <v>58</v>
      </c>
      <c r="E1285" t="s">
        <v>2936</v>
      </c>
      <c r="F1285" t="s">
        <v>4085</v>
      </c>
      <c r="G1285" t="s">
        <v>1817</v>
      </c>
    </row>
    <row r="1286" spans="1:7" hidden="1" x14ac:dyDescent="0.25">
      <c r="A1286" t="s">
        <v>4216</v>
      </c>
      <c r="B1286" t="s">
        <v>531</v>
      </c>
      <c r="C1286" t="s">
        <v>58</v>
      </c>
      <c r="E1286" t="s">
        <v>2936</v>
      </c>
      <c r="F1286" t="s">
        <v>4088</v>
      </c>
      <c r="G1286" t="s">
        <v>1817</v>
      </c>
    </row>
    <row r="1287" spans="1:7" hidden="1" x14ac:dyDescent="0.25">
      <c r="A1287" t="s">
        <v>4216</v>
      </c>
      <c r="B1287" t="s">
        <v>531</v>
      </c>
      <c r="C1287" t="s">
        <v>58</v>
      </c>
      <c r="E1287" t="s">
        <v>2936</v>
      </c>
      <c r="F1287" t="s">
        <v>4091</v>
      </c>
      <c r="G1287" t="s">
        <v>1817</v>
      </c>
    </row>
    <row r="1288" spans="1:7" hidden="1" x14ac:dyDescent="0.25">
      <c r="A1288" t="s">
        <v>289</v>
      </c>
      <c r="B1288" t="s">
        <v>4192</v>
      </c>
      <c r="C1288" t="s">
        <v>58</v>
      </c>
      <c r="F1288" t="s">
        <v>4094</v>
      </c>
      <c r="G1288" t="s">
        <v>1817</v>
      </c>
    </row>
    <row r="1289" spans="1:7" hidden="1" x14ac:dyDescent="0.25">
      <c r="A1289" t="s">
        <v>289</v>
      </c>
      <c r="B1289" t="s">
        <v>4192</v>
      </c>
      <c r="C1289" t="s">
        <v>58</v>
      </c>
      <c r="E1289" t="s">
        <v>2936</v>
      </c>
      <c r="F1289" t="s">
        <v>4097</v>
      </c>
      <c r="G1289" t="s">
        <v>1817</v>
      </c>
    </row>
    <row r="1290" spans="1:7" hidden="1" x14ac:dyDescent="0.25">
      <c r="A1290" t="s">
        <v>289</v>
      </c>
      <c r="B1290" t="s">
        <v>4192</v>
      </c>
      <c r="C1290" t="s">
        <v>58</v>
      </c>
      <c r="E1290" t="s">
        <v>2936</v>
      </c>
      <c r="F1290" t="s">
        <v>4100</v>
      </c>
      <c r="G1290" t="s">
        <v>1817</v>
      </c>
    </row>
    <row r="1291" spans="1:7" hidden="1" x14ac:dyDescent="0.25">
      <c r="A1291" t="s">
        <v>289</v>
      </c>
      <c r="B1291" t="s">
        <v>4192</v>
      </c>
      <c r="C1291" t="s">
        <v>58</v>
      </c>
      <c r="E1291" t="s">
        <v>2936</v>
      </c>
      <c r="F1291" t="s">
        <v>4103</v>
      </c>
      <c r="G1291" t="s">
        <v>1817</v>
      </c>
    </row>
    <row r="1292" spans="1:7" hidden="1" x14ac:dyDescent="0.25">
      <c r="A1292" t="s">
        <v>4</v>
      </c>
      <c r="B1292" t="s">
        <v>8</v>
      </c>
      <c r="F1292" t="s">
        <v>4106</v>
      </c>
      <c r="G1292" t="s">
        <v>1817</v>
      </c>
    </row>
    <row r="1293" spans="1:7" hidden="1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4109</v>
      </c>
      <c r="G1293" t="s">
        <v>1817</v>
      </c>
    </row>
    <row r="1294" spans="1:7" hidden="1" x14ac:dyDescent="0.25">
      <c r="A1294" t="s">
        <v>1094</v>
      </c>
      <c r="B1294" t="s">
        <v>86</v>
      </c>
      <c r="C1294" t="s">
        <v>58</v>
      </c>
      <c r="E1294" t="s">
        <v>4245</v>
      </c>
      <c r="F1294" t="s">
        <v>4112</v>
      </c>
      <c r="G1294" t="s">
        <v>1817</v>
      </c>
    </row>
    <row r="1295" spans="1:7" hidden="1" x14ac:dyDescent="0.25">
      <c r="A1295" t="s">
        <v>1094</v>
      </c>
      <c r="B1295" t="s">
        <v>86</v>
      </c>
      <c r="C1295" t="s">
        <v>58</v>
      </c>
      <c r="E1295" t="s">
        <v>4245</v>
      </c>
      <c r="F1295" t="s">
        <v>4115</v>
      </c>
      <c r="G1295" t="s">
        <v>1817</v>
      </c>
    </row>
    <row r="1296" spans="1:7" hidden="1" x14ac:dyDescent="0.25">
      <c r="A1296" t="s">
        <v>533</v>
      </c>
      <c r="B1296" t="s">
        <v>1607</v>
      </c>
      <c r="C1296" t="s">
        <v>58</v>
      </c>
      <c r="F1296" t="s">
        <v>4118</v>
      </c>
      <c r="G1296" t="s">
        <v>1817</v>
      </c>
    </row>
    <row r="1297" spans="1:7" hidden="1" x14ac:dyDescent="0.25">
      <c r="A1297" t="s">
        <v>4</v>
      </c>
      <c r="B1297" t="s">
        <v>8</v>
      </c>
      <c r="F1297" t="s">
        <v>4121</v>
      </c>
      <c r="G1297" t="s">
        <v>1817</v>
      </c>
    </row>
    <row r="1298" spans="1:7" hidden="1" x14ac:dyDescent="0.25">
      <c r="A1298" t="s">
        <v>4</v>
      </c>
      <c r="B1298" t="s">
        <v>8</v>
      </c>
      <c r="F1298" t="s">
        <v>4124</v>
      </c>
      <c r="G1298" t="s">
        <v>1817</v>
      </c>
    </row>
    <row r="1299" spans="1:7" hidden="1" x14ac:dyDescent="0.25">
      <c r="A1299" t="s">
        <v>7</v>
      </c>
      <c r="F1299" t="s">
        <v>4127</v>
      </c>
      <c r="G1299" t="s">
        <v>1934</v>
      </c>
    </row>
    <row r="1300" spans="1:7" hidden="1" x14ac:dyDescent="0.25">
      <c r="A1300" t="s">
        <v>4246</v>
      </c>
      <c r="B1300" t="s">
        <v>4247</v>
      </c>
      <c r="F1300" t="s">
        <v>4130</v>
      </c>
      <c r="G1300" t="s">
        <v>1934</v>
      </c>
    </row>
    <row r="1301" spans="1:7" hidden="1" x14ac:dyDescent="0.25">
      <c r="A1301" t="s">
        <v>4246</v>
      </c>
      <c r="B1301" t="s">
        <v>4247</v>
      </c>
      <c r="F1301" t="s">
        <v>4133</v>
      </c>
      <c r="G1301" t="s">
        <v>1934</v>
      </c>
    </row>
    <row r="1302" spans="1:7" hidden="1" x14ac:dyDescent="0.25">
      <c r="A1302" t="s">
        <v>4246</v>
      </c>
      <c r="B1302" t="s">
        <v>4247</v>
      </c>
      <c r="F1302" t="s">
        <v>4136</v>
      </c>
      <c r="G1302" t="s">
        <v>1934</v>
      </c>
    </row>
    <row r="1303" spans="1:7" hidden="1" x14ac:dyDescent="0.25">
      <c r="A1303" t="s">
        <v>4246</v>
      </c>
      <c r="B1303" t="s">
        <v>4247</v>
      </c>
      <c r="F1303" t="s">
        <v>4139</v>
      </c>
      <c r="G1303" t="s">
        <v>1934</v>
      </c>
    </row>
    <row r="1304" spans="1:7" hidden="1" x14ac:dyDescent="0.25">
      <c r="A1304" t="s">
        <v>4246</v>
      </c>
      <c r="B1304" t="s">
        <v>4247</v>
      </c>
      <c r="F1304" t="s">
        <v>4142</v>
      </c>
      <c r="G1304" t="s">
        <v>1934</v>
      </c>
    </row>
    <row r="1305" spans="1:7" hidden="1" x14ac:dyDescent="0.25">
      <c r="A1305" t="s">
        <v>7</v>
      </c>
      <c r="B1305" t="s">
        <v>4248</v>
      </c>
      <c r="F1305" t="s">
        <v>4145</v>
      </c>
      <c r="G1305" t="s">
        <v>1934</v>
      </c>
    </row>
    <row r="1306" spans="1:7" hidden="1" x14ac:dyDescent="0.25">
      <c r="A1306" t="s">
        <v>7</v>
      </c>
      <c r="B1306" t="s">
        <v>4248</v>
      </c>
      <c r="F1306" t="s">
        <v>4148</v>
      </c>
      <c r="G1306" t="s">
        <v>1934</v>
      </c>
    </row>
    <row r="1307" spans="1:7" hidden="1" x14ac:dyDescent="0.25">
      <c r="A1307" t="s">
        <v>7</v>
      </c>
      <c r="B1307" t="s">
        <v>4248</v>
      </c>
      <c r="F1307" t="s">
        <v>4151</v>
      </c>
      <c r="G1307" t="s">
        <v>1934</v>
      </c>
    </row>
    <row r="1308" spans="1:7" hidden="1" x14ac:dyDescent="0.25">
      <c r="A1308" t="s">
        <v>7</v>
      </c>
      <c r="B1308" t="s">
        <v>4248</v>
      </c>
      <c r="F1308" t="s">
        <v>4154</v>
      </c>
      <c r="G1308" t="s">
        <v>1934</v>
      </c>
    </row>
    <row r="1309" spans="1:7" hidden="1" x14ac:dyDescent="0.25">
      <c r="A1309" t="s">
        <v>7</v>
      </c>
      <c r="B1309" t="s">
        <v>4248</v>
      </c>
      <c r="F1309" t="s">
        <v>4157</v>
      </c>
      <c r="G1309" t="s">
        <v>1934</v>
      </c>
    </row>
    <row r="1310" spans="1:7" hidden="1" x14ac:dyDescent="0.25">
      <c r="A1310" t="s">
        <v>7</v>
      </c>
      <c r="B1310" t="s">
        <v>4248</v>
      </c>
      <c r="F1310" t="s">
        <v>4160</v>
      </c>
      <c r="G1310" t="s">
        <v>1934</v>
      </c>
    </row>
    <row r="1311" spans="1:7" hidden="1" x14ac:dyDescent="0.25">
      <c r="A1311" t="s">
        <v>4</v>
      </c>
      <c r="B1311" t="s">
        <v>8</v>
      </c>
      <c r="F1311" t="s">
        <v>4163</v>
      </c>
      <c r="G1311" t="s">
        <v>1934</v>
      </c>
    </row>
    <row r="1312" spans="1:7" hidden="1" x14ac:dyDescent="0.25">
      <c r="A1312" t="s">
        <v>2014</v>
      </c>
      <c r="F1312" t="s">
        <v>4166</v>
      </c>
      <c r="G1312" t="s">
        <v>1997</v>
      </c>
    </row>
    <row r="1313" spans="1:7" hidden="1" x14ac:dyDescent="0.25">
      <c r="A1313" t="s">
        <v>4</v>
      </c>
      <c r="B1313" t="s">
        <v>4249</v>
      </c>
      <c r="F1313" t="s">
        <v>4169</v>
      </c>
      <c r="G1313" t="s">
        <v>1997</v>
      </c>
    </row>
    <row r="1314" spans="1:7" hidden="1" x14ac:dyDescent="0.25">
      <c r="A1314" t="s">
        <v>4</v>
      </c>
      <c r="B1314" t="s">
        <v>4250</v>
      </c>
      <c r="F1314" t="s">
        <v>4172</v>
      </c>
      <c r="G1314" t="s">
        <v>1997</v>
      </c>
    </row>
    <row r="1315" spans="1:7" hidden="1" x14ac:dyDescent="0.25">
      <c r="A1315" t="s">
        <v>4</v>
      </c>
      <c r="B1315" t="s">
        <v>4251</v>
      </c>
      <c r="F1315" t="s">
        <v>4175</v>
      </c>
      <c r="G1315" t="s">
        <v>1997</v>
      </c>
    </row>
    <row r="1316" spans="1:7" hidden="1" x14ac:dyDescent="0.25">
      <c r="A1316" t="s">
        <v>4</v>
      </c>
      <c r="B1316" t="s">
        <v>8</v>
      </c>
      <c r="F1316" t="s">
        <v>4178</v>
      </c>
      <c r="G1316" t="s">
        <v>1997</v>
      </c>
    </row>
    <row r="1317" spans="1:7" hidden="1" x14ac:dyDescent="0.25">
      <c r="A1317" t="s">
        <v>4</v>
      </c>
      <c r="B1317" t="s">
        <v>8</v>
      </c>
      <c r="F1317" t="s">
        <v>4181</v>
      </c>
      <c r="G1317" t="s">
        <v>1997</v>
      </c>
    </row>
    <row r="1318" spans="1:7" hidden="1" x14ac:dyDescent="0.25">
      <c r="A1318" t="s">
        <v>4212</v>
      </c>
      <c r="F1318" t="s">
        <v>4187</v>
      </c>
      <c r="G1318" t="s">
        <v>1997</v>
      </c>
    </row>
    <row r="1319" spans="1:7" hidden="1" x14ac:dyDescent="0.25">
      <c r="A1319" t="s">
        <v>2004</v>
      </c>
      <c r="F1319" t="s">
        <v>4184</v>
      </c>
      <c r="G1319" t="s">
        <v>1997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4252</v>
      </c>
      <c r="G1320" t="s">
        <v>1102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4255</v>
      </c>
      <c r="G1321" t="s">
        <v>1102</v>
      </c>
    </row>
    <row r="1322" spans="1:7" hidden="1" x14ac:dyDescent="0.25">
      <c r="A1322" t="s">
        <v>2004</v>
      </c>
      <c r="F1322" t="s">
        <v>4258</v>
      </c>
      <c r="G1322" t="s">
        <v>1103</v>
      </c>
    </row>
    <row r="1323" spans="1:7" hidden="1" x14ac:dyDescent="0.25">
      <c r="A1323" t="s">
        <v>2004</v>
      </c>
      <c r="F1323" t="s">
        <v>4261</v>
      </c>
      <c r="G1323" t="s">
        <v>91</v>
      </c>
    </row>
    <row r="1324" spans="1:7" hidden="1" x14ac:dyDescent="0.25">
      <c r="A1324" t="s">
        <v>650</v>
      </c>
      <c r="B1324" t="s">
        <v>55</v>
      </c>
      <c r="C1324" t="s">
        <v>51</v>
      </c>
      <c r="F1324" t="s">
        <v>4264</v>
      </c>
      <c r="G1324" t="s">
        <v>1104</v>
      </c>
    </row>
    <row r="1325" spans="1:7" hidden="1" x14ac:dyDescent="0.25">
      <c r="A1325" t="s">
        <v>1606</v>
      </c>
      <c r="B1325" t="s">
        <v>55</v>
      </c>
      <c r="C1325" t="s">
        <v>51</v>
      </c>
      <c r="F1325" t="s">
        <v>4267</v>
      </c>
      <c r="G1325" t="s">
        <v>1104</v>
      </c>
    </row>
    <row r="1326" spans="1:7" hidden="1" x14ac:dyDescent="0.25">
      <c r="A1326" t="s">
        <v>2004</v>
      </c>
      <c r="F1326" t="s">
        <v>4270</v>
      </c>
      <c r="G1326" t="s">
        <v>1105</v>
      </c>
    </row>
    <row r="1327" spans="1:7" hidden="1" x14ac:dyDescent="0.25">
      <c r="A1327" t="s">
        <v>2004</v>
      </c>
      <c r="F1327" t="s">
        <v>4273</v>
      </c>
      <c r="G1327" t="s">
        <v>1106</v>
      </c>
    </row>
    <row r="1328" spans="1:7" x14ac:dyDescent="0.25">
      <c r="A1328" t="s">
        <v>4297</v>
      </c>
      <c r="B1328" t="s">
        <v>55</v>
      </c>
      <c r="F1328" t="s">
        <v>4276</v>
      </c>
      <c r="G1328" t="s">
        <v>1107</v>
      </c>
    </row>
    <row r="1329" spans="1:7" hidden="1" x14ac:dyDescent="0.25">
      <c r="A1329" t="s">
        <v>2004</v>
      </c>
      <c r="B1329" t="s">
        <v>8</v>
      </c>
      <c r="F1329" t="s">
        <v>4279</v>
      </c>
      <c r="G1329" t="s">
        <v>796</v>
      </c>
    </row>
    <row r="1330" spans="1:7" hidden="1" x14ac:dyDescent="0.25">
      <c r="A1330" t="s">
        <v>2004</v>
      </c>
      <c r="F1330" t="s">
        <v>4282</v>
      </c>
      <c r="G1330" t="s">
        <v>1100</v>
      </c>
    </row>
    <row r="1331" spans="1:7" hidden="1" x14ac:dyDescent="0.25">
      <c r="A1331" t="s">
        <v>2004</v>
      </c>
      <c r="F1331" t="s">
        <v>4285</v>
      </c>
      <c r="G1331" s="1" t="s">
        <v>1603</v>
      </c>
    </row>
    <row r="1332" spans="1:7" hidden="1" x14ac:dyDescent="0.25">
      <c r="A1332" t="s">
        <v>2004</v>
      </c>
      <c r="F1332" t="s">
        <v>4288</v>
      </c>
      <c r="G1332" t="s">
        <v>1817</v>
      </c>
    </row>
    <row r="1333" spans="1:7" hidden="1" x14ac:dyDescent="0.25">
      <c r="A1333" t="s">
        <v>2004</v>
      </c>
      <c r="F1333" t="s">
        <v>4291</v>
      </c>
      <c r="G1333" t="s">
        <v>1934</v>
      </c>
    </row>
    <row r="1334" spans="1:7" hidden="1" x14ac:dyDescent="0.25">
      <c r="A1334" t="s">
        <v>4298</v>
      </c>
      <c r="F1334" t="s">
        <v>4294</v>
      </c>
      <c r="G1334" t="s">
        <v>1997</v>
      </c>
    </row>
    <row r="1335" spans="1:7" hidden="1" x14ac:dyDescent="0.25">
      <c r="A1335" t="s">
        <v>91</v>
      </c>
      <c r="B1335" t="s">
        <v>4194</v>
      </c>
      <c r="C1335" t="s">
        <v>1609</v>
      </c>
      <c r="E1335" t="s">
        <v>5074</v>
      </c>
      <c r="F1335" t="s">
        <v>4402</v>
      </c>
      <c r="G1335" t="s">
        <v>1102</v>
      </c>
    </row>
    <row r="1336" spans="1:7" hidden="1" x14ac:dyDescent="0.25">
      <c r="A1336" t="s">
        <v>62</v>
      </c>
      <c r="B1336" t="s">
        <v>4194</v>
      </c>
      <c r="C1336" t="s">
        <v>51</v>
      </c>
      <c r="E1336" t="s">
        <v>5075</v>
      </c>
      <c r="F1336" t="s">
        <v>4405</v>
      </c>
      <c r="G1336" t="s">
        <v>1102</v>
      </c>
    </row>
    <row r="1337" spans="1:7" hidden="1" x14ac:dyDescent="0.25">
      <c r="A1337" t="s">
        <v>91</v>
      </c>
      <c r="B1337" t="s">
        <v>70</v>
      </c>
      <c r="C1337" t="s">
        <v>5076</v>
      </c>
      <c r="F1337" t="s">
        <v>4408</v>
      </c>
      <c r="G1337" t="s">
        <v>1102</v>
      </c>
    </row>
    <row r="1338" spans="1:7" hidden="1" x14ac:dyDescent="0.25">
      <c r="A1338" t="s">
        <v>62</v>
      </c>
      <c r="B1338" t="s">
        <v>70</v>
      </c>
      <c r="C1338" t="s">
        <v>5076</v>
      </c>
      <c r="F1338" t="s">
        <v>4411</v>
      </c>
      <c r="G1338" t="s">
        <v>1102</v>
      </c>
    </row>
    <row r="1339" spans="1:7" hidden="1" x14ac:dyDescent="0.25">
      <c r="A1339" t="s">
        <v>91</v>
      </c>
      <c r="B1339" t="s">
        <v>70</v>
      </c>
      <c r="C1339" t="s">
        <v>5076</v>
      </c>
      <c r="F1339" t="s">
        <v>4414</v>
      </c>
      <c r="G1339" t="s">
        <v>1102</v>
      </c>
    </row>
    <row r="1340" spans="1:7" hidden="1" x14ac:dyDescent="0.25">
      <c r="A1340" t="s">
        <v>62</v>
      </c>
      <c r="B1340" t="s">
        <v>70</v>
      </c>
      <c r="C1340" t="s">
        <v>5076</v>
      </c>
      <c r="F1340" t="s">
        <v>4417</v>
      </c>
      <c r="G1340" t="s">
        <v>1102</v>
      </c>
    </row>
    <row r="1341" spans="1:7" hidden="1" x14ac:dyDescent="0.25">
      <c r="A1341" t="s">
        <v>2004</v>
      </c>
      <c r="F1341" t="s">
        <v>4420</v>
      </c>
      <c r="G1341" t="s">
        <v>1102</v>
      </c>
    </row>
    <row r="1342" spans="1:7" hidden="1" x14ac:dyDescent="0.25">
      <c r="A1342" t="s">
        <v>91</v>
      </c>
      <c r="B1342" t="s">
        <v>70</v>
      </c>
      <c r="C1342" t="s">
        <v>5076</v>
      </c>
      <c r="F1342" t="s">
        <v>4423</v>
      </c>
      <c r="G1342" t="s">
        <v>1102</v>
      </c>
    </row>
    <row r="1343" spans="1:7" hidden="1" x14ac:dyDescent="0.25">
      <c r="A1343" t="s">
        <v>62</v>
      </c>
      <c r="B1343" t="s">
        <v>70</v>
      </c>
      <c r="C1343" t="s">
        <v>5076</v>
      </c>
      <c r="F1343" t="s">
        <v>4426</v>
      </c>
      <c r="G1343" t="s">
        <v>1102</v>
      </c>
    </row>
    <row r="1344" spans="1:7" hidden="1" x14ac:dyDescent="0.25">
      <c r="A1344" t="s">
        <v>91</v>
      </c>
      <c r="B1344" t="s">
        <v>70</v>
      </c>
      <c r="C1344" t="s">
        <v>5076</v>
      </c>
      <c r="F1344" t="s">
        <v>4429</v>
      </c>
      <c r="G1344" t="s">
        <v>1102</v>
      </c>
    </row>
    <row r="1345" spans="1:7" hidden="1" x14ac:dyDescent="0.25">
      <c r="A1345" t="s">
        <v>62</v>
      </c>
      <c r="B1345" t="s">
        <v>70</v>
      </c>
      <c r="C1345" t="s">
        <v>5076</v>
      </c>
      <c r="F1345" t="s">
        <v>4432</v>
      </c>
      <c r="G1345" t="s">
        <v>1102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4435</v>
      </c>
      <c r="G1346" t="s">
        <v>1102</v>
      </c>
    </row>
    <row r="1347" spans="1:7" hidden="1" x14ac:dyDescent="0.25">
      <c r="A1347" t="s">
        <v>91</v>
      </c>
      <c r="B1347" t="s">
        <v>55</v>
      </c>
      <c r="C1347" t="s">
        <v>5077</v>
      </c>
      <c r="F1347" t="s">
        <v>4438</v>
      </c>
      <c r="G1347" t="s">
        <v>1102</v>
      </c>
    </row>
    <row r="1348" spans="1:7" hidden="1" x14ac:dyDescent="0.25">
      <c r="A1348" t="s">
        <v>91</v>
      </c>
      <c r="B1348" t="s">
        <v>70</v>
      </c>
      <c r="C1348" t="s">
        <v>5076</v>
      </c>
      <c r="F1348" t="s">
        <v>4441</v>
      </c>
      <c r="G1348" t="s">
        <v>1102</v>
      </c>
    </row>
    <row r="1349" spans="1:7" hidden="1" x14ac:dyDescent="0.25">
      <c r="A1349" t="s">
        <v>62</v>
      </c>
      <c r="B1349" t="s">
        <v>70</v>
      </c>
      <c r="C1349" t="s">
        <v>5076</v>
      </c>
      <c r="F1349" t="s">
        <v>4444</v>
      </c>
      <c r="G1349" t="s">
        <v>1102</v>
      </c>
    </row>
    <row r="1350" spans="1:7" hidden="1" x14ac:dyDescent="0.25">
      <c r="A1350" t="s">
        <v>2004</v>
      </c>
      <c r="F1350" t="s">
        <v>4447</v>
      </c>
      <c r="G1350" t="s">
        <v>1102</v>
      </c>
    </row>
    <row r="1351" spans="1:7" hidden="1" x14ac:dyDescent="0.25">
      <c r="A1351" t="s">
        <v>5078</v>
      </c>
      <c r="B1351" t="s">
        <v>1607</v>
      </c>
      <c r="C1351" t="s">
        <v>5079</v>
      </c>
      <c r="E1351" t="s">
        <v>5080</v>
      </c>
      <c r="F1351" t="s">
        <v>4299</v>
      </c>
      <c r="G1351" t="s">
        <v>1103</v>
      </c>
    </row>
    <row r="1352" spans="1:7" hidden="1" x14ac:dyDescent="0.25">
      <c r="A1352" t="s">
        <v>5081</v>
      </c>
      <c r="B1352" t="s">
        <v>86</v>
      </c>
      <c r="C1352" t="s">
        <v>3071</v>
      </c>
      <c r="E1352" t="s">
        <v>5082</v>
      </c>
      <c r="F1352" t="s">
        <v>4302</v>
      </c>
      <c r="G1352" t="s">
        <v>1103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4305</v>
      </c>
      <c r="G1353" t="s">
        <v>1103</v>
      </c>
    </row>
    <row r="1354" spans="1:7" hidden="1" x14ac:dyDescent="0.25">
      <c r="A1354" t="s">
        <v>4</v>
      </c>
      <c r="B1354" t="s">
        <v>86</v>
      </c>
      <c r="C1354" t="s">
        <v>2938</v>
      </c>
      <c r="F1354" t="s">
        <v>4308</v>
      </c>
      <c r="G1354" t="s">
        <v>1103</v>
      </c>
    </row>
    <row r="1355" spans="1:7" hidden="1" x14ac:dyDescent="0.25">
      <c r="A1355" t="s">
        <v>5081</v>
      </c>
      <c r="B1355" t="s">
        <v>86</v>
      </c>
      <c r="C1355" t="s">
        <v>2938</v>
      </c>
      <c r="E1355" t="s">
        <v>5082</v>
      </c>
      <c r="F1355" t="s">
        <v>4311</v>
      </c>
      <c r="G1355" t="s">
        <v>1103</v>
      </c>
    </row>
    <row r="1356" spans="1:7" hidden="1" x14ac:dyDescent="0.25">
      <c r="A1356" t="s">
        <v>4</v>
      </c>
      <c r="B1356" t="s">
        <v>86</v>
      </c>
      <c r="C1356" t="s">
        <v>5083</v>
      </c>
      <c r="E1356" t="s">
        <v>5084</v>
      </c>
      <c r="F1356" t="s">
        <v>4314</v>
      </c>
      <c r="G1356" t="s">
        <v>1103</v>
      </c>
    </row>
    <row r="1357" spans="1:7" hidden="1" x14ac:dyDescent="0.25">
      <c r="A1357" t="s">
        <v>4</v>
      </c>
      <c r="B1357" t="s">
        <v>8</v>
      </c>
      <c r="F1357" t="s">
        <v>4318</v>
      </c>
      <c r="G1357" t="s">
        <v>1103</v>
      </c>
    </row>
    <row r="1358" spans="1:7" hidden="1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3075</v>
      </c>
      <c r="F1358" t="s">
        <v>4321</v>
      </c>
      <c r="G1358" t="s">
        <v>1103</v>
      </c>
    </row>
    <row r="1359" spans="1:7" hidden="1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3075</v>
      </c>
      <c r="F1359" t="s">
        <v>4324</v>
      </c>
      <c r="G1359" t="s">
        <v>1103</v>
      </c>
    </row>
    <row r="1360" spans="1:7" hidden="1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3075</v>
      </c>
      <c r="F1360" t="s">
        <v>4327</v>
      </c>
      <c r="G1360" t="s">
        <v>1103</v>
      </c>
    </row>
    <row r="1361" spans="1:7" hidden="1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3075</v>
      </c>
      <c r="F1361" t="s">
        <v>4330</v>
      </c>
      <c r="G1361" t="s">
        <v>1103</v>
      </c>
    </row>
    <row r="1362" spans="1:7" hidden="1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3075</v>
      </c>
      <c r="F1362" t="s">
        <v>4333</v>
      </c>
      <c r="G1362" t="s">
        <v>1103</v>
      </c>
    </row>
    <row r="1363" spans="1:7" hidden="1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3075</v>
      </c>
      <c r="F1363" t="s">
        <v>4336</v>
      </c>
      <c r="G1363" t="s">
        <v>1103</v>
      </c>
    </row>
    <row r="1364" spans="1:7" hidden="1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3075</v>
      </c>
      <c r="F1364" t="s">
        <v>4339</v>
      </c>
      <c r="G1364" t="s">
        <v>1103</v>
      </c>
    </row>
    <row r="1365" spans="1:7" hidden="1" x14ac:dyDescent="0.25">
      <c r="A1365" t="s">
        <v>158</v>
      </c>
      <c r="B1365" t="s">
        <v>86</v>
      </c>
      <c r="C1365" t="s">
        <v>5085</v>
      </c>
      <c r="D1365">
        <v>3</v>
      </c>
      <c r="E1365" t="s">
        <v>3075</v>
      </c>
      <c r="F1365" t="s">
        <v>4342</v>
      </c>
      <c r="G1365" t="s">
        <v>1103</v>
      </c>
    </row>
    <row r="1366" spans="1:7" hidden="1" x14ac:dyDescent="0.25">
      <c r="A1366" t="s">
        <v>158</v>
      </c>
      <c r="B1366" t="s">
        <v>86</v>
      </c>
      <c r="C1366" t="s">
        <v>5085</v>
      </c>
      <c r="D1366">
        <v>3</v>
      </c>
      <c r="E1366" t="s">
        <v>3075</v>
      </c>
      <c r="F1366" t="s">
        <v>4345</v>
      </c>
      <c r="G1366" t="s">
        <v>1103</v>
      </c>
    </row>
    <row r="1367" spans="1:7" hidden="1" x14ac:dyDescent="0.25">
      <c r="A1367" t="s">
        <v>158</v>
      </c>
      <c r="B1367" t="s">
        <v>86</v>
      </c>
      <c r="C1367" t="s">
        <v>5085</v>
      </c>
      <c r="D1367">
        <v>3</v>
      </c>
      <c r="E1367" t="s">
        <v>3075</v>
      </c>
      <c r="F1367" t="s">
        <v>4348</v>
      </c>
      <c r="G1367" t="s">
        <v>1103</v>
      </c>
    </row>
    <row r="1368" spans="1:7" hidden="1" x14ac:dyDescent="0.25">
      <c r="A1368" t="s">
        <v>4221</v>
      </c>
      <c r="B1368" t="s">
        <v>86</v>
      </c>
      <c r="C1368" t="s">
        <v>4240</v>
      </c>
      <c r="E1368" t="s">
        <v>4236</v>
      </c>
      <c r="F1368" t="s">
        <v>4351</v>
      </c>
      <c r="G1368" t="s">
        <v>1103</v>
      </c>
    </row>
    <row r="1369" spans="1:7" hidden="1" x14ac:dyDescent="0.25">
      <c r="A1369" t="s">
        <v>4221</v>
      </c>
      <c r="B1369" t="s">
        <v>86</v>
      </c>
      <c r="C1369" t="s">
        <v>4240</v>
      </c>
      <c r="E1369" t="s">
        <v>2936</v>
      </c>
      <c r="F1369" t="s">
        <v>4354</v>
      </c>
      <c r="G1369" t="s">
        <v>1103</v>
      </c>
    </row>
    <row r="1370" spans="1:7" hidden="1" x14ac:dyDescent="0.25">
      <c r="A1370" t="s">
        <v>158</v>
      </c>
      <c r="B1370" t="s">
        <v>86</v>
      </c>
      <c r="C1370" t="s">
        <v>5085</v>
      </c>
      <c r="D1370">
        <v>3</v>
      </c>
      <c r="E1370" t="s">
        <v>3075</v>
      </c>
      <c r="F1370" t="s">
        <v>4357</v>
      </c>
      <c r="G1370" t="s">
        <v>1103</v>
      </c>
    </row>
    <row r="1371" spans="1:7" hidden="1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3075</v>
      </c>
      <c r="F1371" t="s">
        <v>4360</v>
      </c>
      <c r="G1371" t="s">
        <v>1103</v>
      </c>
    </row>
    <row r="1372" spans="1:7" hidden="1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3075</v>
      </c>
      <c r="F1372" t="s">
        <v>4363</v>
      </c>
      <c r="G1372" t="s">
        <v>1103</v>
      </c>
    </row>
    <row r="1373" spans="1:7" hidden="1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3075</v>
      </c>
      <c r="F1373" t="s">
        <v>4366</v>
      </c>
      <c r="G1373" t="s">
        <v>1103</v>
      </c>
    </row>
    <row r="1374" spans="1:7" hidden="1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3075</v>
      </c>
      <c r="F1374" t="s">
        <v>4369</v>
      </c>
      <c r="G1374" t="s">
        <v>1103</v>
      </c>
    </row>
    <row r="1375" spans="1:7" hidden="1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3075</v>
      </c>
      <c r="F1375" t="s">
        <v>4372</v>
      </c>
      <c r="G1375" t="s">
        <v>1103</v>
      </c>
    </row>
    <row r="1376" spans="1:7" hidden="1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3075</v>
      </c>
      <c r="F1376" t="s">
        <v>4375</v>
      </c>
      <c r="G1376" t="s">
        <v>1103</v>
      </c>
    </row>
    <row r="1377" spans="1:7" hidden="1" x14ac:dyDescent="0.25">
      <c r="A1377" t="s">
        <v>4221</v>
      </c>
      <c r="B1377" t="s">
        <v>86</v>
      </c>
      <c r="C1377" t="s">
        <v>2938</v>
      </c>
      <c r="E1377" t="s">
        <v>4236</v>
      </c>
      <c r="F1377" t="s">
        <v>4378</v>
      </c>
      <c r="G1377" t="s">
        <v>1103</v>
      </c>
    </row>
    <row r="1378" spans="1:7" hidden="1" x14ac:dyDescent="0.25">
      <c r="A1378" t="s">
        <v>4221</v>
      </c>
      <c r="B1378" t="s">
        <v>86</v>
      </c>
      <c r="C1378" t="s">
        <v>2938</v>
      </c>
      <c r="E1378" t="s">
        <v>2936</v>
      </c>
      <c r="F1378" t="s">
        <v>4381</v>
      </c>
      <c r="G1378" t="s">
        <v>1103</v>
      </c>
    </row>
    <row r="1379" spans="1:7" hidden="1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3075</v>
      </c>
      <c r="F1379" t="s">
        <v>4384</v>
      </c>
      <c r="G1379" t="s">
        <v>1103</v>
      </c>
    </row>
    <row r="1380" spans="1:7" hidden="1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3075</v>
      </c>
      <c r="F1380" t="s">
        <v>4387</v>
      </c>
      <c r="G1380" t="s">
        <v>1103</v>
      </c>
    </row>
    <row r="1381" spans="1:7" hidden="1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3075</v>
      </c>
      <c r="F1381" t="s">
        <v>4390</v>
      </c>
      <c r="G1381" t="s">
        <v>1103</v>
      </c>
    </row>
    <row r="1382" spans="1:7" hidden="1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3075</v>
      </c>
      <c r="F1382" t="s">
        <v>4393</v>
      </c>
      <c r="G1382" t="s">
        <v>1103</v>
      </c>
    </row>
    <row r="1383" spans="1:7" hidden="1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3075</v>
      </c>
      <c r="F1383" t="s">
        <v>4396</v>
      </c>
      <c r="G1383" t="s">
        <v>1103</v>
      </c>
    </row>
    <row r="1384" spans="1:7" hidden="1" x14ac:dyDescent="0.25">
      <c r="A1384" t="s">
        <v>2004</v>
      </c>
      <c r="F1384" t="s">
        <v>4399</v>
      </c>
      <c r="G1384" t="s">
        <v>1103</v>
      </c>
    </row>
    <row r="1385" spans="1:7" hidden="1" x14ac:dyDescent="0.25">
      <c r="A1385" t="s">
        <v>4</v>
      </c>
      <c r="B1385" t="s">
        <v>8</v>
      </c>
      <c r="F1385" t="s">
        <v>4558</v>
      </c>
      <c r="G1385" t="s">
        <v>91</v>
      </c>
    </row>
    <row r="1386" spans="1:7" hidden="1" x14ac:dyDescent="0.25">
      <c r="A1386" t="s">
        <v>4</v>
      </c>
      <c r="B1386" t="s">
        <v>4194</v>
      </c>
      <c r="E1386" t="s">
        <v>5089</v>
      </c>
      <c r="F1386" t="s">
        <v>4561</v>
      </c>
      <c r="G1386" t="s">
        <v>91</v>
      </c>
    </row>
    <row r="1387" spans="1:7" hidden="1" x14ac:dyDescent="0.25">
      <c r="A1387" t="s">
        <v>4</v>
      </c>
      <c r="B1387" t="s">
        <v>8</v>
      </c>
      <c r="F1387" t="s">
        <v>4564</v>
      </c>
      <c r="G1387" t="s">
        <v>91</v>
      </c>
    </row>
    <row r="1388" spans="1:7" hidden="1" x14ac:dyDescent="0.25">
      <c r="A1388" t="s">
        <v>4</v>
      </c>
      <c r="B1388" t="s">
        <v>8</v>
      </c>
      <c r="F1388" t="s">
        <v>4567</v>
      </c>
      <c r="G1388" t="s">
        <v>91</v>
      </c>
    </row>
    <row r="1389" spans="1:7" hidden="1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5086</v>
      </c>
      <c r="G1389" t="s">
        <v>91</v>
      </c>
    </row>
    <row r="1390" spans="1:7" hidden="1" x14ac:dyDescent="0.25">
      <c r="A1390" t="s">
        <v>4</v>
      </c>
      <c r="B1390" t="s">
        <v>8</v>
      </c>
      <c r="F1390" t="s">
        <v>4570</v>
      </c>
      <c r="G1390" t="s">
        <v>91</v>
      </c>
    </row>
    <row r="1391" spans="1:7" hidden="1" x14ac:dyDescent="0.25">
      <c r="A1391" t="s">
        <v>2004</v>
      </c>
      <c r="F1391" t="s">
        <v>4573</v>
      </c>
      <c r="G1391" t="s">
        <v>91</v>
      </c>
    </row>
    <row r="1392" spans="1:7" hidden="1" x14ac:dyDescent="0.25">
      <c r="A1392" t="s">
        <v>290</v>
      </c>
      <c r="B1392" t="s">
        <v>4194</v>
      </c>
      <c r="C1392" t="s">
        <v>5093</v>
      </c>
      <c r="F1392" t="s">
        <v>4450</v>
      </c>
      <c r="G1392" t="s">
        <v>1104</v>
      </c>
    </row>
    <row r="1393" spans="1:7" hidden="1" x14ac:dyDescent="0.25">
      <c r="A1393" t="s">
        <v>290</v>
      </c>
      <c r="B1393" t="s">
        <v>4194</v>
      </c>
      <c r="C1393" t="s">
        <v>5093</v>
      </c>
      <c r="F1393" t="s">
        <v>4453</v>
      </c>
      <c r="G1393" t="s">
        <v>1104</v>
      </c>
    </row>
    <row r="1394" spans="1:7" hidden="1" x14ac:dyDescent="0.25">
      <c r="A1394" t="s">
        <v>650</v>
      </c>
      <c r="B1394" t="s">
        <v>4194</v>
      </c>
      <c r="F1394" t="s">
        <v>4456</v>
      </c>
      <c r="G1394" t="s">
        <v>1104</v>
      </c>
    </row>
    <row r="1395" spans="1:7" hidden="1" x14ac:dyDescent="0.25">
      <c r="A1395" t="s">
        <v>289</v>
      </c>
      <c r="B1395" t="s">
        <v>70</v>
      </c>
      <c r="C1395" t="s">
        <v>5093</v>
      </c>
      <c r="E1395" t="s">
        <v>5094</v>
      </c>
      <c r="F1395" t="s">
        <v>4459</v>
      </c>
      <c r="G1395" t="s">
        <v>1104</v>
      </c>
    </row>
    <row r="1396" spans="1:7" hidden="1" x14ac:dyDescent="0.25">
      <c r="A1396" t="s">
        <v>290</v>
      </c>
      <c r="B1396" t="s">
        <v>70</v>
      </c>
      <c r="C1396" t="s">
        <v>5093</v>
      </c>
      <c r="E1396" t="s">
        <v>5094</v>
      </c>
      <c r="F1396" t="s">
        <v>5090</v>
      </c>
      <c r="G1396" t="s">
        <v>1104</v>
      </c>
    </row>
    <row r="1397" spans="1:7" hidden="1" x14ac:dyDescent="0.25">
      <c r="A1397" t="s">
        <v>650</v>
      </c>
      <c r="B1397" t="s">
        <v>70</v>
      </c>
      <c r="F1397" t="s">
        <v>4462</v>
      </c>
      <c r="G1397" t="s">
        <v>1104</v>
      </c>
    </row>
    <row r="1398" spans="1:7" hidden="1" x14ac:dyDescent="0.25">
      <c r="A1398" t="s">
        <v>2004</v>
      </c>
      <c r="B1398" t="s">
        <v>8</v>
      </c>
      <c r="F1398" t="s">
        <v>4465</v>
      </c>
      <c r="G1398" t="s">
        <v>1104</v>
      </c>
    </row>
    <row r="1399" spans="1:7" hidden="1" x14ac:dyDescent="0.25">
      <c r="A1399" t="s">
        <v>289</v>
      </c>
      <c r="B1399" t="s">
        <v>70</v>
      </c>
      <c r="C1399" t="s">
        <v>5093</v>
      </c>
      <c r="E1399" t="s">
        <v>5095</v>
      </c>
      <c r="F1399" t="s">
        <v>4468</v>
      </c>
      <c r="G1399" t="s">
        <v>1104</v>
      </c>
    </row>
    <row r="1400" spans="1:7" hidden="1" x14ac:dyDescent="0.25">
      <c r="A1400" t="s">
        <v>289</v>
      </c>
      <c r="B1400" t="s">
        <v>70</v>
      </c>
      <c r="C1400" t="s">
        <v>5093</v>
      </c>
      <c r="E1400" t="s">
        <v>2936</v>
      </c>
      <c r="F1400" t="s">
        <v>4471</v>
      </c>
      <c r="G1400" t="s">
        <v>1104</v>
      </c>
    </row>
    <row r="1401" spans="1:7" hidden="1" x14ac:dyDescent="0.25">
      <c r="A1401" t="s">
        <v>289</v>
      </c>
      <c r="B1401" t="s">
        <v>70</v>
      </c>
      <c r="C1401" t="s">
        <v>5093</v>
      </c>
      <c r="E1401" t="s">
        <v>2936</v>
      </c>
      <c r="F1401" t="s">
        <v>4474</v>
      </c>
      <c r="G1401" t="s">
        <v>1104</v>
      </c>
    </row>
    <row r="1402" spans="1:7" hidden="1" x14ac:dyDescent="0.25">
      <c r="A1402" t="s">
        <v>289</v>
      </c>
      <c r="B1402" t="s">
        <v>70</v>
      </c>
      <c r="C1402" t="s">
        <v>5093</v>
      </c>
      <c r="E1402" t="s">
        <v>5096</v>
      </c>
      <c r="F1402" t="s">
        <v>4477</v>
      </c>
      <c r="G1402" t="s">
        <v>1104</v>
      </c>
    </row>
    <row r="1403" spans="1:7" hidden="1" x14ac:dyDescent="0.25">
      <c r="A1403" t="s">
        <v>650</v>
      </c>
      <c r="B1403" t="s">
        <v>70</v>
      </c>
      <c r="F1403" t="s">
        <v>4480</v>
      </c>
      <c r="G1403" t="s">
        <v>1104</v>
      </c>
    </row>
    <row r="1404" spans="1:7" hidden="1" x14ac:dyDescent="0.25">
      <c r="A1404" t="s">
        <v>4</v>
      </c>
      <c r="B1404" t="s">
        <v>8</v>
      </c>
      <c r="F1404" t="s">
        <v>4483</v>
      </c>
      <c r="G1404" t="s">
        <v>1104</v>
      </c>
    </row>
    <row r="1405" spans="1:7" hidden="1" x14ac:dyDescent="0.25">
      <c r="A1405" t="s">
        <v>2004</v>
      </c>
      <c r="B1405" t="s">
        <v>8</v>
      </c>
      <c r="F1405" t="s">
        <v>4486</v>
      </c>
      <c r="G1405" t="s">
        <v>1104</v>
      </c>
    </row>
    <row r="1406" spans="1:7" hidden="1" x14ac:dyDescent="0.25">
      <c r="A1406" t="s">
        <v>1094</v>
      </c>
      <c r="B1406" t="s">
        <v>4247</v>
      </c>
      <c r="C1406" t="s">
        <v>58</v>
      </c>
      <c r="E1406" t="s">
        <v>5102</v>
      </c>
      <c r="F1406" t="s">
        <v>5097</v>
      </c>
      <c r="G1406" t="s">
        <v>1105</v>
      </c>
    </row>
    <row r="1407" spans="1:7" hidden="1" x14ac:dyDescent="0.25">
      <c r="A1407" t="s">
        <v>4</v>
      </c>
      <c r="B1407" t="s">
        <v>8</v>
      </c>
      <c r="F1407" t="s">
        <v>4489</v>
      </c>
      <c r="G1407" t="s">
        <v>1105</v>
      </c>
    </row>
    <row r="1408" spans="1:7" hidden="1" x14ac:dyDescent="0.25">
      <c r="A1408" t="s">
        <v>1615</v>
      </c>
      <c r="B1408" t="s">
        <v>86</v>
      </c>
      <c r="C1408" t="s">
        <v>200</v>
      </c>
      <c r="F1408" t="s">
        <v>4492</v>
      </c>
      <c r="G1408" t="s">
        <v>1105</v>
      </c>
    </row>
    <row r="1409" spans="1:7" hidden="1" x14ac:dyDescent="0.25">
      <c r="A1409" t="s">
        <v>4</v>
      </c>
      <c r="B1409" t="s">
        <v>8</v>
      </c>
      <c r="F1409" t="s">
        <v>4495</v>
      </c>
      <c r="G1409" t="s">
        <v>1105</v>
      </c>
    </row>
    <row r="1410" spans="1:7" hidden="1" x14ac:dyDescent="0.25">
      <c r="A1410" t="s">
        <v>1615</v>
      </c>
      <c r="B1410" t="s">
        <v>86</v>
      </c>
      <c r="C1410" t="s">
        <v>200</v>
      </c>
      <c r="F1410" t="s">
        <v>4498</v>
      </c>
      <c r="G1410" t="s">
        <v>1105</v>
      </c>
    </row>
    <row r="1411" spans="1:7" hidden="1" x14ac:dyDescent="0.25">
      <c r="A1411" t="s">
        <v>1615</v>
      </c>
      <c r="B1411" t="s">
        <v>86</v>
      </c>
      <c r="C1411" t="s">
        <v>5103</v>
      </c>
      <c r="E1411" t="s">
        <v>5104</v>
      </c>
      <c r="F1411" t="s">
        <v>4501</v>
      </c>
      <c r="G1411" t="s">
        <v>1105</v>
      </c>
    </row>
    <row r="1412" spans="1:7" hidden="1" x14ac:dyDescent="0.25">
      <c r="A1412" t="s">
        <v>1615</v>
      </c>
      <c r="B1412" t="s">
        <v>86</v>
      </c>
      <c r="C1412" t="s">
        <v>200</v>
      </c>
      <c r="F1412" t="s">
        <v>4504</v>
      </c>
      <c r="G1412" t="s">
        <v>1105</v>
      </c>
    </row>
    <row r="1413" spans="1:7" hidden="1" x14ac:dyDescent="0.25">
      <c r="A1413" t="s">
        <v>1094</v>
      </c>
      <c r="B1413" t="s">
        <v>4247</v>
      </c>
      <c r="C1413" t="s">
        <v>60</v>
      </c>
      <c r="E1413" t="s">
        <v>5102</v>
      </c>
      <c r="F1413" t="s">
        <v>4507</v>
      </c>
      <c r="G1413" t="s">
        <v>1105</v>
      </c>
    </row>
    <row r="1414" spans="1:7" hidden="1" x14ac:dyDescent="0.25">
      <c r="A1414" t="s">
        <v>1094</v>
      </c>
      <c r="B1414" t="s">
        <v>4247</v>
      </c>
      <c r="C1414" t="s">
        <v>60</v>
      </c>
      <c r="E1414" t="s">
        <v>2936</v>
      </c>
      <c r="F1414" t="s">
        <v>4510</v>
      </c>
      <c r="G1414" t="s">
        <v>1105</v>
      </c>
    </row>
    <row r="1415" spans="1:7" hidden="1" x14ac:dyDescent="0.25">
      <c r="A1415" t="s">
        <v>4</v>
      </c>
      <c r="B1415" t="s">
        <v>8</v>
      </c>
      <c r="E1415" t="s">
        <v>2936</v>
      </c>
      <c r="F1415" t="s">
        <v>4513</v>
      </c>
      <c r="G1415" t="s">
        <v>1105</v>
      </c>
    </row>
    <row r="1416" spans="1:7" hidden="1" x14ac:dyDescent="0.25">
      <c r="A1416" t="s">
        <v>4</v>
      </c>
      <c r="B1416" t="s">
        <v>8</v>
      </c>
      <c r="E1416" t="s">
        <v>2936</v>
      </c>
      <c r="F1416" t="s">
        <v>4516</v>
      </c>
      <c r="G1416" t="s">
        <v>1105</v>
      </c>
    </row>
    <row r="1417" spans="1:7" hidden="1" x14ac:dyDescent="0.25">
      <c r="A1417" t="s">
        <v>4</v>
      </c>
      <c r="B1417" t="s">
        <v>8</v>
      </c>
      <c r="E1417" t="s">
        <v>2936</v>
      </c>
      <c r="F1417" t="s">
        <v>4519</v>
      </c>
      <c r="G1417" t="s">
        <v>1105</v>
      </c>
    </row>
    <row r="1418" spans="1:7" hidden="1" x14ac:dyDescent="0.25">
      <c r="A1418" t="s">
        <v>1606</v>
      </c>
      <c r="B1418" t="s">
        <v>70</v>
      </c>
      <c r="F1418" t="s">
        <v>4522</v>
      </c>
      <c r="G1418" t="s">
        <v>1105</v>
      </c>
    </row>
    <row r="1419" spans="1:7" hidden="1" x14ac:dyDescent="0.25">
      <c r="A1419" t="s">
        <v>290</v>
      </c>
      <c r="B1419" t="s">
        <v>70</v>
      </c>
      <c r="C1419" t="s">
        <v>5093</v>
      </c>
      <c r="F1419" t="s">
        <v>4525</v>
      </c>
      <c r="G1419" t="s">
        <v>1105</v>
      </c>
    </row>
    <row r="1420" spans="1:7" hidden="1" x14ac:dyDescent="0.25">
      <c r="A1420" t="s">
        <v>466</v>
      </c>
      <c r="B1420" t="s">
        <v>86</v>
      </c>
      <c r="C1420" t="s">
        <v>5093</v>
      </c>
      <c r="F1420" t="s">
        <v>4528</v>
      </c>
      <c r="G1420" t="s">
        <v>1105</v>
      </c>
    </row>
    <row r="1421" spans="1:7" hidden="1" x14ac:dyDescent="0.25">
      <c r="A1421" t="s">
        <v>1615</v>
      </c>
      <c r="B1421" t="s">
        <v>86</v>
      </c>
      <c r="C1421" t="s">
        <v>5093</v>
      </c>
      <c r="F1421" t="s">
        <v>4531</v>
      </c>
      <c r="G1421" t="s">
        <v>1105</v>
      </c>
    </row>
    <row r="1422" spans="1:7" hidden="1" x14ac:dyDescent="0.25">
      <c r="A1422" t="s">
        <v>466</v>
      </c>
      <c r="B1422" t="s">
        <v>86</v>
      </c>
      <c r="C1422" t="s">
        <v>5093</v>
      </c>
      <c r="F1422" t="s">
        <v>5099</v>
      </c>
      <c r="G1422" t="s">
        <v>1105</v>
      </c>
    </row>
    <row r="1423" spans="1:7" hidden="1" x14ac:dyDescent="0.25">
      <c r="A1423" t="s">
        <v>5105</v>
      </c>
      <c r="F1423" t="s">
        <v>4534</v>
      </c>
      <c r="G1423" t="s">
        <v>1105</v>
      </c>
    </row>
    <row r="1424" spans="1:7" hidden="1" x14ac:dyDescent="0.25">
      <c r="A1424" t="s">
        <v>1615</v>
      </c>
      <c r="B1424" t="s">
        <v>86</v>
      </c>
      <c r="C1424" t="s">
        <v>5093</v>
      </c>
      <c r="F1424" t="s">
        <v>4537</v>
      </c>
      <c r="G1424" t="s">
        <v>1105</v>
      </c>
    </row>
    <row r="1425" spans="1:7" hidden="1" x14ac:dyDescent="0.25">
      <c r="A1425" t="s">
        <v>4</v>
      </c>
      <c r="B1425" t="s">
        <v>8</v>
      </c>
      <c r="F1425" t="s">
        <v>4540</v>
      </c>
      <c r="G1425" t="s">
        <v>1105</v>
      </c>
    </row>
    <row r="1426" spans="1:7" hidden="1" x14ac:dyDescent="0.25">
      <c r="A1426" t="s">
        <v>1606</v>
      </c>
      <c r="B1426" t="s">
        <v>70</v>
      </c>
      <c r="F1426" t="s">
        <v>4543</v>
      </c>
      <c r="G1426" t="s">
        <v>1105</v>
      </c>
    </row>
    <row r="1427" spans="1:7" hidden="1" x14ac:dyDescent="0.25">
      <c r="A1427" t="s">
        <v>1606</v>
      </c>
      <c r="B1427" t="s">
        <v>55</v>
      </c>
      <c r="F1427" t="s">
        <v>4546</v>
      </c>
      <c r="G1427" t="s">
        <v>1105</v>
      </c>
    </row>
    <row r="1428" spans="1:7" hidden="1" x14ac:dyDescent="0.25">
      <c r="A1428" t="s">
        <v>290</v>
      </c>
      <c r="B1428" t="s">
        <v>70</v>
      </c>
      <c r="C1428" t="s">
        <v>5093</v>
      </c>
      <c r="F1428" t="s">
        <v>4549</v>
      </c>
      <c r="G1428" t="s">
        <v>1105</v>
      </c>
    </row>
    <row r="1429" spans="1:7" hidden="1" x14ac:dyDescent="0.25">
      <c r="A1429" t="s">
        <v>4</v>
      </c>
      <c r="B1429" t="s">
        <v>8</v>
      </c>
      <c r="F1429" t="s">
        <v>4552</v>
      </c>
      <c r="G1429" t="s">
        <v>1105</v>
      </c>
    </row>
    <row r="1430" spans="1:7" hidden="1" x14ac:dyDescent="0.25">
      <c r="A1430" t="s">
        <v>2004</v>
      </c>
      <c r="F1430" t="s">
        <v>4555</v>
      </c>
      <c r="G1430" t="s">
        <v>1105</v>
      </c>
    </row>
    <row r="1431" spans="1:7" hidden="1" x14ac:dyDescent="0.25">
      <c r="A1431" t="s">
        <v>1615</v>
      </c>
      <c r="B1431" t="s">
        <v>86</v>
      </c>
      <c r="C1431" t="s">
        <v>200</v>
      </c>
      <c r="F1431" t="s">
        <v>5110</v>
      </c>
      <c r="G1431" t="s">
        <v>1106</v>
      </c>
    </row>
    <row r="1432" spans="1:7" hidden="1" x14ac:dyDescent="0.25">
      <c r="A1432" t="s">
        <v>1094</v>
      </c>
      <c r="B1432" t="s">
        <v>4247</v>
      </c>
      <c r="C1432" t="s">
        <v>60</v>
      </c>
      <c r="F1432" t="s">
        <v>5112</v>
      </c>
      <c r="G1432" t="s">
        <v>1106</v>
      </c>
    </row>
    <row r="1433" spans="1:7" hidden="1" x14ac:dyDescent="0.25">
      <c r="A1433" t="s">
        <v>533</v>
      </c>
      <c r="B1433" t="s">
        <v>1607</v>
      </c>
      <c r="C1433" t="s">
        <v>58</v>
      </c>
      <c r="F1433" t="s">
        <v>5114</v>
      </c>
      <c r="G1433" t="s">
        <v>1106</v>
      </c>
    </row>
    <row r="1434" spans="1:7" hidden="1" x14ac:dyDescent="0.25">
      <c r="A1434" t="s">
        <v>1615</v>
      </c>
      <c r="B1434" t="s">
        <v>86</v>
      </c>
      <c r="C1434" t="s">
        <v>200</v>
      </c>
      <c r="F1434" t="s">
        <v>4576</v>
      </c>
      <c r="G1434" t="s">
        <v>1106</v>
      </c>
    </row>
    <row r="1435" spans="1:7" hidden="1" x14ac:dyDescent="0.25">
      <c r="A1435" t="s">
        <v>1094</v>
      </c>
      <c r="B1435" t="s">
        <v>4247</v>
      </c>
      <c r="C1435" t="s">
        <v>200</v>
      </c>
      <c r="F1435" t="s">
        <v>4579</v>
      </c>
      <c r="G1435" t="s">
        <v>1106</v>
      </c>
    </row>
    <row r="1436" spans="1:7" hidden="1" x14ac:dyDescent="0.25">
      <c r="A1436" t="s">
        <v>1094</v>
      </c>
      <c r="B1436" t="s">
        <v>4247</v>
      </c>
      <c r="C1436" t="s">
        <v>200</v>
      </c>
      <c r="F1436" t="s">
        <v>4582</v>
      </c>
      <c r="G1436" t="s">
        <v>1106</v>
      </c>
    </row>
    <row r="1437" spans="1:7" hidden="1" x14ac:dyDescent="0.25">
      <c r="A1437" t="s">
        <v>5109</v>
      </c>
      <c r="B1437" t="s">
        <v>86</v>
      </c>
      <c r="F1437" t="s">
        <v>4585</v>
      </c>
      <c r="G1437" t="s">
        <v>1106</v>
      </c>
    </row>
    <row r="1438" spans="1:7" hidden="1" x14ac:dyDescent="0.25">
      <c r="A1438" t="s">
        <v>4</v>
      </c>
      <c r="B1438" t="s">
        <v>8</v>
      </c>
      <c r="F1438" t="s">
        <v>4588</v>
      </c>
      <c r="G1438" t="s">
        <v>1106</v>
      </c>
    </row>
    <row r="1439" spans="1:7" hidden="1" x14ac:dyDescent="0.25">
      <c r="A1439" t="s">
        <v>5109</v>
      </c>
      <c r="B1439" t="s">
        <v>86</v>
      </c>
      <c r="F1439" t="s">
        <v>4591</v>
      </c>
      <c r="G1439" t="s">
        <v>1106</v>
      </c>
    </row>
    <row r="1440" spans="1:7" hidden="1" x14ac:dyDescent="0.25">
      <c r="A1440" t="s">
        <v>5109</v>
      </c>
      <c r="B1440" t="s">
        <v>86</v>
      </c>
      <c r="F1440" t="s">
        <v>4594</v>
      </c>
      <c r="G1440" t="s">
        <v>1106</v>
      </c>
    </row>
    <row r="1441" spans="1:7" hidden="1" x14ac:dyDescent="0.25">
      <c r="A1441" t="s">
        <v>2004</v>
      </c>
      <c r="B1441" t="s">
        <v>8</v>
      </c>
      <c r="F1441" t="s">
        <v>4597</v>
      </c>
      <c r="G1441" t="s">
        <v>1106</v>
      </c>
    </row>
    <row r="1442" spans="1:7" x14ac:dyDescent="0.25">
      <c r="A1442" t="s">
        <v>289</v>
      </c>
      <c r="B1442" t="s">
        <v>86</v>
      </c>
      <c r="C1442" t="s">
        <v>200</v>
      </c>
      <c r="F1442" t="s">
        <v>4999</v>
      </c>
      <c r="G1442" t="s">
        <v>1107</v>
      </c>
    </row>
    <row r="1443" spans="1:7" x14ac:dyDescent="0.25">
      <c r="A1443" t="s">
        <v>289</v>
      </c>
      <c r="B1443" t="s">
        <v>86</v>
      </c>
      <c r="C1443" t="s">
        <v>200</v>
      </c>
      <c r="F1443" t="s">
        <v>5002</v>
      </c>
      <c r="G1443" t="s">
        <v>1107</v>
      </c>
    </row>
    <row r="1444" spans="1:7" x14ac:dyDescent="0.25">
      <c r="A1444" t="s">
        <v>289</v>
      </c>
      <c r="B1444" t="s">
        <v>86</v>
      </c>
      <c r="C1444" t="s">
        <v>200</v>
      </c>
      <c r="F1444" t="s">
        <v>5005</v>
      </c>
      <c r="G1444" t="s">
        <v>1107</v>
      </c>
    </row>
    <row r="1445" spans="1:7" x14ac:dyDescent="0.25">
      <c r="A1445" t="s">
        <v>1094</v>
      </c>
      <c r="B1445" t="s">
        <v>4247</v>
      </c>
      <c r="C1445" t="s">
        <v>58</v>
      </c>
      <c r="F1445" t="s">
        <v>5008</v>
      </c>
      <c r="G1445" t="s">
        <v>1107</v>
      </c>
    </row>
    <row r="1446" spans="1:7" x14ac:dyDescent="0.25">
      <c r="A1446" t="s">
        <v>289</v>
      </c>
      <c r="B1446" t="s">
        <v>86</v>
      </c>
      <c r="C1446" t="s">
        <v>200</v>
      </c>
      <c r="F1446" t="s">
        <v>5011</v>
      </c>
      <c r="G1446" t="s">
        <v>1107</v>
      </c>
    </row>
    <row r="1447" spans="1:7" x14ac:dyDescent="0.25">
      <c r="A1447" t="s">
        <v>1094</v>
      </c>
      <c r="B1447" t="s">
        <v>4247</v>
      </c>
      <c r="C1447" t="s">
        <v>58</v>
      </c>
      <c r="F1447" t="s">
        <v>5014</v>
      </c>
      <c r="G1447" t="s">
        <v>1107</v>
      </c>
    </row>
    <row r="1448" spans="1:7" x14ac:dyDescent="0.25">
      <c r="A1448" t="s">
        <v>1094</v>
      </c>
      <c r="B1448" t="s">
        <v>531</v>
      </c>
      <c r="C1448" t="s">
        <v>58</v>
      </c>
      <c r="F1448" t="s">
        <v>5017</v>
      </c>
      <c r="G1448" t="s">
        <v>1107</v>
      </c>
    </row>
    <row r="1449" spans="1:7" x14ac:dyDescent="0.25">
      <c r="A1449" t="s">
        <v>4</v>
      </c>
      <c r="B1449" t="s">
        <v>8</v>
      </c>
      <c r="F1449" t="s">
        <v>5020</v>
      </c>
      <c r="G1449" t="s">
        <v>1107</v>
      </c>
    </row>
    <row r="1450" spans="1:7" x14ac:dyDescent="0.25">
      <c r="A1450" t="s">
        <v>289</v>
      </c>
      <c r="B1450" t="s">
        <v>86</v>
      </c>
      <c r="C1450" t="s">
        <v>60</v>
      </c>
      <c r="F1450" t="s">
        <v>5023</v>
      </c>
      <c r="G1450" t="s">
        <v>1107</v>
      </c>
    </row>
    <row r="1451" spans="1:7" x14ac:dyDescent="0.25">
      <c r="A1451" t="s">
        <v>289</v>
      </c>
      <c r="B1451" t="s">
        <v>86</v>
      </c>
      <c r="C1451" t="s">
        <v>60</v>
      </c>
      <c r="F1451" t="s">
        <v>5026</v>
      </c>
      <c r="G1451" t="s">
        <v>1107</v>
      </c>
    </row>
    <row r="1452" spans="1:7" x14ac:dyDescent="0.25">
      <c r="A1452" t="s">
        <v>289</v>
      </c>
      <c r="B1452" t="s">
        <v>86</v>
      </c>
      <c r="C1452" t="s">
        <v>200</v>
      </c>
      <c r="F1452" t="s">
        <v>5029</v>
      </c>
      <c r="G1452" t="s">
        <v>1107</v>
      </c>
    </row>
    <row r="1453" spans="1:7" x14ac:dyDescent="0.25">
      <c r="A1453" t="s">
        <v>4</v>
      </c>
      <c r="B1453" t="s">
        <v>8</v>
      </c>
      <c r="F1453" t="s">
        <v>5032</v>
      </c>
      <c r="G1453" t="s">
        <v>1107</v>
      </c>
    </row>
    <row r="1454" spans="1:7" x14ac:dyDescent="0.25">
      <c r="A1454" t="s">
        <v>289</v>
      </c>
      <c r="B1454" t="s">
        <v>86</v>
      </c>
      <c r="C1454" t="s">
        <v>60</v>
      </c>
      <c r="F1454" t="s">
        <v>5035</v>
      </c>
      <c r="G1454" t="s">
        <v>1107</v>
      </c>
    </row>
    <row r="1455" spans="1:7" x14ac:dyDescent="0.25">
      <c r="A1455" t="s">
        <v>289</v>
      </c>
      <c r="B1455" t="s">
        <v>86</v>
      </c>
      <c r="C1455" t="s">
        <v>60</v>
      </c>
      <c r="F1455" t="s">
        <v>5038</v>
      </c>
      <c r="G1455" t="s">
        <v>1107</v>
      </c>
    </row>
    <row r="1456" spans="1:7" x14ac:dyDescent="0.25">
      <c r="A1456" t="s">
        <v>4</v>
      </c>
      <c r="B1456" t="s">
        <v>8</v>
      </c>
      <c r="F1456" t="s">
        <v>5041</v>
      </c>
      <c r="G1456" t="s">
        <v>1107</v>
      </c>
    </row>
    <row r="1457" spans="1:7" x14ac:dyDescent="0.25">
      <c r="A1457" t="s">
        <v>1094</v>
      </c>
      <c r="B1457" t="s">
        <v>4247</v>
      </c>
      <c r="C1457" t="s">
        <v>60</v>
      </c>
      <c r="F1457" t="s">
        <v>5116</v>
      </c>
      <c r="G1457" t="s">
        <v>1107</v>
      </c>
    </row>
    <row r="1458" spans="1:7" x14ac:dyDescent="0.25">
      <c r="A1458" t="s">
        <v>1094</v>
      </c>
      <c r="B1458" t="s">
        <v>4247</v>
      </c>
      <c r="C1458" t="s">
        <v>200</v>
      </c>
      <c r="F1458" t="s">
        <v>5119</v>
      </c>
      <c r="G1458" t="s">
        <v>1107</v>
      </c>
    </row>
    <row r="1459" spans="1:7" x14ac:dyDescent="0.25">
      <c r="A1459" t="s">
        <v>1094</v>
      </c>
      <c r="B1459" t="s">
        <v>4247</v>
      </c>
      <c r="C1459" t="s">
        <v>200</v>
      </c>
      <c r="F1459" t="s">
        <v>5122</v>
      </c>
      <c r="G1459" t="s">
        <v>1107</v>
      </c>
    </row>
    <row r="1460" spans="1:7" x14ac:dyDescent="0.25">
      <c r="A1460" t="s">
        <v>4</v>
      </c>
      <c r="B1460" t="s">
        <v>8</v>
      </c>
      <c r="E1460" t="s">
        <v>2936</v>
      </c>
      <c r="F1460" t="s">
        <v>5125</v>
      </c>
      <c r="G1460" t="s">
        <v>1107</v>
      </c>
    </row>
    <row r="1461" spans="1:7" x14ac:dyDescent="0.25">
      <c r="A1461" t="s">
        <v>4</v>
      </c>
      <c r="B1461" t="s">
        <v>8</v>
      </c>
      <c r="E1461" t="s">
        <v>2936</v>
      </c>
      <c r="F1461" t="s">
        <v>5128</v>
      </c>
      <c r="G1461" t="s">
        <v>1107</v>
      </c>
    </row>
    <row r="1462" spans="1:7" x14ac:dyDescent="0.25">
      <c r="A1462" t="s">
        <v>4</v>
      </c>
      <c r="B1462" t="s">
        <v>8</v>
      </c>
      <c r="E1462" t="s">
        <v>2936</v>
      </c>
      <c r="F1462" t="s">
        <v>5131</v>
      </c>
      <c r="G1462" t="s">
        <v>1107</v>
      </c>
    </row>
    <row r="1463" spans="1:7" x14ac:dyDescent="0.25">
      <c r="A1463" t="s">
        <v>4</v>
      </c>
      <c r="B1463" t="s">
        <v>8</v>
      </c>
      <c r="E1463" t="s">
        <v>2936</v>
      </c>
      <c r="F1463" t="s">
        <v>5044</v>
      </c>
      <c r="G1463" t="s">
        <v>1107</v>
      </c>
    </row>
    <row r="1464" spans="1:7" x14ac:dyDescent="0.25">
      <c r="A1464" t="s">
        <v>4</v>
      </c>
      <c r="B1464" t="s">
        <v>8</v>
      </c>
      <c r="E1464" t="s">
        <v>2936</v>
      </c>
      <c r="F1464" t="s">
        <v>5047</v>
      </c>
      <c r="G1464" t="s">
        <v>1107</v>
      </c>
    </row>
    <row r="1465" spans="1:7" x14ac:dyDescent="0.25">
      <c r="A1465" t="s">
        <v>4</v>
      </c>
      <c r="B1465" t="s">
        <v>8</v>
      </c>
      <c r="E1465" t="s">
        <v>2936</v>
      </c>
      <c r="F1465" t="s">
        <v>5050</v>
      </c>
      <c r="G1465" t="s">
        <v>1107</v>
      </c>
    </row>
    <row r="1466" spans="1:7" x14ac:dyDescent="0.25">
      <c r="A1466" t="s">
        <v>289</v>
      </c>
      <c r="B1466" t="s">
        <v>86</v>
      </c>
      <c r="C1466" t="s">
        <v>200</v>
      </c>
      <c r="F1466" t="s">
        <v>5053</v>
      </c>
      <c r="G1466" t="s">
        <v>1107</v>
      </c>
    </row>
    <row r="1467" spans="1:7" x14ac:dyDescent="0.25">
      <c r="A1467" t="s">
        <v>289</v>
      </c>
      <c r="B1467" t="s">
        <v>86</v>
      </c>
      <c r="C1467" t="s">
        <v>200</v>
      </c>
      <c r="F1467" t="s">
        <v>5056</v>
      </c>
      <c r="G1467" t="s">
        <v>1107</v>
      </c>
    </row>
    <row r="1468" spans="1:7" x14ac:dyDescent="0.25">
      <c r="A1468" t="s">
        <v>289</v>
      </c>
      <c r="B1468" t="s">
        <v>86</v>
      </c>
      <c r="C1468" t="s">
        <v>200</v>
      </c>
      <c r="F1468" t="s">
        <v>5059</v>
      </c>
      <c r="G1468" t="s">
        <v>1107</v>
      </c>
    </row>
    <row r="1469" spans="1:7" x14ac:dyDescent="0.25">
      <c r="A1469" t="s">
        <v>289</v>
      </c>
      <c r="B1469" t="s">
        <v>86</v>
      </c>
      <c r="C1469" t="s">
        <v>200</v>
      </c>
      <c r="F1469" t="s">
        <v>5062</v>
      </c>
      <c r="G1469" t="s">
        <v>1107</v>
      </c>
    </row>
    <row r="1470" spans="1:7" x14ac:dyDescent="0.25">
      <c r="A1470" t="s">
        <v>289</v>
      </c>
      <c r="B1470" t="s">
        <v>86</v>
      </c>
      <c r="C1470" t="s">
        <v>200</v>
      </c>
      <c r="F1470" t="s">
        <v>5065</v>
      </c>
      <c r="G1470" t="s">
        <v>1107</v>
      </c>
    </row>
    <row r="1471" spans="1:7" x14ac:dyDescent="0.25">
      <c r="A1471" t="s">
        <v>5134</v>
      </c>
      <c r="F1471" t="s">
        <v>5068</v>
      </c>
      <c r="G1471" t="s">
        <v>1107</v>
      </c>
    </row>
    <row r="1472" spans="1:7" x14ac:dyDescent="0.25">
      <c r="A1472" t="s">
        <v>2004</v>
      </c>
      <c r="F1472" t="s">
        <v>5071</v>
      </c>
      <c r="G1472" t="s">
        <v>1107</v>
      </c>
    </row>
    <row r="1473" spans="1:7" hidden="1" x14ac:dyDescent="0.25">
      <c r="A1473" t="s">
        <v>4</v>
      </c>
      <c r="B1473" t="s">
        <v>9</v>
      </c>
      <c r="F1473" t="s">
        <v>4600</v>
      </c>
      <c r="G1473" t="s">
        <v>796</v>
      </c>
    </row>
    <row r="1474" spans="1:7" hidden="1" x14ac:dyDescent="0.25">
      <c r="A1474" t="s">
        <v>794</v>
      </c>
      <c r="B1474" t="s">
        <v>5135</v>
      </c>
      <c r="F1474" t="s">
        <v>4603</v>
      </c>
      <c r="G1474" t="s">
        <v>796</v>
      </c>
    </row>
    <row r="1475" spans="1:7" hidden="1" x14ac:dyDescent="0.25">
      <c r="A1475" t="s">
        <v>4</v>
      </c>
      <c r="B1475" t="s">
        <v>53</v>
      </c>
      <c r="F1475" t="s">
        <v>4606</v>
      </c>
      <c r="G1475" t="s">
        <v>796</v>
      </c>
    </row>
    <row r="1476" spans="1:7" hidden="1" x14ac:dyDescent="0.25">
      <c r="A1476" t="s">
        <v>2004</v>
      </c>
      <c r="B1476" t="s">
        <v>8</v>
      </c>
      <c r="F1476" t="s">
        <v>4609</v>
      </c>
      <c r="G1476" t="s">
        <v>796</v>
      </c>
    </row>
    <row r="1477" spans="1:7" hidden="1" x14ac:dyDescent="0.25">
      <c r="A1477" t="s">
        <v>2004</v>
      </c>
      <c r="B1477" t="s">
        <v>8</v>
      </c>
      <c r="F1477" t="s">
        <v>4612</v>
      </c>
      <c r="G1477" t="s">
        <v>796</v>
      </c>
    </row>
    <row r="1478" spans="1:7" hidden="1" x14ac:dyDescent="0.25">
      <c r="A1478" t="s">
        <v>2024</v>
      </c>
      <c r="B1478" t="s">
        <v>796</v>
      </c>
      <c r="F1478" t="s">
        <v>4615</v>
      </c>
      <c r="G1478" t="s">
        <v>796</v>
      </c>
    </row>
    <row r="1479" spans="1:7" hidden="1" x14ac:dyDescent="0.25">
      <c r="A1479" t="s">
        <v>2024</v>
      </c>
      <c r="B1479" t="s">
        <v>796</v>
      </c>
      <c r="F1479" t="s">
        <v>4618</v>
      </c>
      <c r="G1479" t="s">
        <v>796</v>
      </c>
    </row>
    <row r="1480" spans="1:7" hidden="1" x14ac:dyDescent="0.25">
      <c r="A1480" t="s">
        <v>2004</v>
      </c>
      <c r="B1480" t="s">
        <v>8</v>
      </c>
      <c r="F1480" t="s">
        <v>4621</v>
      </c>
      <c r="G1480" t="s">
        <v>796</v>
      </c>
    </row>
    <row r="1481" spans="1:7" hidden="1" x14ac:dyDescent="0.25">
      <c r="A1481" t="s">
        <v>2004</v>
      </c>
      <c r="B1481" t="s">
        <v>8</v>
      </c>
      <c r="F1481" t="s">
        <v>4624</v>
      </c>
      <c r="G1481" t="s">
        <v>796</v>
      </c>
    </row>
    <row r="1482" spans="1:7" hidden="1" x14ac:dyDescent="0.25">
      <c r="A1482" t="s">
        <v>4</v>
      </c>
      <c r="B1482" t="s">
        <v>9</v>
      </c>
      <c r="F1482" t="s">
        <v>4627</v>
      </c>
      <c r="G1482" t="s">
        <v>1100</v>
      </c>
    </row>
    <row r="1483" spans="1:7" hidden="1" x14ac:dyDescent="0.25">
      <c r="A1483" t="s">
        <v>5136</v>
      </c>
      <c r="B1483" t="s">
        <v>5135</v>
      </c>
      <c r="F1483" t="s">
        <v>4630</v>
      </c>
      <c r="G1483" t="s">
        <v>1100</v>
      </c>
    </row>
    <row r="1484" spans="1:7" hidden="1" x14ac:dyDescent="0.25">
      <c r="A1484" t="s">
        <v>5136</v>
      </c>
      <c r="B1484" t="s">
        <v>5135</v>
      </c>
      <c r="E1484" t="s">
        <v>2936</v>
      </c>
      <c r="F1484" t="s">
        <v>4633</v>
      </c>
      <c r="G1484" t="s">
        <v>1100</v>
      </c>
    </row>
    <row r="1485" spans="1:7" hidden="1" x14ac:dyDescent="0.25">
      <c r="A1485" t="s">
        <v>1091</v>
      </c>
      <c r="B1485" t="s">
        <v>5137</v>
      </c>
      <c r="C1485" t="s">
        <v>1099</v>
      </c>
      <c r="F1485" t="s">
        <v>4636</v>
      </c>
      <c r="G1485" t="s">
        <v>1100</v>
      </c>
    </row>
    <row r="1486" spans="1:7" hidden="1" x14ac:dyDescent="0.25">
      <c r="A1486" t="s">
        <v>1091</v>
      </c>
      <c r="B1486" t="s">
        <v>5137</v>
      </c>
      <c r="C1486" t="s">
        <v>1099</v>
      </c>
      <c r="E1486" t="s">
        <v>2936</v>
      </c>
      <c r="F1486" t="s">
        <v>4639</v>
      </c>
      <c r="G1486" t="s">
        <v>1100</v>
      </c>
    </row>
    <row r="1487" spans="1:7" hidden="1" x14ac:dyDescent="0.25">
      <c r="A1487" t="s">
        <v>4</v>
      </c>
      <c r="B1487" t="s">
        <v>9</v>
      </c>
      <c r="F1487" t="s">
        <v>4642</v>
      </c>
      <c r="G1487" t="s">
        <v>1100</v>
      </c>
    </row>
    <row r="1488" spans="1:7" hidden="1" x14ac:dyDescent="0.25">
      <c r="A1488" t="s">
        <v>4</v>
      </c>
      <c r="B1488" t="s">
        <v>9</v>
      </c>
      <c r="E1488" t="s">
        <v>2936</v>
      </c>
      <c r="F1488" t="s">
        <v>4645</v>
      </c>
      <c r="G1488" t="s">
        <v>1100</v>
      </c>
    </row>
    <row r="1489" spans="1:7" hidden="1" x14ac:dyDescent="0.25">
      <c r="A1489" t="s">
        <v>4</v>
      </c>
      <c r="B1489" t="s">
        <v>9</v>
      </c>
      <c r="E1489" t="s">
        <v>2936</v>
      </c>
      <c r="F1489" t="s">
        <v>4648</v>
      </c>
      <c r="G1489" t="s">
        <v>1100</v>
      </c>
    </row>
    <row r="1490" spans="1:7" hidden="1" x14ac:dyDescent="0.25">
      <c r="A1490" t="s">
        <v>4</v>
      </c>
      <c r="B1490" t="s">
        <v>9</v>
      </c>
      <c r="E1490" t="s">
        <v>2936</v>
      </c>
      <c r="F1490" t="s">
        <v>4651</v>
      </c>
      <c r="G1490" t="s">
        <v>1100</v>
      </c>
    </row>
    <row r="1491" spans="1:7" hidden="1" x14ac:dyDescent="0.25">
      <c r="A1491" t="s">
        <v>4</v>
      </c>
      <c r="B1491" t="s">
        <v>9</v>
      </c>
      <c r="E1491" t="s">
        <v>2936</v>
      </c>
      <c r="F1491" t="s">
        <v>4654</v>
      </c>
      <c r="G1491" t="s">
        <v>1100</v>
      </c>
    </row>
    <row r="1492" spans="1:7" hidden="1" x14ac:dyDescent="0.25">
      <c r="A1492" t="s">
        <v>4</v>
      </c>
      <c r="B1492" t="s">
        <v>9</v>
      </c>
      <c r="E1492" t="s">
        <v>2936</v>
      </c>
      <c r="F1492" t="s">
        <v>4657</v>
      </c>
      <c r="G1492" t="s">
        <v>1100</v>
      </c>
    </row>
    <row r="1493" spans="1:7" hidden="1" x14ac:dyDescent="0.25">
      <c r="A1493" t="s">
        <v>4</v>
      </c>
      <c r="B1493" t="s">
        <v>9</v>
      </c>
      <c r="E1493" t="s">
        <v>2936</v>
      </c>
      <c r="F1493" t="s">
        <v>4660</v>
      </c>
      <c r="G1493" t="s">
        <v>1100</v>
      </c>
    </row>
    <row r="1494" spans="1:7" hidden="1" x14ac:dyDescent="0.25">
      <c r="A1494" t="s">
        <v>4</v>
      </c>
      <c r="B1494" t="s">
        <v>9</v>
      </c>
      <c r="E1494" t="s">
        <v>2936</v>
      </c>
      <c r="F1494" t="s">
        <v>4663</v>
      </c>
      <c r="G1494" t="s">
        <v>1100</v>
      </c>
    </row>
    <row r="1495" spans="1:7" hidden="1" x14ac:dyDescent="0.25">
      <c r="A1495" t="s">
        <v>4</v>
      </c>
      <c r="B1495" t="s">
        <v>9</v>
      </c>
      <c r="E1495" t="s">
        <v>2936</v>
      </c>
      <c r="F1495" t="s">
        <v>4666</v>
      </c>
      <c r="G1495" t="s">
        <v>1100</v>
      </c>
    </row>
    <row r="1496" spans="1:7" hidden="1" x14ac:dyDescent="0.25">
      <c r="A1496" t="s">
        <v>4</v>
      </c>
      <c r="B1496" t="s">
        <v>9</v>
      </c>
      <c r="E1496" t="s">
        <v>2936</v>
      </c>
      <c r="F1496" t="s">
        <v>4669</v>
      </c>
      <c r="G1496" t="s">
        <v>1100</v>
      </c>
    </row>
    <row r="1497" spans="1:7" hidden="1" x14ac:dyDescent="0.25">
      <c r="A1497" t="s">
        <v>4</v>
      </c>
      <c r="B1497" t="s">
        <v>9</v>
      </c>
      <c r="E1497" t="s">
        <v>2936</v>
      </c>
      <c r="F1497" t="s">
        <v>4672</v>
      </c>
      <c r="G1497" t="s">
        <v>1100</v>
      </c>
    </row>
    <row r="1498" spans="1:7" hidden="1" x14ac:dyDescent="0.25">
      <c r="A1498" t="s">
        <v>4</v>
      </c>
      <c r="B1498" t="s">
        <v>9</v>
      </c>
      <c r="E1498" t="s">
        <v>2936</v>
      </c>
      <c r="F1498" t="s">
        <v>4675</v>
      </c>
      <c r="G1498" t="s">
        <v>1100</v>
      </c>
    </row>
    <row r="1499" spans="1:7" hidden="1" x14ac:dyDescent="0.25">
      <c r="A1499" t="s">
        <v>1091</v>
      </c>
      <c r="B1499" t="s">
        <v>1607</v>
      </c>
      <c r="C1499" t="s">
        <v>58</v>
      </c>
      <c r="F1499" t="s">
        <v>4678</v>
      </c>
      <c r="G1499" t="s">
        <v>1100</v>
      </c>
    </row>
    <row r="1500" spans="1:7" hidden="1" x14ac:dyDescent="0.25">
      <c r="A1500" t="s">
        <v>4</v>
      </c>
      <c r="B1500" t="s">
        <v>9</v>
      </c>
      <c r="E1500" t="s">
        <v>2936</v>
      </c>
      <c r="F1500" t="s">
        <v>4681</v>
      </c>
      <c r="G1500" t="s">
        <v>1100</v>
      </c>
    </row>
    <row r="1501" spans="1:7" hidden="1" x14ac:dyDescent="0.25">
      <c r="A1501" t="s">
        <v>1091</v>
      </c>
      <c r="B1501" t="s">
        <v>1607</v>
      </c>
      <c r="C1501" t="s">
        <v>58</v>
      </c>
      <c r="F1501" t="s">
        <v>4684</v>
      </c>
      <c r="G1501" t="s">
        <v>1100</v>
      </c>
    </row>
    <row r="1502" spans="1:7" hidden="1" x14ac:dyDescent="0.25">
      <c r="A1502" t="s">
        <v>4</v>
      </c>
      <c r="B1502" t="s">
        <v>9</v>
      </c>
      <c r="E1502" t="s">
        <v>2936</v>
      </c>
      <c r="F1502" t="s">
        <v>4687</v>
      </c>
      <c r="G1502" t="s">
        <v>1100</v>
      </c>
    </row>
    <row r="1503" spans="1:7" hidden="1" x14ac:dyDescent="0.25">
      <c r="A1503" t="s">
        <v>1091</v>
      </c>
      <c r="B1503" t="s">
        <v>1607</v>
      </c>
      <c r="C1503" t="s">
        <v>58</v>
      </c>
      <c r="F1503" t="s">
        <v>4690</v>
      </c>
      <c r="G1503" t="s">
        <v>1100</v>
      </c>
    </row>
    <row r="1504" spans="1:7" hidden="1" x14ac:dyDescent="0.25">
      <c r="A1504" t="s">
        <v>4</v>
      </c>
      <c r="B1504" t="s">
        <v>9</v>
      </c>
      <c r="E1504" t="s">
        <v>2936</v>
      </c>
      <c r="F1504" t="s">
        <v>4693</v>
      </c>
      <c r="G1504" t="s">
        <v>1100</v>
      </c>
    </row>
    <row r="1505" spans="1:7" hidden="1" x14ac:dyDescent="0.25">
      <c r="A1505" t="s">
        <v>1091</v>
      </c>
      <c r="B1505" t="s">
        <v>1607</v>
      </c>
      <c r="C1505" t="s">
        <v>58</v>
      </c>
      <c r="F1505" t="s">
        <v>4696</v>
      </c>
      <c r="G1505" t="s">
        <v>1100</v>
      </c>
    </row>
    <row r="1506" spans="1:7" hidden="1" x14ac:dyDescent="0.25">
      <c r="A1506" t="s">
        <v>4</v>
      </c>
      <c r="B1506" t="s">
        <v>9</v>
      </c>
      <c r="F1506" t="s">
        <v>4699</v>
      </c>
      <c r="G1506" t="s">
        <v>1100</v>
      </c>
    </row>
    <row r="1507" spans="1:7" hidden="1" x14ac:dyDescent="0.25">
      <c r="A1507" t="s">
        <v>4</v>
      </c>
      <c r="B1507" t="s">
        <v>9</v>
      </c>
      <c r="E1507" t="s">
        <v>2936</v>
      </c>
      <c r="F1507" t="s">
        <v>4702</v>
      </c>
      <c r="G1507" t="s">
        <v>1100</v>
      </c>
    </row>
    <row r="1508" spans="1:7" hidden="1" x14ac:dyDescent="0.25">
      <c r="A1508" t="s">
        <v>4</v>
      </c>
      <c r="B1508" t="s">
        <v>9</v>
      </c>
      <c r="E1508" t="s">
        <v>2936</v>
      </c>
      <c r="F1508" t="s">
        <v>4705</v>
      </c>
      <c r="G1508" t="s">
        <v>1100</v>
      </c>
    </row>
    <row r="1509" spans="1:7" hidden="1" x14ac:dyDescent="0.25">
      <c r="A1509" t="s">
        <v>4</v>
      </c>
      <c r="B1509" t="s">
        <v>9</v>
      </c>
      <c r="E1509" t="s">
        <v>2936</v>
      </c>
      <c r="F1509" t="s">
        <v>4708</v>
      </c>
      <c r="G1509" t="s">
        <v>1100</v>
      </c>
    </row>
    <row r="1510" spans="1:7" hidden="1" x14ac:dyDescent="0.25">
      <c r="A1510" t="s">
        <v>4</v>
      </c>
      <c r="B1510" t="s">
        <v>9</v>
      </c>
      <c r="E1510" t="s">
        <v>2936</v>
      </c>
      <c r="F1510" t="s">
        <v>4711</v>
      </c>
      <c r="G1510" t="s">
        <v>1100</v>
      </c>
    </row>
    <row r="1511" spans="1:7" hidden="1" x14ac:dyDescent="0.25">
      <c r="A1511" t="s">
        <v>4</v>
      </c>
      <c r="B1511" t="s">
        <v>9</v>
      </c>
      <c r="E1511" t="s">
        <v>2936</v>
      </c>
      <c r="F1511" t="s">
        <v>4714</v>
      </c>
      <c r="G1511" t="s">
        <v>1100</v>
      </c>
    </row>
    <row r="1512" spans="1:7" hidden="1" x14ac:dyDescent="0.25">
      <c r="A1512" t="s">
        <v>1091</v>
      </c>
      <c r="B1512" t="s">
        <v>531</v>
      </c>
      <c r="C1512" t="s">
        <v>2944</v>
      </c>
      <c r="F1512" t="s">
        <v>4717</v>
      </c>
      <c r="G1512" t="s">
        <v>1100</v>
      </c>
    </row>
    <row r="1513" spans="1:7" hidden="1" x14ac:dyDescent="0.25">
      <c r="A1513" t="s">
        <v>4</v>
      </c>
      <c r="B1513" t="s">
        <v>9</v>
      </c>
      <c r="E1513" t="s">
        <v>2936</v>
      </c>
      <c r="F1513" t="s">
        <v>4720</v>
      </c>
      <c r="G1513" t="s">
        <v>1100</v>
      </c>
    </row>
    <row r="1514" spans="1:7" hidden="1" x14ac:dyDescent="0.25">
      <c r="A1514" t="s">
        <v>1091</v>
      </c>
      <c r="B1514" t="s">
        <v>1607</v>
      </c>
      <c r="C1514" t="s">
        <v>58</v>
      </c>
      <c r="F1514" t="s">
        <v>4723</v>
      </c>
      <c r="G1514" t="s">
        <v>1100</v>
      </c>
    </row>
    <row r="1515" spans="1:7" hidden="1" x14ac:dyDescent="0.25">
      <c r="A1515" t="s">
        <v>4</v>
      </c>
      <c r="B1515" t="s">
        <v>9</v>
      </c>
      <c r="E1515" t="s">
        <v>2936</v>
      </c>
      <c r="F1515" t="s">
        <v>4726</v>
      </c>
      <c r="G1515" t="s">
        <v>1100</v>
      </c>
    </row>
    <row r="1516" spans="1:7" hidden="1" x14ac:dyDescent="0.25">
      <c r="A1516" t="s">
        <v>1091</v>
      </c>
      <c r="B1516" t="s">
        <v>1607</v>
      </c>
      <c r="C1516" t="s">
        <v>58</v>
      </c>
      <c r="F1516" t="s">
        <v>4729</v>
      </c>
      <c r="G1516" t="s">
        <v>1100</v>
      </c>
    </row>
    <row r="1517" spans="1:7" hidden="1" x14ac:dyDescent="0.25">
      <c r="A1517" t="s">
        <v>4</v>
      </c>
      <c r="B1517" t="s">
        <v>9</v>
      </c>
      <c r="E1517" t="s">
        <v>2936</v>
      </c>
      <c r="F1517" t="s">
        <v>4732</v>
      </c>
      <c r="G1517" t="s">
        <v>1100</v>
      </c>
    </row>
    <row r="1518" spans="1:7" hidden="1" x14ac:dyDescent="0.25">
      <c r="A1518" t="s">
        <v>4</v>
      </c>
      <c r="B1518" t="s">
        <v>9</v>
      </c>
      <c r="E1518" t="s">
        <v>2936</v>
      </c>
      <c r="F1518" t="s">
        <v>4735</v>
      </c>
      <c r="G1518" t="s">
        <v>1100</v>
      </c>
    </row>
    <row r="1519" spans="1:7" hidden="1" x14ac:dyDescent="0.25">
      <c r="A1519" t="s">
        <v>4</v>
      </c>
      <c r="B1519" t="s">
        <v>9</v>
      </c>
      <c r="E1519" t="s">
        <v>2936</v>
      </c>
      <c r="F1519" t="s">
        <v>4738</v>
      </c>
      <c r="G1519" t="s">
        <v>1100</v>
      </c>
    </row>
    <row r="1520" spans="1:7" hidden="1" x14ac:dyDescent="0.25">
      <c r="A1520" t="s">
        <v>4</v>
      </c>
      <c r="B1520" t="s">
        <v>9</v>
      </c>
      <c r="E1520" t="s">
        <v>2936</v>
      </c>
      <c r="F1520" t="s">
        <v>4741</v>
      </c>
      <c r="G1520" t="s">
        <v>1100</v>
      </c>
    </row>
    <row r="1521" spans="1:7" hidden="1" x14ac:dyDescent="0.25">
      <c r="A1521" t="s">
        <v>4</v>
      </c>
      <c r="B1521" t="s">
        <v>9</v>
      </c>
      <c r="E1521" t="s">
        <v>2936</v>
      </c>
      <c r="F1521" t="s">
        <v>4744</v>
      </c>
      <c r="G1521" t="s">
        <v>1100</v>
      </c>
    </row>
    <row r="1522" spans="1:7" hidden="1" x14ac:dyDescent="0.25">
      <c r="A1522" t="s">
        <v>4</v>
      </c>
      <c r="B1522" t="s">
        <v>9</v>
      </c>
      <c r="E1522" t="s">
        <v>2936</v>
      </c>
      <c r="F1522" t="s">
        <v>4747</v>
      </c>
      <c r="G1522" t="s">
        <v>1100</v>
      </c>
    </row>
    <row r="1523" spans="1:7" hidden="1" x14ac:dyDescent="0.25">
      <c r="A1523" t="s">
        <v>4</v>
      </c>
      <c r="B1523" t="s">
        <v>9</v>
      </c>
      <c r="E1523" t="s">
        <v>2936</v>
      </c>
      <c r="F1523" t="s">
        <v>4750</v>
      </c>
      <c r="G1523" t="s">
        <v>1100</v>
      </c>
    </row>
    <row r="1524" spans="1:7" hidden="1" x14ac:dyDescent="0.25">
      <c r="A1524" t="s">
        <v>4</v>
      </c>
      <c r="B1524" t="s">
        <v>531</v>
      </c>
      <c r="C1524" t="s">
        <v>1099</v>
      </c>
      <c r="E1524" t="s">
        <v>5138</v>
      </c>
      <c r="F1524" t="s">
        <v>4753</v>
      </c>
      <c r="G1524" t="s">
        <v>1100</v>
      </c>
    </row>
    <row r="1525" spans="1:7" hidden="1" x14ac:dyDescent="0.25">
      <c r="A1525" t="s">
        <v>4</v>
      </c>
      <c r="B1525" t="s">
        <v>9</v>
      </c>
      <c r="E1525" t="s">
        <v>2936</v>
      </c>
      <c r="F1525" t="s">
        <v>4756</v>
      </c>
      <c r="G1525" t="s">
        <v>1100</v>
      </c>
    </row>
    <row r="1526" spans="1:7" hidden="1" x14ac:dyDescent="0.25">
      <c r="A1526" t="s">
        <v>1091</v>
      </c>
      <c r="B1526" t="s">
        <v>1607</v>
      </c>
      <c r="C1526" t="s">
        <v>58</v>
      </c>
      <c r="F1526" t="s">
        <v>4759</v>
      </c>
      <c r="G1526" t="s">
        <v>1100</v>
      </c>
    </row>
    <row r="1527" spans="1:7" hidden="1" x14ac:dyDescent="0.25">
      <c r="A1527" t="s">
        <v>4</v>
      </c>
      <c r="B1527" t="s">
        <v>9</v>
      </c>
      <c r="E1527" t="s">
        <v>2936</v>
      </c>
      <c r="F1527" t="s">
        <v>4762</v>
      </c>
      <c r="G1527" t="s">
        <v>1100</v>
      </c>
    </row>
    <row r="1528" spans="1:7" hidden="1" x14ac:dyDescent="0.25">
      <c r="A1528" t="s">
        <v>1091</v>
      </c>
      <c r="B1528" t="s">
        <v>1607</v>
      </c>
      <c r="C1528" t="s">
        <v>58</v>
      </c>
      <c r="F1528" t="s">
        <v>4765</v>
      </c>
      <c r="G1528" t="s">
        <v>1100</v>
      </c>
    </row>
    <row r="1529" spans="1:7" hidden="1" x14ac:dyDescent="0.25">
      <c r="A1529" t="s">
        <v>4</v>
      </c>
      <c r="B1529" t="s">
        <v>9</v>
      </c>
      <c r="E1529" t="s">
        <v>2936</v>
      </c>
      <c r="F1529" t="s">
        <v>4768</v>
      </c>
      <c r="G1529" t="s">
        <v>1100</v>
      </c>
    </row>
    <row r="1530" spans="1:7" hidden="1" x14ac:dyDescent="0.25">
      <c r="A1530" t="s">
        <v>4</v>
      </c>
      <c r="B1530" t="s">
        <v>9</v>
      </c>
      <c r="E1530" t="s">
        <v>2936</v>
      </c>
      <c r="F1530" t="s">
        <v>4771</v>
      </c>
      <c r="G1530" t="s">
        <v>1100</v>
      </c>
    </row>
    <row r="1531" spans="1:7" hidden="1" x14ac:dyDescent="0.25">
      <c r="A1531" t="s">
        <v>4</v>
      </c>
      <c r="B1531" t="s">
        <v>9</v>
      </c>
      <c r="E1531" t="s">
        <v>2936</v>
      </c>
      <c r="F1531" t="s">
        <v>4774</v>
      </c>
      <c r="G1531" t="s">
        <v>1100</v>
      </c>
    </row>
    <row r="1532" spans="1:7" hidden="1" x14ac:dyDescent="0.25">
      <c r="A1532" t="s">
        <v>4</v>
      </c>
      <c r="B1532" t="s">
        <v>9</v>
      </c>
      <c r="E1532" t="s">
        <v>2936</v>
      </c>
      <c r="F1532" t="s">
        <v>4777</v>
      </c>
      <c r="G1532" t="s">
        <v>1100</v>
      </c>
    </row>
    <row r="1533" spans="1:7" hidden="1" x14ac:dyDescent="0.25">
      <c r="A1533" t="s">
        <v>4</v>
      </c>
      <c r="B1533" t="s">
        <v>9</v>
      </c>
      <c r="E1533" t="s">
        <v>2936</v>
      </c>
      <c r="F1533" t="s">
        <v>4780</v>
      </c>
      <c r="G1533" t="s">
        <v>1100</v>
      </c>
    </row>
    <row r="1534" spans="1:7" hidden="1" x14ac:dyDescent="0.25">
      <c r="A1534" t="s">
        <v>1091</v>
      </c>
      <c r="B1534" t="s">
        <v>1607</v>
      </c>
      <c r="C1534" t="s">
        <v>58</v>
      </c>
      <c r="F1534" t="s">
        <v>4783</v>
      </c>
      <c r="G1534" t="s">
        <v>1100</v>
      </c>
    </row>
    <row r="1535" spans="1:7" hidden="1" x14ac:dyDescent="0.25">
      <c r="A1535" t="s">
        <v>4</v>
      </c>
      <c r="B1535" t="s">
        <v>9</v>
      </c>
      <c r="E1535" t="s">
        <v>2936</v>
      </c>
      <c r="F1535" t="s">
        <v>4786</v>
      </c>
      <c r="G1535" t="s">
        <v>1100</v>
      </c>
    </row>
    <row r="1536" spans="1:7" hidden="1" x14ac:dyDescent="0.25">
      <c r="A1536" t="s">
        <v>1091</v>
      </c>
      <c r="B1536" t="s">
        <v>1607</v>
      </c>
      <c r="C1536" t="s">
        <v>58</v>
      </c>
      <c r="F1536" t="s">
        <v>4789</v>
      </c>
      <c r="G1536" t="s">
        <v>1100</v>
      </c>
    </row>
    <row r="1537" spans="1:7" hidden="1" x14ac:dyDescent="0.25">
      <c r="A1537" t="s">
        <v>4</v>
      </c>
      <c r="B1537" t="s">
        <v>9</v>
      </c>
      <c r="E1537" t="s">
        <v>2936</v>
      </c>
      <c r="F1537" t="s">
        <v>4792</v>
      </c>
      <c r="G1537" t="s">
        <v>1100</v>
      </c>
    </row>
    <row r="1538" spans="1:7" hidden="1" x14ac:dyDescent="0.25">
      <c r="A1538" t="s">
        <v>4</v>
      </c>
      <c r="B1538" t="s">
        <v>9</v>
      </c>
      <c r="E1538" t="s">
        <v>2936</v>
      </c>
      <c r="F1538" t="s">
        <v>4795</v>
      </c>
      <c r="G1538" t="s">
        <v>1100</v>
      </c>
    </row>
    <row r="1539" spans="1:7" hidden="1" x14ac:dyDescent="0.25">
      <c r="A1539" t="s">
        <v>4</v>
      </c>
      <c r="B1539" t="s">
        <v>9</v>
      </c>
      <c r="E1539" t="s">
        <v>2936</v>
      </c>
      <c r="F1539" t="s">
        <v>4798</v>
      </c>
      <c r="G1539" t="s">
        <v>1100</v>
      </c>
    </row>
    <row r="1540" spans="1:7" hidden="1" x14ac:dyDescent="0.25">
      <c r="A1540" t="s">
        <v>4</v>
      </c>
      <c r="B1540" t="s">
        <v>9</v>
      </c>
      <c r="E1540" t="s">
        <v>2936</v>
      </c>
      <c r="F1540" t="s">
        <v>4801</v>
      </c>
      <c r="G1540" t="s">
        <v>1100</v>
      </c>
    </row>
    <row r="1541" spans="1:7" hidden="1" x14ac:dyDescent="0.25">
      <c r="A1541" t="s">
        <v>4</v>
      </c>
      <c r="B1541" t="s">
        <v>9</v>
      </c>
      <c r="E1541" t="s">
        <v>2936</v>
      </c>
      <c r="F1541" t="s">
        <v>4804</v>
      </c>
      <c r="G1541" t="s">
        <v>1100</v>
      </c>
    </row>
    <row r="1542" spans="1:7" hidden="1" x14ac:dyDescent="0.25">
      <c r="A1542" t="s">
        <v>4</v>
      </c>
      <c r="B1542" t="s">
        <v>9</v>
      </c>
      <c r="E1542" t="s">
        <v>2936</v>
      </c>
      <c r="F1542" t="s">
        <v>4807</v>
      </c>
      <c r="G1542" t="s">
        <v>1100</v>
      </c>
    </row>
    <row r="1543" spans="1:7" hidden="1" x14ac:dyDescent="0.25">
      <c r="A1543" t="s">
        <v>4</v>
      </c>
      <c r="B1543" t="s">
        <v>9</v>
      </c>
      <c r="E1543" t="s">
        <v>2936</v>
      </c>
      <c r="F1543" t="s">
        <v>4810</v>
      </c>
      <c r="G1543" t="s">
        <v>1100</v>
      </c>
    </row>
    <row r="1544" spans="1:7" hidden="1" x14ac:dyDescent="0.25">
      <c r="A1544" t="s">
        <v>4</v>
      </c>
      <c r="B1544" t="s">
        <v>9</v>
      </c>
      <c r="E1544" t="s">
        <v>2936</v>
      </c>
      <c r="F1544" t="s">
        <v>4813</v>
      </c>
      <c r="G1544" t="s">
        <v>1100</v>
      </c>
    </row>
    <row r="1545" spans="1:7" hidden="1" x14ac:dyDescent="0.25">
      <c r="A1545" t="s">
        <v>4</v>
      </c>
      <c r="B1545" t="s">
        <v>9</v>
      </c>
      <c r="E1545" t="s">
        <v>2936</v>
      </c>
      <c r="F1545" t="s">
        <v>4816</v>
      </c>
      <c r="G1545" t="s">
        <v>1100</v>
      </c>
    </row>
    <row r="1546" spans="1:7" hidden="1" x14ac:dyDescent="0.25">
      <c r="A1546" t="s">
        <v>4</v>
      </c>
      <c r="B1546" t="s">
        <v>9</v>
      </c>
      <c r="E1546" t="s">
        <v>2936</v>
      </c>
      <c r="F1546" t="s">
        <v>4819</v>
      </c>
      <c r="G1546" t="s">
        <v>1100</v>
      </c>
    </row>
    <row r="1547" spans="1:7" hidden="1" x14ac:dyDescent="0.25">
      <c r="A1547" t="s">
        <v>4</v>
      </c>
      <c r="B1547" t="s">
        <v>9</v>
      </c>
      <c r="E1547" t="s">
        <v>2936</v>
      </c>
      <c r="F1547" t="s">
        <v>4822</v>
      </c>
      <c r="G1547" t="s">
        <v>1100</v>
      </c>
    </row>
    <row r="1548" spans="1:7" hidden="1" x14ac:dyDescent="0.25">
      <c r="A1548" t="s">
        <v>4</v>
      </c>
      <c r="B1548" t="s">
        <v>9</v>
      </c>
      <c r="E1548" t="s">
        <v>2936</v>
      </c>
      <c r="F1548" t="s">
        <v>4825</v>
      </c>
      <c r="G1548" t="s">
        <v>1100</v>
      </c>
    </row>
    <row r="1549" spans="1:7" hidden="1" x14ac:dyDescent="0.25">
      <c r="A1549" t="s">
        <v>4</v>
      </c>
      <c r="B1549" t="s">
        <v>9</v>
      </c>
      <c r="E1549" t="s">
        <v>2936</v>
      </c>
      <c r="F1549" t="s">
        <v>4828</v>
      </c>
      <c r="G1549" t="s">
        <v>1100</v>
      </c>
    </row>
    <row r="1550" spans="1:7" hidden="1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4831</v>
      </c>
      <c r="G1550" s="1" t="s">
        <v>1603</v>
      </c>
    </row>
    <row r="1551" spans="1:7" hidden="1" x14ac:dyDescent="0.25">
      <c r="A1551" t="s">
        <v>4</v>
      </c>
      <c r="B1551" t="s">
        <v>8</v>
      </c>
      <c r="F1551" t="s">
        <v>4834</v>
      </c>
      <c r="G1551" s="1" t="s">
        <v>1603</v>
      </c>
    </row>
    <row r="1552" spans="1:7" hidden="1" x14ac:dyDescent="0.25">
      <c r="A1552" t="s">
        <v>533</v>
      </c>
      <c r="B1552" t="s">
        <v>531</v>
      </c>
      <c r="C1552" t="s">
        <v>58</v>
      </c>
      <c r="E1552" t="s">
        <v>4236</v>
      </c>
      <c r="F1552" t="s">
        <v>4837</v>
      </c>
      <c r="G1552" s="1" t="s">
        <v>1603</v>
      </c>
    </row>
    <row r="1553" spans="1:7" hidden="1" x14ac:dyDescent="0.25">
      <c r="A1553" t="s">
        <v>4</v>
      </c>
      <c r="B1553" t="s">
        <v>8</v>
      </c>
      <c r="F1553" t="s">
        <v>4840</v>
      </c>
      <c r="G1553" s="1" t="s">
        <v>1603</v>
      </c>
    </row>
    <row r="1554" spans="1:7" hidden="1" x14ac:dyDescent="0.25">
      <c r="A1554" t="s">
        <v>533</v>
      </c>
      <c r="B1554" t="s">
        <v>531</v>
      </c>
      <c r="C1554" t="s">
        <v>58</v>
      </c>
      <c r="E1554" t="s">
        <v>4236</v>
      </c>
      <c r="F1554" t="s">
        <v>4843</v>
      </c>
      <c r="G1554" s="1" t="s">
        <v>1603</v>
      </c>
    </row>
    <row r="1555" spans="1:7" hidden="1" x14ac:dyDescent="0.25">
      <c r="A1555" t="s">
        <v>289</v>
      </c>
      <c r="B1555" t="s">
        <v>86</v>
      </c>
      <c r="C1555" t="s">
        <v>4240</v>
      </c>
      <c r="F1555" t="s">
        <v>4846</v>
      </c>
      <c r="G1555" s="1" t="s">
        <v>1603</v>
      </c>
    </row>
    <row r="1556" spans="1:7" hidden="1" x14ac:dyDescent="0.25">
      <c r="A1556" t="s">
        <v>289</v>
      </c>
      <c r="B1556" t="s">
        <v>86</v>
      </c>
      <c r="C1556" t="s">
        <v>4240</v>
      </c>
      <c r="E1556" t="s">
        <v>2936</v>
      </c>
      <c r="F1556" t="s">
        <v>4849</v>
      </c>
      <c r="G1556" s="1" t="s">
        <v>1603</v>
      </c>
    </row>
    <row r="1557" spans="1:7" hidden="1" x14ac:dyDescent="0.25">
      <c r="A1557" t="s">
        <v>289</v>
      </c>
      <c r="B1557" t="s">
        <v>86</v>
      </c>
      <c r="C1557" t="s">
        <v>4240</v>
      </c>
      <c r="F1557" t="s">
        <v>4852</v>
      </c>
      <c r="G1557" s="1" t="s">
        <v>1603</v>
      </c>
    </row>
    <row r="1558" spans="1:7" hidden="1" x14ac:dyDescent="0.25">
      <c r="A1558" t="s">
        <v>4241</v>
      </c>
      <c r="B1558" t="s">
        <v>86</v>
      </c>
      <c r="C1558" t="s">
        <v>4240</v>
      </c>
      <c r="E1558" t="s">
        <v>4236</v>
      </c>
      <c r="F1558" t="s">
        <v>4855</v>
      </c>
      <c r="G1558" s="1" t="s">
        <v>1603</v>
      </c>
    </row>
    <row r="1559" spans="1:7" hidden="1" x14ac:dyDescent="0.25">
      <c r="A1559" t="s">
        <v>533</v>
      </c>
      <c r="B1559" t="s">
        <v>531</v>
      </c>
      <c r="C1559" t="s">
        <v>58</v>
      </c>
      <c r="E1559" t="s">
        <v>4236</v>
      </c>
      <c r="F1559" t="s">
        <v>4858</v>
      </c>
      <c r="G1559" s="1" t="s">
        <v>1603</v>
      </c>
    </row>
    <row r="1560" spans="1:7" hidden="1" x14ac:dyDescent="0.25">
      <c r="A1560" t="s">
        <v>533</v>
      </c>
      <c r="B1560" t="s">
        <v>531</v>
      </c>
      <c r="C1560" t="s">
        <v>58</v>
      </c>
      <c r="E1560" t="s">
        <v>4236</v>
      </c>
      <c r="F1560" t="s">
        <v>4861</v>
      </c>
      <c r="G1560" s="1" t="s">
        <v>1603</v>
      </c>
    </row>
    <row r="1561" spans="1:7" hidden="1" x14ac:dyDescent="0.25">
      <c r="A1561" t="s">
        <v>533</v>
      </c>
      <c r="B1561" t="s">
        <v>531</v>
      </c>
      <c r="C1561" t="s">
        <v>58</v>
      </c>
      <c r="E1561" t="s">
        <v>4236</v>
      </c>
      <c r="F1561" t="s">
        <v>4864</v>
      </c>
      <c r="G1561" s="1" t="s">
        <v>1603</v>
      </c>
    </row>
    <row r="1562" spans="1:7" hidden="1" x14ac:dyDescent="0.25">
      <c r="A1562" t="s">
        <v>289</v>
      </c>
      <c r="B1562" t="s">
        <v>86</v>
      </c>
      <c r="C1562" t="s">
        <v>4240</v>
      </c>
      <c r="F1562" t="s">
        <v>4867</v>
      </c>
      <c r="G1562" s="1" t="s">
        <v>1603</v>
      </c>
    </row>
    <row r="1563" spans="1:7" hidden="1" x14ac:dyDescent="0.25">
      <c r="A1563" t="s">
        <v>4241</v>
      </c>
      <c r="B1563" t="s">
        <v>86</v>
      </c>
      <c r="C1563" t="s">
        <v>4240</v>
      </c>
      <c r="E1563" t="s">
        <v>4236</v>
      </c>
      <c r="F1563" t="s">
        <v>4870</v>
      </c>
      <c r="G1563" s="1" t="s">
        <v>1603</v>
      </c>
    </row>
    <row r="1564" spans="1:7" hidden="1" x14ac:dyDescent="0.25">
      <c r="A1564" t="s">
        <v>533</v>
      </c>
      <c r="B1564" t="s">
        <v>531</v>
      </c>
      <c r="C1564" t="s">
        <v>58</v>
      </c>
      <c r="E1564" t="s">
        <v>4236</v>
      </c>
      <c r="F1564" t="s">
        <v>4873</v>
      </c>
      <c r="G1564" s="1" t="s">
        <v>1603</v>
      </c>
    </row>
    <row r="1565" spans="1:7" hidden="1" x14ac:dyDescent="0.25">
      <c r="A1565" t="s">
        <v>533</v>
      </c>
      <c r="B1565" t="s">
        <v>531</v>
      </c>
      <c r="C1565" t="s">
        <v>58</v>
      </c>
      <c r="E1565" t="s">
        <v>4236</v>
      </c>
      <c r="F1565" t="s">
        <v>4876</v>
      </c>
      <c r="G1565" s="1" t="s">
        <v>1603</v>
      </c>
    </row>
    <row r="1566" spans="1:7" hidden="1" x14ac:dyDescent="0.25">
      <c r="A1566" t="s">
        <v>289</v>
      </c>
      <c r="B1566" t="s">
        <v>86</v>
      </c>
      <c r="C1566" t="s">
        <v>4240</v>
      </c>
      <c r="F1566" t="s">
        <v>4879</v>
      </c>
      <c r="G1566" s="1" t="s">
        <v>1603</v>
      </c>
    </row>
    <row r="1567" spans="1:7" hidden="1" x14ac:dyDescent="0.25">
      <c r="A1567" t="s">
        <v>4241</v>
      </c>
      <c r="B1567" t="s">
        <v>86</v>
      </c>
      <c r="C1567" t="s">
        <v>4240</v>
      </c>
      <c r="E1567" t="s">
        <v>4236</v>
      </c>
      <c r="F1567" t="s">
        <v>4882</v>
      </c>
      <c r="G1567" s="1" t="s">
        <v>1603</v>
      </c>
    </row>
    <row r="1568" spans="1:7" hidden="1" x14ac:dyDescent="0.25">
      <c r="A1568" t="s">
        <v>533</v>
      </c>
      <c r="B1568" t="s">
        <v>531</v>
      </c>
      <c r="C1568" t="s">
        <v>1099</v>
      </c>
      <c r="E1568" t="s">
        <v>4236</v>
      </c>
      <c r="F1568" t="s">
        <v>4885</v>
      </c>
      <c r="G1568" s="1" t="s">
        <v>1603</v>
      </c>
    </row>
    <row r="1569" spans="1:7" hidden="1" x14ac:dyDescent="0.25">
      <c r="A1569" t="s">
        <v>533</v>
      </c>
      <c r="B1569" t="s">
        <v>531</v>
      </c>
      <c r="C1569" t="s">
        <v>58</v>
      </c>
      <c r="E1569" t="s">
        <v>4236</v>
      </c>
      <c r="F1569" t="s">
        <v>4888</v>
      </c>
      <c r="G1569" s="1" t="s">
        <v>1603</v>
      </c>
    </row>
    <row r="1570" spans="1:7" hidden="1" x14ac:dyDescent="0.25">
      <c r="A1570" t="s">
        <v>4227</v>
      </c>
      <c r="B1570" t="s">
        <v>531</v>
      </c>
      <c r="C1570" t="s">
        <v>4233</v>
      </c>
      <c r="E1570" t="s">
        <v>2957</v>
      </c>
      <c r="F1570" t="s">
        <v>4891</v>
      </c>
      <c r="G1570" s="1" t="s">
        <v>1603</v>
      </c>
    </row>
    <row r="1571" spans="1:7" hidden="1" x14ac:dyDescent="0.25">
      <c r="A1571" t="s">
        <v>4</v>
      </c>
      <c r="B1571" t="s">
        <v>8</v>
      </c>
      <c r="F1571" t="s">
        <v>4894</v>
      </c>
      <c r="G1571" s="1" t="s">
        <v>1603</v>
      </c>
    </row>
    <row r="1572" spans="1:7" hidden="1" x14ac:dyDescent="0.25">
      <c r="A1572" t="s">
        <v>2004</v>
      </c>
      <c r="B1572" t="s">
        <v>8</v>
      </c>
      <c r="F1572" t="s">
        <v>4897</v>
      </c>
      <c r="G1572" s="1" t="s">
        <v>1603</v>
      </c>
    </row>
    <row r="1573" spans="1:7" hidden="1" x14ac:dyDescent="0.25">
      <c r="A1573" t="s">
        <v>2004</v>
      </c>
      <c r="F1573" t="s">
        <v>4900</v>
      </c>
      <c r="G1573" t="s">
        <v>1817</v>
      </c>
    </row>
    <row r="1574" spans="1:7" hidden="1" x14ac:dyDescent="0.25">
      <c r="A1574" t="s">
        <v>2004</v>
      </c>
      <c r="F1574" t="s">
        <v>4903</v>
      </c>
      <c r="G1574" t="s">
        <v>1817</v>
      </c>
    </row>
    <row r="1575" spans="1:7" hidden="1" x14ac:dyDescent="0.25">
      <c r="A1575" t="s">
        <v>159</v>
      </c>
      <c r="B1575" t="s">
        <v>86</v>
      </c>
      <c r="C1575" t="s">
        <v>5103</v>
      </c>
      <c r="F1575" t="s">
        <v>4906</v>
      </c>
      <c r="G1575" t="s">
        <v>1817</v>
      </c>
    </row>
    <row r="1576" spans="1:7" hidden="1" x14ac:dyDescent="0.25">
      <c r="A1576" t="s">
        <v>3073</v>
      </c>
      <c r="B1576" t="s">
        <v>86</v>
      </c>
      <c r="C1576" t="s">
        <v>5103</v>
      </c>
      <c r="F1576" t="s">
        <v>4909</v>
      </c>
      <c r="G1576" t="s">
        <v>1817</v>
      </c>
    </row>
    <row r="1577" spans="1:7" hidden="1" x14ac:dyDescent="0.25">
      <c r="A1577" t="s">
        <v>2004</v>
      </c>
      <c r="F1577" t="s">
        <v>4912</v>
      </c>
      <c r="G1577" t="s">
        <v>1817</v>
      </c>
    </row>
    <row r="1578" spans="1:7" hidden="1" x14ac:dyDescent="0.25">
      <c r="A1578" t="s">
        <v>4</v>
      </c>
      <c r="B1578" t="s">
        <v>5139</v>
      </c>
      <c r="E1578" t="s">
        <v>5140</v>
      </c>
      <c r="F1578" t="s">
        <v>4915</v>
      </c>
      <c r="G1578" t="s">
        <v>1817</v>
      </c>
    </row>
    <row r="1579" spans="1:7" hidden="1" x14ac:dyDescent="0.25">
      <c r="A1579" t="s">
        <v>2004</v>
      </c>
      <c r="F1579" t="s">
        <v>4918</v>
      </c>
      <c r="G1579" t="s">
        <v>1817</v>
      </c>
    </row>
    <row r="1580" spans="1:7" hidden="1" x14ac:dyDescent="0.25">
      <c r="A1580" t="s">
        <v>4</v>
      </c>
      <c r="B1580" t="s">
        <v>8</v>
      </c>
      <c r="F1580" t="s">
        <v>4921</v>
      </c>
      <c r="G1580" t="s">
        <v>1934</v>
      </c>
    </row>
    <row r="1581" spans="1:7" hidden="1" x14ac:dyDescent="0.25">
      <c r="A1581" t="s">
        <v>4</v>
      </c>
      <c r="B1581" t="s">
        <v>8</v>
      </c>
      <c r="E1581" t="s">
        <v>2936</v>
      </c>
      <c r="F1581" t="s">
        <v>4924</v>
      </c>
      <c r="G1581" t="s">
        <v>1934</v>
      </c>
    </row>
    <row r="1582" spans="1:7" hidden="1" x14ac:dyDescent="0.25">
      <c r="A1582" t="s">
        <v>4</v>
      </c>
      <c r="B1582" t="s">
        <v>8</v>
      </c>
      <c r="E1582" t="s">
        <v>2936</v>
      </c>
      <c r="F1582" t="s">
        <v>4927</v>
      </c>
      <c r="G1582" t="s">
        <v>1934</v>
      </c>
    </row>
    <row r="1583" spans="1:7" hidden="1" x14ac:dyDescent="0.25">
      <c r="A1583" t="s">
        <v>4</v>
      </c>
      <c r="B1583" t="s">
        <v>8</v>
      </c>
      <c r="E1583" t="s">
        <v>2936</v>
      </c>
      <c r="F1583" t="s">
        <v>4930</v>
      </c>
      <c r="G1583" t="s">
        <v>1934</v>
      </c>
    </row>
    <row r="1584" spans="1:7" hidden="1" x14ac:dyDescent="0.25">
      <c r="A1584" t="s">
        <v>4</v>
      </c>
      <c r="B1584" t="s">
        <v>8</v>
      </c>
      <c r="E1584" t="s">
        <v>2936</v>
      </c>
      <c r="F1584" t="s">
        <v>4933</v>
      </c>
      <c r="G1584" t="s">
        <v>1934</v>
      </c>
    </row>
    <row r="1585" spans="1:7" hidden="1" x14ac:dyDescent="0.25">
      <c r="A1585" t="s">
        <v>4</v>
      </c>
      <c r="B1585" t="s">
        <v>8</v>
      </c>
      <c r="E1585" t="s">
        <v>2936</v>
      </c>
      <c r="F1585" t="s">
        <v>4936</v>
      </c>
      <c r="G1585" t="s">
        <v>1934</v>
      </c>
    </row>
    <row r="1586" spans="1:7" hidden="1" x14ac:dyDescent="0.25">
      <c r="A1586" t="s">
        <v>4</v>
      </c>
      <c r="B1586" t="s">
        <v>8</v>
      </c>
      <c r="E1586" t="s">
        <v>2936</v>
      </c>
      <c r="F1586" t="s">
        <v>4939</v>
      </c>
      <c r="G1586" t="s">
        <v>1934</v>
      </c>
    </row>
    <row r="1587" spans="1:7" hidden="1" x14ac:dyDescent="0.25">
      <c r="A1587" t="s">
        <v>4</v>
      </c>
      <c r="B1587" t="s">
        <v>8</v>
      </c>
      <c r="E1587" t="s">
        <v>2936</v>
      </c>
      <c r="F1587" t="s">
        <v>4942</v>
      </c>
      <c r="G1587" t="s">
        <v>1934</v>
      </c>
    </row>
    <row r="1588" spans="1:7" hidden="1" x14ac:dyDescent="0.25">
      <c r="A1588" t="s">
        <v>4</v>
      </c>
      <c r="B1588" t="s">
        <v>8</v>
      </c>
      <c r="E1588" t="s">
        <v>2936</v>
      </c>
      <c r="F1588" t="s">
        <v>4945</v>
      </c>
      <c r="G1588" t="s">
        <v>1934</v>
      </c>
    </row>
    <row r="1589" spans="1:7" hidden="1" x14ac:dyDescent="0.25">
      <c r="A1589" t="s">
        <v>4</v>
      </c>
      <c r="B1589" t="s">
        <v>8</v>
      </c>
      <c r="E1589" t="s">
        <v>2936</v>
      </c>
      <c r="F1589" t="s">
        <v>4948</v>
      </c>
      <c r="G1589" t="s">
        <v>1934</v>
      </c>
    </row>
    <row r="1590" spans="1:7" hidden="1" x14ac:dyDescent="0.25">
      <c r="A1590" t="s">
        <v>4</v>
      </c>
      <c r="B1590" t="s">
        <v>8</v>
      </c>
      <c r="E1590" t="s">
        <v>2936</v>
      </c>
      <c r="F1590" t="s">
        <v>4951</v>
      </c>
      <c r="G1590" t="s">
        <v>1934</v>
      </c>
    </row>
    <row r="1591" spans="1:7" hidden="1" x14ac:dyDescent="0.25">
      <c r="A1591" t="s">
        <v>4</v>
      </c>
      <c r="B1591" t="s">
        <v>8</v>
      </c>
      <c r="E1591" t="s">
        <v>2936</v>
      </c>
      <c r="F1591" t="s">
        <v>4954</v>
      </c>
      <c r="G1591" t="s">
        <v>1934</v>
      </c>
    </row>
    <row r="1592" spans="1:7" hidden="1" x14ac:dyDescent="0.25">
      <c r="A1592" t="s">
        <v>4</v>
      </c>
      <c r="B1592" t="s">
        <v>8</v>
      </c>
      <c r="E1592" t="s">
        <v>2936</v>
      </c>
      <c r="F1592" t="s">
        <v>4957</v>
      </c>
      <c r="G1592" t="s">
        <v>1934</v>
      </c>
    </row>
    <row r="1593" spans="1:7" hidden="1" x14ac:dyDescent="0.25">
      <c r="A1593" t="s">
        <v>4</v>
      </c>
      <c r="B1593" t="s">
        <v>8</v>
      </c>
      <c r="E1593" t="s">
        <v>2936</v>
      </c>
      <c r="F1593" t="s">
        <v>4960</v>
      </c>
      <c r="G1593" t="s">
        <v>1934</v>
      </c>
    </row>
    <row r="1594" spans="1:7" hidden="1" x14ac:dyDescent="0.25">
      <c r="A1594" t="s">
        <v>4</v>
      </c>
      <c r="B1594" t="s">
        <v>8</v>
      </c>
      <c r="E1594" t="s">
        <v>2936</v>
      </c>
      <c r="F1594" t="s">
        <v>4963</v>
      </c>
      <c r="G1594" t="s">
        <v>1934</v>
      </c>
    </row>
    <row r="1595" spans="1:7" hidden="1" x14ac:dyDescent="0.25">
      <c r="A1595" t="s">
        <v>4</v>
      </c>
      <c r="B1595" t="s">
        <v>8</v>
      </c>
      <c r="E1595" t="s">
        <v>2936</v>
      </c>
      <c r="F1595" t="s">
        <v>4966</v>
      </c>
      <c r="G1595" t="s">
        <v>1934</v>
      </c>
    </row>
    <row r="1596" spans="1:7" hidden="1" x14ac:dyDescent="0.25">
      <c r="A1596" t="s">
        <v>4</v>
      </c>
      <c r="B1596" t="s">
        <v>8</v>
      </c>
      <c r="E1596" t="s">
        <v>2936</v>
      </c>
      <c r="F1596" t="s">
        <v>4969</v>
      </c>
      <c r="G1596" t="s">
        <v>1934</v>
      </c>
    </row>
    <row r="1597" spans="1:7" hidden="1" x14ac:dyDescent="0.25">
      <c r="A1597" t="s">
        <v>4</v>
      </c>
      <c r="B1597" t="s">
        <v>8</v>
      </c>
      <c r="E1597" t="s">
        <v>2936</v>
      </c>
      <c r="F1597" t="s">
        <v>4972</v>
      </c>
      <c r="G1597" t="s">
        <v>1934</v>
      </c>
    </row>
    <row r="1598" spans="1:7" hidden="1" x14ac:dyDescent="0.25">
      <c r="A1598" t="s">
        <v>4</v>
      </c>
      <c r="B1598" t="s">
        <v>8</v>
      </c>
      <c r="E1598" t="s">
        <v>2936</v>
      </c>
      <c r="F1598" t="s">
        <v>4975</v>
      </c>
      <c r="G1598" t="s">
        <v>1934</v>
      </c>
    </row>
    <row r="1599" spans="1:7" hidden="1" x14ac:dyDescent="0.25">
      <c r="A1599" t="s">
        <v>2004</v>
      </c>
      <c r="B1599" t="s">
        <v>8</v>
      </c>
      <c r="F1599" t="s">
        <v>4978</v>
      </c>
      <c r="G1599" t="s">
        <v>1934</v>
      </c>
    </row>
    <row r="1600" spans="1:7" hidden="1" x14ac:dyDescent="0.25">
      <c r="A1600" t="s">
        <v>2014</v>
      </c>
      <c r="F1600" t="s">
        <v>4981</v>
      </c>
      <c r="G1600" t="s">
        <v>1997</v>
      </c>
    </row>
    <row r="1601" spans="1:7" hidden="1" x14ac:dyDescent="0.25">
      <c r="A1601" t="s">
        <v>2014</v>
      </c>
      <c r="F1601" t="s">
        <v>4984</v>
      </c>
      <c r="G1601" t="s">
        <v>1997</v>
      </c>
    </row>
    <row r="1602" spans="1:7" hidden="1" x14ac:dyDescent="0.25">
      <c r="A1602" t="s">
        <v>2014</v>
      </c>
      <c r="F1602" t="s">
        <v>4987</v>
      </c>
      <c r="G1602" t="s">
        <v>1997</v>
      </c>
    </row>
    <row r="1603" spans="1:7" hidden="1" x14ac:dyDescent="0.25">
      <c r="A1603" t="s">
        <v>2014</v>
      </c>
      <c r="F1603" t="s">
        <v>4990</v>
      </c>
      <c r="G1603" t="s">
        <v>1997</v>
      </c>
    </row>
    <row r="1604" spans="1:7" hidden="1" x14ac:dyDescent="0.25">
      <c r="A1604" t="s">
        <v>2014</v>
      </c>
      <c r="F1604" t="s">
        <v>4993</v>
      </c>
      <c r="G1604" t="s">
        <v>1997</v>
      </c>
    </row>
    <row r="1605" spans="1:7" hidden="1" x14ac:dyDescent="0.25">
      <c r="A1605" t="s">
        <v>2014</v>
      </c>
      <c r="F1605" t="s">
        <v>4996</v>
      </c>
      <c r="G1605" t="s">
        <v>1997</v>
      </c>
    </row>
    <row r="1606" spans="1:7" hidden="1" x14ac:dyDescent="0.25">
      <c r="A1606" t="s">
        <v>91</v>
      </c>
      <c r="B1606" t="s">
        <v>5259</v>
      </c>
      <c r="C1606" t="s">
        <v>51</v>
      </c>
      <c r="F1606" t="s">
        <v>5144</v>
      </c>
      <c r="G1606" t="s">
        <v>1102</v>
      </c>
    </row>
    <row r="1607" spans="1:7" hidden="1" x14ac:dyDescent="0.25">
      <c r="A1607" t="s">
        <v>62</v>
      </c>
      <c r="B1607" t="s">
        <v>5259</v>
      </c>
      <c r="C1607" t="s">
        <v>5260</v>
      </c>
      <c r="E1607" t="s">
        <v>5261</v>
      </c>
      <c r="F1607" t="s">
        <v>5146</v>
      </c>
      <c r="G1607" t="s">
        <v>1102</v>
      </c>
    </row>
    <row r="1608" spans="1:7" hidden="1" x14ac:dyDescent="0.25">
      <c r="A1608" t="s">
        <v>2004</v>
      </c>
      <c r="F1608" t="s">
        <v>5196</v>
      </c>
      <c r="G1608" t="s">
        <v>1103</v>
      </c>
    </row>
    <row r="1609" spans="1:7" hidden="1" x14ac:dyDescent="0.25">
      <c r="A1609" t="s">
        <v>4</v>
      </c>
      <c r="B1609" t="s">
        <v>5262</v>
      </c>
      <c r="C1609" t="s">
        <v>1609</v>
      </c>
      <c r="F1609" t="s">
        <v>5141</v>
      </c>
      <c r="G1609" t="s">
        <v>91</v>
      </c>
    </row>
    <row r="1610" spans="1:7" hidden="1" x14ac:dyDescent="0.25">
      <c r="A1610" t="s">
        <v>4</v>
      </c>
      <c r="B1610" t="s">
        <v>8</v>
      </c>
      <c r="F1610" t="s">
        <v>5226</v>
      </c>
      <c r="G1610" t="s">
        <v>1104</v>
      </c>
    </row>
    <row r="1611" spans="1:7" hidden="1" x14ac:dyDescent="0.25">
      <c r="A1611" t="s">
        <v>1606</v>
      </c>
      <c r="B1611" t="s">
        <v>5263</v>
      </c>
      <c r="C1611" t="s">
        <v>4233</v>
      </c>
      <c r="F1611" t="s">
        <v>5148</v>
      </c>
      <c r="G1611" t="s">
        <v>1105</v>
      </c>
    </row>
    <row r="1612" spans="1:7" hidden="1" x14ac:dyDescent="0.25">
      <c r="A1612" t="s">
        <v>289</v>
      </c>
      <c r="B1612" t="s">
        <v>5263</v>
      </c>
      <c r="C1612" t="s">
        <v>5093</v>
      </c>
      <c r="F1612" t="s">
        <v>5151</v>
      </c>
      <c r="G1612" t="s">
        <v>1105</v>
      </c>
    </row>
    <row r="1613" spans="1:7" hidden="1" x14ac:dyDescent="0.25">
      <c r="A1613" t="s">
        <v>289</v>
      </c>
      <c r="B1613" t="s">
        <v>5263</v>
      </c>
      <c r="C1613" t="s">
        <v>5093</v>
      </c>
      <c r="E1613" t="s">
        <v>2936</v>
      </c>
      <c r="F1613" t="s">
        <v>5154</v>
      </c>
      <c r="G1613" t="s">
        <v>1105</v>
      </c>
    </row>
    <row r="1614" spans="1:7" hidden="1" x14ac:dyDescent="0.25">
      <c r="A1614" t="s">
        <v>289</v>
      </c>
      <c r="B1614" t="s">
        <v>5263</v>
      </c>
      <c r="C1614" t="s">
        <v>5093</v>
      </c>
      <c r="E1614" t="s">
        <v>2936</v>
      </c>
      <c r="F1614" t="s">
        <v>5157</v>
      </c>
      <c r="G1614" t="s">
        <v>1105</v>
      </c>
    </row>
    <row r="1615" spans="1:7" hidden="1" x14ac:dyDescent="0.25">
      <c r="A1615" t="s">
        <v>289</v>
      </c>
      <c r="B1615" t="s">
        <v>5263</v>
      </c>
      <c r="C1615" t="s">
        <v>5093</v>
      </c>
      <c r="E1615" t="s">
        <v>2936</v>
      </c>
      <c r="F1615" t="s">
        <v>5160</v>
      </c>
      <c r="G1615" t="s">
        <v>1105</v>
      </c>
    </row>
    <row r="1616" spans="1:7" hidden="1" x14ac:dyDescent="0.25">
      <c r="A1616" t="s">
        <v>289</v>
      </c>
      <c r="B1616" t="s">
        <v>5263</v>
      </c>
      <c r="C1616" t="s">
        <v>5093</v>
      </c>
      <c r="E1616" t="s">
        <v>2936</v>
      </c>
      <c r="F1616" t="s">
        <v>5163</v>
      </c>
      <c r="G1616" t="s">
        <v>1105</v>
      </c>
    </row>
    <row r="1617" spans="1:7" hidden="1" x14ac:dyDescent="0.25">
      <c r="A1617" t="s">
        <v>289</v>
      </c>
      <c r="B1617" t="s">
        <v>5263</v>
      </c>
      <c r="C1617" t="s">
        <v>5093</v>
      </c>
      <c r="E1617" t="s">
        <v>2936</v>
      </c>
      <c r="F1617" t="s">
        <v>5166</v>
      </c>
      <c r="G1617" t="s">
        <v>1105</v>
      </c>
    </row>
    <row r="1618" spans="1:7" hidden="1" x14ac:dyDescent="0.25">
      <c r="A1618" t="s">
        <v>4232</v>
      </c>
      <c r="B1618" t="s">
        <v>5263</v>
      </c>
      <c r="C1618" t="s">
        <v>1609</v>
      </c>
      <c r="F1618" t="s">
        <v>5169</v>
      </c>
      <c r="G1618" t="s">
        <v>1105</v>
      </c>
    </row>
    <row r="1619" spans="1:7" hidden="1" x14ac:dyDescent="0.25">
      <c r="A1619" t="s">
        <v>650</v>
      </c>
      <c r="B1619" t="s">
        <v>5263</v>
      </c>
      <c r="C1619" t="s">
        <v>1609</v>
      </c>
      <c r="F1619" t="s">
        <v>5172</v>
      </c>
      <c r="G1619" t="s">
        <v>1105</v>
      </c>
    </row>
    <row r="1620" spans="1:7" hidden="1" x14ac:dyDescent="0.25">
      <c r="A1620" t="s">
        <v>2004</v>
      </c>
      <c r="B1620" t="s">
        <v>8</v>
      </c>
      <c r="F1620" t="s">
        <v>5175</v>
      </c>
      <c r="G1620" t="s">
        <v>1106</v>
      </c>
    </row>
    <row r="1621" spans="1:7" x14ac:dyDescent="0.25">
      <c r="A1621" t="s">
        <v>2004</v>
      </c>
      <c r="F1621" t="s">
        <v>5229</v>
      </c>
      <c r="G1621" t="s">
        <v>1107</v>
      </c>
    </row>
    <row r="1622" spans="1:7" hidden="1" x14ac:dyDescent="0.25">
      <c r="A1622" t="s">
        <v>2004</v>
      </c>
      <c r="B1622" t="s">
        <v>8</v>
      </c>
      <c r="F1622" t="s">
        <v>5178</v>
      </c>
      <c r="G1622" t="s">
        <v>796</v>
      </c>
    </row>
    <row r="1623" spans="1:7" hidden="1" x14ac:dyDescent="0.25">
      <c r="A1623" t="s">
        <v>4</v>
      </c>
      <c r="B1623" t="s">
        <v>9</v>
      </c>
      <c r="F1623" t="s">
        <v>5232</v>
      </c>
      <c r="G1623" t="s">
        <v>1100</v>
      </c>
    </row>
    <row r="1624" spans="1:7" hidden="1" x14ac:dyDescent="0.25">
      <c r="A1624" t="s">
        <v>4</v>
      </c>
      <c r="B1624" t="s">
        <v>9</v>
      </c>
      <c r="E1624" t="s">
        <v>5264</v>
      </c>
      <c r="F1624" t="s">
        <v>5235</v>
      </c>
      <c r="G1624" t="s">
        <v>1100</v>
      </c>
    </row>
    <row r="1625" spans="1:7" hidden="1" x14ac:dyDescent="0.25">
      <c r="A1625" t="s">
        <v>2024</v>
      </c>
      <c r="B1625" t="s">
        <v>1304</v>
      </c>
      <c r="F1625" t="s">
        <v>5238</v>
      </c>
      <c r="G1625" t="s">
        <v>1100</v>
      </c>
    </row>
    <row r="1626" spans="1:7" hidden="1" x14ac:dyDescent="0.25">
      <c r="A1626" t="s">
        <v>2024</v>
      </c>
      <c r="B1626" t="s">
        <v>1304</v>
      </c>
      <c r="F1626" t="s">
        <v>5241</v>
      </c>
      <c r="G1626" t="s">
        <v>1100</v>
      </c>
    </row>
    <row r="1627" spans="1:7" hidden="1" x14ac:dyDescent="0.25">
      <c r="A1627" t="s">
        <v>4</v>
      </c>
      <c r="B1627" t="s">
        <v>9</v>
      </c>
      <c r="E1627" t="s">
        <v>2936</v>
      </c>
      <c r="F1627" t="s">
        <v>5244</v>
      </c>
      <c r="G1627" t="s">
        <v>1100</v>
      </c>
    </row>
    <row r="1628" spans="1:7" hidden="1" x14ac:dyDescent="0.25">
      <c r="A1628" t="s">
        <v>4</v>
      </c>
      <c r="B1628" t="s">
        <v>9</v>
      </c>
      <c r="E1628" t="s">
        <v>2936</v>
      </c>
      <c r="F1628" t="s">
        <v>5247</v>
      </c>
      <c r="G1628" t="s">
        <v>1100</v>
      </c>
    </row>
    <row r="1629" spans="1:7" hidden="1" x14ac:dyDescent="0.25">
      <c r="A1629" t="s">
        <v>4</v>
      </c>
      <c r="B1629" t="s">
        <v>9</v>
      </c>
      <c r="E1629" t="s">
        <v>2936</v>
      </c>
      <c r="F1629" t="s">
        <v>5250</v>
      </c>
      <c r="G1629" t="s">
        <v>1100</v>
      </c>
    </row>
    <row r="1630" spans="1:7" hidden="1" x14ac:dyDescent="0.25">
      <c r="A1630" t="s">
        <v>4</v>
      </c>
      <c r="B1630" t="s">
        <v>9</v>
      </c>
      <c r="E1630" t="s">
        <v>2936</v>
      </c>
      <c r="F1630" t="s">
        <v>5253</v>
      </c>
      <c r="G1630" t="s">
        <v>1100</v>
      </c>
    </row>
    <row r="1631" spans="1:7" hidden="1" x14ac:dyDescent="0.25">
      <c r="A1631" t="s">
        <v>4</v>
      </c>
      <c r="B1631" t="s">
        <v>9</v>
      </c>
      <c r="E1631" t="s">
        <v>2936</v>
      </c>
      <c r="F1631" t="s">
        <v>5256</v>
      </c>
      <c r="G1631" t="s">
        <v>1100</v>
      </c>
    </row>
    <row r="1632" spans="1:7" hidden="1" x14ac:dyDescent="0.25">
      <c r="A1632" t="s">
        <v>4</v>
      </c>
      <c r="B1632" t="s">
        <v>8</v>
      </c>
      <c r="F1632" t="s">
        <v>5181</v>
      </c>
      <c r="G1632" s="1" t="s">
        <v>1603</v>
      </c>
    </row>
    <row r="1633" spans="1:7" hidden="1" x14ac:dyDescent="0.25">
      <c r="A1633" t="s">
        <v>1606</v>
      </c>
      <c r="B1633" t="s">
        <v>5263</v>
      </c>
      <c r="C1633" t="s">
        <v>51</v>
      </c>
      <c r="F1633" t="s">
        <v>5184</v>
      </c>
      <c r="G1633" s="1" t="s">
        <v>1603</v>
      </c>
    </row>
    <row r="1634" spans="1:7" hidden="1" x14ac:dyDescent="0.25">
      <c r="A1634" t="s">
        <v>289</v>
      </c>
      <c r="B1634" t="s">
        <v>5263</v>
      </c>
      <c r="C1634" t="s">
        <v>4233</v>
      </c>
      <c r="F1634" t="s">
        <v>5187</v>
      </c>
      <c r="G1634" s="1" t="s">
        <v>1603</v>
      </c>
    </row>
    <row r="1635" spans="1:7" hidden="1" x14ac:dyDescent="0.25">
      <c r="A1635" t="s">
        <v>289</v>
      </c>
      <c r="B1635" t="s">
        <v>5263</v>
      </c>
      <c r="C1635" t="s">
        <v>4233</v>
      </c>
      <c r="E1635" t="s">
        <v>2936</v>
      </c>
      <c r="F1635" t="s">
        <v>5190</v>
      </c>
      <c r="G1635" s="1" t="s">
        <v>1603</v>
      </c>
    </row>
    <row r="1636" spans="1:7" hidden="1" x14ac:dyDescent="0.25">
      <c r="A1636" t="s">
        <v>4232</v>
      </c>
      <c r="B1636" t="s">
        <v>5263</v>
      </c>
      <c r="C1636" t="s">
        <v>4233</v>
      </c>
      <c r="F1636" t="s">
        <v>5193</v>
      </c>
      <c r="G1636" s="1" t="s">
        <v>1603</v>
      </c>
    </row>
    <row r="1637" spans="1:7" hidden="1" x14ac:dyDescent="0.25">
      <c r="A1637" t="s">
        <v>5265</v>
      </c>
      <c r="B1637" t="s">
        <v>5263</v>
      </c>
      <c r="C1637" t="s">
        <v>4233</v>
      </c>
      <c r="F1637" t="s">
        <v>5199</v>
      </c>
      <c r="G1637" t="s">
        <v>1817</v>
      </c>
    </row>
    <row r="1638" spans="1:7" hidden="1" x14ac:dyDescent="0.25">
      <c r="A1638" t="s">
        <v>5265</v>
      </c>
      <c r="B1638" t="s">
        <v>5263</v>
      </c>
      <c r="C1638" t="s">
        <v>4233</v>
      </c>
      <c r="E1638" t="s">
        <v>2936</v>
      </c>
      <c r="F1638" t="s">
        <v>5202</v>
      </c>
      <c r="G1638" t="s">
        <v>1817</v>
      </c>
    </row>
    <row r="1639" spans="1:7" hidden="1" x14ac:dyDescent="0.25">
      <c r="A1639" t="s">
        <v>5265</v>
      </c>
      <c r="B1639" t="s">
        <v>5263</v>
      </c>
      <c r="C1639" t="s">
        <v>4233</v>
      </c>
      <c r="E1639" t="s">
        <v>2936</v>
      </c>
      <c r="F1639" t="s">
        <v>5205</v>
      </c>
      <c r="G1639" t="s">
        <v>1817</v>
      </c>
    </row>
    <row r="1640" spans="1:7" hidden="1" x14ac:dyDescent="0.25">
      <c r="A1640" t="s">
        <v>5265</v>
      </c>
      <c r="B1640" t="s">
        <v>5263</v>
      </c>
      <c r="C1640" t="s">
        <v>4233</v>
      </c>
      <c r="E1640" t="s">
        <v>2936</v>
      </c>
      <c r="F1640" t="s">
        <v>5208</v>
      </c>
      <c r="G1640" t="s">
        <v>1817</v>
      </c>
    </row>
    <row r="1641" spans="1:7" hidden="1" x14ac:dyDescent="0.25">
      <c r="A1641" t="s">
        <v>5265</v>
      </c>
      <c r="B1641" t="s">
        <v>5263</v>
      </c>
      <c r="C1641" t="s">
        <v>4233</v>
      </c>
      <c r="E1641" t="s">
        <v>2936</v>
      </c>
      <c r="F1641" t="s">
        <v>5211</v>
      </c>
      <c r="G1641" t="s">
        <v>1817</v>
      </c>
    </row>
    <row r="1642" spans="1:7" hidden="1" x14ac:dyDescent="0.25">
      <c r="A1642" t="s">
        <v>4235</v>
      </c>
      <c r="B1642" t="s">
        <v>5263</v>
      </c>
      <c r="C1642" t="s">
        <v>4233</v>
      </c>
      <c r="F1642" t="s">
        <v>5214</v>
      </c>
      <c r="G1642" t="s">
        <v>1817</v>
      </c>
    </row>
    <row r="1643" spans="1:7" hidden="1" x14ac:dyDescent="0.25">
      <c r="A1643" t="s">
        <v>2004</v>
      </c>
      <c r="B1643" t="s">
        <v>8</v>
      </c>
      <c r="F1643" t="s">
        <v>5217</v>
      </c>
      <c r="G1643" t="s">
        <v>1934</v>
      </c>
    </row>
    <row r="1644" spans="1:7" hidden="1" x14ac:dyDescent="0.25">
      <c r="A1644" t="s">
        <v>4</v>
      </c>
      <c r="B1644" t="s">
        <v>5266</v>
      </c>
      <c r="F1644" t="s">
        <v>5220</v>
      </c>
      <c r="G1644" t="s">
        <v>1997</v>
      </c>
    </row>
    <row r="1645" spans="1:7" hidden="1" x14ac:dyDescent="0.25">
      <c r="A1645" t="s">
        <v>4</v>
      </c>
      <c r="B1645" t="s">
        <v>5267</v>
      </c>
      <c r="F1645" t="s">
        <v>5223</v>
      </c>
      <c r="G1645" t="s">
        <v>1997</v>
      </c>
    </row>
    <row r="1646" spans="1:7" hidden="1" x14ac:dyDescent="0.25">
      <c r="A1646" t="s">
        <v>64</v>
      </c>
      <c r="B1646" t="s">
        <v>4193</v>
      </c>
      <c r="C1646" t="s">
        <v>5076</v>
      </c>
      <c r="F1646" t="s">
        <v>5272</v>
      </c>
      <c r="G1646" t="s">
        <v>1102</v>
      </c>
    </row>
    <row r="1647" spans="1:7" hidden="1" x14ac:dyDescent="0.25">
      <c r="A1647" t="s">
        <v>85</v>
      </c>
      <c r="B1647" t="s">
        <v>4193</v>
      </c>
      <c r="C1647" t="s">
        <v>5076</v>
      </c>
      <c r="F1647" t="s">
        <v>5274</v>
      </c>
      <c r="G1647" t="s">
        <v>1102</v>
      </c>
    </row>
    <row r="1648" spans="1:7" hidden="1" x14ac:dyDescent="0.25">
      <c r="A1648" t="s">
        <v>289</v>
      </c>
      <c r="B1648" t="s">
        <v>86</v>
      </c>
      <c r="C1648" t="s">
        <v>4240</v>
      </c>
      <c r="F1648" t="s">
        <v>5385</v>
      </c>
      <c r="G1648" s="1" t="s">
        <v>1603</v>
      </c>
    </row>
    <row r="1649" spans="1:7" hidden="1" x14ac:dyDescent="0.25">
      <c r="A1649" t="s">
        <v>4241</v>
      </c>
      <c r="B1649" t="s">
        <v>86</v>
      </c>
      <c r="C1649" t="s">
        <v>4240</v>
      </c>
      <c r="F1649" t="s">
        <v>5388</v>
      </c>
      <c r="G1649" s="1" t="s">
        <v>1603</v>
      </c>
    </row>
    <row r="1650" spans="1:7" hidden="1" x14ac:dyDescent="0.25">
      <c r="A1650" t="s">
        <v>533</v>
      </c>
      <c r="B1650" t="s">
        <v>531</v>
      </c>
      <c r="C1650" t="s">
        <v>1099</v>
      </c>
      <c r="E1650" t="s">
        <v>1620</v>
      </c>
      <c r="F1650" t="s">
        <v>5391</v>
      </c>
      <c r="G1650" s="1" t="s">
        <v>1603</v>
      </c>
    </row>
    <row r="1651" spans="1:7" hidden="1" x14ac:dyDescent="0.25">
      <c r="A1651" t="s">
        <v>4</v>
      </c>
      <c r="B1651" t="s">
        <v>8</v>
      </c>
      <c r="F1651" t="s">
        <v>5394</v>
      </c>
      <c r="G1651" s="1" t="s">
        <v>1603</v>
      </c>
    </row>
    <row r="1652" spans="1:7" hidden="1" x14ac:dyDescent="0.25">
      <c r="A1652" t="s">
        <v>533</v>
      </c>
      <c r="B1652" t="s">
        <v>531</v>
      </c>
      <c r="C1652" t="s">
        <v>58</v>
      </c>
      <c r="E1652" t="s">
        <v>4236</v>
      </c>
      <c r="F1652" t="s">
        <v>5396</v>
      </c>
      <c r="G1652" s="1" t="s">
        <v>1603</v>
      </c>
    </row>
    <row r="1653" spans="1:7" hidden="1" x14ac:dyDescent="0.25">
      <c r="A1653" t="s">
        <v>533</v>
      </c>
      <c r="B1653" t="s">
        <v>531</v>
      </c>
      <c r="C1653" t="s">
        <v>58</v>
      </c>
      <c r="E1653" t="s">
        <v>4236</v>
      </c>
      <c r="F1653" t="s">
        <v>5399</v>
      </c>
      <c r="G1653" s="1" t="s">
        <v>1603</v>
      </c>
    </row>
    <row r="1654" spans="1:7" hidden="1" x14ac:dyDescent="0.25">
      <c r="A1654" t="s">
        <v>533</v>
      </c>
      <c r="B1654" t="s">
        <v>531</v>
      </c>
      <c r="C1654" t="s">
        <v>58</v>
      </c>
      <c r="E1654" t="s">
        <v>4236</v>
      </c>
      <c r="F1654" t="s">
        <v>5402</v>
      </c>
      <c r="G1654" s="1" t="s">
        <v>1603</v>
      </c>
    </row>
    <row r="1655" spans="1:7" hidden="1" x14ac:dyDescent="0.25">
      <c r="A1655" t="s">
        <v>533</v>
      </c>
      <c r="B1655" t="s">
        <v>531</v>
      </c>
      <c r="C1655" t="s">
        <v>58</v>
      </c>
      <c r="E1655" t="s">
        <v>4236</v>
      </c>
      <c r="F1655" t="s">
        <v>5405</v>
      </c>
      <c r="G1655" s="1" t="s">
        <v>1603</v>
      </c>
    </row>
    <row r="1656" spans="1:7" hidden="1" x14ac:dyDescent="0.25">
      <c r="A1656" t="s">
        <v>533</v>
      </c>
      <c r="B1656" t="s">
        <v>531</v>
      </c>
      <c r="C1656" t="s">
        <v>58</v>
      </c>
      <c r="E1656" t="s">
        <v>4236</v>
      </c>
      <c r="F1656" t="s">
        <v>5408</v>
      </c>
      <c r="G1656" s="1" t="s">
        <v>1603</v>
      </c>
    </row>
    <row r="1657" spans="1:7" hidden="1" x14ac:dyDescent="0.25">
      <c r="A1657" t="s">
        <v>4223</v>
      </c>
      <c r="B1657" t="s">
        <v>86</v>
      </c>
      <c r="C1657" t="s">
        <v>58</v>
      </c>
      <c r="F1657" t="s">
        <v>5411</v>
      </c>
      <c r="G1657" s="1" t="s">
        <v>1603</v>
      </c>
    </row>
    <row r="1658" spans="1:7" hidden="1" x14ac:dyDescent="0.25">
      <c r="A1658" t="s">
        <v>4223</v>
      </c>
      <c r="B1658" t="s">
        <v>86</v>
      </c>
      <c r="C1658" t="s">
        <v>58</v>
      </c>
      <c r="E1658" t="s">
        <v>2954</v>
      </c>
      <c r="F1658" t="s">
        <v>5414</v>
      </c>
      <c r="G1658" s="1" t="s">
        <v>1603</v>
      </c>
    </row>
    <row r="1659" spans="1:7" hidden="1" x14ac:dyDescent="0.25">
      <c r="A1659" t="s">
        <v>4223</v>
      </c>
      <c r="B1659" t="s">
        <v>86</v>
      </c>
      <c r="C1659" t="s">
        <v>58</v>
      </c>
      <c r="F1659" t="s">
        <v>5417</v>
      </c>
      <c r="G1659" s="1" t="s">
        <v>1603</v>
      </c>
    </row>
    <row r="1660" spans="1:7" hidden="1" x14ac:dyDescent="0.25">
      <c r="A1660" t="s">
        <v>4223</v>
      </c>
      <c r="B1660" t="s">
        <v>86</v>
      </c>
      <c r="C1660" t="s">
        <v>58</v>
      </c>
      <c r="E1660" t="s">
        <v>2954</v>
      </c>
      <c r="F1660" t="s">
        <v>5420</v>
      </c>
      <c r="G1660" s="1" t="s">
        <v>1603</v>
      </c>
    </row>
    <row r="1661" spans="1:7" hidden="1" x14ac:dyDescent="0.25">
      <c r="A1661" t="s">
        <v>4223</v>
      </c>
      <c r="B1661" t="s">
        <v>86</v>
      </c>
      <c r="C1661" t="s">
        <v>58</v>
      </c>
      <c r="F1661" t="s">
        <v>5423</v>
      </c>
      <c r="G1661" s="1" t="s">
        <v>1603</v>
      </c>
    </row>
    <row r="1662" spans="1:7" hidden="1" x14ac:dyDescent="0.25">
      <c r="A1662" t="s">
        <v>4223</v>
      </c>
      <c r="B1662" t="s">
        <v>86</v>
      </c>
      <c r="C1662" t="s">
        <v>58</v>
      </c>
      <c r="E1662" t="s">
        <v>2936</v>
      </c>
      <c r="F1662" t="s">
        <v>5426</v>
      </c>
      <c r="G1662" s="1" t="s">
        <v>1603</v>
      </c>
    </row>
    <row r="1663" spans="1:7" hidden="1" x14ac:dyDescent="0.25">
      <c r="A1663" t="s">
        <v>4223</v>
      </c>
      <c r="B1663" t="s">
        <v>86</v>
      </c>
      <c r="C1663" t="s">
        <v>58</v>
      </c>
      <c r="E1663" t="s">
        <v>4236</v>
      </c>
      <c r="F1663" t="s">
        <v>5429</v>
      </c>
      <c r="G1663" s="1" t="s">
        <v>1603</v>
      </c>
    </row>
    <row r="1664" spans="1:7" hidden="1" x14ac:dyDescent="0.25">
      <c r="A1664" t="s">
        <v>4223</v>
      </c>
      <c r="B1664" t="s">
        <v>86</v>
      </c>
      <c r="C1664" t="s">
        <v>58</v>
      </c>
      <c r="F1664" t="s">
        <v>5432</v>
      </c>
      <c r="G1664" s="1" t="s">
        <v>1603</v>
      </c>
    </row>
    <row r="1665" spans="1:7" hidden="1" x14ac:dyDescent="0.25">
      <c r="A1665" t="s">
        <v>4223</v>
      </c>
      <c r="B1665" t="s">
        <v>86</v>
      </c>
      <c r="C1665" t="s">
        <v>58</v>
      </c>
      <c r="E1665" t="s">
        <v>2954</v>
      </c>
      <c r="F1665" t="s">
        <v>5435</v>
      </c>
      <c r="G1665" s="1" t="s">
        <v>1603</v>
      </c>
    </row>
    <row r="1666" spans="1:7" hidden="1" x14ac:dyDescent="0.25">
      <c r="A1666" t="s">
        <v>533</v>
      </c>
      <c r="B1666" t="s">
        <v>531</v>
      </c>
      <c r="C1666" t="s">
        <v>58</v>
      </c>
      <c r="E1666" t="s">
        <v>4236</v>
      </c>
      <c r="F1666" t="s">
        <v>5438</v>
      </c>
      <c r="G1666" s="1" t="s">
        <v>1603</v>
      </c>
    </row>
    <row r="1667" spans="1:7" hidden="1" x14ac:dyDescent="0.25">
      <c r="A1667" t="s">
        <v>533</v>
      </c>
      <c r="B1667" t="s">
        <v>531</v>
      </c>
      <c r="C1667" t="s">
        <v>58</v>
      </c>
      <c r="E1667" t="s">
        <v>4236</v>
      </c>
      <c r="F1667" t="s">
        <v>5441</v>
      </c>
      <c r="G1667" s="1" t="s">
        <v>1603</v>
      </c>
    </row>
    <row r="1668" spans="1:7" hidden="1" x14ac:dyDescent="0.25">
      <c r="A1668" t="s">
        <v>4223</v>
      </c>
      <c r="B1668" t="s">
        <v>86</v>
      </c>
      <c r="C1668" t="s">
        <v>200</v>
      </c>
      <c r="E1668" t="s">
        <v>1605</v>
      </c>
      <c r="F1668" t="s">
        <v>5444</v>
      </c>
      <c r="G1668" s="1" t="s">
        <v>1603</v>
      </c>
    </row>
    <row r="1669" spans="1:7" hidden="1" x14ac:dyDescent="0.25">
      <c r="A1669" t="s">
        <v>4223</v>
      </c>
      <c r="B1669" t="s">
        <v>86</v>
      </c>
      <c r="C1669" t="s">
        <v>200</v>
      </c>
      <c r="E1669" t="s">
        <v>1605</v>
      </c>
      <c r="F1669" t="s">
        <v>5447</v>
      </c>
      <c r="G1669" s="1" t="s">
        <v>1603</v>
      </c>
    </row>
    <row r="1670" spans="1:7" hidden="1" x14ac:dyDescent="0.25">
      <c r="A1670" t="s">
        <v>4</v>
      </c>
      <c r="B1670" t="s">
        <v>8</v>
      </c>
      <c r="F1670" t="s">
        <v>5450</v>
      </c>
      <c r="G1670" s="1" t="s">
        <v>1603</v>
      </c>
    </row>
    <row r="1671" spans="1:7" hidden="1" x14ac:dyDescent="0.25">
      <c r="A1671" t="s">
        <v>4</v>
      </c>
      <c r="B1671" t="s">
        <v>4193</v>
      </c>
      <c r="C1671" t="s">
        <v>5076</v>
      </c>
      <c r="F1671" t="s">
        <v>5282</v>
      </c>
      <c r="G1671" t="s">
        <v>1103</v>
      </c>
    </row>
    <row r="1672" spans="1:7" hidden="1" x14ac:dyDescent="0.25">
      <c r="A1672" t="s">
        <v>4</v>
      </c>
      <c r="B1672" t="s">
        <v>4193</v>
      </c>
      <c r="C1672" t="s">
        <v>5076</v>
      </c>
      <c r="E1672" t="s">
        <v>5474</v>
      </c>
      <c r="F1672" t="s">
        <v>5269</v>
      </c>
      <c r="G1672" t="s">
        <v>1103</v>
      </c>
    </row>
    <row r="1673" spans="1:7" hidden="1" x14ac:dyDescent="0.25">
      <c r="A1673" t="s">
        <v>158</v>
      </c>
      <c r="B1673" t="s">
        <v>86</v>
      </c>
      <c r="C1673" t="s">
        <v>200</v>
      </c>
      <c r="D1673">
        <v>3</v>
      </c>
      <c r="E1673" t="s">
        <v>3075</v>
      </c>
      <c r="F1673" t="s">
        <v>5285</v>
      </c>
      <c r="G1673" t="s">
        <v>1103</v>
      </c>
    </row>
    <row r="1674" spans="1:7" hidden="1" x14ac:dyDescent="0.25">
      <c r="A1674" t="s">
        <v>158</v>
      </c>
      <c r="B1674" t="s">
        <v>86</v>
      </c>
      <c r="C1674" t="s">
        <v>200</v>
      </c>
      <c r="D1674">
        <v>4</v>
      </c>
      <c r="E1674" t="s">
        <v>3075</v>
      </c>
      <c r="F1674" t="s">
        <v>5288</v>
      </c>
      <c r="G1674" t="s">
        <v>1103</v>
      </c>
    </row>
    <row r="1675" spans="1:7" hidden="1" x14ac:dyDescent="0.25">
      <c r="A1675" t="s">
        <v>4</v>
      </c>
      <c r="B1675" t="s">
        <v>5475</v>
      </c>
      <c r="C1675" t="s">
        <v>5076</v>
      </c>
      <c r="E1675" t="s">
        <v>5474</v>
      </c>
      <c r="F1675" t="s">
        <v>5291</v>
      </c>
      <c r="G1675" t="s">
        <v>1103</v>
      </c>
    </row>
    <row r="1676" spans="1:7" hidden="1" x14ac:dyDescent="0.25">
      <c r="A1676" t="s">
        <v>4</v>
      </c>
      <c r="B1676" t="s">
        <v>8</v>
      </c>
      <c r="F1676" t="s">
        <v>5294</v>
      </c>
      <c r="G1676" t="s">
        <v>1103</v>
      </c>
    </row>
    <row r="1677" spans="1:7" hidden="1" x14ac:dyDescent="0.25">
      <c r="A1677" t="s">
        <v>4</v>
      </c>
      <c r="B1677" t="s">
        <v>8</v>
      </c>
      <c r="F1677" t="s">
        <v>5276</v>
      </c>
      <c r="G1677" t="s">
        <v>91</v>
      </c>
    </row>
    <row r="1678" spans="1:7" hidden="1" x14ac:dyDescent="0.25">
      <c r="A1678" t="s">
        <v>2004</v>
      </c>
      <c r="F1678" t="s">
        <v>5279</v>
      </c>
      <c r="G1678" t="s">
        <v>91</v>
      </c>
    </row>
    <row r="1679" spans="1:7" hidden="1" x14ac:dyDescent="0.25">
      <c r="A1679" t="s">
        <v>2004</v>
      </c>
      <c r="B1679" t="s">
        <v>8</v>
      </c>
      <c r="F1679" t="s">
        <v>5297</v>
      </c>
      <c r="G1679" t="s">
        <v>1104</v>
      </c>
    </row>
    <row r="1680" spans="1:7" hidden="1" x14ac:dyDescent="0.25">
      <c r="A1680" t="s">
        <v>4</v>
      </c>
      <c r="B1680" t="s">
        <v>8</v>
      </c>
      <c r="F1680" t="s">
        <v>5304</v>
      </c>
      <c r="G1680" t="s">
        <v>1105</v>
      </c>
    </row>
    <row r="1681" spans="1:7" hidden="1" x14ac:dyDescent="0.25">
      <c r="A1681" t="s">
        <v>2004</v>
      </c>
      <c r="B1681" t="s">
        <v>8</v>
      </c>
      <c r="F1681" t="s">
        <v>5307</v>
      </c>
      <c r="G1681" t="s">
        <v>1105</v>
      </c>
    </row>
    <row r="1682" spans="1:7" hidden="1" x14ac:dyDescent="0.25">
      <c r="A1682" t="s">
        <v>4</v>
      </c>
      <c r="B1682" t="s">
        <v>8</v>
      </c>
      <c r="F1682" t="s">
        <v>5310</v>
      </c>
      <c r="G1682" t="s">
        <v>1106</v>
      </c>
    </row>
    <row r="1683" spans="1:7" hidden="1" x14ac:dyDescent="0.25">
      <c r="A1683" t="s">
        <v>2004</v>
      </c>
      <c r="B1683" t="s">
        <v>8</v>
      </c>
      <c r="F1683" t="s">
        <v>5313</v>
      </c>
      <c r="G1683" t="s">
        <v>1106</v>
      </c>
    </row>
    <row r="1684" spans="1:7" x14ac:dyDescent="0.25">
      <c r="A1684" t="s">
        <v>4</v>
      </c>
      <c r="B1684" t="s">
        <v>8</v>
      </c>
      <c r="F1684" t="s">
        <v>5316</v>
      </c>
      <c r="G1684" t="s">
        <v>1107</v>
      </c>
    </row>
    <row r="1685" spans="1:7" x14ac:dyDescent="0.25">
      <c r="A1685" t="s">
        <v>289</v>
      </c>
      <c r="B1685" t="s">
        <v>86</v>
      </c>
      <c r="C1685" t="s">
        <v>200</v>
      </c>
      <c r="F1685" t="s">
        <v>5319</v>
      </c>
      <c r="G1685" t="s">
        <v>1107</v>
      </c>
    </row>
    <row r="1686" spans="1:7" x14ac:dyDescent="0.25">
      <c r="A1686" t="s">
        <v>289</v>
      </c>
      <c r="B1686" t="s">
        <v>86</v>
      </c>
      <c r="C1686" t="s">
        <v>200</v>
      </c>
      <c r="F1686" t="s">
        <v>5322</v>
      </c>
      <c r="G1686" t="s">
        <v>1107</v>
      </c>
    </row>
    <row r="1687" spans="1:7" hidden="1" x14ac:dyDescent="0.25">
      <c r="A1687" t="s">
        <v>2004</v>
      </c>
      <c r="B1687" t="s">
        <v>8</v>
      </c>
      <c r="F1687" t="s">
        <v>5325</v>
      </c>
      <c r="G1687" t="s">
        <v>796</v>
      </c>
    </row>
    <row r="1688" spans="1:7" hidden="1" x14ac:dyDescent="0.25">
      <c r="A1688" t="s">
        <v>4</v>
      </c>
      <c r="B1688" t="s">
        <v>9</v>
      </c>
      <c r="F1688" t="s">
        <v>5328</v>
      </c>
      <c r="G1688" t="s">
        <v>1100</v>
      </c>
    </row>
    <row r="1689" spans="1:7" hidden="1" x14ac:dyDescent="0.25">
      <c r="A1689" t="s">
        <v>4</v>
      </c>
      <c r="B1689" t="s">
        <v>9</v>
      </c>
      <c r="E1689" t="s">
        <v>2936</v>
      </c>
      <c r="F1689" t="s">
        <v>5331</v>
      </c>
      <c r="G1689" t="s">
        <v>1100</v>
      </c>
    </row>
    <row r="1690" spans="1:7" hidden="1" x14ac:dyDescent="0.25">
      <c r="A1690" t="s">
        <v>4</v>
      </c>
      <c r="B1690" t="s">
        <v>9</v>
      </c>
      <c r="E1690" t="s">
        <v>2936</v>
      </c>
      <c r="F1690" t="s">
        <v>5334</v>
      </c>
      <c r="G1690" t="s">
        <v>1100</v>
      </c>
    </row>
    <row r="1691" spans="1:7" hidden="1" x14ac:dyDescent="0.25">
      <c r="A1691" t="s">
        <v>5136</v>
      </c>
      <c r="F1691" t="s">
        <v>5337</v>
      </c>
      <c r="G1691" t="s">
        <v>1100</v>
      </c>
    </row>
    <row r="1692" spans="1:7" hidden="1" x14ac:dyDescent="0.25">
      <c r="A1692" t="s">
        <v>4</v>
      </c>
      <c r="B1692" t="s">
        <v>53</v>
      </c>
      <c r="F1692" t="s">
        <v>5340</v>
      </c>
      <c r="G1692" t="s">
        <v>1100</v>
      </c>
    </row>
    <row r="1693" spans="1:7" hidden="1" x14ac:dyDescent="0.25">
      <c r="A1693" t="s">
        <v>1091</v>
      </c>
      <c r="B1693" t="s">
        <v>53</v>
      </c>
      <c r="F1693" t="s">
        <v>5343</v>
      </c>
      <c r="G1693" t="s">
        <v>1100</v>
      </c>
    </row>
    <row r="1694" spans="1:7" hidden="1" x14ac:dyDescent="0.25">
      <c r="A1694" t="s">
        <v>1091</v>
      </c>
      <c r="B1694" t="s">
        <v>58</v>
      </c>
      <c r="F1694" t="s">
        <v>5346</v>
      </c>
      <c r="G1694" t="s">
        <v>1100</v>
      </c>
    </row>
    <row r="1695" spans="1:7" hidden="1" x14ac:dyDescent="0.25">
      <c r="A1695" t="s">
        <v>4</v>
      </c>
      <c r="B1695" t="s">
        <v>9</v>
      </c>
      <c r="E1695" t="s">
        <v>2936</v>
      </c>
      <c r="F1695" t="s">
        <v>5349</v>
      </c>
      <c r="G1695" t="s">
        <v>1100</v>
      </c>
    </row>
    <row r="1696" spans="1:7" hidden="1" x14ac:dyDescent="0.25">
      <c r="A1696" t="s">
        <v>4</v>
      </c>
      <c r="B1696" t="s">
        <v>9</v>
      </c>
      <c r="E1696" t="s">
        <v>2936</v>
      </c>
      <c r="F1696" t="s">
        <v>5352</v>
      </c>
      <c r="G1696" t="s">
        <v>1100</v>
      </c>
    </row>
    <row r="1697" spans="1:7" hidden="1" x14ac:dyDescent="0.25">
      <c r="A1697" t="s">
        <v>4</v>
      </c>
      <c r="B1697" t="s">
        <v>9</v>
      </c>
      <c r="E1697" t="s">
        <v>2936</v>
      </c>
      <c r="F1697" t="s">
        <v>5355</v>
      </c>
      <c r="G1697" t="s">
        <v>1100</v>
      </c>
    </row>
    <row r="1698" spans="1:7" hidden="1" x14ac:dyDescent="0.25">
      <c r="A1698" t="s">
        <v>5476</v>
      </c>
      <c r="B1698" t="s">
        <v>86</v>
      </c>
      <c r="C1698" t="s">
        <v>58</v>
      </c>
      <c r="F1698" t="s">
        <v>5358</v>
      </c>
      <c r="G1698" t="s">
        <v>1100</v>
      </c>
    </row>
    <row r="1699" spans="1:7" hidden="1" x14ac:dyDescent="0.25">
      <c r="A1699" t="s">
        <v>5476</v>
      </c>
      <c r="B1699" t="s">
        <v>86</v>
      </c>
      <c r="C1699" t="s">
        <v>58</v>
      </c>
      <c r="F1699" t="s">
        <v>5361</v>
      </c>
      <c r="G1699" t="s">
        <v>1100</v>
      </c>
    </row>
    <row r="1700" spans="1:7" hidden="1" x14ac:dyDescent="0.25">
      <c r="A1700" t="s">
        <v>4</v>
      </c>
      <c r="B1700" t="s">
        <v>5477</v>
      </c>
      <c r="F1700" t="s">
        <v>5364</v>
      </c>
      <c r="G1700" t="s">
        <v>1100</v>
      </c>
    </row>
    <row r="1701" spans="1:7" hidden="1" x14ac:dyDescent="0.25">
      <c r="A1701" t="s">
        <v>4</v>
      </c>
      <c r="B1701" t="s">
        <v>9</v>
      </c>
      <c r="F1701" t="s">
        <v>5367</v>
      </c>
      <c r="G1701" t="s">
        <v>1100</v>
      </c>
    </row>
    <row r="1702" spans="1:7" hidden="1" x14ac:dyDescent="0.25">
      <c r="A1702" t="s">
        <v>4</v>
      </c>
      <c r="B1702" t="s">
        <v>9</v>
      </c>
      <c r="E1702" t="s">
        <v>2936</v>
      </c>
      <c r="F1702" t="s">
        <v>5370</v>
      </c>
      <c r="G1702" t="s">
        <v>1100</v>
      </c>
    </row>
    <row r="1703" spans="1:7" hidden="1" x14ac:dyDescent="0.25">
      <c r="A1703" t="s">
        <v>4</v>
      </c>
      <c r="B1703" t="s">
        <v>9</v>
      </c>
      <c r="E1703" t="s">
        <v>2936</v>
      </c>
      <c r="F1703" t="s">
        <v>5373</v>
      </c>
      <c r="G1703" t="s">
        <v>1100</v>
      </c>
    </row>
    <row r="1704" spans="1:7" hidden="1" x14ac:dyDescent="0.25">
      <c r="A1704" t="s">
        <v>5476</v>
      </c>
      <c r="B1704" t="s">
        <v>86</v>
      </c>
      <c r="C1704" t="s">
        <v>58</v>
      </c>
      <c r="F1704" t="s">
        <v>5376</v>
      </c>
      <c r="G1704" t="s">
        <v>1100</v>
      </c>
    </row>
    <row r="1705" spans="1:7" hidden="1" x14ac:dyDescent="0.25">
      <c r="A1705" t="s">
        <v>4</v>
      </c>
      <c r="B1705" t="s">
        <v>9</v>
      </c>
      <c r="F1705" t="s">
        <v>5379</v>
      </c>
      <c r="G1705" t="s">
        <v>1100</v>
      </c>
    </row>
    <row r="1706" spans="1:7" hidden="1" x14ac:dyDescent="0.25">
      <c r="A1706" t="s">
        <v>4</v>
      </c>
      <c r="B1706" t="s">
        <v>9</v>
      </c>
      <c r="F1706" t="s">
        <v>5382</v>
      </c>
      <c r="G1706" t="s">
        <v>1100</v>
      </c>
    </row>
    <row r="1707" spans="1:7" hidden="1" x14ac:dyDescent="0.25">
      <c r="A1707" t="s">
        <v>1094</v>
      </c>
      <c r="B1707" t="s">
        <v>86</v>
      </c>
      <c r="C1707" t="s">
        <v>58</v>
      </c>
      <c r="E1707" t="s">
        <v>1620</v>
      </c>
      <c r="F1707" t="s">
        <v>5453</v>
      </c>
      <c r="G1707" t="s">
        <v>1817</v>
      </c>
    </row>
    <row r="1708" spans="1:7" hidden="1" x14ac:dyDescent="0.25">
      <c r="A1708" t="s">
        <v>1094</v>
      </c>
      <c r="B1708" t="s">
        <v>86</v>
      </c>
      <c r="C1708" t="s">
        <v>58</v>
      </c>
      <c r="E1708" t="s">
        <v>1620</v>
      </c>
      <c r="F1708" t="s">
        <v>5456</v>
      </c>
      <c r="G1708" t="s">
        <v>1817</v>
      </c>
    </row>
    <row r="1709" spans="1:7" hidden="1" x14ac:dyDescent="0.25">
      <c r="A1709" t="s">
        <v>4</v>
      </c>
      <c r="B1709" t="s">
        <v>5478</v>
      </c>
      <c r="F1709" t="s">
        <v>5459</v>
      </c>
      <c r="G1709" t="s">
        <v>1934</v>
      </c>
    </row>
    <row r="1710" spans="1:7" hidden="1" x14ac:dyDescent="0.25">
      <c r="A1710" t="s">
        <v>4</v>
      </c>
      <c r="B1710" t="s">
        <v>8</v>
      </c>
      <c r="F1710" t="s">
        <v>5462</v>
      </c>
      <c r="G1710" t="s">
        <v>1934</v>
      </c>
    </row>
    <row r="1711" spans="1:7" hidden="1" x14ac:dyDescent="0.25">
      <c r="A1711" t="s">
        <v>4</v>
      </c>
      <c r="B1711" t="s">
        <v>5478</v>
      </c>
      <c r="E1711" t="s">
        <v>5479</v>
      </c>
      <c r="F1711" t="s">
        <v>5465</v>
      </c>
      <c r="G1711" t="s">
        <v>1934</v>
      </c>
    </row>
    <row r="1712" spans="1:7" hidden="1" x14ac:dyDescent="0.25">
      <c r="A1712" t="s">
        <v>159</v>
      </c>
      <c r="B1712" t="s">
        <v>5480</v>
      </c>
      <c r="C1712" t="s">
        <v>4240</v>
      </c>
      <c r="F1712" t="s">
        <v>5468</v>
      </c>
      <c r="G1712" t="s">
        <v>1997</v>
      </c>
    </row>
    <row r="1713" spans="1:7" hidden="1" x14ac:dyDescent="0.25">
      <c r="A1713" t="s">
        <v>4</v>
      </c>
      <c r="B1713" t="s">
        <v>8</v>
      </c>
      <c r="F1713" t="s">
        <v>5471</v>
      </c>
      <c r="G1713" t="s">
        <v>1997</v>
      </c>
    </row>
    <row r="1714" spans="1:7" hidden="1" x14ac:dyDescent="0.25">
      <c r="A1714" t="s">
        <v>64</v>
      </c>
      <c r="B1714" t="s">
        <v>4193</v>
      </c>
      <c r="C1714" t="s">
        <v>5076</v>
      </c>
      <c r="F1714" t="s">
        <v>5481</v>
      </c>
      <c r="G1714" t="s">
        <v>1102</v>
      </c>
    </row>
    <row r="1715" spans="1:7" hidden="1" x14ac:dyDescent="0.25">
      <c r="A1715" t="s">
        <v>85</v>
      </c>
      <c r="B1715" t="s">
        <v>4193</v>
      </c>
      <c r="C1715" t="s">
        <v>5076</v>
      </c>
      <c r="F1715" t="s">
        <v>5484</v>
      </c>
      <c r="G1715" t="s">
        <v>1102</v>
      </c>
    </row>
    <row r="1716" spans="1:7" hidden="1" x14ac:dyDescent="0.25">
      <c r="A1716" t="s">
        <v>91</v>
      </c>
      <c r="B1716" t="s">
        <v>5505</v>
      </c>
      <c r="C1716" t="s">
        <v>51</v>
      </c>
      <c r="F1716" t="s">
        <v>5487</v>
      </c>
      <c r="G1716" t="s">
        <v>1102</v>
      </c>
    </row>
    <row r="1717" spans="1:7" hidden="1" x14ac:dyDescent="0.25">
      <c r="A1717" t="s">
        <v>3019</v>
      </c>
      <c r="B1717" t="s">
        <v>5505</v>
      </c>
      <c r="C1717" t="s">
        <v>51</v>
      </c>
      <c r="F1717" t="s">
        <v>5490</v>
      </c>
      <c r="G1717" t="s">
        <v>1102</v>
      </c>
    </row>
    <row r="1718" spans="1:7" hidden="1" x14ac:dyDescent="0.25">
      <c r="A1718" t="s">
        <v>64</v>
      </c>
      <c r="B1718" t="s">
        <v>4193</v>
      </c>
      <c r="C1718" t="s">
        <v>5076</v>
      </c>
      <c r="F1718" t="s">
        <v>5493</v>
      </c>
      <c r="G1718" t="s">
        <v>1102</v>
      </c>
    </row>
    <row r="1719" spans="1:7" hidden="1" x14ac:dyDescent="0.25">
      <c r="A1719" t="s">
        <v>85</v>
      </c>
      <c r="B1719" t="s">
        <v>4193</v>
      </c>
      <c r="C1719" t="s">
        <v>5076</v>
      </c>
      <c r="F1719" t="s">
        <v>5496</v>
      </c>
      <c r="G1719" t="s">
        <v>1102</v>
      </c>
    </row>
    <row r="1720" spans="1:7" hidden="1" x14ac:dyDescent="0.25">
      <c r="A1720" t="s">
        <v>64</v>
      </c>
      <c r="B1720" t="s">
        <v>4193</v>
      </c>
      <c r="C1720" t="s">
        <v>5076</v>
      </c>
      <c r="F1720" t="s">
        <v>5499</v>
      </c>
      <c r="G1720" t="s">
        <v>1102</v>
      </c>
    </row>
    <row r="1721" spans="1:7" hidden="1" x14ac:dyDescent="0.25">
      <c r="A1721" t="s">
        <v>85</v>
      </c>
      <c r="B1721" t="s">
        <v>4193</v>
      </c>
      <c r="C1721" t="s">
        <v>5076</v>
      </c>
      <c r="F1721" t="s">
        <v>5502</v>
      </c>
      <c r="G1721" t="s">
        <v>1102</v>
      </c>
    </row>
    <row r="1722" spans="1:7" hidden="1" x14ac:dyDescent="0.25">
      <c r="A1722" t="s">
        <v>2004</v>
      </c>
      <c r="B1722" t="s">
        <v>8</v>
      </c>
      <c r="F1722" t="s">
        <v>5840</v>
      </c>
      <c r="G1722" t="s">
        <v>1102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5843</v>
      </c>
      <c r="G1723" t="s">
        <v>1102</v>
      </c>
    </row>
    <row r="1724" spans="1:7" hidden="1" x14ac:dyDescent="0.25">
      <c r="A1724" t="s">
        <v>62</v>
      </c>
      <c r="B1724" t="s">
        <v>6167</v>
      </c>
      <c r="C1724" t="s">
        <v>58</v>
      </c>
      <c r="E1724" t="s">
        <v>6164</v>
      </c>
      <c r="F1724" t="s">
        <v>6023</v>
      </c>
      <c r="G1724" t="s">
        <v>1102</v>
      </c>
    </row>
    <row r="1725" spans="1:7" hidden="1" x14ac:dyDescent="0.25">
      <c r="A1725" t="s">
        <v>91</v>
      </c>
      <c r="B1725" t="s">
        <v>6166</v>
      </c>
      <c r="C1725" t="s">
        <v>51</v>
      </c>
      <c r="F1725" t="s">
        <v>6026</v>
      </c>
      <c r="G1725" t="s">
        <v>1102</v>
      </c>
    </row>
    <row r="1726" spans="1:7" hidden="1" x14ac:dyDescent="0.25">
      <c r="A1726" t="s">
        <v>91</v>
      </c>
      <c r="B1726" t="s">
        <v>6165</v>
      </c>
      <c r="C1726" t="s">
        <v>51</v>
      </c>
      <c r="F1726" t="s">
        <v>6029</v>
      </c>
      <c r="G1726" t="s">
        <v>1102</v>
      </c>
    </row>
    <row r="1727" spans="1:7" hidden="1" x14ac:dyDescent="0.25">
      <c r="A1727" t="s">
        <v>62</v>
      </c>
      <c r="B1727" t="s">
        <v>6166</v>
      </c>
      <c r="C1727" t="s">
        <v>51</v>
      </c>
      <c r="F1727" t="s">
        <v>6032</v>
      </c>
      <c r="G1727" t="s">
        <v>1102</v>
      </c>
    </row>
    <row r="1728" spans="1:7" hidden="1" x14ac:dyDescent="0.25">
      <c r="A1728" t="s">
        <v>3019</v>
      </c>
      <c r="B1728" t="s">
        <v>6165</v>
      </c>
      <c r="C1728" t="s">
        <v>51</v>
      </c>
      <c r="F1728" t="s">
        <v>6035</v>
      </c>
      <c r="G1728" t="s">
        <v>1102</v>
      </c>
    </row>
    <row r="1729" spans="1:7" hidden="1" x14ac:dyDescent="0.25">
      <c r="A1729" t="s">
        <v>91</v>
      </c>
      <c r="B1729" t="s">
        <v>6167</v>
      </c>
      <c r="C1729" t="s">
        <v>58</v>
      </c>
      <c r="F1729" t="s">
        <v>6038</v>
      </c>
      <c r="G1729" t="s">
        <v>1102</v>
      </c>
    </row>
    <row r="1730" spans="1:7" hidden="1" x14ac:dyDescent="0.25">
      <c r="A1730" t="s">
        <v>62</v>
      </c>
      <c r="B1730" t="s">
        <v>6167</v>
      </c>
      <c r="C1730" t="s">
        <v>6168</v>
      </c>
      <c r="E1730" t="s">
        <v>6169</v>
      </c>
      <c r="F1730" t="s">
        <v>6041</v>
      </c>
      <c r="G1730" t="s">
        <v>1102</v>
      </c>
    </row>
    <row r="1731" spans="1:7" hidden="1" x14ac:dyDescent="0.25">
      <c r="A1731" t="s">
        <v>4198</v>
      </c>
      <c r="B1731" t="s">
        <v>86</v>
      </c>
      <c r="C1731" t="s">
        <v>6170</v>
      </c>
      <c r="F1731" t="s">
        <v>5506</v>
      </c>
      <c r="G1731" t="s">
        <v>1103</v>
      </c>
    </row>
    <row r="1732" spans="1:7" hidden="1" x14ac:dyDescent="0.25">
      <c r="A1732" t="s">
        <v>1606</v>
      </c>
      <c r="B1732" t="s">
        <v>4193</v>
      </c>
      <c r="C1732" t="s">
        <v>5076</v>
      </c>
      <c r="F1732" t="s">
        <v>5509</v>
      </c>
      <c r="G1732" t="s">
        <v>1103</v>
      </c>
    </row>
    <row r="1733" spans="1:7" hidden="1" x14ac:dyDescent="0.25">
      <c r="A1733" t="s">
        <v>6171</v>
      </c>
      <c r="B1733" t="s">
        <v>4193</v>
      </c>
      <c r="C1733" t="s">
        <v>5076</v>
      </c>
      <c r="E1733" t="s">
        <v>5474</v>
      </c>
      <c r="F1733" t="s">
        <v>5512</v>
      </c>
      <c r="G1733" t="s">
        <v>1103</v>
      </c>
    </row>
    <row r="1734" spans="1:7" hidden="1" x14ac:dyDescent="0.25">
      <c r="A1734" t="s">
        <v>1606</v>
      </c>
      <c r="B1734" t="s">
        <v>4193</v>
      </c>
      <c r="C1734" t="s">
        <v>5076</v>
      </c>
      <c r="F1734" t="s">
        <v>5515</v>
      </c>
      <c r="G1734" t="s">
        <v>1103</v>
      </c>
    </row>
    <row r="1735" spans="1:7" hidden="1" x14ac:dyDescent="0.25">
      <c r="A1735" t="s">
        <v>6171</v>
      </c>
      <c r="B1735" t="s">
        <v>4193</v>
      </c>
      <c r="C1735" t="s">
        <v>5076</v>
      </c>
      <c r="E1735" t="s">
        <v>5474</v>
      </c>
      <c r="F1735" t="s">
        <v>5518</v>
      </c>
      <c r="G1735" t="s">
        <v>1103</v>
      </c>
    </row>
    <row r="1736" spans="1:7" hidden="1" x14ac:dyDescent="0.25">
      <c r="A1736" t="s">
        <v>4198</v>
      </c>
      <c r="B1736" t="s">
        <v>86</v>
      </c>
      <c r="C1736" t="s">
        <v>2944</v>
      </c>
      <c r="F1736" t="s">
        <v>5521</v>
      </c>
      <c r="G1736" t="s">
        <v>1103</v>
      </c>
    </row>
    <row r="1737" spans="1:7" hidden="1" x14ac:dyDescent="0.25">
      <c r="A1737" t="s">
        <v>4198</v>
      </c>
      <c r="B1737" t="s">
        <v>86</v>
      </c>
      <c r="C1737" t="s">
        <v>2944</v>
      </c>
      <c r="E1737" t="s">
        <v>2936</v>
      </c>
      <c r="F1737" t="s">
        <v>5524</v>
      </c>
      <c r="G1737" t="s">
        <v>1103</v>
      </c>
    </row>
    <row r="1738" spans="1:7" hidden="1" x14ac:dyDescent="0.25">
      <c r="A1738" t="s">
        <v>4198</v>
      </c>
      <c r="B1738" t="s">
        <v>86</v>
      </c>
      <c r="C1738" t="s">
        <v>528</v>
      </c>
      <c r="F1738" t="s">
        <v>5527</v>
      </c>
      <c r="G1738" t="s">
        <v>1103</v>
      </c>
    </row>
    <row r="1739" spans="1:7" hidden="1" x14ac:dyDescent="0.25">
      <c r="A1739" t="s">
        <v>4198</v>
      </c>
      <c r="B1739" t="s">
        <v>86</v>
      </c>
      <c r="C1739" t="s">
        <v>528</v>
      </c>
      <c r="E1739" t="s">
        <v>2936</v>
      </c>
      <c r="F1739" t="s">
        <v>5530</v>
      </c>
      <c r="G1739" t="s">
        <v>1103</v>
      </c>
    </row>
    <row r="1740" spans="1:7" hidden="1" x14ac:dyDescent="0.25">
      <c r="A1740" t="s">
        <v>1606</v>
      </c>
      <c r="B1740" t="s">
        <v>4193</v>
      </c>
      <c r="C1740" t="s">
        <v>5076</v>
      </c>
      <c r="F1740" t="s">
        <v>5533</v>
      </c>
      <c r="G1740" t="s">
        <v>1103</v>
      </c>
    </row>
    <row r="1741" spans="1:7" hidden="1" x14ac:dyDescent="0.25">
      <c r="A1741" t="s">
        <v>6171</v>
      </c>
      <c r="B1741" t="s">
        <v>4193</v>
      </c>
      <c r="C1741" t="s">
        <v>5076</v>
      </c>
      <c r="E1741" t="s">
        <v>5474</v>
      </c>
      <c r="F1741" t="s">
        <v>5536</v>
      </c>
      <c r="G1741" t="s">
        <v>1103</v>
      </c>
    </row>
    <row r="1742" spans="1:7" hidden="1" x14ac:dyDescent="0.25">
      <c r="A1742" t="s">
        <v>4</v>
      </c>
      <c r="B1742" t="s">
        <v>8</v>
      </c>
      <c r="F1742" t="s">
        <v>5801</v>
      </c>
      <c r="G1742" t="s">
        <v>1103</v>
      </c>
    </row>
    <row r="1743" spans="1:7" hidden="1" x14ac:dyDescent="0.25">
      <c r="A1743" t="s">
        <v>4198</v>
      </c>
      <c r="B1743" t="s">
        <v>86</v>
      </c>
      <c r="C1743" t="s">
        <v>6172</v>
      </c>
      <c r="F1743" t="s">
        <v>5804</v>
      </c>
      <c r="G1743" t="s">
        <v>1103</v>
      </c>
    </row>
    <row r="1744" spans="1:7" hidden="1" x14ac:dyDescent="0.25">
      <c r="A1744" t="s">
        <v>158</v>
      </c>
      <c r="B1744" t="s">
        <v>86</v>
      </c>
      <c r="C1744" t="s">
        <v>200</v>
      </c>
      <c r="D1744">
        <v>3</v>
      </c>
      <c r="E1744" t="s">
        <v>3075</v>
      </c>
      <c r="F1744" t="s">
        <v>5807</v>
      </c>
      <c r="G1744" t="s">
        <v>1103</v>
      </c>
    </row>
    <row r="1745" spans="1:7" hidden="1" x14ac:dyDescent="0.25">
      <c r="A1745" t="s">
        <v>158</v>
      </c>
      <c r="B1745" t="s">
        <v>86</v>
      </c>
      <c r="C1745" t="s">
        <v>200</v>
      </c>
      <c r="D1745">
        <v>4</v>
      </c>
      <c r="E1745" t="s">
        <v>3075</v>
      </c>
      <c r="F1745" t="s">
        <v>5810</v>
      </c>
      <c r="G1745" t="s">
        <v>1103</v>
      </c>
    </row>
    <row r="1746" spans="1:7" hidden="1" x14ac:dyDescent="0.25">
      <c r="A1746" t="s">
        <v>158</v>
      </c>
      <c r="B1746" t="s">
        <v>86</v>
      </c>
      <c r="C1746" t="s">
        <v>60</v>
      </c>
      <c r="D1746">
        <v>2</v>
      </c>
      <c r="E1746" t="s">
        <v>3075</v>
      </c>
      <c r="F1746" t="s">
        <v>5813</v>
      </c>
      <c r="G1746" t="s">
        <v>1103</v>
      </c>
    </row>
    <row r="1747" spans="1:7" hidden="1" x14ac:dyDescent="0.25">
      <c r="A1747" t="s">
        <v>158</v>
      </c>
      <c r="B1747" t="s">
        <v>86</v>
      </c>
      <c r="C1747" t="s">
        <v>200</v>
      </c>
      <c r="D1747">
        <v>2</v>
      </c>
      <c r="E1747" t="s">
        <v>3075</v>
      </c>
      <c r="F1747" t="s">
        <v>5816</v>
      </c>
      <c r="G1747" t="s">
        <v>1103</v>
      </c>
    </row>
    <row r="1748" spans="1:7" hidden="1" x14ac:dyDescent="0.25">
      <c r="A1748" t="s">
        <v>158</v>
      </c>
      <c r="B1748" t="s">
        <v>86</v>
      </c>
      <c r="C1748" t="s">
        <v>60</v>
      </c>
      <c r="D1748">
        <v>3</v>
      </c>
      <c r="E1748" t="s">
        <v>3075</v>
      </c>
      <c r="F1748" t="s">
        <v>5819</v>
      </c>
      <c r="G1748" t="s">
        <v>1103</v>
      </c>
    </row>
    <row r="1749" spans="1:7" hidden="1" x14ac:dyDescent="0.25">
      <c r="A1749" t="s">
        <v>158</v>
      </c>
      <c r="B1749" t="s">
        <v>86</v>
      </c>
      <c r="C1749" t="s">
        <v>60</v>
      </c>
      <c r="D1749">
        <v>3</v>
      </c>
      <c r="E1749" t="s">
        <v>3075</v>
      </c>
      <c r="F1749" t="s">
        <v>5822</v>
      </c>
      <c r="G1749" t="s">
        <v>1103</v>
      </c>
    </row>
    <row r="1750" spans="1:7" hidden="1" x14ac:dyDescent="0.25">
      <c r="A1750" t="s">
        <v>158</v>
      </c>
      <c r="B1750" t="s">
        <v>86</v>
      </c>
      <c r="C1750" t="s">
        <v>200</v>
      </c>
      <c r="D1750">
        <v>2</v>
      </c>
      <c r="E1750" t="s">
        <v>3075</v>
      </c>
      <c r="F1750" t="s">
        <v>5825</v>
      </c>
      <c r="G1750" t="s">
        <v>1103</v>
      </c>
    </row>
    <row r="1751" spans="1:7" hidden="1" x14ac:dyDescent="0.25">
      <c r="A1751" t="s">
        <v>2004</v>
      </c>
      <c r="B1751" t="s">
        <v>8</v>
      </c>
      <c r="F1751" t="s">
        <v>6020</v>
      </c>
      <c r="G1751" t="s">
        <v>1103</v>
      </c>
    </row>
    <row r="1752" spans="1:7" hidden="1" x14ac:dyDescent="0.25">
      <c r="A1752" t="s">
        <v>4</v>
      </c>
      <c r="B1752" t="s">
        <v>8</v>
      </c>
      <c r="F1752" t="s">
        <v>5684</v>
      </c>
      <c r="G1752" t="s">
        <v>91</v>
      </c>
    </row>
    <row r="1753" spans="1:7" hidden="1" x14ac:dyDescent="0.25">
      <c r="A1753" t="s">
        <v>4</v>
      </c>
      <c r="B1753" t="s">
        <v>8</v>
      </c>
      <c r="F1753" t="s">
        <v>5687</v>
      </c>
      <c r="G1753" t="s">
        <v>91</v>
      </c>
    </row>
    <row r="1754" spans="1:7" hidden="1" x14ac:dyDescent="0.25">
      <c r="A1754" t="s">
        <v>4</v>
      </c>
      <c r="B1754" t="s">
        <v>8</v>
      </c>
      <c r="F1754" t="s">
        <v>5690</v>
      </c>
      <c r="G1754" t="s">
        <v>91</v>
      </c>
    </row>
    <row r="1755" spans="1:7" hidden="1" x14ac:dyDescent="0.25">
      <c r="A1755" t="s">
        <v>2004</v>
      </c>
      <c r="B1755" t="s">
        <v>8</v>
      </c>
      <c r="F1755" t="s">
        <v>5693</v>
      </c>
      <c r="G1755" t="s">
        <v>91</v>
      </c>
    </row>
    <row r="1756" spans="1:7" hidden="1" x14ac:dyDescent="0.25">
      <c r="A1756" t="s">
        <v>4</v>
      </c>
      <c r="B1756" t="s">
        <v>8</v>
      </c>
      <c r="F1756" t="s">
        <v>5846</v>
      </c>
      <c r="G1756" t="s">
        <v>91</v>
      </c>
    </row>
    <row r="1757" spans="1:7" hidden="1" x14ac:dyDescent="0.25">
      <c r="A1757" t="s">
        <v>2004</v>
      </c>
      <c r="B1757" t="s">
        <v>8</v>
      </c>
      <c r="F1757" t="s">
        <v>5849</v>
      </c>
      <c r="G1757" t="s">
        <v>91</v>
      </c>
    </row>
    <row r="1758" spans="1:7" hidden="1" x14ac:dyDescent="0.25">
      <c r="A1758" t="s">
        <v>2004</v>
      </c>
      <c r="B1758" t="s">
        <v>8</v>
      </c>
      <c r="F1758" t="s">
        <v>5852</v>
      </c>
      <c r="G1758" t="s">
        <v>91</v>
      </c>
    </row>
    <row r="1759" spans="1:7" hidden="1" x14ac:dyDescent="0.25">
      <c r="A1759" t="s">
        <v>4</v>
      </c>
      <c r="B1759" t="s">
        <v>8</v>
      </c>
      <c r="F1759" t="s">
        <v>6065</v>
      </c>
      <c r="G1759" t="s">
        <v>91</v>
      </c>
    </row>
    <row r="1760" spans="1:7" hidden="1" x14ac:dyDescent="0.25">
      <c r="A1760" t="s">
        <v>4</v>
      </c>
      <c r="B1760" t="s">
        <v>8</v>
      </c>
      <c r="F1760" t="s">
        <v>6068</v>
      </c>
      <c r="G1760" t="s">
        <v>91</v>
      </c>
    </row>
    <row r="1761" spans="1:7" hidden="1" x14ac:dyDescent="0.25">
      <c r="A1761" t="s">
        <v>4</v>
      </c>
      <c r="B1761" t="s">
        <v>8</v>
      </c>
      <c r="F1761" t="s">
        <v>6071</v>
      </c>
      <c r="G1761" t="s">
        <v>91</v>
      </c>
    </row>
    <row r="1762" spans="1:7" hidden="1" x14ac:dyDescent="0.25">
      <c r="A1762" t="s">
        <v>290</v>
      </c>
      <c r="B1762" t="s">
        <v>5505</v>
      </c>
      <c r="C1762" t="s">
        <v>6173</v>
      </c>
      <c r="F1762" t="s">
        <v>5696</v>
      </c>
      <c r="G1762" t="s">
        <v>1104</v>
      </c>
    </row>
    <row r="1763" spans="1:7" hidden="1" x14ac:dyDescent="0.25">
      <c r="A1763" t="s">
        <v>290</v>
      </c>
      <c r="B1763" t="s">
        <v>5505</v>
      </c>
      <c r="C1763" t="s">
        <v>6173</v>
      </c>
      <c r="E1763" t="s">
        <v>2936</v>
      </c>
      <c r="F1763" t="s">
        <v>5699</v>
      </c>
      <c r="G1763" t="s">
        <v>1104</v>
      </c>
    </row>
    <row r="1764" spans="1:7" hidden="1" x14ac:dyDescent="0.25">
      <c r="A1764" t="s">
        <v>290</v>
      </c>
      <c r="B1764" t="s">
        <v>5505</v>
      </c>
      <c r="C1764" t="s">
        <v>6173</v>
      </c>
      <c r="E1764" t="s">
        <v>2936</v>
      </c>
      <c r="F1764" t="s">
        <v>5702</v>
      </c>
      <c r="G1764" t="s">
        <v>1104</v>
      </c>
    </row>
    <row r="1765" spans="1:7" hidden="1" x14ac:dyDescent="0.25">
      <c r="A1765" t="s">
        <v>2004</v>
      </c>
      <c r="B1765" t="s">
        <v>8</v>
      </c>
      <c r="F1765" t="s">
        <v>5705</v>
      </c>
      <c r="G1765" t="s">
        <v>1104</v>
      </c>
    </row>
    <row r="1766" spans="1:7" hidden="1" x14ac:dyDescent="0.25">
      <c r="A1766" t="s">
        <v>4</v>
      </c>
      <c r="B1766" t="s">
        <v>8</v>
      </c>
      <c r="F1766" t="s">
        <v>5828</v>
      </c>
      <c r="G1766" t="s">
        <v>1104</v>
      </c>
    </row>
    <row r="1767" spans="1:7" hidden="1" x14ac:dyDescent="0.25">
      <c r="A1767" t="s">
        <v>4</v>
      </c>
      <c r="B1767" t="s">
        <v>8</v>
      </c>
      <c r="F1767" t="s">
        <v>5831</v>
      </c>
      <c r="G1767" t="s">
        <v>1104</v>
      </c>
    </row>
    <row r="1768" spans="1:7" hidden="1" x14ac:dyDescent="0.25">
      <c r="A1768" t="s">
        <v>4</v>
      </c>
      <c r="B1768" t="s">
        <v>8</v>
      </c>
      <c r="F1768" t="s">
        <v>5834</v>
      </c>
      <c r="G1768" t="s">
        <v>1104</v>
      </c>
    </row>
    <row r="1769" spans="1:7" hidden="1" x14ac:dyDescent="0.25">
      <c r="A1769" t="s">
        <v>1606</v>
      </c>
      <c r="B1769" t="s">
        <v>55</v>
      </c>
      <c r="C1769" t="s">
        <v>51</v>
      </c>
      <c r="F1769" t="s">
        <v>5837</v>
      </c>
      <c r="G1769" t="s">
        <v>1104</v>
      </c>
    </row>
    <row r="1770" spans="1:7" hidden="1" x14ac:dyDescent="0.25">
      <c r="A1770" t="s">
        <v>4</v>
      </c>
      <c r="B1770" t="s">
        <v>6167</v>
      </c>
      <c r="C1770" t="s">
        <v>58</v>
      </c>
      <c r="F1770" t="s">
        <v>6044</v>
      </c>
      <c r="G1770" t="s">
        <v>1104</v>
      </c>
    </row>
    <row r="1771" spans="1:7" hidden="1" x14ac:dyDescent="0.25">
      <c r="A1771" t="s">
        <v>4</v>
      </c>
      <c r="B1771" t="s">
        <v>6167</v>
      </c>
      <c r="C1771" t="s">
        <v>58</v>
      </c>
      <c r="E1771" t="s">
        <v>4205</v>
      </c>
      <c r="F1771" t="s">
        <v>6047</v>
      </c>
      <c r="G1771" t="s">
        <v>1104</v>
      </c>
    </row>
    <row r="1772" spans="1:7" hidden="1" x14ac:dyDescent="0.25">
      <c r="A1772" t="s">
        <v>1606</v>
      </c>
      <c r="B1772" t="s">
        <v>6166</v>
      </c>
      <c r="C1772" t="s">
        <v>51</v>
      </c>
      <c r="F1772" t="s">
        <v>6050</v>
      </c>
      <c r="G1772" t="s">
        <v>1104</v>
      </c>
    </row>
    <row r="1773" spans="1:7" hidden="1" x14ac:dyDescent="0.25">
      <c r="A1773" t="s">
        <v>1606</v>
      </c>
      <c r="B1773" t="s">
        <v>6165</v>
      </c>
      <c r="C1773" t="s">
        <v>51</v>
      </c>
      <c r="F1773" t="s">
        <v>6053</v>
      </c>
      <c r="G1773" t="s">
        <v>1104</v>
      </c>
    </row>
    <row r="1774" spans="1:7" hidden="1" x14ac:dyDescent="0.25">
      <c r="A1774" t="s">
        <v>650</v>
      </c>
      <c r="B1774" t="s">
        <v>6166</v>
      </c>
      <c r="C1774" t="s">
        <v>51</v>
      </c>
      <c r="F1774" t="s">
        <v>6056</v>
      </c>
      <c r="G1774" t="s">
        <v>1104</v>
      </c>
    </row>
    <row r="1775" spans="1:7" hidden="1" x14ac:dyDescent="0.25">
      <c r="A1775" t="s">
        <v>650</v>
      </c>
      <c r="B1775" t="s">
        <v>6165</v>
      </c>
      <c r="C1775" t="s">
        <v>51</v>
      </c>
      <c r="F1775" t="s">
        <v>6059</v>
      </c>
      <c r="G1775" t="s">
        <v>1104</v>
      </c>
    </row>
    <row r="1776" spans="1:7" hidden="1" x14ac:dyDescent="0.25">
      <c r="A1776" t="s">
        <v>1606</v>
      </c>
      <c r="B1776" t="s">
        <v>6167</v>
      </c>
      <c r="C1776" t="s">
        <v>58</v>
      </c>
      <c r="F1776" t="s">
        <v>6062</v>
      </c>
      <c r="G1776" t="s">
        <v>1104</v>
      </c>
    </row>
    <row r="1777" spans="1:7" hidden="1" x14ac:dyDescent="0.25">
      <c r="A1777" t="s">
        <v>6174</v>
      </c>
      <c r="B1777" t="s">
        <v>6167</v>
      </c>
      <c r="C1777" t="s">
        <v>58</v>
      </c>
      <c r="F1777" t="s">
        <v>6161</v>
      </c>
      <c r="G1777" t="s">
        <v>1104</v>
      </c>
    </row>
    <row r="1778" spans="1:7" hidden="1" x14ac:dyDescent="0.25">
      <c r="A1778" t="s">
        <v>2004</v>
      </c>
      <c r="B1778" t="s">
        <v>8</v>
      </c>
      <c r="F1778" t="s">
        <v>5708</v>
      </c>
      <c r="G1778" t="s">
        <v>1105</v>
      </c>
    </row>
    <row r="1779" spans="1:7" hidden="1" x14ac:dyDescent="0.25">
      <c r="A1779" t="s">
        <v>4</v>
      </c>
      <c r="B1779" t="s">
        <v>1607</v>
      </c>
      <c r="C1779" t="s">
        <v>6175</v>
      </c>
      <c r="F1779" t="s">
        <v>5711</v>
      </c>
      <c r="G1779" t="s">
        <v>1105</v>
      </c>
    </row>
    <row r="1780" spans="1:7" hidden="1" x14ac:dyDescent="0.25">
      <c r="A1780" t="s">
        <v>2004</v>
      </c>
      <c r="B1780" t="s">
        <v>8</v>
      </c>
      <c r="F1780" t="s">
        <v>5714</v>
      </c>
      <c r="G1780" t="s">
        <v>1105</v>
      </c>
    </row>
    <row r="1781" spans="1:7" hidden="1" x14ac:dyDescent="0.25">
      <c r="A1781" t="s">
        <v>2004</v>
      </c>
      <c r="B1781" t="s">
        <v>8</v>
      </c>
      <c r="F1781" t="s">
        <v>5855</v>
      </c>
      <c r="G1781" t="s">
        <v>1105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5858</v>
      </c>
      <c r="G1782" t="s">
        <v>1105</v>
      </c>
    </row>
    <row r="1783" spans="1:7" hidden="1" x14ac:dyDescent="0.25">
      <c r="A1783" t="s">
        <v>650</v>
      </c>
      <c r="B1783" t="s">
        <v>55</v>
      </c>
      <c r="C1783" t="s">
        <v>51</v>
      </c>
      <c r="E1783" t="s">
        <v>6176</v>
      </c>
      <c r="F1783" t="s">
        <v>5861</v>
      </c>
      <c r="G1783" t="s">
        <v>1105</v>
      </c>
    </row>
    <row r="1784" spans="1:7" hidden="1" x14ac:dyDescent="0.25">
      <c r="A1784" t="s">
        <v>4</v>
      </c>
      <c r="B1784" t="s">
        <v>8</v>
      </c>
      <c r="F1784" t="s">
        <v>5864</v>
      </c>
      <c r="G1784" t="s">
        <v>1105</v>
      </c>
    </row>
    <row r="1785" spans="1:7" hidden="1" x14ac:dyDescent="0.25">
      <c r="A1785" t="s">
        <v>2004</v>
      </c>
      <c r="B1785" t="s">
        <v>8</v>
      </c>
      <c r="F1785" t="s">
        <v>6074</v>
      </c>
      <c r="G1785" t="s">
        <v>1105</v>
      </c>
    </row>
    <row r="1786" spans="1:7" hidden="1" x14ac:dyDescent="0.25">
      <c r="A1786" t="s">
        <v>2004</v>
      </c>
      <c r="B1786" t="s">
        <v>8</v>
      </c>
      <c r="F1786" t="s">
        <v>5539</v>
      </c>
      <c r="G1786" t="s">
        <v>1106</v>
      </c>
    </row>
    <row r="1787" spans="1:7" hidden="1" x14ac:dyDescent="0.25">
      <c r="A1787" t="s">
        <v>2004</v>
      </c>
      <c r="B1787" t="s">
        <v>8</v>
      </c>
      <c r="F1787" t="s">
        <v>5542</v>
      </c>
      <c r="G1787" t="s">
        <v>1106</v>
      </c>
    </row>
    <row r="1788" spans="1:7" hidden="1" x14ac:dyDescent="0.25">
      <c r="A1788" t="s">
        <v>2004</v>
      </c>
      <c r="B1788" t="s">
        <v>8</v>
      </c>
      <c r="F1788" t="s">
        <v>5545</v>
      </c>
      <c r="G1788" t="s">
        <v>1106</v>
      </c>
    </row>
    <row r="1789" spans="1:7" hidden="1" x14ac:dyDescent="0.25">
      <c r="A1789" t="s">
        <v>1615</v>
      </c>
      <c r="B1789" t="s">
        <v>86</v>
      </c>
      <c r="C1789" t="s">
        <v>200</v>
      </c>
      <c r="F1789" t="s">
        <v>5867</v>
      </c>
      <c r="G1789" t="s">
        <v>1106</v>
      </c>
    </row>
    <row r="1790" spans="1:7" hidden="1" x14ac:dyDescent="0.25">
      <c r="A1790" t="s">
        <v>1615</v>
      </c>
      <c r="B1790" t="s">
        <v>86</v>
      </c>
      <c r="C1790" t="s">
        <v>200</v>
      </c>
      <c r="F1790" t="s">
        <v>5870</v>
      </c>
      <c r="G1790" t="s">
        <v>1106</v>
      </c>
    </row>
    <row r="1791" spans="1:7" hidden="1" x14ac:dyDescent="0.25">
      <c r="A1791" t="s">
        <v>1615</v>
      </c>
      <c r="B1791" t="s">
        <v>86</v>
      </c>
      <c r="C1791" t="s">
        <v>200</v>
      </c>
      <c r="F1791" t="s">
        <v>5873</v>
      </c>
      <c r="G1791" t="s">
        <v>1106</v>
      </c>
    </row>
    <row r="1792" spans="1:7" hidden="1" x14ac:dyDescent="0.25">
      <c r="A1792" t="s">
        <v>2004</v>
      </c>
      <c r="B1792" t="s">
        <v>8</v>
      </c>
      <c r="F1792" t="s">
        <v>6077</v>
      </c>
      <c r="G1792" t="s">
        <v>1106</v>
      </c>
    </row>
    <row r="1793" spans="1:7" x14ac:dyDescent="0.25">
      <c r="A1793" t="s">
        <v>2004</v>
      </c>
      <c r="B1793" t="s">
        <v>8</v>
      </c>
      <c r="F1793" t="s">
        <v>5548</v>
      </c>
      <c r="G1793" t="s">
        <v>1107</v>
      </c>
    </row>
    <row r="1794" spans="1:7" x14ac:dyDescent="0.25">
      <c r="A1794" t="s">
        <v>2004</v>
      </c>
      <c r="B1794" t="s">
        <v>8</v>
      </c>
      <c r="F1794" t="s">
        <v>5551</v>
      </c>
      <c r="G1794" t="s">
        <v>1107</v>
      </c>
    </row>
    <row r="1795" spans="1:7" x14ac:dyDescent="0.25">
      <c r="A1795" t="s">
        <v>2004</v>
      </c>
      <c r="B1795" t="s">
        <v>8</v>
      </c>
      <c r="F1795" t="s">
        <v>5554</v>
      </c>
      <c r="G1795" t="s">
        <v>1107</v>
      </c>
    </row>
    <row r="1796" spans="1:7" hidden="1" x14ac:dyDescent="0.25">
      <c r="A1796" t="s">
        <v>2004</v>
      </c>
      <c r="B1796" t="s">
        <v>8</v>
      </c>
      <c r="F1796" t="s">
        <v>5717</v>
      </c>
      <c r="G1796" t="s">
        <v>796</v>
      </c>
    </row>
    <row r="1797" spans="1:7" hidden="1" x14ac:dyDescent="0.25">
      <c r="A1797" t="s">
        <v>4</v>
      </c>
      <c r="B1797" t="s">
        <v>9</v>
      </c>
      <c r="F1797" t="s">
        <v>5720</v>
      </c>
      <c r="G1797" t="s">
        <v>796</v>
      </c>
    </row>
    <row r="1798" spans="1:7" hidden="1" x14ac:dyDescent="0.25">
      <c r="A1798" t="s">
        <v>794</v>
      </c>
      <c r="F1798" t="s">
        <v>5723</v>
      </c>
      <c r="G1798" t="s">
        <v>796</v>
      </c>
    </row>
    <row r="1799" spans="1:7" hidden="1" x14ac:dyDescent="0.25">
      <c r="A1799" t="s">
        <v>794</v>
      </c>
      <c r="F1799" t="s">
        <v>5726</v>
      </c>
      <c r="G1799" t="s">
        <v>796</v>
      </c>
    </row>
    <row r="1800" spans="1:7" hidden="1" x14ac:dyDescent="0.25">
      <c r="A1800" t="s">
        <v>793</v>
      </c>
      <c r="B1800" t="s">
        <v>531</v>
      </c>
      <c r="F1800" t="s">
        <v>5729</v>
      </c>
      <c r="G1800" t="s">
        <v>796</v>
      </c>
    </row>
    <row r="1801" spans="1:7" hidden="1" x14ac:dyDescent="0.25">
      <c r="A1801" t="s">
        <v>4</v>
      </c>
      <c r="B1801" t="s">
        <v>9</v>
      </c>
      <c r="F1801" t="s">
        <v>5732</v>
      </c>
      <c r="G1801" t="s">
        <v>796</v>
      </c>
    </row>
    <row r="1802" spans="1:7" hidden="1" x14ac:dyDescent="0.25">
      <c r="A1802" t="s">
        <v>4</v>
      </c>
      <c r="B1802" t="s">
        <v>9</v>
      </c>
      <c r="E1802" t="s">
        <v>2936</v>
      </c>
      <c r="F1802" t="s">
        <v>5735</v>
      </c>
      <c r="G1802" t="s">
        <v>796</v>
      </c>
    </row>
    <row r="1803" spans="1:7" hidden="1" x14ac:dyDescent="0.25">
      <c r="A1803" t="s">
        <v>4</v>
      </c>
      <c r="B1803" t="s">
        <v>9</v>
      </c>
      <c r="E1803" t="s">
        <v>2936</v>
      </c>
      <c r="F1803" t="s">
        <v>5738</v>
      </c>
      <c r="G1803" t="s">
        <v>796</v>
      </c>
    </row>
    <row r="1804" spans="1:7" hidden="1" x14ac:dyDescent="0.25">
      <c r="A1804" t="s">
        <v>2004</v>
      </c>
      <c r="B1804" t="s">
        <v>8</v>
      </c>
      <c r="F1804" t="s">
        <v>5741</v>
      </c>
      <c r="G1804" t="s">
        <v>796</v>
      </c>
    </row>
    <row r="1805" spans="1:7" hidden="1" x14ac:dyDescent="0.25">
      <c r="A1805" t="s">
        <v>2004</v>
      </c>
      <c r="B1805" t="s">
        <v>8</v>
      </c>
      <c r="F1805" t="s">
        <v>5876</v>
      </c>
      <c r="G1805" t="s">
        <v>796</v>
      </c>
    </row>
    <row r="1806" spans="1:7" hidden="1" x14ac:dyDescent="0.25">
      <c r="A1806" t="s">
        <v>2004</v>
      </c>
      <c r="B1806" t="s">
        <v>8</v>
      </c>
      <c r="F1806" t="s">
        <v>6080</v>
      </c>
      <c r="G1806" t="s">
        <v>796</v>
      </c>
    </row>
    <row r="1807" spans="1:7" hidden="1" x14ac:dyDescent="0.25">
      <c r="A1807" t="s">
        <v>4</v>
      </c>
      <c r="B1807" t="s">
        <v>9</v>
      </c>
      <c r="F1807" t="s">
        <v>5557</v>
      </c>
      <c r="G1807" t="s">
        <v>1100</v>
      </c>
    </row>
    <row r="1808" spans="1:7" hidden="1" x14ac:dyDescent="0.25">
      <c r="A1808" t="s">
        <v>4</v>
      </c>
      <c r="B1808" t="s">
        <v>86</v>
      </c>
      <c r="C1808" t="s">
        <v>528</v>
      </c>
      <c r="E1808" t="s">
        <v>6177</v>
      </c>
      <c r="F1808" t="s">
        <v>5560</v>
      </c>
      <c r="G1808" t="s">
        <v>1100</v>
      </c>
    </row>
    <row r="1809" spans="1:7" hidden="1" x14ac:dyDescent="0.25">
      <c r="A1809" t="s">
        <v>4</v>
      </c>
      <c r="B1809" t="s">
        <v>9</v>
      </c>
      <c r="E1809" t="s">
        <v>2936</v>
      </c>
      <c r="F1809" t="s">
        <v>5563</v>
      </c>
      <c r="G1809" t="s">
        <v>1100</v>
      </c>
    </row>
    <row r="1810" spans="1:7" hidden="1" x14ac:dyDescent="0.25">
      <c r="A1810" t="s">
        <v>4</v>
      </c>
      <c r="B1810" t="s">
        <v>9</v>
      </c>
      <c r="E1810" t="s">
        <v>2936</v>
      </c>
      <c r="F1810" t="s">
        <v>5566</v>
      </c>
      <c r="G1810" t="s">
        <v>1100</v>
      </c>
    </row>
    <row r="1811" spans="1:7" hidden="1" x14ac:dyDescent="0.25">
      <c r="A1811" t="s">
        <v>4</v>
      </c>
      <c r="B1811" t="s">
        <v>9</v>
      </c>
      <c r="E1811" t="s">
        <v>2936</v>
      </c>
      <c r="F1811" t="s">
        <v>5569</v>
      </c>
      <c r="G1811" t="s">
        <v>1100</v>
      </c>
    </row>
    <row r="1812" spans="1:7" hidden="1" x14ac:dyDescent="0.25">
      <c r="A1812" t="s">
        <v>4</v>
      </c>
      <c r="B1812" t="s">
        <v>9</v>
      </c>
      <c r="E1812" t="s">
        <v>2936</v>
      </c>
      <c r="F1812" t="s">
        <v>5572</v>
      </c>
      <c r="G1812" t="s">
        <v>1100</v>
      </c>
    </row>
    <row r="1813" spans="1:7" hidden="1" x14ac:dyDescent="0.25">
      <c r="A1813" t="s">
        <v>4</v>
      </c>
      <c r="B1813" t="s">
        <v>9</v>
      </c>
      <c r="E1813" t="s">
        <v>2936</v>
      </c>
      <c r="F1813" t="s">
        <v>5575</v>
      </c>
      <c r="G1813" t="s">
        <v>1100</v>
      </c>
    </row>
    <row r="1814" spans="1:7" hidden="1" x14ac:dyDescent="0.25">
      <c r="A1814" t="s">
        <v>4</v>
      </c>
      <c r="B1814" t="s">
        <v>9</v>
      </c>
      <c r="E1814" t="s">
        <v>2936</v>
      </c>
      <c r="F1814" t="s">
        <v>5578</v>
      </c>
      <c r="G1814" t="s">
        <v>1100</v>
      </c>
    </row>
    <row r="1815" spans="1:7" hidden="1" x14ac:dyDescent="0.25">
      <c r="A1815" t="s">
        <v>4</v>
      </c>
      <c r="B1815" t="s">
        <v>9</v>
      </c>
      <c r="E1815" t="s">
        <v>2936</v>
      </c>
      <c r="F1815" t="s">
        <v>5581</v>
      </c>
      <c r="G1815" t="s">
        <v>1100</v>
      </c>
    </row>
    <row r="1816" spans="1:7" hidden="1" x14ac:dyDescent="0.25">
      <c r="A1816" t="s">
        <v>4</v>
      </c>
      <c r="B1816" t="s">
        <v>9</v>
      </c>
      <c r="E1816" t="s">
        <v>2936</v>
      </c>
      <c r="F1816" t="s">
        <v>5584</v>
      </c>
      <c r="G1816" t="s">
        <v>1100</v>
      </c>
    </row>
    <row r="1817" spans="1:7" hidden="1" x14ac:dyDescent="0.25">
      <c r="A1817" t="s">
        <v>4</v>
      </c>
      <c r="B1817" t="s">
        <v>9</v>
      </c>
      <c r="E1817" t="s">
        <v>2936</v>
      </c>
      <c r="F1817" t="s">
        <v>5587</v>
      </c>
      <c r="G1817" t="s">
        <v>1100</v>
      </c>
    </row>
    <row r="1818" spans="1:7" hidden="1" x14ac:dyDescent="0.25">
      <c r="A1818" t="s">
        <v>6178</v>
      </c>
      <c r="F1818" t="s">
        <v>5590</v>
      </c>
      <c r="G1818" t="s">
        <v>1100</v>
      </c>
    </row>
    <row r="1819" spans="1:7" hidden="1" x14ac:dyDescent="0.25">
      <c r="A1819" t="s">
        <v>1091</v>
      </c>
      <c r="B1819" t="s">
        <v>531</v>
      </c>
      <c r="C1819" t="s">
        <v>6179</v>
      </c>
      <c r="F1819" t="s">
        <v>5593</v>
      </c>
      <c r="G1819" t="s">
        <v>1100</v>
      </c>
    </row>
    <row r="1820" spans="1:7" hidden="1" x14ac:dyDescent="0.25">
      <c r="A1820" t="s">
        <v>4</v>
      </c>
      <c r="B1820" t="s">
        <v>9</v>
      </c>
      <c r="F1820" t="s">
        <v>5596</v>
      </c>
      <c r="G1820" t="s">
        <v>1100</v>
      </c>
    </row>
    <row r="1821" spans="1:7" hidden="1" x14ac:dyDescent="0.25">
      <c r="A1821" t="s">
        <v>4</v>
      </c>
      <c r="B1821" t="s">
        <v>9</v>
      </c>
      <c r="F1821" t="s">
        <v>5599</v>
      </c>
      <c r="G1821" t="s">
        <v>1100</v>
      </c>
    </row>
    <row r="1822" spans="1:7" hidden="1" x14ac:dyDescent="0.25">
      <c r="A1822" t="s">
        <v>4</v>
      </c>
      <c r="B1822" t="s">
        <v>9</v>
      </c>
      <c r="F1822" t="s">
        <v>5602</v>
      </c>
      <c r="G1822" t="s">
        <v>1100</v>
      </c>
    </row>
    <row r="1823" spans="1:7" hidden="1" x14ac:dyDescent="0.25">
      <c r="A1823" t="s">
        <v>4</v>
      </c>
      <c r="B1823" t="s">
        <v>9</v>
      </c>
      <c r="F1823" t="s">
        <v>5605</v>
      </c>
      <c r="G1823" t="s">
        <v>1100</v>
      </c>
    </row>
    <row r="1824" spans="1:7" hidden="1" x14ac:dyDescent="0.25">
      <c r="A1824" t="s">
        <v>6178</v>
      </c>
      <c r="F1824" t="s">
        <v>5608</v>
      </c>
      <c r="G1824" t="s">
        <v>1100</v>
      </c>
    </row>
    <row r="1825" spans="1:7" hidden="1" x14ac:dyDescent="0.25">
      <c r="A1825" t="s">
        <v>6180</v>
      </c>
      <c r="B1825" t="s">
        <v>531</v>
      </c>
      <c r="C1825" t="s">
        <v>6179</v>
      </c>
      <c r="F1825" t="s">
        <v>5611</v>
      </c>
      <c r="G1825" t="s">
        <v>1100</v>
      </c>
    </row>
    <row r="1826" spans="1:7" hidden="1" x14ac:dyDescent="0.25">
      <c r="A1826" t="s">
        <v>4</v>
      </c>
      <c r="B1826" t="s">
        <v>9</v>
      </c>
      <c r="F1826" t="s">
        <v>5614</v>
      </c>
      <c r="G1826" t="s">
        <v>1100</v>
      </c>
    </row>
    <row r="1827" spans="1:7" hidden="1" x14ac:dyDescent="0.25">
      <c r="A1827" t="s">
        <v>4</v>
      </c>
      <c r="B1827" t="s">
        <v>9</v>
      </c>
      <c r="F1827" t="s">
        <v>5617</v>
      </c>
      <c r="G1827" t="s">
        <v>1100</v>
      </c>
    </row>
    <row r="1828" spans="1:7" hidden="1" x14ac:dyDescent="0.25">
      <c r="A1828" t="s">
        <v>4</v>
      </c>
      <c r="B1828" t="s">
        <v>9</v>
      </c>
      <c r="E1828" t="s">
        <v>2936</v>
      </c>
      <c r="F1828" t="s">
        <v>5620</v>
      </c>
      <c r="G1828" t="s">
        <v>1100</v>
      </c>
    </row>
    <row r="1829" spans="1:7" hidden="1" x14ac:dyDescent="0.25">
      <c r="A1829" t="s">
        <v>4</v>
      </c>
      <c r="B1829" t="s">
        <v>9</v>
      </c>
      <c r="E1829" t="s">
        <v>2936</v>
      </c>
      <c r="F1829" t="s">
        <v>5623</v>
      </c>
      <c r="G1829" t="s">
        <v>1100</v>
      </c>
    </row>
    <row r="1830" spans="1:7" hidden="1" x14ac:dyDescent="0.25">
      <c r="A1830" t="s">
        <v>4</v>
      </c>
      <c r="B1830" t="s">
        <v>9</v>
      </c>
      <c r="E1830" t="s">
        <v>2936</v>
      </c>
      <c r="F1830" t="s">
        <v>5626</v>
      </c>
      <c r="G1830" t="s">
        <v>1100</v>
      </c>
    </row>
    <row r="1831" spans="1:7" hidden="1" x14ac:dyDescent="0.25">
      <c r="A1831" t="s">
        <v>4</v>
      </c>
      <c r="B1831" t="s">
        <v>9</v>
      </c>
      <c r="E1831" t="s">
        <v>2936</v>
      </c>
      <c r="F1831" t="s">
        <v>5629</v>
      </c>
      <c r="G1831" t="s">
        <v>1100</v>
      </c>
    </row>
    <row r="1832" spans="1:7" hidden="1" x14ac:dyDescent="0.25">
      <c r="A1832" t="s">
        <v>4</v>
      </c>
      <c r="B1832" t="s">
        <v>9</v>
      </c>
      <c r="E1832" t="s">
        <v>2936</v>
      </c>
      <c r="F1832" t="s">
        <v>5933</v>
      </c>
      <c r="G1832" t="s">
        <v>1100</v>
      </c>
    </row>
    <row r="1833" spans="1:7" hidden="1" x14ac:dyDescent="0.25">
      <c r="A1833" t="s">
        <v>4</v>
      </c>
      <c r="B1833" t="s">
        <v>9</v>
      </c>
      <c r="E1833" t="s">
        <v>2936</v>
      </c>
      <c r="F1833" t="s">
        <v>5936</v>
      </c>
      <c r="G1833" t="s">
        <v>1100</v>
      </c>
    </row>
    <row r="1834" spans="1:7" hidden="1" x14ac:dyDescent="0.25">
      <c r="A1834" t="s">
        <v>4</v>
      </c>
      <c r="B1834" t="s">
        <v>9</v>
      </c>
      <c r="E1834" t="s">
        <v>2936</v>
      </c>
      <c r="F1834" t="s">
        <v>5939</v>
      </c>
      <c r="G1834" t="s">
        <v>1100</v>
      </c>
    </row>
    <row r="1835" spans="1:7" hidden="1" x14ac:dyDescent="0.25">
      <c r="A1835" t="s">
        <v>4</v>
      </c>
      <c r="B1835" t="s">
        <v>9</v>
      </c>
      <c r="E1835" t="s">
        <v>2936</v>
      </c>
      <c r="F1835" t="s">
        <v>5942</v>
      </c>
      <c r="G1835" t="s">
        <v>1100</v>
      </c>
    </row>
    <row r="1836" spans="1:7" hidden="1" x14ac:dyDescent="0.25">
      <c r="A1836" t="s">
        <v>4</v>
      </c>
      <c r="B1836" t="s">
        <v>9</v>
      </c>
      <c r="E1836" t="s">
        <v>2936</v>
      </c>
      <c r="F1836" t="s">
        <v>5945</v>
      </c>
      <c r="G1836" t="s">
        <v>1100</v>
      </c>
    </row>
    <row r="1837" spans="1:7" hidden="1" x14ac:dyDescent="0.25">
      <c r="A1837" t="s">
        <v>4</v>
      </c>
      <c r="B1837" t="s">
        <v>9</v>
      </c>
      <c r="E1837" t="s">
        <v>2936</v>
      </c>
      <c r="F1837" t="s">
        <v>5948</v>
      </c>
      <c r="G1837" t="s">
        <v>1100</v>
      </c>
    </row>
    <row r="1838" spans="1:7" hidden="1" x14ac:dyDescent="0.25">
      <c r="A1838" t="s">
        <v>4</v>
      </c>
      <c r="B1838" t="s">
        <v>9</v>
      </c>
      <c r="E1838" t="s">
        <v>2936</v>
      </c>
      <c r="F1838" t="s">
        <v>5951</v>
      </c>
      <c r="G1838" t="s">
        <v>1100</v>
      </c>
    </row>
    <row r="1839" spans="1:7" hidden="1" x14ac:dyDescent="0.25">
      <c r="A1839" t="s">
        <v>4</v>
      </c>
      <c r="B1839" t="s">
        <v>9</v>
      </c>
      <c r="E1839" t="s">
        <v>2936</v>
      </c>
      <c r="F1839" t="s">
        <v>5954</v>
      </c>
      <c r="G1839" t="s">
        <v>1100</v>
      </c>
    </row>
    <row r="1840" spans="1:7" hidden="1" x14ac:dyDescent="0.25">
      <c r="A1840" t="s">
        <v>4</v>
      </c>
      <c r="B1840" t="s">
        <v>9</v>
      </c>
      <c r="E1840" t="s">
        <v>2936</v>
      </c>
      <c r="F1840" t="s">
        <v>5957</v>
      </c>
      <c r="G1840" t="s">
        <v>1100</v>
      </c>
    </row>
    <row r="1841" spans="1:7" hidden="1" x14ac:dyDescent="0.25">
      <c r="A1841" t="s">
        <v>1091</v>
      </c>
      <c r="B1841" t="s">
        <v>58</v>
      </c>
      <c r="F1841" t="s">
        <v>5960</v>
      </c>
      <c r="G1841" t="s">
        <v>1100</v>
      </c>
    </row>
    <row r="1842" spans="1:7" hidden="1" x14ac:dyDescent="0.25">
      <c r="A1842" t="s">
        <v>1091</v>
      </c>
      <c r="B1842" t="s">
        <v>6181</v>
      </c>
      <c r="F1842" t="s">
        <v>5963</v>
      </c>
      <c r="G1842" t="s">
        <v>1100</v>
      </c>
    </row>
    <row r="1843" spans="1:7" hidden="1" x14ac:dyDescent="0.25">
      <c r="A1843" t="s">
        <v>4</v>
      </c>
      <c r="B1843" t="s">
        <v>9</v>
      </c>
      <c r="F1843" t="s">
        <v>5966</v>
      </c>
      <c r="G1843" t="s">
        <v>1100</v>
      </c>
    </row>
    <row r="1844" spans="1:7" hidden="1" x14ac:dyDescent="0.25">
      <c r="A1844" t="s">
        <v>4</v>
      </c>
      <c r="B1844" t="s">
        <v>9</v>
      </c>
      <c r="E1844" t="s">
        <v>2936</v>
      </c>
      <c r="F1844" t="s">
        <v>5969</v>
      </c>
      <c r="G1844" t="s">
        <v>1100</v>
      </c>
    </row>
    <row r="1845" spans="1:7" hidden="1" x14ac:dyDescent="0.25">
      <c r="A1845" t="s">
        <v>4</v>
      </c>
      <c r="B1845" t="s">
        <v>9</v>
      </c>
      <c r="E1845" t="s">
        <v>2936</v>
      </c>
      <c r="F1845" t="s">
        <v>5972</v>
      </c>
      <c r="G1845" t="s">
        <v>1100</v>
      </c>
    </row>
    <row r="1846" spans="1:7" hidden="1" x14ac:dyDescent="0.25">
      <c r="A1846" t="s">
        <v>4</v>
      </c>
      <c r="B1846" t="s">
        <v>9</v>
      </c>
      <c r="E1846" t="s">
        <v>2936</v>
      </c>
      <c r="F1846" t="s">
        <v>5975</v>
      </c>
      <c r="G1846" t="s">
        <v>1100</v>
      </c>
    </row>
    <row r="1847" spans="1:7" hidden="1" x14ac:dyDescent="0.25">
      <c r="A1847" t="s">
        <v>4</v>
      </c>
      <c r="B1847" t="s">
        <v>9</v>
      </c>
      <c r="E1847" t="s">
        <v>2936</v>
      </c>
      <c r="F1847" t="s">
        <v>5978</v>
      </c>
      <c r="G1847" t="s">
        <v>1100</v>
      </c>
    </row>
    <row r="1848" spans="1:7" hidden="1" x14ac:dyDescent="0.25">
      <c r="A1848" t="s">
        <v>4</v>
      </c>
      <c r="B1848" t="s">
        <v>9</v>
      </c>
      <c r="E1848" t="s">
        <v>2936</v>
      </c>
      <c r="F1848" t="s">
        <v>5981</v>
      </c>
      <c r="G1848" t="s">
        <v>1100</v>
      </c>
    </row>
    <row r="1849" spans="1:7" hidden="1" x14ac:dyDescent="0.25">
      <c r="A1849" t="s">
        <v>4</v>
      </c>
      <c r="B1849" t="s">
        <v>9</v>
      </c>
      <c r="E1849" t="s">
        <v>2936</v>
      </c>
      <c r="F1849" t="s">
        <v>5984</v>
      </c>
      <c r="G1849" t="s">
        <v>1100</v>
      </c>
    </row>
    <row r="1850" spans="1:7" hidden="1" x14ac:dyDescent="0.25">
      <c r="A1850" t="s">
        <v>4</v>
      </c>
      <c r="B1850" t="s">
        <v>9</v>
      </c>
      <c r="E1850" t="s">
        <v>2936</v>
      </c>
      <c r="F1850" t="s">
        <v>5987</v>
      </c>
      <c r="G1850" t="s">
        <v>1100</v>
      </c>
    </row>
    <row r="1851" spans="1:7" hidden="1" x14ac:dyDescent="0.25">
      <c r="A1851" t="s">
        <v>4</v>
      </c>
      <c r="B1851" t="s">
        <v>9</v>
      </c>
      <c r="E1851" t="s">
        <v>2936</v>
      </c>
      <c r="F1851" t="s">
        <v>6083</v>
      </c>
      <c r="G1851" t="s">
        <v>1100</v>
      </c>
    </row>
    <row r="1852" spans="1:7" hidden="1" x14ac:dyDescent="0.25">
      <c r="A1852" t="s">
        <v>4</v>
      </c>
      <c r="B1852" t="s">
        <v>9</v>
      </c>
      <c r="E1852" t="s">
        <v>2936</v>
      </c>
      <c r="F1852" t="s">
        <v>6086</v>
      </c>
      <c r="G1852" t="s">
        <v>1100</v>
      </c>
    </row>
    <row r="1853" spans="1:7" hidden="1" x14ac:dyDescent="0.25">
      <c r="A1853" t="s">
        <v>4</v>
      </c>
      <c r="B1853" t="s">
        <v>9</v>
      </c>
      <c r="E1853" t="s">
        <v>2936</v>
      </c>
      <c r="F1853" t="s">
        <v>6089</v>
      </c>
      <c r="G1853" t="s">
        <v>1100</v>
      </c>
    </row>
    <row r="1854" spans="1:7" hidden="1" x14ac:dyDescent="0.25">
      <c r="A1854" t="s">
        <v>4</v>
      </c>
      <c r="B1854" t="s">
        <v>9</v>
      </c>
      <c r="F1854" t="s">
        <v>6092</v>
      </c>
      <c r="G1854" t="s">
        <v>1100</v>
      </c>
    </row>
    <row r="1855" spans="1:7" hidden="1" x14ac:dyDescent="0.25">
      <c r="A1855" t="s">
        <v>4</v>
      </c>
      <c r="B1855" t="s">
        <v>8</v>
      </c>
      <c r="F1855" t="s">
        <v>5744</v>
      </c>
      <c r="G1855" s="1" t="s">
        <v>1603</v>
      </c>
    </row>
    <row r="1856" spans="1:7" hidden="1" x14ac:dyDescent="0.25">
      <c r="A1856" t="s">
        <v>4223</v>
      </c>
      <c r="B1856" t="s">
        <v>86</v>
      </c>
      <c r="C1856" t="s">
        <v>7169</v>
      </c>
      <c r="F1856" t="s">
        <v>5747</v>
      </c>
      <c r="G1856" s="1" t="s">
        <v>1603</v>
      </c>
    </row>
    <row r="1857" spans="1:7" hidden="1" x14ac:dyDescent="0.25">
      <c r="A1857" t="s">
        <v>533</v>
      </c>
      <c r="B1857" t="s">
        <v>531</v>
      </c>
      <c r="C1857" t="s">
        <v>58</v>
      </c>
      <c r="E1857" t="s">
        <v>4236</v>
      </c>
      <c r="F1857" t="s">
        <v>5750</v>
      </c>
      <c r="G1857" s="1" t="s">
        <v>1603</v>
      </c>
    </row>
    <row r="1858" spans="1:7" hidden="1" x14ac:dyDescent="0.25">
      <c r="A1858" t="s">
        <v>158</v>
      </c>
      <c r="B1858" t="s">
        <v>86</v>
      </c>
      <c r="C1858" t="s">
        <v>528</v>
      </c>
      <c r="D1858">
        <v>1</v>
      </c>
      <c r="E1858" t="s">
        <v>1605</v>
      </c>
      <c r="F1858" t="s">
        <v>5753</v>
      </c>
      <c r="G1858" s="1" t="s">
        <v>1603</v>
      </c>
    </row>
    <row r="1859" spans="1:7" hidden="1" x14ac:dyDescent="0.25">
      <c r="A1859" t="s">
        <v>158</v>
      </c>
      <c r="B1859" t="s">
        <v>86</v>
      </c>
      <c r="C1859" t="s">
        <v>528</v>
      </c>
      <c r="D1859">
        <v>1</v>
      </c>
      <c r="E1859" t="s">
        <v>1605</v>
      </c>
      <c r="F1859" t="s">
        <v>5756</v>
      </c>
      <c r="G1859" s="1" t="s">
        <v>1603</v>
      </c>
    </row>
    <row r="1860" spans="1:7" hidden="1" x14ac:dyDescent="0.25">
      <c r="A1860" t="s">
        <v>158</v>
      </c>
      <c r="B1860" t="s">
        <v>86</v>
      </c>
      <c r="C1860" t="s">
        <v>528</v>
      </c>
      <c r="D1860">
        <v>1</v>
      </c>
      <c r="E1860" t="s">
        <v>1605</v>
      </c>
      <c r="F1860" t="s">
        <v>5759</v>
      </c>
      <c r="G1860" s="1" t="s">
        <v>1603</v>
      </c>
    </row>
    <row r="1861" spans="1:7" hidden="1" x14ac:dyDescent="0.25">
      <c r="A1861" t="s">
        <v>533</v>
      </c>
      <c r="B1861" t="s">
        <v>531</v>
      </c>
      <c r="C1861" t="s">
        <v>2944</v>
      </c>
      <c r="E1861" t="s">
        <v>1620</v>
      </c>
      <c r="F1861" t="s">
        <v>5762</v>
      </c>
      <c r="G1861" s="1" t="s">
        <v>1603</v>
      </c>
    </row>
    <row r="1862" spans="1:7" hidden="1" x14ac:dyDescent="0.25">
      <c r="A1862" t="s">
        <v>4223</v>
      </c>
      <c r="B1862" t="s">
        <v>86</v>
      </c>
      <c r="C1862" t="s">
        <v>6183</v>
      </c>
      <c r="F1862" t="s">
        <v>5765</v>
      </c>
      <c r="G1862" s="1" t="s">
        <v>1603</v>
      </c>
    </row>
    <row r="1863" spans="1:7" hidden="1" x14ac:dyDescent="0.25">
      <c r="A1863" t="s">
        <v>4223</v>
      </c>
      <c r="B1863" t="s">
        <v>86</v>
      </c>
      <c r="C1863" t="s">
        <v>6183</v>
      </c>
      <c r="E1863" t="s">
        <v>2936</v>
      </c>
      <c r="F1863" t="s">
        <v>5768</v>
      </c>
      <c r="G1863" s="1" t="s">
        <v>1603</v>
      </c>
    </row>
    <row r="1864" spans="1:7" hidden="1" x14ac:dyDescent="0.25">
      <c r="A1864" t="s">
        <v>533</v>
      </c>
      <c r="B1864" t="s">
        <v>531</v>
      </c>
      <c r="C1864" t="s">
        <v>2944</v>
      </c>
      <c r="E1864" t="s">
        <v>1620</v>
      </c>
      <c r="F1864" t="s">
        <v>5771</v>
      </c>
      <c r="G1864" s="1" t="s">
        <v>1603</v>
      </c>
    </row>
    <row r="1865" spans="1:7" hidden="1" x14ac:dyDescent="0.25">
      <c r="A1865" t="s">
        <v>4223</v>
      </c>
      <c r="B1865" t="s">
        <v>86</v>
      </c>
      <c r="C1865" t="s">
        <v>6183</v>
      </c>
      <c r="F1865" t="s">
        <v>5774</v>
      </c>
      <c r="G1865" s="1" t="s">
        <v>1603</v>
      </c>
    </row>
    <row r="1866" spans="1:7" hidden="1" x14ac:dyDescent="0.25">
      <c r="A1866" t="s">
        <v>289</v>
      </c>
      <c r="B1866" t="s">
        <v>86</v>
      </c>
      <c r="C1866" t="s">
        <v>7169</v>
      </c>
      <c r="F1866" t="s">
        <v>5777</v>
      </c>
      <c r="G1866" s="1" t="s">
        <v>1603</v>
      </c>
    </row>
    <row r="1867" spans="1:7" hidden="1" x14ac:dyDescent="0.25">
      <c r="A1867" t="s">
        <v>650</v>
      </c>
      <c r="B1867" t="s">
        <v>86</v>
      </c>
      <c r="C1867" t="s">
        <v>7169</v>
      </c>
      <c r="F1867" t="s">
        <v>5780</v>
      </c>
      <c r="G1867" s="1" t="s">
        <v>1603</v>
      </c>
    </row>
    <row r="1868" spans="1:7" hidden="1" x14ac:dyDescent="0.25">
      <c r="A1868" t="s">
        <v>533</v>
      </c>
      <c r="B1868" t="s">
        <v>531</v>
      </c>
      <c r="C1868" t="s">
        <v>58</v>
      </c>
      <c r="E1868" t="s">
        <v>4236</v>
      </c>
      <c r="F1868" t="s">
        <v>5783</v>
      </c>
      <c r="G1868" s="1" t="s">
        <v>1603</v>
      </c>
    </row>
    <row r="1869" spans="1:7" hidden="1" x14ac:dyDescent="0.25">
      <c r="A1869" t="s">
        <v>158</v>
      </c>
      <c r="B1869" t="s">
        <v>86</v>
      </c>
      <c r="C1869" t="s">
        <v>528</v>
      </c>
      <c r="D1869">
        <v>1</v>
      </c>
      <c r="E1869" t="s">
        <v>1605</v>
      </c>
      <c r="F1869" t="s">
        <v>5786</v>
      </c>
      <c r="G1869" s="1" t="s">
        <v>1603</v>
      </c>
    </row>
    <row r="1870" spans="1:7" hidden="1" x14ac:dyDescent="0.25">
      <c r="A1870" t="s">
        <v>158</v>
      </c>
      <c r="B1870" t="s">
        <v>86</v>
      </c>
      <c r="C1870" t="s">
        <v>528</v>
      </c>
      <c r="D1870">
        <v>1</v>
      </c>
      <c r="E1870" t="s">
        <v>1605</v>
      </c>
      <c r="F1870" t="s">
        <v>5789</v>
      </c>
      <c r="G1870" s="1" t="s">
        <v>1603</v>
      </c>
    </row>
    <row r="1871" spans="1:7" hidden="1" x14ac:dyDescent="0.25">
      <c r="A1871" t="s">
        <v>4</v>
      </c>
      <c r="B1871" t="s">
        <v>8</v>
      </c>
      <c r="F1871" t="s">
        <v>5792</v>
      </c>
      <c r="G1871" s="1" t="s">
        <v>1603</v>
      </c>
    </row>
    <row r="1872" spans="1:7" hidden="1" x14ac:dyDescent="0.25">
      <c r="A1872" t="s">
        <v>4</v>
      </c>
      <c r="B1872" t="s">
        <v>8</v>
      </c>
      <c r="F1872" t="s">
        <v>5795</v>
      </c>
      <c r="G1872" s="1" t="s">
        <v>1603</v>
      </c>
    </row>
    <row r="1873" spans="1:7" hidden="1" x14ac:dyDescent="0.25">
      <c r="A1873" t="s">
        <v>4</v>
      </c>
      <c r="B1873" t="s">
        <v>8</v>
      </c>
      <c r="F1873" t="s">
        <v>5798</v>
      </c>
      <c r="G1873" s="1" t="s">
        <v>1603</v>
      </c>
    </row>
    <row r="1874" spans="1:7" hidden="1" x14ac:dyDescent="0.25">
      <c r="A1874" t="s">
        <v>4</v>
      </c>
      <c r="B1874" t="s">
        <v>8</v>
      </c>
      <c r="F1874" t="s">
        <v>5879</v>
      </c>
      <c r="G1874" s="1" t="s">
        <v>1603</v>
      </c>
    </row>
    <row r="1875" spans="1:7" hidden="1" x14ac:dyDescent="0.25">
      <c r="A1875" t="s">
        <v>4</v>
      </c>
      <c r="B1875" t="s">
        <v>86</v>
      </c>
      <c r="C1875" t="s">
        <v>4240</v>
      </c>
      <c r="E1875" t="s">
        <v>1620</v>
      </c>
      <c r="F1875" t="s">
        <v>5882</v>
      </c>
      <c r="G1875" s="1" t="s">
        <v>1603</v>
      </c>
    </row>
    <row r="1876" spans="1:7" hidden="1" x14ac:dyDescent="0.25">
      <c r="A1876" t="s">
        <v>4223</v>
      </c>
      <c r="B1876" t="s">
        <v>86</v>
      </c>
      <c r="C1876" t="s">
        <v>6172</v>
      </c>
      <c r="F1876" t="s">
        <v>5885</v>
      </c>
      <c r="G1876" s="1" t="s">
        <v>1603</v>
      </c>
    </row>
    <row r="1877" spans="1:7" hidden="1" x14ac:dyDescent="0.25">
      <c r="A1877" t="s">
        <v>4221</v>
      </c>
      <c r="B1877" t="s">
        <v>86</v>
      </c>
      <c r="C1877" t="s">
        <v>58</v>
      </c>
      <c r="E1877" t="s">
        <v>1620</v>
      </c>
      <c r="F1877" t="s">
        <v>5888</v>
      </c>
      <c r="G1877" s="1" t="s">
        <v>1603</v>
      </c>
    </row>
    <row r="1878" spans="1:7" hidden="1" x14ac:dyDescent="0.25">
      <c r="A1878" t="s">
        <v>4221</v>
      </c>
      <c r="B1878" t="s">
        <v>86</v>
      </c>
      <c r="C1878" t="s">
        <v>58</v>
      </c>
      <c r="E1878" t="s">
        <v>2936</v>
      </c>
      <c r="F1878" t="s">
        <v>5891</v>
      </c>
      <c r="G1878" s="1" t="s">
        <v>1603</v>
      </c>
    </row>
    <row r="1879" spans="1:7" hidden="1" x14ac:dyDescent="0.25">
      <c r="A1879" t="s">
        <v>533</v>
      </c>
      <c r="B1879" t="s">
        <v>531</v>
      </c>
      <c r="C1879" t="s">
        <v>1099</v>
      </c>
      <c r="E1879" t="s">
        <v>1620</v>
      </c>
      <c r="F1879" t="s">
        <v>5894</v>
      </c>
      <c r="G1879" s="1" t="s">
        <v>1603</v>
      </c>
    </row>
    <row r="1880" spans="1:7" hidden="1" x14ac:dyDescent="0.25">
      <c r="A1880" t="s">
        <v>533</v>
      </c>
      <c r="B1880" t="s">
        <v>531</v>
      </c>
      <c r="C1880" t="s">
        <v>1099</v>
      </c>
      <c r="E1880" t="s">
        <v>1620</v>
      </c>
      <c r="F1880" t="s">
        <v>5897</v>
      </c>
      <c r="G1880" s="1" t="s">
        <v>1603</v>
      </c>
    </row>
    <row r="1881" spans="1:7" hidden="1" x14ac:dyDescent="0.25">
      <c r="A1881" t="s">
        <v>4223</v>
      </c>
      <c r="B1881" t="s">
        <v>86</v>
      </c>
      <c r="C1881" t="s">
        <v>200</v>
      </c>
      <c r="F1881" t="s">
        <v>5900</v>
      </c>
      <c r="G1881" s="1" t="s">
        <v>1603</v>
      </c>
    </row>
    <row r="1882" spans="1:7" hidden="1" x14ac:dyDescent="0.25">
      <c r="A1882" t="s">
        <v>4223</v>
      </c>
      <c r="B1882" t="s">
        <v>86</v>
      </c>
      <c r="C1882" t="s">
        <v>200</v>
      </c>
      <c r="F1882" t="s">
        <v>5903</v>
      </c>
      <c r="G1882" s="1" t="s">
        <v>1603</v>
      </c>
    </row>
    <row r="1883" spans="1:7" hidden="1" x14ac:dyDescent="0.25">
      <c r="A1883" t="s">
        <v>4223</v>
      </c>
      <c r="B1883" t="s">
        <v>86</v>
      </c>
      <c r="C1883" t="s">
        <v>200</v>
      </c>
      <c r="F1883" t="s">
        <v>5906</v>
      </c>
      <c r="G1883" s="1" t="s">
        <v>1603</v>
      </c>
    </row>
    <row r="1884" spans="1:7" hidden="1" x14ac:dyDescent="0.25">
      <c r="A1884" t="s">
        <v>4223</v>
      </c>
      <c r="B1884" t="s">
        <v>86</v>
      </c>
      <c r="C1884" t="s">
        <v>200</v>
      </c>
      <c r="F1884" t="s">
        <v>5909</v>
      </c>
      <c r="G1884" s="1" t="s">
        <v>1603</v>
      </c>
    </row>
    <row r="1885" spans="1:7" hidden="1" x14ac:dyDescent="0.25">
      <c r="A1885" t="s">
        <v>4223</v>
      </c>
      <c r="B1885" t="s">
        <v>86</v>
      </c>
      <c r="C1885" t="s">
        <v>200</v>
      </c>
      <c r="F1885" t="s">
        <v>5912</v>
      </c>
      <c r="G1885" s="1" t="s">
        <v>1603</v>
      </c>
    </row>
    <row r="1886" spans="1:7" hidden="1" x14ac:dyDescent="0.25">
      <c r="A1886" t="s">
        <v>4223</v>
      </c>
      <c r="B1886" t="s">
        <v>86</v>
      </c>
      <c r="C1886" t="s">
        <v>200</v>
      </c>
      <c r="F1886" t="s">
        <v>5915</v>
      </c>
      <c r="G1886" s="1" t="s">
        <v>1603</v>
      </c>
    </row>
    <row r="1887" spans="1:7" hidden="1" x14ac:dyDescent="0.25">
      <c r="A1887" t="s">
        <v>4223</v>
      </c>
      <c r="B1887" t="s">
        <v>86</v>
      </c>
      <c r="C1887" t="s">
        <v>200</v>
      </c>
      <c r="F1887" t="s">
        <v>5918</v>
      </c>
      <c r="G1887" s="1" t="s">
        <v>1603</v>
      </c>
    </row>
    <row r="1888" spans="1:7" hidden="1" x14ac:dyDescent="0.25">
      <c r="A1888" t="s">
        <v>4</v>
      </c>
      <c r="B1888" t="s">
        <v>8</v>
      </c>
      <c r="F1888" t="s">
        <v>5921</v>
      </c>
      <c r="G1888" s="1" t="s">
        <v>1603</v>
      </c>
    </row>
    <row r="1889" spans="1:7" hidden="1" x14ac:dyDescent="0.25">
      <c r="A1889" t="s">
        <v>4</v>
      </c>
      <c r="B1889" t="s">
        <v>6167</v>
      </c>
      <c r="F1889" t="s">
        <v>6095</v>
      </c>
      <c r="G1889" s="1" t="s">
        <v>1603</v>
      </c>
    </row>
    <row r="1890" spans="1:7" hidden="1" x14ac:dyDescent="0.25">
      <c r="A1890" t="s">
        <v>4</v>
      </c>
      <c r="B1890" t="s">
        <v>8</v>
      </c>
      <c r="F1890" t="s">
        <v>6098</v>
      </c>
      <c r="G1890" s="1" t="s">
        <v>1603</v>
      </c>
    </row>
    <row r="1891" spans="1:7" hidden="1" x14ac:dyDescent="0.25">
      <c r="A1891" t="s">
        <v>4</v>
      </c>
      <c r="B1891" t="s">
        <v>6167</v>
      </c>
      <c r="F1891" t="s">
        <v>6101</v>
      </c>
      <c r="G1891" s="1" t="s">
        <v>1603</v>
      </c>
    </row>
    <row r="1892" spans="1:7" hidden="1" x14ac:dyDescent="0.25">
      <c r="A1892" t="s">
        <v>4</v>
      </c>
      <c r="B1892" t="s">
        <v>8</v>
      </c>
      <c r="F1892" t="s">
        <v>6104</v>
      </c>
      <c r="G1892" s="1" t="s">
        <v>1603</v>
      </c>
    </row>
    <row r="1893" spans="1:7" hidden="1" x14ac:dyDescent="0.25">
      <c r="A1893" t="s">
        <v>4</v>
      </c>
      <c r="B1893" t="s">
        <v>86</v>
      </c>
      <c r="C1893" t="s">
        <v>528</v>
      </c>
      <c r="E1893" t="s">
        <v>5104</v>
      </c>
      <c r="F1893" t="s">
        <v>5632</v>
      </c>
      <c r="G1893" t="s">
        <v>1817</v>
      </c>
    </row>
    <row r="1894" spans="1:7" hidden="1" x14ac:dyDescent="0.25">
      <c r="A1894" t="s">
        <v>4</v>
      </c>
      <c r="B1894" t="s">
        <v>86</v>
      </c>
      <c r="C1894" t="s">
        <v>528</v>
      </c>
      <c r="E1894" t="s">
        <v>5104</v>
      </c>
      <c r="F1894" t="s">
        <v>5636</v>
      </c>
      <c r="G1894" t="s">
        <v>1817</v>
      </c>
    </row>
    <row r="1895" spans="1:7" hidden="1" x14ac:dyDescent="0.25">
      <c r="A1895" t="s">
        <v>4</v>
      </c>
      <c r="B1895" t="s">
        <v>86</v>
      </c>
      <c r="C1895" t="s">
        <v>528</v>
      </c>
      <c r="E1895" t="s">
        <v>5104</v>
      </c>
      <c r="F1895" t="s">
        <v>5639</v>
      </c>
      <c r="G1895" t="s">
        <v>1817</v>
      </c>
    </row>
    <row r="1896" spans="1:7" hidden="1" x14ac:dyDescent="0.25">
      <c r="A1896" t="s">
        <v>4</v>
      </c>
      <c r="B1896" t="s">
        <v>86</v>
      </c>
      <c r="C1896" t="s">
        <v>528</v>
      </c>
      <c r="E1896" t="s">
        <v>5104</v>
      </c>
      <c r="F1896" t="s">
        <v>5642</v>
      </c>
      <c r="G1896" t="s">
        <v>1817</v>
      </c>
    </row>
    <row r="1897" spans="1:7" hidden="1" x14ac:dyDescent="0.25">
      <c r="A1897" t="s">
        <v>6184</v>
      </c>
      <c r="B1897" t="s">
        <v>58</v>
      </c>
      <c r="E1897" t="s">
        <v>6185</v>
      </c>
      <c r="F1897" t="s">
        <v>5645</v>
      </c>
      <c r="G1897" t="s">
        <v>1817</v>
      </c>
    </row>
    <row r="1898" spans="1:7" hidden="1" x14ac:dyDescent="0.25">
      <c r="A1898" t="s">
        <v>6184</v>
      </c>
      <c r="B1898" t="s">
        <v>58</v>
      </c>
      <c r="E1898" t="s">
        <v>2936</v>
      </c>
      <c r="F1898" t="s">
        <v>5648</v>
      </c>
      <c r="G1898" t="s">
        <v>1817</v>
      </c>
    </row>
    <row r="1899" spans="1:7" hidden="1" x14ac:dyDescent="0.25">
      <c r="A1899" t="s">
        <v>6184</v>
      </c>
      <c r="B1899" t="s">
        <v>58</v>
      </c>
      <c r="E1899" t="s">
        <v>2936</v>
      </c>
      <c r="F1899" t="s">
        <v>5651</v>
      </c>
      <c r="G1899" t="s">
        <v>1817</v>
      </c>
    </row>
    <row r="1900" spans="1:7" hidden="1" x14ac:dyDescent="0.25">
      <c r="A1900" t="s">
        <v>6184</v>
      </c>
      <c r="B1900" t="s">
        <v>58</v>
      </c>
      <c r="E1900" t="s">
        <v>2936</v>
      </c>
      <c r="F1900" t="s">
        <v>5654</v>
      </c>
      <c r="G1900" t="s">
        <v>1817</v>
      </c>
    </row>
    <row r="1901" spans="1:7" hidden="1" x14ac:dyDescent="0.25">
      <c r="A1901" t="s">
        <v>1094</v>
      </c>
      <c r="B1901" t="s">
        <v>86</v>
      </c>
      <c r="C1901" t="s">
        <v>58</v>
      </c>
      <c r="E1901" t="s">
        <v>1620</v>
      </c>
      <c r="F1901" t="s">
        <v>5924</v>
      </c>
      <c r="G1901" t="s">
        <v>1817</v>
      </c>
    </row>
    <row r="1902" spans="1:7" hidden="1" x14ac:dyDescent="0.25">
      <c r="A1902" t="s">
        <v>4</v>
      </c>
      <c r="B1902" t="s">
        <v>8</v>
      </c>
      <c r="F1902" t="s">
        <v>5927</v>
      </c>
      <c r="G1902" t="s">
        <v>1817</v>
      </c>
    </row>
    <row r="1903" spans="1:7" hidden="1" x14ac:dyDescent="0.25">
      <c r="A1903" t="s">
        <v>4</v>
      </c>
      <c r="B1903" t="s">
        <v>8</v>
      </c>
      <c r="F1903" t="s">
        <v>5930</v>
      </c>
      <c r="G1903" t="s">
        <v>1817</v>
      </c>
    </row>
    <row r="1904" spans="1:7" hidden="1" x14ac:dyDescent="0.25">
      <c r="A1904" t="s">
        <v>1606</v>
      </c>
      <c r="B1904" t="s">
        <v>6167</v>
      </c>
      <c r="C1904" t="s">
        <v>6186</v>
      </c>
      <c r="E1904" t="s">
        <v>6164</v>
      </c>
      <c r="F1904" t="s">
        <v>6107</v>
      </c>
      <c r="G1904" t="s">
        <v>1817</v>
      </c>
    </row>
    <row r="1905" spans="1:7" hidden="1" x14ac:dyDescent="0.25">
      <c r="A1905" t="s">
        <v>6187</v>
      </c>
      <c r="B1905" t="s">
        <v>6167</v>
      </c>
      <c r="F1905" t="s">
        <v>6110</v>
      </c>
      <c r="G1905" t="s">
        <v>1817</v>
      </c>
    </row>
    <row r="1906" spans="1:7" hidden="1" x14ac:dyDescent="0.25">
      <c r="A1906" t="s">
        <v>289</v>
      </c>
      <c r="B1906" t="s">
        <v>6167</v>
      </c>
      <c r="C1906" t="s">
        <v>6188</v>
      </c>
      <c r="E1906" t="s">
        <v>2936</v>
      </c>
      <c r="F1906" t="s">
        <v>6113</v>
      </c>
      <c r="G1906" t="s">
        <v>1817</v>
      </c>
    </row>
    <row r="1907" spans="1:7" hidden="1" x14ac:dyDescent="0.25">
      <c r="A1907" t="s">
        <v>289</v>
      </c>
      <c r="B1907" t="s">
        <v>6167</v>
      </c>
      <c r="C1907" t="s">
        <v>6188</v>
      </c>
      <c r="E1907" t="s">
        <v>2936</v>
      </c>
      <c r="F1907" t="s">
        <v>6116</v>
      </c>
      <c r="G1907" t="s">
        <v>1817</v>
      </c>
    </row>
    <row r="1908" spans="1:7" hidden="1" x14ac:dyDescent="0.25">
      <c r="A1908" t="s">
        <v>289</v>
      </c>
      <c r="B1908" t="s">
        <v>6167</v>
      </c>
      <c r="C1908" t="s">
        <v>6188</v>
      </c>
      <c r="E1908" t="s">
        <v>2936</v>
      </c>
      <c r="F1908" t="s">
        <v>6119</v>
      </c>
      <c r="G1908" t="s">
        <v>1817</v>
      </c>
    </row>
    <row r="1909" spans="1:7" hidden="1" x14ac:dyDescent="0.25">
      <c r="A1909" t="s">
        <v>289</v>
      </c>
      <c r="B1909" t="s">
        <v>6167</v>
      </c>
      <c r="C1909" t="s">
        <v>6188</v>
      </c>
      <c r="E1909" t="s">
        <v>2936</v>
      </c>
      <c r="F1909" t="s">
        <v>6122</v>
      </c>
      <c r="G1909" t="s">
        <v>1817</v>
      </c>
    </row>
    <row r="1910" spans="1:7" hidden="1" x14ac:dyDescent="0.25">
      <c r="A1910" t="s">
        <v>289</v>
      </c>
      <c r="B1910" t="s">
        <v>6167</v>
      </c>
      <c r="C1910" t="s">
        <v>6188</v>
      </c>
      <c r="E1910" t="s">
        <v>2936</v>
      </c>
      <c r="F1910" t="s">
        <v>6125</v>
      </c>
      <c r="G1910" t="s">
        <v>1817</v>
      </c>
    </row>
    <row r="1911" spans="1:7" hidden="1" x14ac:dyDescent="0.25">
      <c r="A1911" t="s">
        <v>289</v>
      </c>
      <c r="B1911" t="s">
        <v>6167</v>
      </c>
      <c r="C1911" t="s">
        <v>6188</v>
      </c>
      <c r="E1911" t="s">
        <v>2936</v>
      </c>
      <c r="F1911" t="s">
        <v>6128</v>
      </c>
      <c r="G1911" t="s">
        <v>1817</v>
      </c>
    </row>
    <row r="1912" spans="1:7" hidden="1" x14ac:dyDescent="0.25">
      <c r="A1912" t="s">
        <v>289</v>
      </c>
      <c r="B1912" t="s">
        <v>6167</v>
      </c>
      <c r="C1912" t="s">
        <v>6188</v>
      </c>
      <c r="E1912" t="s">
        <v>2936</v>
      </c>
      <c r="F1912" t="s">
        <v>6131</v>
      </c>
      <c r="G1912" t="s">
        <v>1817</v>
      </c>
    </row>
    <row r="1913" spans="1:7" hidden="1" x14ac:dyDescent="0.25">
      <c r="A1913" t="s">
        <v>289</v>
      </c>
      <c r="B1913" t="s">
        <v>6167</v>
      </c>
      <c r="C1913" t="s">
        <v>6188</v>
      </c>
      <c r="E1913" t="s">
        <v>2936</v>
      </c>
      <c r="F1913" t="s">
        <v>6134</v>
      </c>
      <c r="G1913" t="s">
        <v>1817</v>
      </c>
    </row>
    <row r="1914" spans="1:7" hidden="1" x14ac:dyDescent="0.25">
      <c r="A1914" t="s">
        <v>650</v>
      </c>
      <c r="B1914" t="s">
        <v>6167</v>
      </c>
      <c r="C1914" t="s">
        <v>6188</v>
      </c>
      <c r="F1914" t="s">
        <v>6137</v>
      </c>
      <c r="G1914" t="s">
        <v>1817</v>
      </c>
    </row>
    <row r="1915" spans="1:7" hidden="1" x14ac:dyDescent="0.25">
      <c r="A1915" t="s">
        <v>1606</v>
      </c>
      <c r="B1915" t="s">
        <v>6167</v>
      </c>
      <c r="C1915" t="s">
        <v>1609</v>
      </c>
      <c r="F1915" t="s">
        <v>6140</v>
      </c>
      <c r="G1915" t="s">
        <v>1817</v>
      </c>
    </row>
    <row r="1916" spans="1:7" hidden="1" x14ac:dyDescent="0.25">
      <c r="A1916" t="s">
        <v>290</v>
      </c>
      <c r="B1916" t="s">
        <v>6167</v>
      </c>
      <c r="C1916" t="s">
        <v>58</v>
      </c>
      <c r="F1916" t="s">
        <v>6143</v>
      </c>
      <c r="G1916" t="s">
        <v>1817</v>
      </c>
    </row>
    <row r="1917" spans="1:7" hidden="1" x14ac:dyDescent="0.25">
      <c r="A1917" t="s">
        <v>290</v>
      </c>
      <c r="B1917" t="s">
        <v>6167</v>
      </c>
      <c r="C1917" t="s">
        <v>58</v>
      </c>
      <c r="E1917" t="s">
        <v>2936</v>
      </c>
      <c r="F1917" t="s">
        <v>6146</v>
      </c>
      <c r="G1917" t="s">
        <v>1817</v>
      </c>
    </row>
    <row r="1918" spans="1:7" hidden="1" x14ac:dyDescent="0.25">
      <c r="A1918" t="s">
        <v>290</v>
      </c>
      <c r="B1918" t="s">
        <v>6167</v>
      </c>
      <c r="C1918" t="s">
        <v>58</v>
      </c>
      <c r="E1918" t="s">
        <v>2936</v>
      </c>
      <c r="F1918" t="s">
        <v>6149</v>
      </c>
      <c r="G1918" t="s">
        <v>1817</v>
      </c>
    </row>
    <row r="1919" spans="1:7" hidden="1" x14ac:dyDescent="0.25">
      <c r="A1919" t="s">
        <v>290</v>
      </c>
      <c r="B1919" t="s">
        <v>6167</v>
      </c>
      <c r="C1919" t="s">
        <v>58</v>
      </c>
      <c r="E1919" t="s">
        <v>2936</v>
      </c>
      <c r="F1919" t="s">
        <v>6152</v>
      </c>
      <c r="G1919" t="s">
        <v>1817</v>
      </c>
    </row>
    <row r="1920" spans="1:7" hidden="1" x14ac:dyDescent="0.25">
      <c r="A1920" t="s">
        <v>650</v>
      </c>
      <c r="B1920" t="s">
        <v>6167</v>
      </c>
      <c r="C1920" t="s">
        <v>6189</v>
      </c>
      <c r="F1920" t="s">
        <v>6155</v>
      </c>
      <c r="G1920" t="s">
        <v>1817</v>
      </c>
    </row>
    <row r="1921" spans="1:7" hidden="1" x14ac:dyDescent="0.25">
      <c r="A1921" t="s">
        <v>4</v>
      </c>
      <c r="B1921" t="s">
        <v>8</v>
      </c>
      <c r="F1921" t="s">
        <v>6158</v>
      </c>
      <c r="G1921" t="s">
        <v>1817</v>
      </c>
    </row>
    <row r="1922" spans="1:7" hidden="1" x14ac:dyDescent="0.25">
      <c r="A1922" t="s">
        <v>2004</v>
      </c>
      <c r="B1922" t="s">
        <v>8</v>
      </c>
      <c r="F1922" t="s">
        <v>5657</v>
      </c>
      <c r="G1922" t="s">
        <v>1934</v>
      </c>
    </row>
    <row r="1923" spans="1:7" hidden="1" x14ac:dyDescent="0.25">
      <c r="A1923" t="s">
        <v>2004</v>
      </c>
      <c r="B1923" t="s">
        <v>8</v>
      </c>
      <c r="F1923" t="s">
        <v>5660</v>
      </c>
      <c r="G1923" t="s">
        <v>1934</v>
      </c>
    </row>
    <row r="1924" spans="1:7" hidden="1" x14ac:dyDescent="0.25">
      <c r="A1924" t="s">
        <v>2004</v>
      </c>
      <c r="B1924" t="s">
        <v>8</v>
      </c>
      <c r="F1924" t="s">
        <v>5663</v>
      </c>
      <c r="G1924" t="s">
        <v>1934</v>
      </c>
    </row>
    <row r="1925" spans="1:7" hidden="1" x14ac:dyDescent="0.25">
      <c r="A1925" t="s">
        <v>4</v>
      </c>
      <c r="B1925" t="s">
        <v>8</v>
      </c>
      <c r="F1925" t="s">
        <v>6005</v>
      </c>
      <c r="G1925" t="s">
        <v>1934</v>
      </c>
    </row>
    <row r="1926" spans="1:7" hidden="1" x14ac:dyDescent="0.25">
      <c r="A1926" t="s">
        <v>650</v>
      </c>
      <c r="B1926" t="s">
        <v>6190</v>
      </c>
      <c r="F1926" t="s">
        <v>6008</v>
      </c>
      <c r="G1926" t="s">
        <v>1934</v>
      </c>
    </row>
    <row r="1927" spans="1:7" hidden="1" x14ac:dyDescent="0.25">
      <c r="A1927" t="s">
        <v>650</v>
      </c>
      <c r="B1927" t="s">
        <v>6190</v>
      </c>
      <c r="E1927" t="s">
        <v>2936</v>
      </c>
      <c r="F1927" t="s">
        <v>6011</v>
      </c>
      <c r="G1927" t="s">
        <v>1934</v>
      </c>
    </row>
    <row r="1928" spans="1:7" hidden="1" x14ac:dyDescent="0.25">
      <c r="A1928" t="s">
        <v>4</v>
      </c>
      <c r="B1928" t="s">
        <v>8</v>
      </c>
      <c r="F1928" t="s">
        <v>6014</v>
      </c>
      <c r="G1928" t="s">
        <v>1934</v>
      </c>
    </row>
    <row r="1929" spans="1:7" hidden="1" x14ac:dyDescent="0.25">
      <c r="A1929" t="s">
        <v>2004</v>
      </c>
      <c r="B1929" t="s">
        <v>8</v>
      </c>
      <c r="F1929" t="s">
        <v>6017</v>
      </c>
      <c r="G1929" t="s">
        <v>1934</v>
      </c>
    </row>
    <row r="1930" spans="1:7" hidden="1" x14ac:dyDescent="0.25">
      <c r="A1930" t="s">
        <v>6191</v>
      </c>
      <c r="B1930" t="s">
        <v>5480</v>
      </c>
      <c r="C1930" t="s">
        <v>6182</v>
      </c>
      <c r="F1930" t="s">
        <v>5666</v>
      </c>
      <c r="G1930" t="s">
        <v>1997</v>
      </c>
    </row>
    <row r="1931" spans="1:7" hidden="1" x14ac:dyDescent="0.25">
      <c r="A1931" t="s">
        <v>6191</v>
      </c>
      <c r="B1931" t="s">
        <v>5480</v>
      </c>
      <c r="C1931" t="s">
        <v>6182</v>
      </c>
      <c r="E1931" t="s">
        <v>2936</v>
      </c>
      <c r="F1931" t="s">
        <v>5669</v>
      </c>
      <c r="G1931" t="s">
        <v>1997</v>
      </c>
    </row>
    <row r="1932" spans="1:7" hidden="1" x14ac:dyDescent="0.25">
      <c r="A1932" t="s">
        <v>4</v>
      </c>
      <c r="B1932" t="s">
        <v>8</v>
      </c>
      <c r="F1932" t="s">
        <v>5672</v>
      </c>
      <c r="G1932" t="s">
        <v>1997</v>
      </c>
    </row>
    <row r="1933" spans="1:7" hidden="1" x14ac:dyDescent="0.25">
      <c r="A1933" t="s">
        <v>4</v>
      </c>
      <c r="B1933" t="s">
        <v>8</v>
      </c>
      <c r="F1933" t="s">
        <v>5675</v>
      </c>
      <c r="G1933" t="s">
        <v>1997</v>
      </c>
    </row>
    <row r="1934" spans="1:7" hidden="1" x14ac:dyDescent="0.25">
      <c r="A1934" t="s">
        <v>4</v>
      </c>
      <c r="B1934" t="s">
        <v>8</v>
      </c>
      <c r="F1934" t="s">
        <v>5678</v>
      </c>
      <c r="G1934" t="s">
        <v>1997</v>
      </c>
    </row>
    <row r="1935" spans="1:7" hidden="1" x14ac:dyDescent="0.25">
      <c r="A1935" t="s">
        <v>2014</v>
      </c>
      <c r="F1935" t="s">
        <v>5681</v>
      </c>
      <c r="G1935" t="s">
        <v>1997</v>
      </c>
    </row>
    <row r="1936" spans="1:7" hidden="1" x14ac:dyDescent="0.25">
      <c r="A1936" t="s">
        <v>6191</v>
      </c>
      <c r="B1936" t="s">
        <v>5480</v>
      </c>
      <c r="C1936" t="s">
        <v>6172</v>
      </c>
      <c r="F1936" t="s">
        <v>5990</v>
      </c>
      <c r="G1936" t="s">
        <v>1997</v>
      </c>
    </row>
    <row r="1937" spans="1:7" hidden="1" x14ac:dyDescent="0.25">
      <c r="A1937" t="s">
        <v>4</v>
      </c>
      <c r="B1937" t="s">
        <v>8</v>
      </c>
      <c r="F1937" t="s">
        <v>5993</v>
      </c>
      <c r="G1937" t="s">
        <v>1997</v>
      </c>
    </row>
    <row r="1938" spans="1:7" hidden="1" x14ac:dyDescent="0.25">
      <c r="A1938" t="s">
        <v>4</v>
      </c>
      <c r="B1938" t="s">
        <v>8</v>
      </c>
      <c r="F1938" t="s">
        <v>5996</v>
      </c>
      <c r="G1938" t="s">
        <v>1997</v>
      </c>
    </row>
    <row r="1939" spans="1:7" hidden="1" x14ac:dyDescent="0.25">
      <c r="A1939" t="s">
        <v>4</v>
      </c>
      <c r="B1939" t="s">
        <v>6167</v>
      </c>
      <c r="F1939" t="s">
        <v>5999</v>
      </c>
      <c r="G1939" t="s">
        <v>1997</v>
      </c>
    </row>
    <row r="1940" spans="1:7" hidden="1" x14ac:dyDescent="0.25">
      <c r="A1940" t="s">
        <v>4</v>
      </c>
      <c r="B1940" t="s">
        <v>8</v>
      </c>
      <c r="F1940" t="s">
        <v>6002</v>
      </c>
      <c r="G1940" t="s">
        <v>1997</v>
      </c>
    </row>
    <row r="1941" spans="1:7" hidden="1" x14ac:dyDescent="0.25">
      <c r="A1941" t="s">
        <v>2004</v>
      </c>
      <c r="B1941" t="s">
        <v>6262</v>
      </c>
      <c r="E1941" t="s">
        <v>6261</v>
      </c>
      <c r="F1941" t="s">
        <v>6198</v>
      </c>
      <c r="G1941" t="s">
        <v>1102</v>
      </c>
    </row>
    <row r="1942" spans="1:7" hidden="1" x14ac:dyDescent="0.25">
      <c r="A1942" t="s">
        <v>2004</v>
      </c>
      <c r="B1942" t="s">
        <v>8</v>
      </c>
      <c r="F1942" t="s">
        <v>6192</v>
      </c>
      <c r="G1942" t="s">
        <v>1103</v>
      </c>
    </row>
    <row r="1943" spans="1:7" hidden="1" x14ac:dyDescent="0.25">
      <c r="A1943" t="s">
        <v>2004</v>
      </c>
      <c r="B1943" t="s">
        <v>8</v>
      </c>
      <c r="F1943" t="s">
        <v>6195</v>
      </c>
      <c r="G1943" t="s">
        <v>91</v>
      </c>
    </row>
    <row r="1944" spans="1:7" hidden="1" x14ac:dyDescent="0.25">
      <c r="A1944" t="s">
        <v>2004</v>
      </c>
      <c r="B1944" t="s">
        <v>8</v>
      </c>
      <c r="F1944" t="s">
        <v>6201</v>
      </c>
      <c r="G1944" t="s">
        <v>1104</v>
      </c>
    </row>
    <row r="1945" spans="1:7" hidden="1" x14ac:dyDescent="0.25">
      <c r="A1945" t="s">
        <v>2004</v>
      </c>
      <c r="B1945" t="s">
        <v>8</v>
      </c>
      <c r="F1945" t="s">
        <v>6204</v>
      </c>
      <c r="G1945" t="s">
        <v>1105</v>
      </c>
    </row>
    <row r="1946" spans="1:7" hidden="1" x14ac:dyDescent="0.25">
      <c r="A1946" t="s">
        <v>2004</v>
      </c>
      <c r="B1946" t="s">
        <v>8</v>
      </c>
      <c r="F1946" t="s">
        <v>6207</v>
      </c>
      <c r="G1946" t="s">
        <v>1106</v>
      </c>
    </row>
    <row r="1947" spans="1:7" hidden="1" x14ac:dyDescent="0.25">
      <c r="A1947" t="s">
        <v>2004</v>
      </c>
      <c r="B1947" t="s">
        <v>8</v>
      </c>
      <c r="F1947" t="s">
        <v>6210</v>
      </c>
      <c r="G1947" t="s">
        <v>796</v>
      </c>
    </row>
    <row r="1948" spans="1:7" hidden="1" x14ac:dyDescent="0.25">
      <c r="A1948" t="s">
        <v>4</v>
      </c>
      <c r="B1948" t="s">
        <v>9</v>
      </c>
      <c r="F1948" t="s">
        <v>6213</v>
      </c>
      <c r="G1948" t="s">
        <v>1100</v>
      </c>
    </row>
    <row r="1949" spans="1:7" hidden="1" x14ac:dyDescent="0.25">
      <c r="A1949" t="s">
        <v>2024</v>
      </c>
      <c r="B1949" t="s">
        <v>1304</v>
      </c>
      <c r="F1949" t="s">
        <v>6216</v>
      </c>
      <c r="G1949" t="s">
        <v>1100</v>
      </c>
    </row>
    <row r="1950" spans="1:7" hidden="1" x14ac:dyDescent="0.25">
      <c r="A1950" t="s">
        <v>4</v>
      </c>
      <c r="B1950" t="s">
        <v>9</v>
      </c>
      <c r="F1950" t="s">
        <v>6219</v>
      </c>
      <c r="G1950" t="s">
        <v>1100</v>
      </c>
    </row>
    <row r="1951" spans="1:7" hidden="1" x14ac:dyDescent="0.25">
      <c r="A1951" t="s">
        <v>2024</v>
      </c>
      <c r="B1951" t="s">
        <v>1304</v>
      </c>
      <c r="F1951" t="s">
        <v>6222</v>
      </c>
      <c r="G1951" t="s">
        <v>1100</v>
      </c>
    </row>
    <row r="1952" spans="1:7" hidden="1" x14ac:dyDescent="0.25">
      <c r="A1952" t="s">
        <v>2024</v>
      </c>
      <c r="B1952" t="s">
        <v>1304</v>
      </c>
      <c r="E1952" t="s">
        <v>2936</v>
      </c>
      <c r="F1952" t="s">
        <v>6225</v>
      </c>
      <c r="G1952" t="s">
        <v>1100</v>
      </c>
    </row>
    <row r="1953" spans="1:7" hidden="1" x14ac:dyDescent="0.25">
      <c r="A1953" t="s">
        <v>2024</v>
      </c>
      <c r="B1953" t="s">
        <v>1304</v>
      </c>
      <c r="E1953" t="s">
        <v>2936</v>
      </c>
      <c r="F1953" t="s">
        <v>6228</v>
      </c>
      <c r="G1953" t="s">
        <v>1100</v>
      </c>
    </row>
    <row r="1954" spans="1:7" hidden="1" x14ac:dyDescent="0.25">
      <c r="A1954" t="s">
        <v>4</v>
      </c>
      <c r="B1954" t="s">
        <v>9</v>
      </c>
      <c r="E1954" t="s">
        <v>2936</v>
      </c>
      <c r="F1954" t="s">
        <v>6231</v>
      </c>
      <c r="G1954" t="s">
        <v>1100</v>
      </c>
    </row>
    <row r="1955" spans="1:7" hidden="1" x14ac:dyDescent="0.25">
      <c r="A1955" t="s">
        <v>2024</v>
      </c>
      <c r="B1955" t="s">
        <v>1304</v>
      </c>
      <c r="E1955" t="s">
        <v>2936</v>
      </c>
      <c r="F1955" t="s">
        <v>6234</v>
      </c>
      <c r="G1955" t="s">
        <v>1100</v>
      </c>
    </row>
    <row r="1956" spans="1:7" hidden="1" x14ac:dyDescent="0.25">
      <c r="A1956" t="s">
        <v>2024</v>
      </c>
      <c r="B1956" t="s">
        <v>1304</v>
      </c>
      <c r="E1956" t="s">
        <v>2936</v>
      </c>
      <c r="F1956" t="s">
        <v>6237</v>
      </c>
      <c r="G1956" t="s">
        <v>1100</v>
      </c>
    </row>
    <row r="1957" spans="1:7" hidden="1" x14ac:dyDescent="0.25">
      <c r="A1957" t="s">
        <v>2024</v>
      </c>
      <c r="B1957" t="s">
        <v>1304</v>
      </c>
      <c r="E1957" t="s">
        <v>2936</v>
      </c>
      <c r="F1957" t="s">
        <v>6240</v>
      </c>
      <c r="G1957" t="s">
        <v>1100</v>
      </c>
    </row>
    <row r="1958" spans="1:7" hidden="1" x14ac:dyDescent="0.25">
      <c r="A1958" t="s">
        <v>2024</v>
      </c>
      <c r="B1958" t="s">
        <v>1304</v>
      </c>
      <c r="E1958" t="s">
        <v>2936</v>
      </c>
      <c r="F1958" t="s">
        <v>6243</v>
      </c>
      <c r="G1958" t="s">
        <v>1100</v>
      </c>
    </row>
    <row r="1959" spans="1:7" hidden="1" x14ac:dyDescent="0.25">
      <c r="A1959" t="s">
        <v>2024</v>
      </c>
      <c r="B1959" t="s">
        <v>1304</v>
      </c>
      <c r="E1959" t="s">
        <v>2936</v>
      </c>
      <c r="F1959" t="s">
        <v>6246</v>
      </c>
      <c r="G1959" t="s">
        <v>1100</v>
      </c>
    </row>
    <row r="1960" spans="1:7" hidden="1" x14ac:dyDescent="0.25">
      <c r="A1960" t="s">
        <v>2004</v>
      </c>
      <c r="B1960" t="s">
        <v>8</v>
      </c>
      <c r="F1960" t="s">
        <v>6249</v>
      </c>
      <c r="G1960" s="1" t="s">
        <v>1603</v>
      </c>
    </row>
    <row r="1961" spans="1:7" hidden="1" x14ac:dyDescent="0.25">
      <c r="A1961" t="s">
        <v>2004</v>
      </c>
      <c r="B1961" t="s">
        <v>8</v>
      </c>
      <c r="F1961" t="s">
        <v>6258</v>
      </c>
      <c r="G1961" t="s">
        <v>1817</v>
      </c>
    </row>
    <row r="1962" spans="1:7" hidden="1" x14ac:dyDescent="0.25">
      <c r="A1962" t="s">
        <v>2004</v>
      </c>
      <c r="B1962" t="s">
        <v>8</v>
      </c>
      <c r="F1962" t="s">
        <v>6252</v>
      </c>
      <c r="G1962" t="s">
        <v>1934</v>
      </c>
    </row>
    <row r="1963" spans="1:7" hidden="1" x14ac:dyDescent="0.25">
      <c r="A1963" t="s">
        <v>2004</v>
      </c>
      <c r="B1963" t="s">
        <v>8</v>
      </c>
      <c r="F1963" t="s">
        <v>6255</v>
      </c>
      <c r="G1963" t="s">
        <v>1997</v>
      </c>
    </row>
    <row r="1964" spans="1:7" hidden="1" x14ac:dyDescent="0.25">
      <c r="A1964" t="s">
        <v>64</v>
      </c>
      <c r="B1964" t="s">
        <v>4193</v>
      </c>
      <c r="C1964" t="s">
        <v>5076</v>
      </c>
      <c r="F1964" t="s">
        <v>6263</v>
      </c>
      <c r="G1964" t="s">
        <v>1102</v>
      </c>
    </row>
    <row r="1965" spans="1:7" hidden="1" x14ac:dyDescent="0.25">
      <c r="A1965" t="s">
        <v>91</v>
      </c>
      <c r="B1965" t="s">
        <v>6329</v>
      </c>
      <c r="C1965" t="s">
        <v>51</v>
      </c>
      <c r="F1965" t="s">
        <v>6343</v>
      </c>
      <c r="G1965" t="s">
        <v>1102</v>
      </c>
    </row>
    <row r="1966" spans="1:7" hidden="1" x14ac:dyDescent="0.25">
      <c r="A1966" t="s">
        <v>85</v>
      </c>
      <c r="B1966" t="s">
        <v>6329</v>
      </c>
      <c r="C1966" t="s">
        <v>58</v>
      </c>
      <c r="E1966" t="s">
        <v>1620</v>
      </c>
      <c r="F1966" t="s">
        <v>6266</v>
      </c>
      <c r="G1966" t="s">
        <v>1102</v>
      </c>
    </row>
    <row r="1967" spans="1:7" hidden="1" x14ac:dyDescent="0.25">
      <c r="A1967" t="s">
        <v>85</v>
      </c>
      <c r="B1967" t="s">
        <v>6329</v>
      </c>
      <c r="C1967" t="s">
        <v>58</v>
      </c>
      <c r="E1967" t="s">
        <v>2936</v>
      </c>
      <c r="F1967" t="s">
        <v>6269</v>
      </c>
      <c r="G1967" t="s">
        <v>1102</v>
      </c>
    </row>
    <row r="1968" spans="1:7" hidden="1" x14ac:dyDescent="0.25">
      <c r="A1968" t="s">
        <v>62</v>
      </c>
      <c r="B1968" t="s">
        <v>70</v>
      </c>
      <c r="F1968" t="s">
        <v>6272</v>
      </c>
      <c r="G1968" t="s">
        <v>1102</v>
      </c>
    </row>
    <row r="1969" spans="1:7" hidden="1" x14ac:dyDescent="0.25">
      <c r="A1969" t="s">
        <v>91</v>
      </c>
      <c r="B1969" t="s">
        <v>70</v>
      </c>
      <c r="F1969" t="s">
        <v>6275</v>
      </c>
      <c r="G1969" t="s">
        <v>1102</v>
      </c>
    </row>
    <row r="1970" spans="1:7" hidden="1" x14ac:dyDescent="0.25">
      <c r="A1970" t="s">
        <v>85</v>
      </c>
      <c r="B1970" t="s">
        <v>4193</v>
      </c>
      <c r="C1970" t="s">
        <v>5076</v>
      </c>
      <c r="F1970" t="s">
        <v>6278</v>
      </c>
      <c r="G1970" t="s">
        <v>1102</v>
      </c>
    </row>
    <row r="1971" spans="1:7" hidden="1" x14ac:dyDescent="0.25">
      <c r="A1971" t="s">
        <v>289</v>
      </c>
      <c r="B1971" t="s">
        <v>86</v>
      </c>
      <c r="C1971" t="s">
        <v>4240</v>
      </c>
      <c r="F1971" t="s">
        <v>6281</v>
      </c>
      <c r="G1971" t="s">
        <v>1103</v>
      </c>
    </row>
    <row r="1972" spans="1:7" hidden="1" x14ac:dyDescent="0.25">
      <c r="A1972" t="s">
        <v>4198</v>
      </c>
      <c r="B1972" t="s">
        <v>86</v>
      </c>
      <c r="C1972" t="s">
        <v>4240</v>
      </c>
      <c r="E1972" t="s">
        <v>1620</v>
      </c>
      <c r="F1972" t="s">
        <v>6284</v>
      </c>
      <c r="G1972" t="s">
        <v>1103</v>
      </c>
    </row>
    <row r="1973" spans="1:7" hidden="1" x14ac:dyDescent="0.25">
      <c r="A1973" t="s">
        <v>4198</v>
      </c>
      <c r="B1973" t="s">
        <v>86</v>
      </c>
      <c r="C1973" t="s">
        <v>6182</v>
      </c>
      <c r="E1973" t="s">
        <v>6339</v>
      </c>
      <c r="F1973" t="s">
        <v>6287</v>
      </c>
      <c r="G1973" t="s">
        <v>1103</v>
      </c>
    </row>
    <row r="1974" spans="1:7" hidden="1" x14ac:dyDescent="0.25">
      <c r="A1974" t="s">
        <v>1606</v>
      </c>
      <c r="B1974" t="s">
        <v>4193</v>
      </c>
      <c r="C1974" t="s">
        <v>5076</v>
      </c>
      <c r="F1974" t="s">
        <v>6290</v>
      </c>
      <c r="G1974" t="s">
        <v>1103</v>
      </c>
    </row>
    <row r="1975" spans="1:7" hidden="1" x14ac:dyDescent="0.25">
      <c r="A1975" t="s">
        <v>6171</v>
      </c>
      <c r="B1975" t="s">
        <v>4193</v>
      </c>
      <c r="C1975" t="s">
        <v>5076</v>
      </c>
      <c r="E1975" t="s">
        <v>5474</v>
      </c>
      <c r="F1975" t="s">
        <v>6293</v>
      </c>
      <c r="G1975" t="s">
        <v>1103</v>
      </c>
    </row>
    <row r="1976" spans="1:7" hidden="1" x14ac:dyDescent="0.25">
      <c r="A1976" t="s">
        <v>4198</v>
      </c>
      <c r="B1976" t="s">
        <v>6329</v>
      </c>
      <c r="F1976" t="s">
        <v>6296</v>
      </c>
      <c r="G1976" t="s">
        <v>1103</v>
      </c>
    </row>
    <row r="1977" spans="1:7" hidden="1" x14ac:dyDescent="0.25">
      <c r="A1977" t="s">
        <v>650</v>
      </c>
      <c r="B1977" t="s">
        <v>4193</v>
      </c>
      <c r="C1977" t="s">
        <v>5076</v>
      </c>
      <c r="F1977" t="s">
        <v>6297</v>
      </c>
      <c r="G1977" t="s">
        <v>1103</v>
      </c>
    </row>
    <row r="1978" spans="1:7" hidden="1" x14ac:dyDescent="0.25">
      <c r="A1978" t="s">
        <v>158</v>
      </c>
      <c r="B1978" t="s">
        <v>86</v>
      </c>
      <c r="C1978" t="s">
        <v>528</v>
      </c>
      <c r="D1978">
        <v>1</v>
      </c>
      <c r="E1978" t="s">
        <v>3075</v>
      </c>
      <c r="F1978" t="s">
        <v>6300</v>
      </c>
      <c r="G1978" t="s">
        <v>1103</v>
      </c>
    </row>
    <row r="1979" spans="1:7" hidden="1" x14ac:dyDescent="0.25">
      <c r="A1979" t="s">
        <v>158</v>
      </c>
      <c r="B1979" t="s">
        <v>86</v>
      </c>
      <c r="C1979" t="s">
        <v>528</v>
      </c>
      <c r="D1979">
        <v>1</v>
      </c>
      <c r="E1979" t="s">
        <v>3075</v>
      </c>
      <c r="F1979" t="s">
        <v>6303</v>
      </c>
      <c r="G1979" t="s">
        <v>1103</v>
      </c>
    </row>
    <row r="1980" spans="1:7" hidden="1" x14ac:dyDescent="0.25">
      <c r="A1980" t="s">
        <v>158</v>
      </c>
      <c r="B1980" t="s">
        <v>86</v>
      </c>
      <c r="C1980" t="s">
        <v>200</v>
      </c>
      <c r="D1980">
        <v>1</v>
      </c>
      <c r="E1980" t="s">
        <v>3075</v>
      </c>
      <c r="F1980" t="s">
        <v>6306</v>
      </c>
      <c r="G1980" t="s">
        <v>1103</v>
      </c>
    </row>
    <row r="1981" spans="1:7" hidden="1" x14ac:dyDescent="0.25">
      <c r="A1981" t="s">
        <v>4</v>
      </c>
      <c r="B1981" t="s">
        <v>8</v>
      </c>
      <c r="F1981" t="s">
        <v>6323</v>
      </c>
      <c r="G1981" t="s">
        <v>91</v>
      </c>
    </row>
    <row r="1982" spans="1:7" hidden="1" x14ac:dyDescent="0.25">
      <c r="A1982" t="s">
        <v>4</v>
      </c>
      <c r="B1982" t="s">
        <v>8</v>
      </c>
      <c r="F1982" t="s">
        <v>6346</v>
      </c>
      <c r="G1982" t="s">
        <v>1104</v>
      </c>
    </row>
    <row r="1983" spans="1:7" hidden="1" x14ac:dyDescent="0.25">
      <c r="A1983" t="s">
        <v>289</v>
      </c>
      <c r="B1983" t="s">
        <v>70</v>
      </c>
      <c r="C1983" t="s">
        <v>6342</v>
      </c>
      <c r="F1983" t="s">
        <v>6310</v>
      </c>
      <c r="G1983" t="s">
        <v>1104</v>
      </c>
    </row>
    <row r="1984" spans="1:7" hidden="1" x14ac:dyDescent="0.25">
      <c r="A1984" t="s">
        <v>1606</v>
      </c>
      <c r="B1984" t="s">
        <v>70</v>
      </c>
      <c r="F1984" t="s">
        <v>6313</v>
      </c>
      <c r="G1984" t="s">
        <v>1105</v>
      </c>
    </row>
    <row r="1985" spans="1:7" hidden="1" x14ac:dyDescent="0.25">
      <c r="A1985" t="s">
        <v>4</v>
      </c>
      <c r="B1985" t="s">
        <v>6341</v>
      </c>
      <c r="F1985" t="s">
        <v>6316</v>
      </c>
      <c r="G1985" t="s">
        <v>1105</v>
      </c>
    </row>
    <row r="1986" spans="1:7" hidden="1" x14ac:dyDescent="0.25">
      <c r="A1986" t="s">
        <v>4</v>
      </c>
      <c r="B1986" t="s">
        <v>86</v>
      </c>
      <c r="F1986" t="s">
        <v>6319</v>
      </c>
      <c r="G1986" t="s">
        <v>1105</v>
      </c>
    </row>
    <row r="1987" spans="1:7" hidden="1" x14ac:dyDescent="0.25">
      <c r="A1987" t="s">
        <v>2004</v>
      </c>
      <c r="B1987" t="s">
        <v>8</v>
      </c>
      <c r="F1987" t="s">
        <v>6326</v>
      </c>
      <c r="G1987" t="s">
        <v>1106</v>
      </c>
    </row>
    <row r="1988" spans="1:7" x14ac:dyDescent="0.25">
      <c r="A1988" t="s">
        <v>4212</v>
      </c>
      <c r="F1988" t="s">
        <v>6330</v>
      </c>
      <c r="G1988" t="s">
        <v>1107</v>
      </c>
    </row>
    <row r="1989" spans="1:7" x14ac:dyDescent="0.25">
      <c r="A1989" t="s">
        <v>4212</v>
      </c>
      <c r="F1989" t="s">
        <v>6333</v>
      </c>
      <c r="G1989" t="s">
        <v>1107</v>
      </c>
    </row>
    <row r="1990" spans="1:7" x14ac:dyDescent="0.25">
      <c r="A1990" t="s">
        <v>4212</v>
      </c>
      <c r="F1990" t="s">
        <v>6336</v>
      </c>
      <c r="G1990" t="s">
        <v>1107</v>
      </c>
    </row>
    <row r="1991" spans="1:7" x14ac:dyDescent="0.25">
      <c r="A1991" t="s">
        <v>2004</v>
      </c>
      <c r="B1991" t="s">
        <v>8</v>
      </c>
      <c r="F1991" t="s">
        <v>6320</v>
      </c>
      <c r="G1991" t="s">
        <v>1107</v>
      </c>
    </row>
    <row r="1992" spans="1:7" hidden="1" x14ac:dyDescent="0.25">
      <c r="A1992" t="s">
        <v>2004</v>
      </c>
      <c r="B1992" t="s">
        <v>8</v>
      </c>
      <c r="F1992" t="s">
        <v>6349</v>
      </c>
      <c r="G1992" t="s">
        <v>796</v>
      </c>
    </row>
    <row r="1993" spans="1:7" hidden="1" x14ac:dyDescent="0.25">
      <c r="A1993" t="s">
        <v>4</v>
      </c>
      <c r="B1993" t="s">
        <v>9</v>
      </c>
      <c r="F1993" t="s">
        <v>6352</v>
      </c>
      <c r="G1993" t="s">
        <v>1100</v>
      </c>
    </row>
    <row r="1994" spans="1:7" hidden="1" x14ac:dyDescent="0.25">
      <c r="A1994" t="s">
        <v>4</v>
      </c>
      <c r="B1994" t="s">
        <v>9</v>
      </c>
      <c r="E1994" t="s">
        <v>2936</v>
      </c>
      <c r="F1994" t="s">
        <v>6355</v>
      </c>
      <c r="G1994" t="s">
        <v>1100</v>
      </c>
    </row>
    <row r="1995" spans="1:7" hidden="1" x14ac:dyDescent="0.25">
      <c r="A1995" t="s">
        <v>4</v>
      </c>
      <c r="B1995" t="s">
        <v>9</v>
      </c>
      <c r="E1995" t="s">
        <v>2936</v>
      </c>
      <c r="F1995" t="s">
        <v>6358</v>
      </c>
      <c r="G1995" t="s">
        <v>1100</v>
      </c>
    </row>
    <row r="1996" spans="1:7" hidden="1" x14ac:dyDescent="0.25">
      <c r="A1996" t="s">
        <v>1091</v>
      </c>
      <c r="B1996" t="s">
        <v>58</v>
      </c>
      <c r="F1996" t="s">
        <v>6361</v>
      </c>
      <c r="G1996" t="s">
        <v>1100</v>
      </c>
    </row>
    <row r="1997" spans="1:7" hidden="1" x14ac:dyDescent="0.25">
      <c r="A1997" t="s">
        <v>4</v>
      </c>
      <c r="B1997" t="s">
        <v>9</v>
      </c>
      <c r="E1997" t="s">
        <v>2936</v>
      </c>
      <c r="F1997" t="s">
        <v>6364</v>
      </c>
      <c r="G1997" t="s">
        <v>1100</v>
      </c>
    </row>
    <row r="1998" spans="1:7" hidden="1" x14ac:dyDescent="0.25">
      <c r="A1998" t="s">
        <v>1091</v>
      </c>
      <c r="B1998" t="s">
        <v>58</v>
      </c>
      <c r="F1998" t="s">
        <v>6367</v>
      </c>
      <c r="G1998" t="s">
        <v>1100</v>
      </c>
    </row>
    <row r="1999" spans="1:7" hidden="1" x14ac:dyDescent="0.25">
      <c r="A1999" t="s">
        <v>1091</v>
      </c>
      <c r="B1999" t="s">
        <v>58</v>
      </c>
      <c r="F1999" t="s">
        <v>6370</v>
      </c>
      <c r="G1999" t="s">
        <v>1100</v>
      </c>
    </row>
    <row r="2000" spans="1:7" hidden="1" x14ac:dyDescent="0.25">
      <c r="A2000" t="s">
        <v>4</v>
      </c>
      <c r="B2000" t="s">
        <v>9</v>
      </c>
      <c r="F2000" t="s">
        <v>6373</v>
      </c>
      <c r="G2000" t="s">
        <v>1100</v>
      </c>
    </row>
    <row r="2001" spans="1:7" hidden="1" x14ac:dyDescent="0.25">
      <c r="A2001" t="s">
        <v>1091</v>
      </c>
      <c r="B2001" t="s">
        <v>53</v>
      </c>
      <c r="F2001" t="s">
        <v>6376</v>
      </c>
      <c r="G2001" t="s">
        <v>1100</v>
      </c>
    </row>
    <row r="2002" spans="1:7" hidden="1" x14ac:dyDescent="0.25">
      <c r="A2002" t="s">
        <v>4</v>
      </c>
      <c r="B2002" t="s">
        <v>9</v>
      </c>
      <c r="F2002" t="s">
        <v>6379</v>
      </c>
      <c r="G2002" t="s">
        <v>1100</v>
      </c>
    </row>
    <row r="2003" spans="1:7" hidden="1" x14ac:dyDescent="0.25">
      <c r="A2003" t="s">
        <v>4</v>
      </c>
      <c r="B2003" t="s">
        <v>9</v>
      </c>
      <c r="E2003" t="s">
        <v>2936</v>
      </c>
      <c r="F2003" t="s">
        <v>6382</v>
      </c>
      <c r="G2003" t="s">
        <v>1100</v>
      </c>
    </row>
    <row r="2004" spans="1:7" hidden="1" x14ac:dyDescent="0.25">
      <c r="A2004" t="s">
        <v>4</v>
      </c>
      <c r="B2004" t="s">
        <v>9</v>
      </c>
      <c r="E2004" t="s">
        <v>2936</v>
      </c>
      <c r="F2004" t="s">
        <v>6385</v>
      </c>
      <c r="G2004" t="s">
        <v>1100</v>
      </c>
    </row>
    <row r="2005" spans="1:7" hidden="1" x14ac:dyDescent="0.25">
      <c r="A2005" t="s">
        <v>4</v>
      </c>
      <c r="B2005" t="s">
        <v>9</v>
      </c>
      <c r="E2005" t="s">
        <v>2936</v>
      </c>
      <c r="F2005" t="s">
        <v>6388</v>
      </c>
      <c r="G2005" t="s">
        <v>1100</v>
      </c>
    </row>
    <row r="2006" spans="1:7" hidden="1" x14ac:dyDescent="0.25">
      <c r="A2006" t="s">
        <v>4223</v>
      </c>
      <c r="B2006" t="s">
        <v>86</v>
      </c>
      <c r="C2006" t="s">
        <v>4240</v>
      </c>
      <c r="E2006" t="s">
        <v>6524</v>
      </c>
      <c r="F2006" t="s">
        <v>6391</v>
      </c>
      <c r="G2006" s="1" t="s">
        <v>1603</v>
      </c>
    </row>
    <row r="2007" spans="1:7" hidden="1" x14ac:dyDescent="0.25">
      <c r="A2007" t="s">
        <v>4223</v>
      </c>
      <c r="B2007" t="s">
        <v>86</v>
      </c>
      <c r="C2007" t="s">
        <v>6525</v>
      </c>
      <c r="F2007" t="s">
        <v>6395</v>
      </c>
      <c r="G2007" s="1" t="s">
        <v>1603</v>
      </c>
    </row>
    <row r="2008" spans="1:7" hidden="1" x14ac:dyDescent="0.25">
      <c r="A2008" t="s">
        <v>4223</v>
      </c>
      <c r="B2008" t="s">
        <v>86</v>
      </c>
      <c r="C2008" t="s">
        <v>6525</v>
      </c>
      <c r="F2008" t="s">
        <v>6398</v>
      </c>
      <c r="G2008" s="1" t="s">
        <v>1603</v>
      </c>
    </row>
    <row r="2009" spans="1:7" hidden="1" x14ac:dyDescent="0.25">
      <c r="A2009" t="s">
        <v>1606</v>
      </c>
      <c r="B2009" t="s">
        <v>6329</v>
      </c>
      <c r="F2009" t="s">
        <v>6401</v>
      </c>
      <c r="G2009" s="1" t="s">
        <v>1603</v>
      </c>
    </row>
    <row r="2010" spans="1:7" hidden="1" x14ac:dyDescent="0.25">
      <c r="A2010" t="s">
        <v>289</v>
      </c>
      <c r="B2010" t="s">
        <v>6329</v>
      </c>
      <c r="C2010" t="s">
        <v>58</v>
      </c>
      <c r="E2010" t="s">
        <v>1620</v>
      </c>
      <c r="F2010" t="s">
        <v>6404</v>
      </c>
      <c r="G2010" s="1" t="s">
        <v>1603</v>
      </c>
    </row>
    <row r="2011" spans="1:7" hidden="1" x14ac:dyDescent="0.25">
      <c r="A2011" t="s">
        <v>289</v>
      </c>
      <c r="B2011" t="s">
        <v>6329</v>
      </c>
      <c r="C2011" t="s">
        <v>58</v>
      </c>
      <c r="E2011" t="s">
        <v>2936</v>
      </c>
      <c r="F2011" t="s">
        <v>6407</v>
      </c>
      <c r="G2011" s="1" t="s">
        <v>1603</v>
      </c>
    </row>
    <row r="2012" spans="1:7" hidden="1" x14ac:dyDescent="0.25">
      <c r="A2012" t="s">
        <v>289</v>
      </c>
      <c r="B2012" t="s">
        <v>6329</v>
      </c>
      <c r="C2012" t="s">
        <v>58</v>
      </c>
      <c r="E2012" t="s">
        <v>2936</v>
      </c>
      <c r="F2012" t="s">
        <v>6410</v>
      </c>
      <c r="G2012" s="1" t="s">
        <v>1603</v>
      </c>
    </row>
    <row r="2013" spans="1:7" hidden="1" x14ac:dyDescent="0.25">
      <c r="A2013" t="s">
        <v>289</v>
      </c>
      <c r="B2013" t="s">
        <v>6329</v>
      </c>
      <c r="C2013" t="s">
        <v>58</v>
      </c>
      <c r="E2013" t="s">
        <v>2936</v>
      </c>
      <c r="F2013" t="s">
        <v>6413</v>
      </c>
      <c r="G2013" s="1" t="s">
        <v>1603</v>
      </c>
    </row>
    <row r="2014" spans="1:7" hidden="1" x14ac:dyDescent="0.25">
      <c r="A2014" t="s">
        <v>289</v>
      </c>
      <c r="B2014" t="s">
        <v>6329</v>
      </c>
      <c r="C2014" t="s">
        <v>58</v>
      </c>
      <c r="E2014" t="s">
        <v>2936</v>
      </c>
      <c r="F2014" t="s">
        <v>6416</v>
      </c>
      <c r="G2014" s="1" t="s">
        <v>1603</v>
      </c>
    </row>
    <row r="2015" spans="1:7" hidden="1" x14ac:dyDescent="0.25">
      <c r="A2015" t="s">
        <v>289</v>
      </c>
      <c r="B2015" t="s">
        <v>6329</v>
      </c>
      <c r="C2015" t="s">
        <v>58</v>
      </c>
      <c r="E2015" t="s">
        <v>2936</v>
      </c>
      <c r="F2015" t="s">
        <v>6419</v>
      </c>
      <c r="G2015" s="1" t="s">
        <v>1603</v>
      </c>
    </row>
    <row r="2016" spans="1:7" hidden="1" x14ac:dyDescent="0.25">
      <c r="A2016" t="s">
        <v>289</v>
      </c>
      <c r="B2016" t="s">
        <v>6329</v>
      </c>
      <c r="C2016" t="s">
        <v>58</v>
      </c>
      <c r="E2016" t="s">
        <v>2936</v>
      </c>
      <c r="F2016" t="s">
        <v>6422</v>
      </c>
      <c r="G2016" s="1" t="s">
        <v>1603</v>
      </c>
    </row>
    <row r="2017" spans="1:7" hidden="1" x14ac:dyDescent="0.25">
      <c r="A2017" t="s">
        <v>289</v>
      </c>
      <c r="B2017" t="s">
        <v>6329</v>
      </c>
      <c r="C2017" t="s">
        <v>58</v>
      </c>
      <c r="E2017" t="s">
        <v>2936</v>
      </c>
      <c r="F2017" t="s">
        <v>6425</v>
      </c>
      <c r="G2017" s="1" t="s">
        <v>1603</v>
      </c>
    </row>
    <row r="2018" spans="1:7" hidden="1" x14ac:dyDescent="0.25">
      <c r="A2018" t="s">
        <v>289</v>
      </c>
      <c r="B2018" t="s">
        <v>6329</v>
      </c>
      <c r="C2018" t="s">
        <v>58</v>
      </c>
      <c r="E2018" t="s">
        <v>2936</v>
      </c>
      <c r="F2018" t="s">
        <v>6428</v>
      </c>
      <c r="G2018" s="1" t="s">
        <v>1603</v>
      </c>
    </row>
    <row r="2019" spans="1:7" hidden="1" x14ac:dyDescent="0.25">
      <c r="A2019" t="s">
        <v>289</v>
      </c>
      <c r="B2019" t="s">
        <v>6329</v>
      </c>
      <c r="C2019" t="s">
        <v>58</v>
      </c>
      <c r="E2019" t="s">
        <v>2936</v>
      </c>
      <c r="F2019" t="s">
        <v>6431</v>
      </c>
      <c r="G2019" s="1" t="s">
        <v>1603</v>
      </c>
    </row>
    <row r="2020" spans="1:7" hidden="1" x14ac:dyDescent="0.25">
      <c r="A2020" t="s">
        <v>289</v>
      </c>
      <c r="B2020" t="s">
        <v>6329</v>
      </c>
      <c r="C2020" t="s">
        <v>58</v>
      </c>
      <c r="E2020" t="s">
        <v>2936</v>
      </c>
      <c r="F2020" t="s">
        <v>6434</v>
      </c>
      <c r="G2020" s="1" t="s">
        <v>1603</v>
      </c>
    </row>
    <row r="2021" spans="1:7" hidden="1" x14ac:dyDescent="0.25">
      <c r="A2021" t="s">
        <v>289</v>
      </c>
      <c r="B2021" t="s">
        <v>6329</v>
      </c>
      <c r="C2021" t="s">
        <v>58</v>
      </c>
      <c r="E2021" t="s">
        <v>2936</v>
      </c>
      <c r="F2021" t="s">
        <v>6437</v>
      </c>
      <c r="G2021" s="1" t="s">
        <v>1603</v>
      </c>
    </row>
    <row r="2022" spans="1:7" hidden="1" x14ac:dyDescent="0.25">
      <c r="A2022" t="s">
        <v>289</v>
      </c>
      <c r="B2022" t="s">
        <v>6329</v>
      </c>
      <c r="C2022" t="s">
        <v>58</v>
      </c>
      <c r="E2022" t="s">
        <v>2936</v>
      </c>
      <c r="F2022" t="s">
        <v>6440</v>
      </c>
      <c r="G2022" s="1" t="s">
        <v>1603</v>
      </c>
    </row>
    <row r="2023" spans="1:7" hidden="1" x14ac:dyDescent="0.25">
      <c r="A2023" t="s">
        <v>289</v>
      </c>
      <c r="B2023" t="s">
        <v>6329</v>
      </c>
      <c r="C2023" t="s">
        <v>58</v>
      </c>
      <c r="E2023" t="s">
        <v>2936</v>
      </c>
      <c r="F2023" t="s">
        <v>6443</v>
      </c>
      <c r="G2023" s="1" t="s">
        <v>1603</v>
      </c>
    </row>
    <row r="2024" spans="1:7" hidden="1" x14ac:dyDescent="0.25">
      <c r="A2024" t="s">
        <v>289</v>
      </c>
      <c r="B2024" t="s">
        <v>6329</v>
      </c>
      <c r="C2024" t="s">
        <v>58</v>
      </c>
      <c r="E2024" t="s">
        <v>6526</v>
      </c>
      <c r="F2024" t="s">
        <v>6446</v>
      </c>
      <c r="G2024" s="1" t="s">
        <v>1603</v>
      </c>
    </row>
    <row r="2025" spans="1:7" hidden="1" x14ac:dyDescent="0.25">
      <c r="A2025" t="s">
        <v>289</v>
      </c>
      <c r="B2025" t="s">
        <v>6329</v>
      </c>
      <c r="C2025" t="s">
        <v>58</v>
      </c>
      <c r="E2025" t="s">
        <v>2936</v>
      </c>
      <c r="F2025" t="s">
        <v>6449</v>
      </c>
      <c r="G2025" s="1" t="s">
        <v>1603</v>
      </c>
    </row>
    <row r="2026" spans="1:7" hidden="1" x14ac:dyDescent="0.25">
      <c r="A2026" t="s">
        <v>289</v>
      </c>
      <c r="B2026" t="s">
        <v>6329</v>
      </c>
      <c r="C2026" t="s">
        <v>58</v>
      </c>
      <c r="E2026" t="s">
        <v>2936</v>
      </c>
      <c r="F2026" t="s">
        <v>6452</v>
      </c>
      <c r="G2026" s="1" t="s">
        <v>1603</v>
      </c>
    </row>
    <row r="2027" spans="1:7" hidden="1" x14ac:dyDescent="0.25">
      <c r="A2027" t="s">
        <v>289</v>
      </c>
      <c r="B2027" t="s">
        <v>6329</v>
      </c>
      <c r="C2027" t="s">
        <v>58</v>
      </c>
      <c r="E2027" t="s">
        <v>2936</v>
      </c>
      <c r="F2027" t="s">
        <v>6455</v>
      </c>
      <c r="G2027" s="1" t="s">
        <v>1603</v>
      </c>
    </row>
    <row r="2028" spans="1:7" hidden="1" x14ac:dyDescent="0.25">
      <c r="A2028" t="s">
        <v>289</v>
      </c>
      <c r="B2028" t="s">
        <v>6329</v>
      </c>
      <c r="C2028" t="s">
        <v>58</v>
      </c>
      <c r="E2028" t="s">
        <v>1620</v>
      </c>
      <c r="F2028" t="s">
        <v>6458</v>
      </c>
      <c r="G2028" s="1" t="s">
        <v>1603</v>
      </c>
    </row>
    <row r="2029" spans="1:7" hidden="1" x14ac:dyDescent="0.25">
      <c r="A2029" t="s">
        <v>289</v>
      </c>
      <c r="B2029" t="s">
        <v>6329</v>
      </c>
      <c r="C2029" t="s">
        <v>58</v>
      </c>
      <c r="E2029" t="s">
        <v>2936</v>
      </c>
      <c r="F2029" t="s">
        <v>6461</v>
      </c>
      <c r="G2029" s="1" t="s">
        <v>1603</v>
      </c>
    </row>
    <row r="2030" spans="1:7" hidden="1" x14ac:dyDescent="0.25">
      <c r="A2030" t="s">
        <v>289</v>
      </c>
      <c r="B2030" t="s">
        <v>6329</v>
      </c>
      <c r="C2030" t="s">
        <v>58</v>
      </c>
      <c r="E2030" t="s">
        <v>2936</v>
      </c>
      <c r="F2030" t="s">
        <v>6464</v>
      </c>
      <c r="G2030" s="1" t="s">
        <v>1603</v>
      </c>
    </row>
    <row r="2031" spans="1:7" hidden="1" x14ac:dyDescent="0.25">
      <c r="A2031" t="s">
        <v>289</v>
      </c>
      <c r="B2031" t="s">
        <v>6329</v>
      </c>
      <c r="C2031" t="s">
        <v>58</v>
      </c>
      <c r="E2031" t="s">
        <v>2936</v>
      </c>
      <c r="F2031" t="s">
        <v>6467</v>
      </c>
      <c r="G2031" s="1" t="s">
        <v>1603</v>
      </c>
    </row>
    <row r="2032" spans="1:7" hidden="1" x14ac:dyDescent="0.25">
      <c r="A2032" t="s">
        <v>650</v>
      </c>
      <c r="B2032" t="s">
        <v>6329</v>
      </c>
      <c r="C2032" t="s">
        <v>58</v>
      </c>
      <c r="F2032" t="s">
        <v>6470</v>
      </c>
      <c r="G2032" s="1" t="s">
        <v>1603</v>
      </c>
    </row>
    <row r="2033" spans="1:7" hidden="1" x14ac:dyDescent="0.25">
      <c r="A2033" t="s">
        <v>1606</v>
      </c>
      <c r="B2033" t="s">
        <v>6527</v>
      </c>
      <c r="F2033" t="s">
        <v>6473</v>
      </c>
      <c r="G2033" s="1" t="s">
        <v>1603</v>
      </c>
    </row>
    <row r="2034" spans="1:7" hidden="1" x14ac:dyDescent="0.25">
      <c r="A2034" t="s">
        <v>4</v>
      </c>
      <c r="B2034" t="s">
        <v>6528</v>
      </c>
      <c r="F2034" t="s">
        <v>6476</v>
      </c>
      <c r="G2034" s="1" t="s">
        <v>1603</v>
      </c>
    </row>
    <row r="2035" spans="1:7" hidden="1" x14ac:dyDescent="0.25">
      <c r="A2035" t="s">
        <v>289</v>
      </c>
      <c r="B2035" t="s">
        <v>6527</v>
      </c>
      <c r="C2035" t="s">
        <v>1099</v>
      </c>
      <c r="D2035">
        <v>2</v>
      </c>
      <c r="F2035" t="s">
        <v>6479</v>
      </c>
      <c r="G2035" s="1" t="s">
        <v>1603</v>
      </c>
    </row>
    <row r="2036" spans="1:7" hidden="1" x14ac:dyDescent="0.25">
      <c r="A2036" t="s">
        <v>650</v>
      </c>
      <c r="B2036" t="s">
        <v>6527</v>
      </c>
      <c r="C2036" t="s">
        <v>1099</v>
      </c>
      <c r="F2036" t="s">
        <v>6482</v>
      </c>
      <c r="G2036" s="1" t="s">
        <v>1603</v>
      </c>
    </row>
    <row r="2037" spans="1:7" hidden="1" x14ac:dyDescent="0.25">
      <c r="A2037" t="s">
        <v>4223</v>
      </c>
      <c r="B2037" t="s">
        <v>86</v>
      </c>
      <c r="C2037" t="s">
        <v>528</v>
      </c>
      <c r="E2037" t="s">
        <v>5104</v>
      </c>
      <c r="F2037" t="s">
        <v>6485</v>
      </c>
      <c r="G2037" s="1" t="s">
        <v>1603</v>
      </c>
    </row>
    <row r="2038" spans="1:7" hidden="1" x14ac:dyDescent="0.25">
      <c r="A2038" t="s">
        <v>4223</v>
      </c>
      <c r="B2038" t="s">
        <v>86</v>
      </c>
      <c r="C2038" t="s">
        <v>528</v>
      </c>
      <c r="E2038" t="s">
        <v>5104</v>
      </c>
      <c r="F2038" t="s">
        <v>6488</v>
      </c>
      <c r="G2038" s="1" t="s">
        <v>1603</v>
      </c>
    </row>
    <row r="2039" spans="1:7" hidden="1" x14ac:dyDescent="0.25">
      <c r="A2039" t="s">
        <v>4223</v>
      </c>
      <c r="B2039" t="s">
        <v>86</v>
      </c>
      <c r="C2039" t="s">
        <v>1621</v>
      </c>
      <c r="E2039" t="s">
        <v>5104</v>
      </c>
      <c r="F2039" t="s">
        <v>6491</v>
      </c>
      <c r="G2039" s="1" t="s">
        <v>1603</v>
      </c>
    </row>
    <row r="2040" spans="1:7" hidden="1" x14ac:dyDescent="0.25">
      <c r="A2040" t="s">
        <v>4</v>
      </c>
      <c r="B2040" t="s">
        <v>6529</v>
      </c>
      <c r="F2040" t="s">
        <v>6494</v>
      </c>
      <c r="G2040" s="1" t="s">
        <v>1603</v>
      </c>
    </row>
    <row r="2041" spans="1:7" hidden="1" x14ac:dyDescent="0.25">
      <c r="A2041" t="s">
        <v>4</v>
      </c>
      <c r="B2041" t="s">
        <v>6530</v>
      </c>
      <c r="E2041" t="s">
        <v>6531</v>
      </c>
      <c r="F2041" t="s">
        <v>6497</v>
      </c>
      <c r="G2041" s="1" t="s">
        <v>1603</v>
      </c>
    </row>
    <row r="2042" spans="1:7" hidden="1" x14ac:dyDescent="0.25">
      <c r="A2042" t="s">
        <v>159</v>
      </c>
      <c r="B2042" t="s">
        <v>6329</v>
      </c>
      <c r="C2042" t="s">
        <v>51</v>
      </c>
      <c r="F2042" t="s">
        <v>6506</v>
      </c>
      <c r="G2042" t="s">
        <v>1817</v>
      </c>
    </row>
    <row r="2043" spans="1:7" hidden="1" x14ac:dyDescent="0.25">
      <c r="A2043" t="s">
        <v>159</v>
      </c>
      <c r="B2043" t="s">
        <v>86</v>
      </c>
      <c r="C2043" t="s">
        <v>58</v>
      </c>
      <c r="E2043" t="s">
        <v>6532</v>
      </c>
      <c r="F2043" t="s">
        <v>6509</v>
      </c>
      <c r="G2043" t="s">
        <v>1817</v>
      </c>
    </row>
    <row r="2044" spans="1:7" hidden="1" x14ac:dyDescent="0.25">
      <c r="A2044" t="s">
        <v>4</v>
      </c>
      <c r="B2044" t="s">
        <v>8</v>
      </c>
      <c r="F2044" t="s">
        <v>6512</v>
      </c>
      <c r="G2044" t="s">
        <v>1817</v>
      </c>
    </row>
    <row r="2045" spans="1:7" hidden="1" x14ac:dyDescent="0.25">
      <c r="A2045" t="s">
        <v>4</v>
      </c>
      <c r="B2045" t="s">
        <v>8</v>
      </c>
      <c r="F2045" t="s">
        <v>6500</v>
      </c>
      <c r="G2045" t="s">
        <v>1934</v>
      </c>
    </row>
    <row r="2046" spans="1:7" hidden="1" x14ac:dyDescent="0.25">
      <c r="A2046" t="s">
        <v>4</v>
      </c>
      <c r="B2046" t="s">
        <v>8</v>
      </c>
      <c r="F2046" t="s">
        <v>6503</v>
      </c>
      <c r="G2046" t="s">
        <v>1934</v>
      </c>
    </row>
    <row r="2047" spans="1:7" hidden="1" x14ac:dyDescent="0.25">
      <c r="A2047" t="s">
        <v>289</v>
      </c>
      <c r="B2047" t="s">
        <v>5480</v>
      </c>
      <c r="C2047" t="s">
        <v>528</v>
      </c>
      <c r="F2047" t="s">
        <v>6515</v>
      </c>
      <c r="G2047" t="s">
        <v>1997</v>
      </c>
    </row>
    <row r="2048" spans="1:7" hidden="1" x14ac:dyDescent="0.25">
      <c r="A2048" t="s">
        <v>289</v>
      </c>
      <c r="B2048" t="s">
        <v>5480</v>
      </c>
      <c r="C2048" t="s">
        <v>528</v>
      </c>
      <c r="F2048" t="s">
        <v>6518</v>
      </c>
      <c r="G2048" t="s">
        <v>1997</v>
      </c>
    </row>
    <row r="2049" spans="1:7" hidden="1" x14ac:dyDescent="0.25">
      <c r="A2049" t="s">
        <v>289</v>
      </c>
      <c r="B2049" t="s">
        <v>5480</v>
      </c>
      <c r="C2049" t="s">
        <v>1621</v>
      </c>
      <c r="F2049" t="s">
        <v>6521</v>
      </c>
      <c r="G2049" t="s">
        <v>1997</v>
      </c>
    </row>
    <row r="2050" spans="1:7" hidden="1" x14ac:dyDescent="0.25">
      <c r="A2050" t="s">
        <v>91</v>
      </c>
      <c r="B2050" t="s">
        <v>6656</v>
      </c>
      <c r="C2050" t="s">
        <v>51</v>
      </c>
      <c r="F2050" t="s">
        <v>6533</v>
      </c>
      <c r="G2050" t="s">
        <v>1102</v>
      </c>
    </row>
    <row r="2051" spans="1:7" hidden="1" x14ac:dyDescent="0.25">
      <c r="A2051" t="s">
        <v>62</v>
      </c>
      <c r="B2051" t="s">
        <v>6656</v>
      </c>
      <c r="C2051" t="s">
        <v>6657</v>
      </c>
      <c r="F2051" t="s">
        <v>6536</v>
      </c>
      <c r="G2051" t="s">
        <v>1102</v>
      </c>
    </row>
    <row r="2052" spans="1:7" hidden="1" x14ac:dyDescent="0.25">
      <c r="A2052" t="s">
        <v>64</v>
      </c>
      <c r="B2052" t="s">
        <v>4193</v>
      </c>
      <c r="C2052" t="s">
        <v>5076</v>
      </c>
      <c r="F2052" t="s">
        <v>6539</v>
      </c>
      <c r="G2052" t="s">
        <v>1102</v>
      </c>
    </row>
    <row r="2053" spans="1:7" hidden="1" x14ac:dyDescent="0.25">
      <c r="A2053" t="s">
        <v>85</v>
      </c>
      <c r="B2053" t="s">
        <v>4193</v>
      </c>
      <c r="C2053" t="s">
        <v>5076</v>
      </c>
      <c r="F2053" t="s">
        <v>6542</v>
      </c>
      <c r="G2053" t="s">
        <v>1102</v>
      </c>
    </row>
    <row r="2054" spans="1:7" hidden="1" x14ac:dyDescent="0.25">
      <c r="A2054" t="s">
        <v>6171</v>
      </c>
      <c r="B2054" t="s">
        <v>4193</v>
      </c>
      <c r="C2054" t="s">
        <v>5076</v>
      </c>
      <c r="E2054" t="s">
        <v>5474</v>
      </c>
      <c r="F2054" t="s">
        <v>6551</v>
      </c>
      <c r="G2054" t="s">
        <v>1103</v>
      </c>
    </row>
    <row r="2055" spans="1:7" hidden="1" x14ac:dyDescent="0.25">
      <c r="A2055" t="s">
        <v>650</v>
      </c>
      <c r="B2055" t="s">
        <v>4193</v>
      </c>
      <c r="C2055" t="s">
        <v>5076</v>
      </c>
      <c r="F2055" t="s">
        <v>6554</v>
      </c>
      <c r="G2055" t="s">
        <v>1103</v>
      </c>
    </row>
    <row r="2056" spans="1:7" hidden="1" x14ac:dyDescent="0.25">
      <c r="A2056" t="s">
        <v>4</v>
      </c>
      <c r="B2056" t="s">
        <v>8</v>
      </c>
      <c r="F2056" t="s">
        <v>6557</v>
      </c>
      <c r="G2056" t="s">
        <v>91</v>
      </c>
    </row>
    <row r="2057" spans="1:7" hidden="1" x14ac:dyDescent="0.25">
      <c r="A2057" t="s">
        <v>1606</v>
      </c>
      <c r="B2057" t="s">
        <v>6656</v>
      </c>
      <c r="C2057" t="s">
        <v>51</v>
      </c>
      <c r="F2057" t="s">
        <v>6545</v>
      </c>
      <c r="G2057" t="s">
        <v>1104</v>
      </c>
    </row>
    <row r="2058" spans="1:7" hidden="1" x14ac:dyDescent="0.25">
      <c r="A2058" t="s">
        <v>289</v>
      </c>
      <c r="B2058" t="s">
        <v>6656</v>
      </c>
      <c r="C2058" t="s">
        <v>6657</v>
      </c>
      <c r="F2058" t="s">
        <v>6548</v>
      </c>
      <c r="G2058" t="s">
        <v>1104</v>
      </c>
    </row>
    <row r="2059" spans="1:7" hidden="1" x14ac:dyDescent="0.25">
      <c r="A2059" t="s">
        <v>2004</v>
      </c>
      <c r="B2059" t="s">
        <v>8</v>
      </c>
      <c r="F2059" t="s">
        <v>6563</v>
      </c>
      <c r="G2059" t="s">
        <v>1105</v>
      </c>
    </row>
    <row r="2060" spans="1:7" hidden="1" x14ac:dyDescent="0.25">
      <c r="A2060" t="s">
        <v>2004</v>
      </c>
      <c r="B2060" t="s">
        <v>8</v>
      </c>
      <c r="F2060" t="s">
        <v>6566</v>
      </c>
      <c r="G2060" t="s">
        <v>1106</v>
      </c>
    </row>
    <row r="2061" spans="1:7" x14ac:dyDescent="0.25">
      <c r="A2061" t="s">
        <v>2004</v>
      </c>
      <c r="B2061" t="s">
        <v>8</v>
      </c>
      <c r="F2061" t="s">
        <v>6560</v>
      </c>
      <c r="G2061" t="s">
        <v>1107</v>
      </c>
    </row>
    <row r="2062" spans="1:7" hidden="1" x14ac:dyDescent="0.25">
      <c r="A2062" t="s">
        <v>2024</v>
      </c>
      <c r="B2062" t="s">
        <v>796</v>
      </c>
      <c r="F2062" t="s">
        <v>6569</v>
      </c>
      <c r="G2062" t="s">
        <v>796</v>
      </c>
    </row>
    <row r="2063" spans="1:7" hidden="1" x14ac:dyDescent="0.25">
      <c r="A2063" t="s">
        <v>4</v>
      </c>
      <c r="B2063" t="s">
        <v>9</v>
      </c>
      <c r="F2063" t="s">
        <v>6572</v>
      </c>
      <c r="G2063" t="s">
        <v>796</v>
      </c>
    </row>
    <row r="2064" spans="1:7" hidden="1" x14ac:dyDescent="0.25">
      <c r="A2064" t="s">
        <v>2024</v>
      </c>
      <c r="B2064" t="s">
        <v>796</v>
      </c>
      <c r="F2064" t="s">
        <v>6575</v>
      </c>
      <c r="G2064" t="s">
        <v>796</v>
      </c>
    </row>
    <row r="2065" spans="1:7" hidden="1" x14ac:dyDescent="0.25">
      <c r="A2065" t="s">
        <v>2024</v>
      </c>
      <c r="B2065" t="s">
        <v>796</v>
      </c>
      <c r="F2065" t="s">
        <v>6578</v>
      </c>
      <c r="G2065" t="s">
        <v>796</v>
      </c>
    </row>
    <row r="2066" spans="1:7" hidden="1" x14ac:dyDescent="0.25">
      <c r="A2066" t="s">
        <v>4</v>
      </c>
      <c r="B2066" t="s">
        <v>9</v>
      </c>
      <c r="F2066" t="s">
        <v>6581</v>
      </c>
      <c r="G2066" t="s">
        <v>796</v>
      </c>
    </row>
    <row r="2067" spans="1:7" hidden="1" x14ac:dyDescent="0.25">
      <c r="A2067" t="s">
        <v>4</v>
      </c>
      <c r="B2067" t="s">
        <v>9</v>
      </c>
      <c r="F2067" t="s">
        <v>6584</v>
      </c>
      <c r="G2067" t="s">
        <v>1100</v>
      </c>
    </row>
    <row r="2068" spans="1:7" hidden="1" x14ac:dyDescent="0.25">
      <c r="A2068" t="s">
        <v>4</v>
      </c>
      <c r="B2068" t="s">
        <v>9</v>
      </c>
      <c r="E2068" t="s">
        <v>2936</v>
      </c>
      <c r="F2068" t="s">
        <v>6587</v>
      </c>
      <c r="G2068" t="s">
        <v>1100</v>
      </c>
    </row>
    <row r="2069" spans="1:7" hidden="1" x14ac:dyDescent="0.25">
      <c r="A2069" t="s">
        <v>4</v>
      </c>
      <c r="B2069" t="s">
        <v>9</v>
      </c>
      <c r="E2069" t="s">
        <v>2936</v>
      </c>
      <c r="F2069" t="s">
        <v>6590</v>
      </c>
      <c r="G2069" t="s">
        <v>1100</v>
      </c>
    </row>
    <row r="2070" spans="1:7" hidden="1" x14ac:dyDescent="0.25">
      <c r="A2070" t="s">
        <v>4</v>
      </c>
      <c r="B2070" t="s">
        <v>9</v>
      </c>
      <c r="E2070" t="s">
        <v>2936</v>
      </c>
      <c r="F2070" t="s">
        <v>6593</v>
      </c>
      <c r="G2070" t="s">
        <v>1100</v>
      </c>
    </row>
    <row r="2071" spans="1:7" hidden="1" x14ac:dyDescent="0.25">
      <c r="A2071" t="s">
        <v>4</v>
      </c>
      <c r="B2071" t="s">
        <v>9</v>
      </c>
      <c r="E2071" t="s">
        <v>2936</v>
      </c>
      <c r="F2071" t="s">
        <v>6596</v>
      </c>
      <c r="G2071" t="s">
        <v>1100</v>
      </c>
    </row>
    <row r="2072" spans="1:7" hidden="1" x14ac:dyDescent="0.25">
      <c r="A2072" t="s">
        <v>4</v>
      </c>
      <c r="B2072" t="s">
        <v>9</v>
      </c>
      <c r="E2072" t="s">
        <v>2936</v>
      </c>
      <c r="F2072" t="s">
        <v>6599</v>
      </c>
      <c r="G2072" t="s">
        <v>1100</v>
      </c>
    </row>
    <row r="2073" spans="1:7" hidden="1" x14ac:dyDescent="0.25">
      <c r="A2073" t="s">
        <v>4</v>
      </c>
      <c r="B2073" t="s">
        <v>9</v>
      </c>
      <c r="F2073" t="s">
        <v>6602</v>
      </c>
      <c r="G2073" t="s">
        <v>1100</v>
      </c>
    </row>
    <row r="2074" spans="1:7" hidden="1" x14ac:dyDescent="0.25">
      <c r="A2074" t="s">
        <v>4</v>
      </c>
      <c r="B2074" t="s">
        <v>9</v>
      </c>
      <c r="F2074" t="s">
        <v>6605</v>
      </c>
      <c r="G2074" t="s">
        <v>1100</v>
      </c>
    </row>
    <row r="2075" spans="1:7" hidden="1" x14ac:dyDescent="0.25">
      <c r="A2075" t="s">
        <v>533</v>
      </c>
      <c r="B2075" t="s">
        <v>531</v>
      </c>
      <c r="C2075" t="s">
        <v>58</v>
      </c>
      <c r="E2075" t="s">
        <v>4236</v>
      </c>
      <c r="F2075" t="s">
        <v>6608</v>
      </c>
      <c r="G2075" s="1" t="s">
        <v>1603</v>
      </c>
    </row>
    <row r="2076" spans="1:7" hidden="1" x14ac:dyDescent="0.25">
      <c r="A2076" t="s">
        <v>533</v>
      </c>
      <c r="B2076" t="s">
        <v>531</v>
      </c>
      <c r="C2076" t="s">
        <v>58</v>
      </c>
      <c r="E2076" t="s">
        <v>4236</v>
      </c>
      <c r="F2076" t="s">
        <v>6611</v>
      </c>
      <c r="G2076" s="1" t="s">
        <v>1603</v>
      </c>
    </row>
    <row r="2077" spans="1:7" hidden="1" x14ac:dyDescent="0.25">
      <c r="A2077" t="s">
        <v>4</v>
      </c>
      <c r="B2077" t="s">
        <v>8</v>
      </c>
      <c r="F2077" t="s">
        <v>6614</v>
      </c>
      <c r="G2077" s="1" t="s">
        <v>1603</v>
      </c>
    </row>
    <row r="2078" spans="1:7" hidden="1" x14ac:dyDescent="0.25">
      <c r="A2078" t="s">
        <v>4</v>
      </c>
      <c r="B2078" t="s">
        <v>8</v>
      </c>
      <c r="F2078" t="s">
        <v>6617</v>
      </c>
      <c r="G2078" s="1" t="s">
        <v>1603</v>
      </c>
    </row>
    <row r="2079" spans="1:7" hidden="1" x14ac:dyDescent="0.25">
      <c r="A2079" t="s">
        <v>4</v>
      </c>
      <c r="B2079" t="s">
        <v>8</v>
      </c>
      <c r="F2079" t="s">
        <v>6620</v>
      </c>
      <c r="G2079" s="1" t="s">
        <v>1603</v>
      </c>
    </row>
    <row r="2080" spans="1:7" hidden="1" x14ac:dyDescent="0.25">
      <c r="A2080" t="s">
        <v>4</v>
      </c>
      <c r="B2080" t="s">
        <v>8</v>
      </c>
      <c r="F2080" t="s">
        <v>6623</v>
      </c>
      <c r="G2080" s="1" t="s">
        <v>1603</v>
      </c>
    </row>
    <row r="2081" spans="1:7" hidden="1" x14ac:dyDescent="0.25">
      <c r="A2081" t="s">
        <v>4</v>
      </c>
      <c r="B2081" t="s">
        <v>8</v>
      </c>
      <c r="F2081" t="s">
        <v>6626</v>
      </c>
      <c r="G2081" s="1" t="s">
        <v>1603</v>
      </c>
    </row>
    <row r="2082" spans="1:7" hidden="1" x14ac:dyDescent="0.25">
      <c r="A2082" t="s">
        <v>533</v>
      </c>
      <c r="B2082" t="s">
        <v>531</v>
      </c>
      <c r="C2082" t="s">
        <v>1099</v>
      </c>
      <c r="F2082" t="s">
        <v>6629</v>
      </c>
      <c r="G2082" s="1" t="s">
        <v>1603</v>
      </c>
    </row>
    <row r="2083" spans="1:7" hidden="1" x14ac:dyDescent="0.25">
      <c r="A2083" t="s">
        <v>4</v>
      </c>
      <c r="B2083" t="s">
        <v>8</v>
      </c>
      <c r="F2083" t="s">
        <v>6632</v>
      </c>
      <c r="G2083" s="1" t="s">
        <v>1603</v>
      </c>
    </row>
    <row r="2084" spans="1:7" hidden="1" x14ac:dyDescent="0.25">
      <c r="A2084" t="s">
        <v>4</v>
      </c>
      <c r="B2084" t="s">
        <v>8</v>
      </c>
      <c r="F2084" t="s">
        <v>6635</v>
      </c>
      <c r="G2084" s="1" t="s">
        <v>1603</v>
      </c>
    </row>
    <row r="2085" spans="1:7" hidden="1" x14ac:dyDescent="0.25">
      <c r="A2085" t="s">
        <v>2004</v>
      </c>
      <c r="B2085" t="s">
        <v>8</v>
      </c>
      <c r="F2085" t="s">
        <v>6638</v>
      </c>
      <c r="G2085" t="s">
        <v>1817</v>
      </c>
    </row>
    <row r="2086" spans="1:7" hidden="1" x14ac:dyDescent="0.25">
      <c r="A2086" t="s">
        <v>2004</v>
      </c>
      <c r="B2086" t="s">
        <v>8</v>
      </c>
      <c r="F2086" t="s">
        <v>6641</v>
      </c>
      <c r="G2086" t="s">
        <v>1934</v>
      </c>
    </row>
    <row r="2087" spans="1:7" hidden="1" x14ac:dyDescent="0.25">
      <c r="A2087" t="s">
        <v>533</v>
      </c>
      <c r="B2087" t="s">
        <v>531</v>
      </c>
      <c r="C2087" t="s">
        <v>58</v>
      </c>
      <c r="F2087" t="s">
        <v>6644</v>
      </c>
      <c r="G2087" t="s">
        <v>1997</v>
      </c>
    </row>
    <row r="2088" spans="1:7" hidden="1" x14ac:dyDescent="0.25">
      <c r="A2088" t="s">
        <v>533</v>
      </c>
      <c r="B2088" t="s">
        <v>531</v>
      </c>
      <c r="C2088" t="s">
        <v>58</v>
      </c>
      <c r="F2088" t="s">
        <v>6647</v>
      </c>
      <c r="G2088" t="s">
        <v>1997</v>
      </c>
    </row>
    <row r="2089" spans="1:7" hidden="1" x14ac:dyDescent="0.25">
      <c r="A2089" t="s">
        <v>533</v>
      </c>
      <c r="B2089" t="s">
        <v>531</v>
      </c>
      <c r="C2089" t="s">
        <v>58</v>
      </c>
      <c r="F2089" t="s">
        <v>6650</v>
      </c>
      <c r="G2089" t="s">
        <v>1997</v>
      </c>
    </row>
    <row r="2090" spans="1:7" hidden="1" x14ac:dyDescent="0.25">
      <c r="A2090" t="s">
        <v>4</v>
      </c>
      <c r="B2090" t="s">
        <v>8</v>
      </c>
      <c r="F2090" t="s">
        <v>6653</v>
      </c>
      <c r="G2090" t="s">
        <v>1997</v>
      </c>
    </row>
    <row r="2091" spans="1:7" hidden="1" x14ac:dyDescent="0.25">
      <c r="A2091" t="s">
        <v>2004</v>
      </c>
      <c r="F2091" t="s">
        <v>6664</v>
      </c>
      <c r="G2091" t="s">
        <v>1102</v>
      </c>
    </row>
    <row r="2092" spans="1:7" hidden="1" x14ac:dyDescent="0.25">
      <c r="A2092" t="s">
        <v>64</v>
      </c>
      <c r="B2092" t="s">
        <v>4193</v>
      </c>
      <c r="C2092" t="s">
        <v>5076</v>
      </c>
      <c r="F2092" t="s">
        <v>6667</v>
      </c>
      <c r="G2092" t="s">
        <v>1102</v>
      </c>
    </row>
    <row r="2093" spans="1:7" hidden="1" x14ac:dyDescent="0.25">
      <c r="A2093" t="s">
        <v>6865</v>
      </c>
      <c r="F2093" t="s">
        <v>6670</v>
      </c>
      <c r="G2093" t="s">
        <v>1102</v>
      </c>
    </row>
    <row r="2094" spans="1:7" hidden="1" x14ac:dyDescent="0.25">
      <c r="A2094" t="s">
        <v>91</v>
      </c>
      <c r="B2094" t="s">
        <v>6190</v>
      </c>
      <c r="F2094" t="s">
        <v>6673</v>
      </c>
      <c r="G2094" t="s">
        <v>1102</v>
      </c>
    </row>
    <row r="2095" spans="1:7" hidden="1" x14ac:dyDescent="0.25">
      <c r="A2095" t="s">
        <v>6866</v>
      </c>
      <c r="B2095" t="s">
        <v>86</v>
      </c>
      <c r="F2095" t="s">
        <v>6676</v>
      </c>
      <c r="G2095" t="s">
        <v>1102</v>
      </c>
    </row>
    <row r="2096" spans="1:7" hidden="1" x14ac:dyDescent="0.25">
      <c r="A2096" t="s">
        <v>85</v>
      </c>
      <c r="B2096" t="s">
        <v>4193</v>
      </c>
      <c r="C2096" t="s">
        <v>5076</v>
      </c>
      <c r="F2096" t="s">
        <v>6679</v>
      </c>
      <c r="G2096" t="s">
        <v>1102</v>
      </c>
    </row>
    <row r="2097" spans="1:7" hidden="1" x14ac:dyDescent="0.25">
      <c r="A2097" t="s">
        <v>533</v>
      </c>
      <c r="B2097" t="s">
        <v>1607</v>
      </c>
      <c r="C2097" t="s">
        <v>1099</v>
      </c>
      <c r="E2097" t="s">
        <v>1620</v>
      </c>
      <c r="F2097" t="s">
        <v>6682</v>
      </c>
      <c r="G2097" t="s">
        <v>1103</v>
      </c>
    </row>
    <row r="2098" spans="1:7" hidden="1" x14ac:dyDescent="0.25">
      <c r="A2098" t="s">
        <v>4221</v>
      </c>
      <c r="B2098" t="s">
        <v>86</v>
      </c>
      <c r="C2098" t="s">
        <v>2944</v>
      </c>
      <c r="E2098" t="s">
        <v>1620</v>
      </c>
      <c r="F2098" t="s">
        <v>6685</v>
      </c>
      <c r="G2098" t="s">
        <v>1103</v>
      </c>
    </row>
    <row r="2099" spans="1:7" hidden="1" x14ac:dyDescent="0.25">
      <c r="A2099" t="s">
        <v>4221</v>
      </c>
      <c r="B2099" t="s">
        <v>86</v>
      </c>
      <c r="C2099" t="s">
        <v>2944</v>
      </c>
      <c r="E2099" t="s">
        <v>2936</v>
      </c>
      <c r="F2099" t="s">
        <v>6688</v>
      </c>
      <c r="G2099" t="s">
        <v>1103</v>
      </c>
    </row>
    <row r="2100" spans="1:7" hidden="1" x14ac:dyDescent="0.25">
      <c r="A2100" t="s">
        <v>158</v>
      </c>
      <c r="B2100" t="s">
        <v>86</v>
      </c>
      <c r="C2100" t="s">
        <v>528</v>
      </c>
      <c r="D2100">
        <v>1</v>
      </c>
      <c r="E2100" t="s">
        <v>3075</v>
      </c>
      <c r="F2100" t="s">
        <v>6691</v>
      </c>
      <c r="G2100" t="s">
        <v>1103</v>
      </c>
    </row>
    <row r="2101" spans="1:7" hidden="1" x14ac:dyDescent="0.25">
      <c r="A2101" t="s">
        <v>1606</v>
      </c>
      <c r="B2101" t="s">
        <v>4193</v>
      </c>
      <c r="C2101" t="s">
        <v>5076</v>
      </c>
      <c r="F2101" t="s">
        <v>6694</v>
      </c>
      <c r="G2101" t="s">
        <v>1103</v>
      </c>
    </row>
    <row r="2102" spans="1:7" hidden="1" x14ac:dyDescent="0.25">
      <c r="A2102" t="s">
        <v>6171</v>
      </c>
      <c r="B2102" t="s">
        <v>4193</v>
      </c>
      <c r="C2102" t="s">
        <v>5076</v>
      </c>
      <c r="E2102" t="s">
        <v>5474</v>
      </c>
      <c r="F2102" t="s">
        <v>6697</v>
      </c>
      <c r="G2102" t="s">
        <v>1103</v>
      </c>
    </row>
    <row r="2103" spans="1:7" hidden="1" x14ac:dyDescent="0.25">
      <c r="A2103" t="s">
        <v>650</v>
      </c>
      <c r="B2103" t="s">
        <v>4193</v>
      </c>
      <c r="C2103" t="s">
        <v>5076</v>
      </c>
      <c r="F2103" t="s">
        <v>6700</v>
      </c>
      <c r="G2103" t="s">
        <v>1103</v>
      </c>
    </row>
    <row r="2104" spans="1:7" hidden="1" x14ac:dyDescent="0.25">
      <c r="A2104" t="s">
        <v>2004</v>
      </c>
      <c r="B2104" t="s">
        <v>8</v>
      </c>
      <c r="F2104" t="s">
        <v>6658</v>
      </c>
      <c r="G2104" t="s">
        <v>91</v>
      </c>
    </row>
    <row r="2105" spans="1:7" hidden="1" x14ac:dyDescent="0.25">
      <c r="A2105" t="s">
        <v>2004</v>
      </c>
      <c r="B2105" t="s">
        <v>8</v>
      </c>
      <c r="F2105" t="s">
        <v>6661</v>
      </c>
      <c r="G2105" t="s">
        <v>91</v>
      </c>
    </row>
    <row r="2106" spans="1:7" hidden="1" x14ac:dyDescent="0.25">
      <c r="A2106" t="s">
        <v>4</v>
      </c>
      <c r="B2106" t="s">
        <v>6867</v>
      </c>
      <c r="F2106" t="s">
        <v>6703</v>
      </c>
      <c r="G2106" t="s">
        <v>1104</v>
      </c>
    </row>
    <row r="2107" spans="1:7" hidden="1" x14ac:dyDescent="0.25">
      <c r="A2107" t="s">
        <v>650</v>
      </c>
      <c r="B2107" t="s">
        <v>6190</v>
      </c>
      <c r="C2107" t="s">
        <v>51</v>
      </c>
      <c r="F2107" t="s">
        <v>6706</v>
      </c>
      <c r="G2107" t="s">
        <v>1104</v>
      </c>
    </row>
    <row r="2108" spans="1:7" hidden="1" x14ac:dyDescent="0.25">
      <c r="A2108" t="s">
        <v>1606</v>
      </c>
      <c r="B2108" t="s">
        <v>6190</v>
      </c>
      <c r="C2108" t="s">
        <v>51</v>
      </c>
      <c r="F2108" t="s">
        <v>6709</v>
      </c>
      <c r="G2108" t="s">
        <v>1104</v>
      </c>
    </row>
    <row r="2109" spans="1:7" hidden="1" x14ac:dyDescent="0.25">
      <c r="A2109" t="s">
        <v>2004</v>
      </c>
      <c r="B2109" t="s">
        <v>8</v>
      </c>
      <c r="F2109" t="s">
        <v>6712</v>
      </c>
      <c r="G2109" t="s">
        <v>1105</v>
      </c>
    </row>
    <row r="2110" spans="1:7" hidden="1" x14ac:dyDescent="0.25">
      <c r="A2110" t="s">
        <v>2004</v>
      </c>
      <c r="B2110" t="s">
        <v>8</v>
      </c>
      <c r="F2110" t="s">
        <v>6715</v>
      </c>
      <c r="G2110" t="s">
        <v>1106</v>
      </c>
    </row>
    <row r="2111" spans="1:7" x14ac:dyDescent="0.25">
      <c r="A2111" t="s">
        <v>4</v>
      </c>
      <c r="B2111" t="s">
        <v>6868</v>
      </c>
      <c r="F2111" t="s">
        <v>6875</v>
      </c>
      <c r="G2111" t="s">
        <v>1107</v>
      </c>
    </row>
    <row r="2112" spans="1:7" hidden="1" x14ac:dyDescent="0.25">
      <c r="A2112" t="s">
        <v>4</v>
      </c>
      <c r="B2112" t="s">
        <v>9</v>
      </c>
      <c r="F2112" t="s">
        <v>6718</v>
      </c>
      <c r="G2112" t="s">
        <v>796</v>
      </c>
    </row>
    <row r="2113" spans="1:7" hidden="1" x14ac:dyDescent="0.25">
      <c r="A2113" t="s">
        <v>2004</v>
      </c>
      <c r="B2113" t="s">
        <v>9</v>
      </c>
      <c r="F2113" t="s">
        <v>6721</v>
      </c>
      <c r="G2113" t="s">
        <v>796</v>
      </c>
    </row>
    <row r="2114" spans="1:7" hidden="1" x14ac:dyDescent="0.25">
      <c r="A2114" t="s">
        <v>4</v>
      </c>
      <c r="B2114" t="s">
        <v>9</v>
      </c>
      <c r="F2114" t="s">
        <v>6724</v>
      </c>
      <c r="G2114" t="s">
        <v>1100</v>
      </c>
    </row>
    <row r="2115" spans="1:7" hidden="1" x14ac:dyDescent="0.25">
      <c r="A2115" t="s">
        <v>4</v>
      </c>
      <c r="B2115" t="s">
        <v>6869</v>
      </c>
      <c r="F2115" t="s">
        <v>6727</v>
      </c>
      <c r="G2115" t="s">
        <v>1100</v>
      </c>
    </row>
    <row r="2116" spans="1:7" hidden="1" x14ac:dyDescent="0.25">
      <c r="A2116" t="s">
        <v>1091</v>
      </c>
      <c r="B2116" t="s">
        <v>58</v>
      </c>
      <c r="F2116" t="s">
        <v>6730</v>
      </c>
      <c r="G2116" t="s">
        <v>1100</v>
      </c>
    </row>
    <row r="2117" spans="1:7" hidden="1" x14ac:dyDescent="0.25">
      <c r="A2117" t="s">
        <v>4</v>
      </c>
      <c r="B2117" t="s">
        <v>9</v>
      </c>
      <c r="E2117" t="s">
        <v>2936</v>
      </c>
      <c r="F2117" t="s">
        <v>6733</v>
      </c>
      <c r="G2117" t="s">
        <v>1100</v>
      </c>
    </row>
    <row r="2118" spans="1:7" hidden="1" x14ac:dyDescent="0.25">
      <c r="A2118" t="s">
        <v>1091</v>
      </c>
      <c r="B2118" t="s">
        <v>58</v>
      </c>
      <c r="F2118" t="s">
        <v>6736</v>
      </c>
      <c r="G2118" t="s">
        <v>1100</v>
      </c>
    </row>
    <row r="2119" spans="1:7" hidden="1" x14ac:dyDescent="0.25">
      <c r="A2119" t="s">
        <v>4</v>
      </c>
      <c r="B2119" t="s">
        <v>9</v>
      </c>
      <c r="E2119" t="s">
        <v>2936</v>
      </c>
      <c r="F2119" t="s">
        <v>6739</v>
      </c>
      <c r="G2119" t="s">
        <v>1100</v>
      </c>
    </row>
    <row r="2120" spans="1:7" hidden="1" x14ac:dyDescent="0.25">
      <c r="A2120" t="s">
        <v>1091</v>
      </c>
      <c r="B2120" t="s">
        <v>53</v>
      </c>
      <c r="F2120" t="s">
        <v>6742</v>
      </c>
      <c r="G2120" t="s">
        <v>1100</v>
      </c>
    </row>
    <row r="2121" spans="1:7" hidden="1" x14ac:dyDescent="0.25">
      <c r="A2121" t="s">
        <v>1091</v>
      </c>
      <c r="B2121" t="s">
        <v>58</v>
      </c>
      <c r="F2121" t="s">
        <v>6745</v>
      </c>
      <c r="G2121" t="s">
        <v>1100</v>
      </c>
    </row>
    <row r="2122" spans="1:7" hidden="1" x14ac:dyDescent="0.25">
      <c r="A2122" t="s">
        <v>4</v>
      </c>
      <c r="B2122" t="s">
        <v>9</v>
      </c>
      <c r="E2122" t="s">
        <v>2936</v>
      </c>
      <c r="F2122" t="s">
        <v>6748</v>
      </c>
      <c r="G2122" t="s">
        <v>1100</v>
      </c>
    </row>
    <row r="2123" spans="1:7" hidden="1" x14ac:dyDescent="0.25">
      <c r="A2123" t="s">
        <v>4</v>
      </c>
      <c r="B2123" t="s">
        <v>9</v>
      </c>
      <c r="E2123" t="s">
        <v>2936</v>
      </c>
      <c r="F2123" t="s">
        <v>6751</v>
      </c>
      <c r="G2123" t="s">
        <v>1100</v>
      </c>
    </row>
    <row r="2124" spans="1:7" hidden="1" x14ac:dyDescent="0.25">
      <c r="A2124" t="s">
        <v>4</v>
      </c>
      <c r="B2124" t="s">
        <v>9</v>
      </c>
      <c r="E2124" t="s">
        <v>2936</v>
      </c>
      <c r="F2124" t="s">
        <v>6754</v>
      </c>
      <c r="G2124" t="s">
        <v>1100</v>
      </c>
    </row>
    <row r="2125" spans="1:7" hidden="1" x14ac:dyDescent="0.25">
      <c r="A2125" t="s">
        <v>1091</v>
      </c>
      <c r="B2125" t="s">
        <v>53</v>
      </c>
      <c r="F2125" t="s">
        <v>6757</v>
      </c>
      <c r="G2125" t="s">
        <v>1100</v>
      </c>
    </row>
    <row r="2126" spans="1:7" hidden="1" x14ac:dyDescent="0.25">
      <c r="A2126" t="s">
        <v>4</v>
      </c>
      <c r="B2126" t="s">
        <v>6870</v>
      </c>
      <c r="F2126" t="s">
        <v>6760</v>
      </c>
      <c r="G2126" t="s">
        <v>1100</v>
      </c>
    </row>
    <row r="2127" spans="1:7" hidden="1" x14ac:dyDescent="0.25">
      <c r="A2127" t="s">
        <v>1091</v>
      </c>
      <c r="B2127" t="s">
        <v>53</v>
      </c>
      <c r="F2127" t="s">
        <v>6763</v>
      </c>
      <c r="G2127" t="s">
        <v>1100</v>
      </c>
    </row>
    <row r="2128" spans="1:7" hidden="1" x14ac:dyDescent="0.25">
      <c r="A2128" t="s">
        <v>4</v>
      </c>
      <c r="B2128" t="s">
        <v>9</v>
      </c>
      <c r="F2128" t="s">
        <v>6766</v>
      </c>
      <c r="G2128" t="s">
        <v>1100</v>
      </c>
    </row>
    <row r="2129" spans="1:7" hidden="1" x14ac:dyDescent="0.25">
      <c r="A2129" t="s">
        <v>1091</v>
      </c>
      <c r="B2129" t="s">
        <v>58</v>
      </c>
      <c r="F2129" t="s">
        <v>6769</v>
      </c>
      <c r="G2129" t="s">
        <v>1100</v>
      </c>
    </row>
    <row r="2130" spans="1:7" hidden="1" x14ac:dyDescent="0.25">
      <c r="A2130" t="s">
        <v>1091</v>
      </c>
      <c r="B2130" t="s">
        <v>58</v>
      </c>
      <c r="F2130" t="s">
        <v>6772</v>
      </c>
      <c r="G2130" t="s">
        <v>1100</v>
      </c>
    </row>
    <row r="2131" spans="1:7" hidden="1" x14ac:dyDescent="0.25">
      <c r="A2131" t="s">
        <v>1091</v>
      </c>
      <c r="B2131" t="s">
        <v>58</v>
      </c>
      <c r="F2131" t="s">
        <v>6775</v>
      </c>
      <c r="G2131" t="s">
        <v>1100</v>
      </c>
    </row>
    <row r="2132" spans="1:7" hidden="1" x14ac:dyDescent="0.25">
      <c r="A2132" t="s">
        <v>4</v>
      </c>
      <c r="B2132" t="s">
        <v>9</v>
      </c>
      <c r="E2132" t="s">
        <v>2936</v>
      </c>
      <c r="F2132" t="s">
        <v>6778</v>
      </c>
      <c r="G2132" t="s">
        <v>1100</v>
      </c>
    </row>
    <row r="2133" spans="1:7" hidden="1" x14ac:dyDescent="0.25">
      <c r="A2133" t="s">
        <v>533</v>
      </c>
      <c r="B2133" t="s">
        <v>531</v>
      </c>
      <c r="C2133" t="s">
        <v>58</v>
      </c>
      <c r="E2133" t="s">
        <v>4236</v>
      </c>
      <c r="F2133" t="s">
        <v>6781</v>
      </c>
      <c r="G2133" s="1" t="s">
        <v>1603</v>
      </c>
    </row>
    <row r="2134" spans="1:7" hidden="1" x14ac:dyDescent="0.25">
      <c r="A2134" t="s">
        <v>533</v>
      </c>
      <c r="B2134" t="s">
        <v>531</v>
      </c>
      <c r="C2134" t="s">
        <v>6871</v>
      </c>
      <c r="E2134" t="s">
        <v>4236</v>
      </c>
      <c r="F2134" t="s">
        <v>6784</v>
      </c>
      <c r="G2134" s="1" t="s">
        <v>1603</v>
      </c>
    </row>
    <row r="2135" spans="1:7" hidden="1" x14ac:dyDescent="0.25">
      <c r="A2135" t="s">
        <v>533</v>
      </c>
      <c r="B2135" t="s">
        <v>531</v>
      </c>
      <c r="C2135" t="s">
        <v>58</v>
      </c>
      <c r="E2135" t="s">
        <v>4236</v>
      </c>
      <c r="F2135" t="s">
        <v>6787</v>
      </c>
      <c r="G2135" s="1" t="s">
        <v>1603</v>
      </c>
    </row>
    <row r="2136" spans="1:7" hidden="1" x14ac:dyDescent="0.25">
      <c r="A2136" t="s">
        <v>533</v>
      </c>
      <c r="B2136" t="s">
        <v>531</v>
      </c>
      <c r="C2136" t="s">
        <v>1099</v>
      </c>
      <c r="E2136" t="s">
        <v>4236</v>
      </c>
      <c r="F2136" t="s">
        <v>6790</v>
      </c>
      <c r="G2136" s="1" t="s">
        <v>1603</v>
      </c>
    </row>
    <row r="2137" spans="1:7" hidden="1" x14ac:dyDescent="0.25">
      <c r="A2137" t="s">
        <v>533</v>
      </c>
      <c r="B2137" t="s">
        <v>531</v>
      </c>
      <c r="C2137" t="s">
        <v>58</v>
      </c>
      <c r="E2137" t="s">
        <v>4236</v>
      </c>
      <c r="F2137" t="s">
        <v>6793</v>
      </c>
      <c r="G2137" s="1" t="s">
        <v>1603</v>
      </c>
    </row>
    <row r="2138" spans="1:7" hidden="1" x14ac:dyDescent="0.25">
      <c r="A2138" t="s">
        <v>533</v>
      </c>
      <c r="B2138" t="s">
        <v>531</v>
      </c>
      <c r="C2138" t="s">
        <v>1099</v>
      </c>
      <c r="E2138" t="s">
        <v>4236</v>
      </c>
      <c r="F2138" t="s">
        <v>6796</v>
      </c>
      <c r="G2138" s="1" t="s">
        <v>1603</v>
      </c>
    </row>
    <row r="2139" spans="1:7" hidden="1" x14ac:dyDescent="0.25">
      <c r="A2139" t="s">
        <v>533</v>
      </c>
      <c r="B2139" t="s">
        <v>531</v>
      </c>
      <c r="C2139" t="s">
        <v>58</v>
      </c>
      <c r="E2139" t="s">
        <v>4236</v>
      </c>
      <c r="F2139" t="s">
        <v>6799</v>
      </c>
      <c r="G2139" s="1" t="s">
        <v>1603</v>
      </c>
    </row>
    <row r="2140" spans="1:7" hidden="1" x14ac:dyDescent="0.25">
      <c r="A2140" t="s">
        <v>533</v>
      </c>
      <c r="B2140" t="s">
        <v>531</v>
      </c>
      <c r="C2140" t="s">
        <v>58</v>
      </c>
      <c r="E2140" t="s">
        <v>4236</v>
      </c>
      <c r="F2140" t="s">
        <v>6802</v>
      </c>
      <c r="G2140" s="1" t="s">
        <v>1603</v>
      </c>
    </row>
    <row r="2141" spans="1:7" hidden="1" x14ac:dyDescent="0.25">
      <c r="A2141" t="s">
        <v>533</v>
      </c>
      <c r="B2141" t="s">
        <v>531</v>
      </c>
      <c r="C2141" t="s">
        <v>1099</v>
      </c>
      <c r="E2141" t="s">
        <v>4236</v>
      </c>
      <c r="F2141" t="s">
        <v>6805</v>
      </c>
      <c r="G2141" s="1" t="s">
        <v>1603</v>
      </c>
    </row>
    <row r="2142" spans="1:7" hidden="1" x14ac:dyDescent="0.25">
      <c r="A2142" t="s">
        <v>533</v>
      </c>
      <c r="B2142" t="s">
        <v>531</v>
      </c>
      <c r="C2142" t="s">
        <v>1099</v>
      </c>
      <c r="E2142" t="s">
        <v>4236</v>
      </c>
      <c r="F2142" t="s">
        <v>6808</v>
      </c>
      <c r="G2142" s="1" t="s">
        <v>1603</v>
      </c>
    </row>
    <row r="2143" spans="1:7" hidden="1" x14ac:dyDescent="0.25">
      <c r="A2143" t="s">
        <v>533</v>
      </c>
      <c r="B2143" t="s">
        <v>531</v>
      </c>
      <c r="C2143" t="s">
        <v>7169</v>
      </c>
      <c r="E2143" t="s">
        <v>6339</v>
      </c>
      <c r="F2143" t="s">
        <v>6811</v>
      </c>
      <c r="G2143" s="1" t="s">
        <v>1603</v>
      </c>
    </row>
    <row r="2144" spans="1:7" hidden="1" x14ac:dyDescent="0.25">
      <c r="A2144" t="s">
        <v>4</v>
      </c>
      <c r="B2144" t="s">
        <v>8</v>
      </c>
      <c r="F2144" t="s">
        <v>6814</v>
      </c>
      <c r="G2144" s="1" t="s">
        <v>1603</v>
      </c>
    </row>
    <row r="2145" spans="1:7" hidden="1" x14ac:dyDescent="0.25">
      <c r="A2145" t="s">
        <v>533</v>
      </c>
      <c r="B2145" t="s">
        <v>531</v>
      </c>
      <c r="C2145" t="s">
        <v>58</v>
      </c>
      <c r="E2145" t="s">
        <v>4236</v>
      </c>
      <c r="F2145" t="s">
        <v>6817</v>
      </c>
      <c r="G2145" s="1" t="s">
        <v>1603</v>
      </c>
    </row>
    <row r="2146" spans="1:7" hidden="1" x14ac:dyDescent="0.25">
      <c r="A2146" t="s">
        <v>2004</v>
      </c>
      <c r="B2146" t="s">
        <v>8</v>
      </c>
      <c r="F2146" t="s">
        <v>6820</v>
      </c>
      <c r="G2146" t="s">
        <v>1817</v>
      </c>
    </row>
    <row r="2147" spans="1:7" hidden="1" x14ac:dyDescent="0.25">
      <c r="A2147" t="s">
        <v>4</v>
      </c>
      <c r="B2147" t="s">
        <v>8</v>
      </c>
      <c r="F2147" t="s">
        <v>6823</v>
      </c>
      <c r="G2147" t="s">
        <v>1934</v>
      </c>
    </row>
    <row r="2148" spans="1:7" hidden="1" x14ac:dyDescent="0.25">
      <c r="A2148" t="s">
        <v>4</v>
      </c>
      <c r="B2148" t="s">
        <v>8</v>
      </c>
      <c r="E2148" t="s">
        <v>2936</v>
      </c>
      <c r="F2148" t="s">
        <v>6826</v>
      </c>
      <c r="G2148" t="s">
        <v>1934</v>
      </c>
    </row>
    <row r="2149" spans="1:7" hidden="1" x14ac:dyDescent="0.25">
      <c r="A2149" t="s">
        <v>289</v>
      </c>
      <c r="B2149" t="s">
        <v>5480</v>
      </c>
      <c r="C2149" t="s">
        <v>528</v>
      </c>
      <c r="F2149" t="s">
        <v>6829</v>
      </c>
      <c r="G2149" t="s">
        <v>1997</v>
      </c>
    </row>
    <row r="2150" spans="1:7" hidden="1" x14ac:dyDescent="0.25">
      <c r="A2150" t="s">
        <v>289</v>
      </c>
      <c r="B2150" t="s">
        <v>5480</v>
      </c>
      <c r="C2150" t="s">
        <v>528</v>
      </c>
      <c r="E2150" t="s">
        <v>2936</v>
      </c>
      <c r="F2150" t="s">
        <v>6832</v>
      </c>
      <c r="G2150" t="s">
        <v>1997</v>
      </c>
    </row>
    <row r="2151" spans="1:7" hidden="1" x14ac:dyDescent="0.25">
      <c r="A2151" t="s">
        <v>158</v>
      </c>
      <c r="B2151" t="s">
        <v>5480</v>
      </c>
      <c r="C2151" t="s">
        <v>528</v>
      </c>
      <c r="E2151" t="s">
        <v>5102</v>
      </c>
      <c r="F2151" t="s">
        <v>6835</v>
      </c>
      <c r="G2151" t="s">
        <v>1997</v>
      </c>
    </row>
    <row r="2152" spans="1:7" hidden="1" x14ac:dyDescent="0.25">
      <c r="A2152" t="s">
        <v>289</v>
      </c>
      <c r="B2152" t="s">
        <v>5480</v>
      </c>
      <c r="C2152" t="s">
        <v>528</v>
      </c>
      <c r="F2152" t="s">
        <v>6838</v>
      </c>
      <c r="G2152" t="s">
        <v>1997</v>
      </c>
    </row>
    <row r="2153" spans="1:7" hidden="1" x14ac:dyDescent="0.25">
      <c r="A2153" t="s">
        <v>158</v>
      </c>
      <c r="B2153" t="s">
        <v>5480</v>
      </c>
      <c r="C2153" t="s">
        <v>528</v>
      </c>
      <c r="E2153" t="s">
        <v>5102</v>
      </c>
      <c r="F2153" t="s">
        <v>6841</v>
      </c>
      <c r="G2153" t="s">
        <v>1997</v>
      </c>
    </row>
    <row r="2154" spans="1:7" hidden="1" x14ac:dyDescent="0.25">
      <c r="A2154" t="s">
        <v>4223</v>
      </c>
      <c r="B2154" t="s">
        <v>5480</v>
      </c>
      <c r="C2154" t="s">
        <v>6872</v>
      </c>
      <c r="E2154" t="s">
        <v>6531</v>
      </c>
      <c r="F2154" t="s">
        <v>6844</v>
      </c>
      <c r="G2154" t="s">
        <v>1997</v>
      </c>
    </row>
    <row r="2155" spans="1:7" hidden="1" x14ac:dyDescent="0.25">
      <c r="A2155" t="s">
        <v>4223</v>
      </c>
      <c r="B2155" t="s">
        <v>5480</v>
      </c>
      <c r="C2155" t="s">
        <v>6872</v>
      </c>
      <c r="E2155" t="s">
        <v>2936</v>
      </c>
      <c r="F2155" t="s">
        <v>6847</v>
      </c>
      <c r="G2155" t="s">
        <v>1997</v>
      </c>
    </row>
    <row r="2156" spans="1:7" hidden="1" x14ac:dyDescent="0.25">
      <c r="A2156" t="s">
        <v>158</v>
      </c>
      <c r="B2156" t="s">
        <v>5480</v>
      </c>
      <c r="C2156" t="s">
        <v>6872</v>
      </c>
      <c r="E2156" t="s">
        <v>5102</v>
      </c>
      <c r="F2156" t="s">
        <v>6850</v>
      </c>
      <c r="G2156" t="s">
        <v>1997</v>
      </c>
    </row>
    <row r="2157" spans="1:7" hidden="1" x14ac:dyDescent="0.25">
      <c r="A2157" t="s">
        <v>4</v>
      </c>
      <c r="B2157" t="s">
        <v>6873</v>
      </c>
      <c r="E2157" t="s">
        <v>6531</v>
      </c>
      <c r="F2157" t="s">
        <v>6853</v>
      </c>
      <c r="G2157" t="s">
        <v>1997</v>
      </c>
    </row>
    <row r="2158" spans="1:7" hidden="1" x14ac:dyDescent="0.25">
      <c r="A2158" t="s">
        <v>4</v>
      </c>
      <c r="B2158" t="s">
        <v>2932</v>
      </c>
      <c r="F2158" t="s">
        <v>6856</v>
      </c>
      <c r="G2158" t="s">
        <v>1997</v>
      </c>
    </row>
    <row r="2159" spans="1:7" hidden="1" x14ac:dyDescent="0.25">
      <c r="A2159" t="s">
        <v>4</v>
      </c>
      <c r="B2159" t="s">
        <v>6874</v>
      </c>
      <c r="F2159" t="s">
        <v>6859</v>
      </c>
      <c r="G2159" t="s">
        <v>1997</v>
      </c>
    </row>
    <row r="2160" spans="1:7" hidden="1" x14ac:dyDescent="0.25">
      <c r="A2160" t="s">
        <v>4</v>
      </c>
      <c r="B2160" t="s">
        <v>8</v>
      </c>
      <c r="F2160" t="s">
        <v>6862</v>
      </c>
      <c r="G2160" t="s">
        <v>1997</v>
      </c>
    </row>
    <row r="2161" spans="1:7" hidden="1" x14ac:dyDescent="0.25">
      <c r="A2161" t="s">
        <v>2004</v>
      </c>
      <c r="F2161" t="s">
        <v>6899</v>
      </c>
      <c r="G2161" t="s">
        <v>1102</v>
      </c>
    </row>
    <row r="2162" spans="1:7" hidden="1" x14ac:dyDescent="0.25">
      <c r="A2162" t="s">
        <v>2004</v>
      </c>
      <c r="F2162" t="s">
        <v>6902</v>
      </c>
      <c r="G2162" t="s">
        <v>1102</v>
      </c>
    </row>
    <row r="2163" spans="1:7" hidden="1" x14ac:dyDescent="0.25">
      <c r="A2163" t="s">
        <v>4221</v>
      </c>
      <c r="B2163" t="s">
        <v>86</v>
      </c>
      <c r="C2163" t="s">
        <v>1099</v>
      </c>
      <c r="E2163" t="s">
        <v>4236</v>
      </c>
      <c r="F2163" t="s">
        <v>6878</v>
      </c>
      <c r="G2163" t="s">
        <v>1103</v>
      </c>
    </row>
    <row r="2164" spans="1:7" hidden="1" x14ac:dyDescent="0.25">
      <c r="A2164" t="s">
        <v>4221</v>
      </c>
      <c r="B2164" t="s">
        <v>86</v>
      </c>
      <c r="C2164" t="s">
        <v>1099</v>
      </c>
      <c r="E2164" t="s">
        <v>4236</v>
      </c>
      <c r="F2164" t="s">
        <v>6881</v>
      </c>
      <c r="G2164" t="s">
        <v>1103</v>
      </c>
    </row>
    <row r="2165" spans="1:7" hidden="1" x14ac:dyDescent="0.25">
      <c r="A2165" t="s">
        <v>4221</v>
      </c>
      <c r="B2165" t="s">
        <v>86</v>
      </c>
      <c r="C2165" t="s">
        <v>1099</v>
      </c>
      <c r="E2165" t="s">
        <v>4236</v>
      </c>
      <c r="F2165" t="s">
        <v>6884</v>
      </c>
      <c r="G2165" t="s">
        <v>1103</v>
      </c>
    </row>
    <row r="2166" spans="1:7" hidden="1" x14ac:dyDescent="0.25">
      <c r="A2166" t="s">
        <v>4221</v>
      </c>
      <c r="B2166" t="s">
        <v>86</v>
      </c>
      <c r="C2166" t="s">
        <v>1099</v>
      </c>
      <c r="E2166" t="s">
        <v>4236</v>
      </c>
      <c r="F2166" t="s">
        <v>6887</v>
      </c>
      <c r="G2166" t="s">
        <v>1103</v>
      </c>
    </row>
    <row r="2167" spans="1:7" hidden="1" x14ac:dyDescent="0.25">
      <c r="A2167" t="s">
        <v>4221</v>
      </c>
      <c r="B2167" t="s">
        <v>86</v>
      </c>
      <c r="C2167" t="s">
        <v>1099</v>
      </c>
      <c r="E2167" t="s">
        <v>4236</v>
      </c>
      <c r="F2167" t="s">
        <v>6890</v>
      </c>
      <c r="G2167" t="s">
        <v>1103</v>
      </c>
    </row>
    <row r="2168" spans="1:7" hidden="1" x14ac:dyDescent="0.25">
      <c r="A2168" t="s">
        <v>4221</v>
      </c>
      <c r="B2168" t="s">
        <v>86</v>
      </c>
      <c r="C2168" t="s">
        <v>1099</v>
      </c>
      <c r="E2168" t="s">
        <v>4236</v>
      </c>
      <c r="F2168" t="s">
        <v>6893</v>
      </c>
      <c r="G2168" t="s">
        <v>1103</v>
      </c>
    </row>
    <row r="2169" spans="1:7" hidden="1" x14ac:dyDescent="0.25">
      <c r="A2169" t="s">
        <v>2004</v>
      </c>
      <c r="B2169" t="s">
        <v>8</v>
      </c>
      <c r="F2169" t="s">
        <v>6896</v>
      </c>
      <c r="G2169" t="s">
        <v>1103</v>
      </c>
    </row>
    <row r="2170" spans="1:7" hidden="1" x14ac:dyDescent="0.25">
      <c r="A2170" t="s">
        <v>2004</v>
      </c>
      <c r="B2170" t="s">
        <v>8</v>
      </c>
      <c r="F2170" t="s">
        <v>6911</v>
      </c>
      <c r="G2170" t="s">
        <v>91</v>
      </c>
    </row>
    <row r="2171" spans="1:7" hidden="1" x14ac:dyDescent="0.25">
      <c r="A2171" t="s">
        <v>2004</v>
      </c>
      <c r="B2171" t="s">
        <v>8</v>
      </c>
      <c r="F2171" t="s">
        <v>6914</v>
      </c>
      <c r="G2171" t="s">
        <v>91</v>
      </c>
    </row>
    <row r="2172" spans="1:7" hidden="1" x14ac:dyDescent="0.25">
      <c r="A2172" t="s">
        <v>2004</v>
      </c>
      <c r="B2172" t="s">
        <v>8</v>
      </c>
      <c r="F2172" t="s">
        <v>6905</v>
      </c>
      <c r="G2172" t="s">
        <v>1104</v>
      </c>
    </row>
    <row r="2173" spans="1:7" hidden="1" x14ac:dyDescent="0.25">
      <c r="A2173" t="s">
        <v>2004</v>
      </c>
      <c r="B2173" t="s">
        <v>8</v>
      </c>
      <c r="F2173" t="s">
        <v>6908</v>
      </c>
      <c r="G2173" t="s">
        <v>1104</v>
      </c>
    </row>
    <row r="2174" spans="1:7" hidden="1" x14ac:dyDescent="0.25">
      <c r="A2174" t="s">
        <v>4</v>
      </c>
      <c r="B2174" t="s">
        <v>8</v>
      </c>
      <c r="F2174" t="s">
        <v>7139</v>
      </c>
      <c r="G2174" t="s">
        <v>1105</v>
      </c>
    </row>
    <row r="2175" spans="1:7" hidden="1" x14ac:dyDescent="0.25">
      <c r="A2175" t="s">
        <v>651</v>
      </c>
      <c r="B2175" t="s">
        <v>4247</v>
      </c>
      <c r="F2175" t="s">
        <v>7142</v>
      </c>
      <c r="G2175" t="s">
        <v>1105</v>
      </c>
    </row>
    <row r="2176" spans="1:7" hidden="1" x14ac:dyDescent="0.25">
      <c r="A2176" t="s">
        <v>12</v>
      </c>
      <c r="B2176" t="s">
        <v>1607</v>
      </c>
      <c r="F2176" t="s">
        <v>7145</v>
      </c>
      <c r="G2176" t="s">
        <v>1105</v>
      </c>
    </row>
    <row r="2177" spans="1:7" hidden="1" x14ac:dyDescent="0.25">
      <c r="A2177" t="s">
        <v>4</v>
      </c>
      <c r="B2177" t="s">
        <v>8</v>
      </c>
      <c r="F2177" t="s">
        <v>7148</v>
      </c>
      <c r="G2177" t="s">
        <v>1105</v>
      </c>
    </row>
    <row r="2178" spans="1:7" hidden="1" x14ac:dyDescent="0.25">
      <c r="A2178" t="s">
        <v>2004</v>
      </c>
      <c r="B2178" t="s">
        <v>8</v>
      </c>
      <c r="F2178" t="s">
        <v>7151</v>
      </c>
      <c r="G2178" t="s">
        <v>1105</v>
      </c>
    </row>
    <row r="2179" spans="1:7" hidden="1" x14ac:dyDescent="0.25">
      <c r="A2179" t="s">
        <v>2004</v>
      </c>
      <c r="B2179" t="s">
        <v>8</v>
      </c>
      <c r="F2179" t="s">
        <v>7154</v>
      </c>
      <c r="G2179" t="s">
        <v>1105</v>
      </c>
    </row>
    <row r="2180" spans="1:7" hidden="1" x14ac:dyDescent="0.25">
      <c r="A2180" t="s">
        <v>2004</v>
      </c>
      <c r="B2180" t="s">
        <v>8</v>
      </c>
      <c r="F2180" t="s">
        <v>6917</v>
      </c>
      <c r="G2180" t="s">
        <v>1106</v>
      </c>
    </row>
    <row r="2181" spans="1:7" hidden="1" x14ac:dyDescent="0.25">
      <c r="A2181" t="s">
        <v>2004</v>
      </c>
      <c r="B2181" t="s">
        <v>8</v>
      </c>
      <c r="F2181" t="s">
        <v>6920</v>
      </c>
      <c r="G2181" t="s">
        <v>1106</v>
      </c>
    </row>
    <row r="2182" spans="1:7" hidden="1" x14ac:dyDescent="0.25">
      <c r="A2182" t="s">
        <v>2004</v>
      </c>
      <c r="B2182" t="s">
        <v>8</v>
      </c>
      <c r="F2182" t="s">
        <v>6923</v>
      </c>
      <c r="G2182" t="s">
        <v>1106</v>
      </c>
    </row>
    <row r="2183" spans="1:7" x14ac:dyDescent="0.25">
      <c r="A2183" t="s">
        <v>2004</v>
      </c>
      <c r="B2183" t="s">
        <v>8</v>
      </c>
      <c r="F2183" t="s">
        <v>6926</v>
      </c>
      <c r="G2183" t="s">
        <v>1107</v>
      </c>
    </row>
    <row r="2184" spans="1:7" x14ac:dyDescent="0.25">
      <c r="A2184" t="s">
        <v>4212</v>
      </c>
      <c r="F2184" t="s">
        <v>7160</v>
      </c>
      <c r="G2184" t="s">
        <v>1107</v>
      </c>
    </row>
    <row r="2185" spans="1:7" x14ac:dyDescent="0.25">
      <c r="A2185" t="s">
        <v>2004</v>
      </c>
      <c r="B2185" t="s">
        <v>8</v>
      </c>
      <c r="F2185" t="s">
        <v>6929</v>
      </c>
      <c r="G2185" t="s">
        <v>1107</v>
      </c>
    </row>
    <row r="2186" spans="1:7" hidden="1" x14ac:dyDescent="0.25">
      <c r="A2186" t="s">
        <v>2004</v>
      </c>
      <c r="B2186" t="s">
        <v>9</v>
      </c>
      <c r="F2186" t="s">
        <v>6932</v>
      </c>
      <c r="G2186" t="s">
        <v>796</v>
      </c>
    </row>
    <row r="2187" spans="1:7" hidden="1" x14ac:dyDescent="0.25">
      <c r="A2187" t="s">
        <v>4</v>
      </c>
      <c r="B2187" t="s">
        <v>9</v>
      </c>
      <c r="F2187" t="s">
        <v>6935</v>
      </c>
      <c r="G2187" t="s">
        <v>796</v>
      </c>
    </row>
    <row r="2188" spans="1:7" hidden="1" x14ac:dyDescent="0.25">
      <c r="A2188" t="s">
        <v>7166</v>
      </c>
      <c r="F2188" t="s">
        <v>6938</v>
      </c>
      <c r="G2188" t="s">
        <v>796</v>
      </c>
    </row>
    <row r="2189" spans="1:7" hidden="1" x14ac:dyDescent="0.25">
      <c r="A2189" t="s">
        <v>1091</v>
      </c>
      <c r="B2189" t="s">
        <v>7167</v>
      </c>
      <c r="F2189" t="s">
        <v>6941</v>
      </c>
      <c r="G2189" t="s">
        <v>796</v>
      </c>
    </row>
    <row r="2190" spans="1:7" hidden="1" x14ac:dyDescent="0.25">
      <c r="A2190" t="s">
        <v>2004</v>
      </c>
      <c r="B2190" t="s">
        <v>9</v>
      </c>
      <c r="F2190" t="s">
        <v>6944</v>
      </c>
      <c r="G2190" t="s">
        <v>796</v>
      </c>
    </row>
    <row r="2191" spans="1:7" hidden="1" x14ac:dyDescent="0.25">
      <c r="A2191" t="s">
        <v>4</v>
      </c>
      <c r="B2191" t="s">
        <v>9</v>
      </c>
      <c r="F2191" t="s">
        <v>6947</v>
      </c>
      <c r="G2191" t="s">
        <v>1100</v>
      </c>
    </row>
    <row r="2192" spans="1:7" hidden="1" x14ac:dyDescent="0.25">
      <c r="A2192" t="s">
        <v>4</v>
      </c>
      <c r="B2192" t="s">
        <v>9</v>
      </c>
      <c r="E2192" t="s">
        <v>2936</v>
      </c>
      <c r="F2192" t="s">
        <v>6950</v>
      </c>
      <c r="G2192" t="s">
        <v>1100</v>
      </c>
    </row>
    <row r="2193" spans="1:7" hidden="1" x14ac:dyDescent="0.25">
      <c r="A2193" t="s">
        <v>1091</v>
      </c>
      <c r="B2193" t="s">
        <v>58</v>
      </c>
      <c r="F2193" t="s">
        <v>6953</v>
      </c>
      <c r="G2193" t="s">
        <v>1100</v>
      </c>
    </row>
    <row r="2194" spans="1:7" hidden="1" x14ac:dyDescent="0.25">
      <c r="A2194" t="s">
        <v>1091</v>
      </c>
      <c r="B2194" t="s">
        <v>58</v>
      </c>
      <c r="F2194" t="s">
        <v>6956</v>
      </c>
      <c r="G2194" t="s">
        <v>1100</v>
      </c>
    </row>
    <row r="2195" spans="1:7" hidden="1" x14ac:dyDescent="0.25">
      <c r="A2195" t="s">
        <v>1091</v>
      </c>
      <c r="B2195" t="s">
        <v>58</v>
      </c>
      <c r="F2195" t="s">
        <v>6959</v>
      </c>
      <c r="G2195" t="s">
        <v>1100</v>
      </c>
    </row>
    <row r="2196" spans="1:7" hidden="1" x14ac:dyDescent="0.25">
      <c r="A2196" t="s">
        <v>1091</v>
      </c>
      <c r="B2196" t="s">
        <v>58</v>
      </c>
      <c r="F2196" t="s">
        <v>6962</v>
      </c>
      <c r="G2196" t="s">
        <v>1100</v>
      </c>
    </row>
    <row r="2197" spans="1:7" hidden="1" x14ac:dyDescent="0.25">
      <c r="A2197" t="s">
        <v>4</v>
      </c>
      <c r="B2197" t="s">
        <v>9</v>
      </c>
      <c r="E2197" t="s">
        <v>2936</v>
      </c>
      <c r="F2197" t="s">
        <v>6965</v>
      </c>
      <c r="G2197" t="s">
        <v>1100</v>
      </c>
    </row>
    <row r="2198" spans="1:7" hidden="1" x14ac:dyDescent="0.25">
      <c r="A2198" t="s">
        <v>4</v>
      </c>
      <c r="B2198" t="s">
        <v>9</v>
      </c>
      <c r="E2198" t="s">
        <v>2936</v>
      </c>
      <c r="F2198" t="s">
        <v>6968</v>
      </c>
      <c r="G2198" t="s">
        <v>1100</v>
      </c>
    </row>
    <row r="2199" spans="1:7" hidden="1" x14ac:dyDescent="0.25">
      <c r="A2199" t="s">
        <v>4</v>
      </c>
      <c r="B2199" t="s">
        <v>9</v>
      </c>
      <c r="E2199" t="s">
        <v>2936</v>
      </c>
      <c r="F2199" t="s">
        <v>6971</v>
      </c>
      <c r="G2199" t="s">
        <v>1100</v>
      </c>
    </row>
    <row r="2200" spans="1:7" hidden="1" x14ac:dyDescent="0.25">
      <c r="A2200" t="s">
        <v>4221</v>
      </c>
      <c r="B2200" t="s">
        <v>5480</v>
      </c>
      <c r="C2200" t="s">
        <v>6188</v>
      </c>
      <c r="F2200" t="s">
        <v>6974</v>
      </c>
      <c r="G2200" t="s">
        <v>1100</v>
      </c>
    </row>
    <row r="2201" spans="1:7" hidden="1" x14ac:dyDescent="0.25">
      <c r="A2201" t="s">
        <v>4221</v>
      </c>
      <c r="B2201" t="s">
        <v>5480</v>
      </c>
      <c r="C2201" t="s">
        <v>6188</v>
      </c>
      <c r="F2201" t="s">
        <v>6977</v>
      </c>
      <c r="G2201" t="s">
        <v>1100</v>
      </c>
    </row>
    <row r="2202" spans="1:7" hidden="1" x14ac:dyDescent="0.25">
      <c r="A2202" t="s">
        <v>4221</v>
      </c>
      <c r="B2202" t="s">
        <v>5480</v>
      </c>
      <c r="C2202" t="s">
        <v>6188</v>
      </c>
      <c r="F2202" t="s">
        <v>6980</v>
      </c>
      <c r="G2202" t="s">
        <v>1100</v>
      </c>
    </row>
    <row r="2203" spans="1:7" hidden="1" x14ac:dyDescent="0.25">
      <c r="A2203" t="s">
        <v>4</v>
      </c>
      <c r="B2203" t="s">
        <v>9</v>
      </c>
      <c r="F2203" t="s">
        <v>6983</v>
      </c>
      <c r="G2203" t="s">
        <v>1100</v>
      </c>
    </row>
    <row r="2204" spans="1:7" hidden="1" x14ac:dyDescent="0.25">
      <c r="A2204" t="s">
        <v>1091</v>
      </c>
      <c r="B2204" t="s">
        <v>58</v>
      </c>
      <c r="F2204" t="s">
        <v>6986</v>
      </c>
      <c r="G2204" t="s">
        <v>1100</v>
      </c>
    </row>
    <row r="2205" spans="1:7" hidden="1" x14ac:dyDescent="0.25">
      <c r="A2205" t="s">
        <v>4</v>
      </c>
      <c r="B2205" t="s">
        <v>9</v>
      </c>
      <c r="F2205" t="s">
        <v>6989</v>
      </c>
      <c r="G2205" t="s">
        <v>1100</v>
      </c>
    </row>
    <row r="2206" spans="1:7" hidden="1" x14ac:dyDescent="0.25">
      <c r="A2206" t="s">
        <v>4</v>
      </c>
      <c r="B2206" t="s">
        <v>9</v>
      </c>
      <c r="E2206" t="s">
        <v>2936</v>
      </c>
      <c r="F2206" t="s">
        <v>6992</v>
      </c>
      <c r="G2206" t="s">
        <v>1100</v>
      </c>
    </row>
    <row r="2207" spans="1:7" hidden="1" x14ac:dyDescent="0.25">
      <c r="A2207" t="s">
        <v>4</v>
      </c>
      <c r="B2207" t="s">
        <v>9</v>
      </c>
      <c r="E2207" t="s">
        <v>2936</v>
      </c>
      <c r="F2207" t="s">
        <v>6995</v>
      </c>
      <c r="G2207" t="s">
        <v>1100</v>
      </c>
    </row>
    <row r="2208" spans="1:7" hidden="1" x14ac:dyDescent="0.25">
      <c r="A2208" t="s">
        <v>4</v>
      </c>
      <c r="B2208" t="s">
        <v>9</v>
      </c>
      <c r="E2208" t="s">
        <v>2936</v>
      </c>
      <c r="F2208" t="s">
        <v>6998</v>
      </c>
      <c r="G2208" t="s">
        <v>1100</v>
      </c>
    </row>
    <row r="2209" spans="1:7" hidden="1" x14ac:dyDescent="0.25">
      <c r="A2209" t="s">
        <v>4</v>
      </c>
      <c r="B2209" t="s">
        <v>9</v>
      </c>
      <c r="E2209" t="s">
        <v>2936</v>
      </c>
      <c r="F2209" t="s">
        <v>7001</v>
      </c>
      <c r="G2209" t="s">
        <v>1100</v>
      </c>
    </row>
    <row r="2210" spans="1:7" hidden="1" x14ac:dyDescent="0.25">
      <c r="A2210" t="s">
        <v>4</v>
      </c>
      <c r="B2210" t="s">
        <v>9</v>
      </c>
      <c r="E2210" t="s">
        <v>2936</v>
      </c>
      <c r="F2210" t="s">
        <v>7004</v>
      </c>
      <c r="G2210" t="s">
        <v>1100</v>
      </c>
    </row>
    <row r="2211" spans="1:7" hidden="1" x14ac:dyDescent="0.25">
      <c r="A2211" t="s">
        <v>4</v>
      </c>
      <c r="B2211" t="s">
        <v>9</v>
      </c>
      <c r="E2211" t="s">
        <v>2936</v>
      </c>
      <c r="F2211" t="s">
        <v>7007</v>
      </c>
      <c r="G2211" t="s">
        <v>1100</v>
      </c>
    </row>
    <row r="2212" spans="1:7" hidden="1" x14ac:dyDescent="0.25">
      <c r="A2212" t="s">
        <v>4</v>
      </c>
      <c r="B2212" t="s">
        <v>1607</v>
      </c>
      <c r="C2212" t="s">
        <v>7168</v>
      </c>
      <c r="F2212" t="s">
        <v>7010</v>
      </c>
      <c r="G2212" t="s">
        <v>1100</v>
      </c>
    </row>
    <row r="2213" spans="1:7" hidden="1" x14ac:dyDescent="0.25">
      <c r="A2213" t="s">
        <v>4</v>
      </c>
      <c r="B2213" t="s">
        <v>1607</v>
      </c>
      <c r="C2213" t="s">
        <v>3076</v>
      </c>
      <c r="F2213" t="s">
        <v>7013</v>
      </c>
      <c r="G2213" t="s">
        <v>1100</v>
      </c>
    </row>
    <row r="2214" spans="1:7" hidden="1" x14ac:dyDescent="0.25">
      <c r="A2214" t="s">
        <v>4</v>
      </c>
      <c r="B2214" t="s">
        <v>9</v>
      </c>
      <c r="F2214" t="s">
        <v>7016</v>
      </c>
      <c r="G2214" t="s">
        <v>1100</v>
      </c>
    </row>
    <row r="2215" spans="1:7" hidden="1" x14ac:dyDescent="0.25">
      <c r="A2215" t="s">
        <v>2004</v>
      </c>
      <c r="B2215" t="s">
        <v>9</v>
      </c>
      <c r="F2215" t="s">
        <v>7019</v>
      </c>
      <c r="G2215" t="s">
        <v>1100</v>
      </c>
    </row>
    <row r="2216" spans="1:7" hidden="1" x14ac:dyDescent="0.25">
      <c r="A2216" t="s">
        <v>2004</v>
      </c>
      <c r="B2216" t="s">
        <v>9</v>
      </c>
      <c r="F2216" t="s">
        <v>7022</v>
      </c>
      <c r="G2216" t="s">
        <v>1100</v>
      </c>
    </row>
    <row r="2217" spans="1:7" hidden="1" x14ac:dyDescent="0.25">
      <c r="A2217" t="s">
        <v>4</v>
      </c>
      <c r="B2217" t="s">
        <v>8</v>
      </c>
      <c r="F2217" t="s">
        <v>7025</v>
      </c>
      <c r="G2217" s="1" t="s">
        <v>1603</v>
      </c>
    </row>
    <row r="2218" spans="1:7" hidden="1" x14ac:dyDescent="0.25">
      <c r="A2218" t="s">
        <v>533</v>
      </c>
      <c r="B2218" t="s">
        <v>531</v>
      </c>
      <c r="C2218" t="s">
        <v>58</v>
      </c>
      <c r="E2218" t="s">
        <v>2949</v>
      </c>
      <c r="F2218" t="s">
        <v>7028</v>
      </c>
      <c r="G2218" s="1" t="s">
        <v>1603</v>
      </c>
    </row>
    <row r="2219" spans="1:7" hidden="1" x14ac:dyDescent="0.25">
      <c r="A2219" t="s">
        <v>533</v>
      </c>
      <c r="B2219" t="s">
        <v>531</v>
      </c>
      <c r="C2219" t="s">
        <v>58</v>
      </c>
      <c r="E2219" t="s">
        <v>2936</v>
      </c>
      <c r="F2219" t="s">
        <v>7031</v>
      </c>
      <c r="G2219" s="1" t="s">
        <v>1603</v>
      </c>
    </row>
    <row r="2220" spans="1:7" hidden="1" x14ac:dyDescent="0.25">
      <c r="A2220" t="s">
        <v>533</v>
      </c>
      <c r="B2220" t="s">
        <v>531</v>
      </c>
      <c r="C2220" t="s">
        <v>58</v>
      </c>
      <c r="E2220" t="s">
        <v>4236</v>
      </c>
      <c r="F2220" t="s">
        <v>7034</v>
      </c>
      <c r="G2220" s="1" t="s">
        <v>1603</v>
      </c>
    </row>
    <row r="2221" spans="1:7" hidden="1" x14ac:dyDescent="0.25">
      <c r="A2221" t="s">
        <v>4223</v>
      </c>
      <c r="B2221" t="s">
        <v>5480</v>
      </c>
      <c r="C2221" t="s">
        <v>2944</v>
      </c>
      <c r="F2221" t="s">
        <v>7037</v>
      </c>
      <c r="G2221" s="1" t="s">
        <v>1603</v>
      </c>
    </row>
    <row r="2222" spans="1:7" hidden="1" x14ac:dyDescent="0.25">
      <c r="A2222" t="s">
        <v>158</v>
      </c>
      <c r="B2222" t="s">
        <v>86</v>
      </c>
      <c r="C2222" t="s">
        <v>2944</v>
      </c>
      <c r="E2222" t="s">
        <v>2954</v>
      </c>
      <c r="F2222" t="s">
        <v>7040</v>
      </c>
      <c r="G2222" s="1" t="s">
        <v>1603</v>
      </c>
    </row>
    <row r="2223" spans="1:7" hidden="1" x14ac:dyDescent="0.25">
      <c r="A2223" t="s">
        <v>4223</v>
      </c>
      <c r="B2223" t="s">
        <v>5480</v>
      </c>
      <c r="C2223" t="s">
        <v>528</v>
      </c>
      <c r="F2223" t="s">
        <v>7043</v>
      </c>
      <c r="G2223" s="1" t="s">
        <v>1603</v>
      </c>
    </row>
    <row r="2224" spans="1:7" hidden="1" x14ac:dyDescent="0.25">
      <c r="A2224" t="s">
        <v>533</v>
      </c>
      <c r="B2224" t="s">
        <v>531</v>
      </c>
      <c r="C2224" t="s">
        <v>58</v>
      </c>
      <c r="E2224" t="s">
        <v>4236</v>
      </c>
      <c r="F2224" t="s">
        <v>7046</v>
      </c>
      <c r="G2224" s="1" t="s">
        <v>1603</v>
      </c>
    </row>
    <row r="2225" spans="1:7" hidden="1" x14ac:dyDescent="0.25">
      <c r="A2225" t="s">
        <v>533</v>
      </c>
      <c r="B2225" t="s">
        <v>531</v>
      </c>
      <c r="C2225" t="s">
        <v>58</v>
      </c>
      <c r="E2225" t="s">
        <v>4236</v>
      </c>
      <c r="F2225" t="s">
        <v>7049</v>
      </c>
      <c r="G2225" s="1" t="s">
        <v>1603</v>
      </c>
    </row>
    <row r="2226" spans="1:7" hidden="1" x14ac:dyDescent="0.25">
      <c r="A2226" t="s">
        <v>533</v>
      </c>
      <c r="B2226" t="s">
        <v>531</v>
      </c>
      <c r="C2226" t="s">
        <v>6871</v>
      </c>
      <c r="E2226" t="s">
        <v>4236</v>
      </c>
      <c r="F2226" t="s">
        <v>7052</v>
      </c>
      <c r="G2226" s="1" t="s">
        <v>1603</v>
      </c>
    </row>
    <row r="2227" spans="1:7" hidden="1" x14ac:dyDescent="0.25">
      <c r="A2227" t="s">
        <v>158</v>
      </c>
      <c r="B2227" t="s">
        <v>531</v>
      </c>
      <c r="C2227" t="s">
        <v>6871</v>
      </c>
      <c r="E2227" t="s">
        <v>4236</v>
      </c>
      <c r="F2227" t="s">
        <v>7055</v>
      </c>
      <c r="G2227" s="1" t="s">
        <v>1603</v>
      </c>
    </row>
    <row r="2228" spans="1:7" hidden="1" x14ac:dyDescent="0.25">
      <c r="A2228" t="s">
        <v>533</v>
      </c>
      <c r="B2228" t="s">
        <v>531</v>
      </c>
      <c r="C2228" t="s">
        <v>2944</v>
      </c>
      <c r="E2228" t="s">
        <v>4236</v>
      </c>
      <c r="F2228" t="s">
        <v>7058</v>
      </c>
      <c r="G2228" s="1" t="s">
        <v>1603</v>
      </c>
    </row>
    <row r="2229" spans="1:7" hidden="1" x14ac:dyDescent="0.25">
      <c r="A2229" t="s">
        <v>533</v>
      </c>
      <c r="B2229" t="s">
        <v>531</v>
      </c>
      <c r="C2229" t="s">
        <v>7170</v>
      </c>
      <c r="F2229" t="s">
        <v>7061</v>
      </c>
      <c r="G2229" s="1" t="s">
        <v>1603</v>
      </c>
    </row>
    <row r="2230" spans="1:7" hidden="1" x14ac:dyDescent="0.25">
      <c r="A2230" t="s">
        <v>533</v>
      </c>
      <c r="B2230" t="s">
        <v>531</v>
      </c>
      <c r="C2230" t="s">
        <v>7169</v>
      </c>
      <c r="E2230" t="s">
        <v>6339</v>
      </c>
      <c r="F2230" t="s">
        <v>7064</v>
      </c>
      <c r="G2230" s="1" t="s">
        <v>1603</v>
      </c>
    </row>
    <row r="2231" spans="1:7" hidden="1" x14ac:dyDescent="0.25">
      <c r="A2231" t="s">
        <v>4221</v>
      </c>
      <c r="B2231" t="s">
        <v>86</v>
      </c>
      <c r="C2231" t="s">
        <v>58</v>
      </c>
      <c r="E2231" t="s">
        <v>1620</v>
      </c>
      <c r="F2231" t="s">
        <v>7067</v>
      </c>
      <c r="G2231" s="1" t="s">
        <v>1603</v>
      </c>
    </row>
    <row r="2232" spans="1:7" hidden="1" x14ac:dyDescent="0.25">
      <c r="A2232" t="s">
        <v>158</v>
      </c>
      <c r="B2232" t="s">
        <v>86</v>
      </c>
      <c r="C2232" t="s">
        <v>58</v>
      </c>
      <c r="E2232" t="s">
        <v>2954</v>
      </c>
      <c r="F2232" t="s">
        <v>7070</v>
      </c>
      <c r="G2232" s="1" t="s">
        <v>1603</v>
      </c>
    </row>
    <row r="2233" spans="1:7" hidden="1" x14ac:dyDescent="0.25">
      <c r="A2233" t="s">
        <v>4221</v>
      </c>
      <c r="B2233" t="s">
        <v>86</v>
      </c>
      <c r="C2233" t="s">
        <v>2962</v>
      </c>
      <c r="E2233" t="s">
        <v>1620</v>
      </c>
      <c r="F2233" t="s">
        <v>7073</v>
      </c>
      <c r="G2233" s="1" t="s">
        <v>1603</v>
      </c>
    </row>
    <row r="2234" spans="1:7" hidden="1" x14ac:dyDescent="0.25">
      <c r="A2234" t="s">
        <v>4221</v>
      </c>
      <c r="B2234" t="s">
        <v>86</v>
      </c>
      <c r="C2234" t="s">
        <v>2962</v>
      </c>
      <c r="E2234" t="s">
        <v>2936</v>
      </c>
      <c r="F2234" t="s">
        <v>7076</v>
      </c>
      <c r="G2234" s="1" t="s">
        <v>1603</v>
      </c>
    </row>
    <row r="2235" spans="1:7" hidden="1" x14ac:dyDescent="0.25">
      <c r="A2235" t="s">
        <v>4221</v>
      </c>
      <c r="B2235" t="s">
        <v>86</v>
      </c>
      <c r="C2235" t="s">
        <v>2962</v>
      </c>
      <c r="E2235" t="s">
        <v>2936</v>
      </c>
      <c r="F2235" t="s">
        <v>7079</v>
      </c>
      <c r="G2235" s="1" t="s">
        <v>1603</v>
      </c>
    </row>
    <row r="2236" spans="1:7" hidden="1" x14ac:dyDescent="0.25">
      <c r="A2236" t="s">
        <v>533</v>
      </c>
      <c r="B2236" t="s">
        <v>531</v>
      </c>
      <c r="C2236" t="s">
        <v>7169</v>
      </c>
      <c r="E2236" t="s">
        <v>6339</v>
      </c>
      <c r="F2236" t="s">
        <v>7082</v>
      </c>
      <c r="G2236" s="1" t="s">
        <v>1603</v>
      </c>
    </row>
    <row r="2237" spans="1:7" hidden="1" x14ac:dyDescent="0.25">
      <c r="A2237" t="s">
        <v>533</v>
      </c>
      <c r="B2237" t="s">
        <v>531</v>
      </c>
      <c r="C2237" t="s">
        <v>58</v>
      </c>
      <c r="E2237" t="s">
        <v>2954</v>
      </c>
      <c r="F2237" t="s">
        <v>7085</v>
      </c>
      <c r="G2237" s="1" t="s">
        <v>1603</v>
      </c>
    </row>
    <row r="2238" spans="1:7" hidden="1" x14ac:dyDescent="0.25">
      <c r="A2238" t="s">
        <v>533</v>
      </c>
      <c r="B2238" t="s">
        <v>531</v>
      </c>
      <c r="C2238" t="s">
        <v>58</v>
      </c>
      <c r="E2238" t="s">
        <v>2936</v>
      </c>
      <c r="F2238" t="s">
        <v>7088</v>
      </c>
      <c r="G2238" s="1" t="s">
        <v>1603</v>
      </c>
    </row>
    <row r="2239" spans="1:7" hidden="1" x14ac:dyDescent="0.25">
      <c r="A2239" t="s">
        <v>533</v>
      </c>
      <c r="B2239" t="s">
        <v>531</v>
      </c>
      <c r="C2239" t="s">
        <v>58</v>
      </c>
      <c r="E2239" t="s">
        <v>2954</v>
      </c>
      <c r="F2239" t="s">
        <v>7091</v>
      </c>
      <c r="G2239" s="1" t="s">
        <v>1603</v>
      </c>
    </row>
    <row r="2240" spans="1:7" hidden="1" x14ac:dyDescent="0.25">
      <c r="A2240" t="s">
        <v>533</v>
      </c>
      <c r="B2240" t="s">
        <v>531</v>
      </c>
      <c r="C2240" t="s">
        <v>7168</v>
      </c>
      <c r="E2240" t="s">
        <v>4236</v>
      </c>
      <c r="F2240" t="s">
        <v>7094</v>
      </c>
      <c r="G2240" s="1" t="s">
        <v>1603</v>
      </c>
    </row>
    <row r="2241" spans="1:7" hidden="1" x14ac:dyDescent="0.25">
      <c r="A2241" t="s">
        <v>533</v>
      </c>
      <c r="B2241" t="s">
        <v>531</v>
      </c>
      <c r="C2241" t="s">
        <v>3076</v>
      </c>
      <c r="E2241" t="s">
        <v>4236</v>
      </c>
      <c r="F2241" t="s">
        <v>7097</v>
      </c>
      <c r="G2241" s="1" t="s">
        <v>1603</v>
      </c>
    </row>
    <row r="2242" spans="1:7" hidden="1" x14ac:dyDescent="0.25">
      <c r="A2242" t="s">
        <v>4</v>
      </c>
      <c r="B2242" t="s">
        <v>8</v>
      </c>
      <c r="F2242" t="s">
        <v>7100</v>
      </c>
      <c r="G2242" s="1" t="s">
        <v>1603</v>
      </c>
    </row>
    <row r="2243" spans="1:7" hidden="1" x14ac:dyDescent="0.25">
      <c r="A2243" t="s">
        <v>2004</v>
      </c>
      <c r="B2243" t="s">
        <v>8</v>
      </c>
      <c r="F2243" t="s">
        <v>7103</v>
      </c>
      <c r="G2243" s="1" t="s">
        <v>1603</v>
      </c>
    </row>
    <row r="2244" spans="1:7" hidden="1" x14ac:dyDescent="0.25">
      <c r="A2244" t="s">
        <v>158</v>
      </c>
      <c r="B2244" t="s">
        <v>5480</v>
      </c>
      <c r="C2244" t="s">
        <v>2944</v>
      </c>
      <c r="E2244" t="s">
        <v>2954</v>
      </c>
      <c r="F2244" t="s">
        <v>7106</v>
      </c>
      <c r="G2244" t="s">
        <v>1817</v>
      </c>
    </row>
    <row r="2245" spans="1:7" hidden="1" x14ac:dyDescent="0.25">
      <c r="A2245" t="s">
        <v>158</v>
      </c>
      <c r="B2245" t="s">
        <v>5480</v>
      </c>
      <c r="C2245" t="s">
        <v>2944</v>
      </c>
      <c r="E2245" t="s">
        <v>2936</v>
      </c>
      <c r="F2245" t="s">
        <v>7109</v>
      </c>
      <c r="G2245" t="s">
        <v>1817</v>
      </c>
    </row>
    <row r="2246" spans="1:7" hidden="1" x14ac:dyDescent="0.25">
      <c r="A2246" t="s">
        <v>7171</v>
      </c>
      <c r="B2246" t="s">
        <v>5480</v>
      </c>
      <c r="C2246" t="s">
        <v>6872</v>
      </c>
      <c r="F2246" t="s">
        <v>7112</v>
      </c>
      <c r="G2246" t="s">
        <v>1817</v>
      </c>
    </row>
    <row r="2247" spans="1:7" hidden="1" x14ac:dyDescent="0.25">
      <c r="A2247" t="s">
        <v>158</v>
      </c>
      <c r="B2247" t="s">
        <v>5480</v>
      </c>
      <c r="C2247" t="s">
        <v>2962</v>
      </c>
      <c r="E2247" t="s">
        <v>2954</v>
      </c>
      <c r="F2247" t="s">
        <v>7115</v>
      </c>
      <c r="G2247" t="s">
        <v>1817</v>
      </c>
    </row>
    <row r="2248" spans="1:7" hidden="1" x14ac:dyDescent="0.25">
      <c r="A2248" t="s">
        <v>158</v>
      </c>
      <c r="B2248" t="s">
        <v>5480</v>
      </c>
      <c r="C2248" t="s">
        <v>2962</v>
      </c>
      <c r="E2248" t="s">
        <v>2936</v>
      </c>
      <c r="F2248" t="s">
        <v>7118</v>
      </c>
      <c r="G2248" t="s">
        <v>1817</v>
      </c>
    </row>
    <row r="2249" spans="1:7" hidden="1" x14ac:dyDescent="0.25">
      <c r="A2249" t="s">
        <v>4</v>
      </c>
      <c r="B2249" t="s">
        <v>8</v>
      </c>
      <c r="F2249" t="s">
        <v>7121</v>
      </c>
      <c r="G2249" t="s">
        <v>1817</v>
      </c>
    </row>
    <row r="2250" spans="1:7" hidden="1" x14ac:dyDescent="0.25">
      <c r="A2250" t="s">
        <v>2004</v>
      </c>
      <c r="B2250" t="s">
        <v>8</v>
      </c>
      <c r="F2250" t="s">
        <v>7124</v>
      </c>
      <c r="G2250" t="s">
        <v>1817</v>
      </c>
    </row>
    <row r="2251" spans="1:7" hidden="1" x14ac:dyDescent="0.25">
      <c r="A2251" t="s">
        <v>4</v>
      </c>
      <c r="B2251" t="s">
        <v>8</v>
      </c>
      <c r="F2251" t="s">
        <v>7127</v>
      </c>
      <c r="G2251" t="s">
        <v>1934</v>
      </c>
    </row>
    <row r="2252" spans="1:7" hidden="1" x14ac:dyDescent="0.25">
      <c r="A2252" t="s">
        <v>4</v>
      </c>
      <c r="B2252" t="s">
        <v>8</v>
      </c>
      <c r="E2252" t="s">
        <v>2936</v>
      </c>
      <c r="F2252" t="s">
        <v>7130</v>
      </c>
      <c r="G2252" t="s">
        <v>1934</v>
      </c>
    </row>
    <row r="2253" spans="1:7" hidden="1" x14ac:dyDescent="0.25">
      <c r="A2253" t="s">
        <v>2004</v>
      </c>
      <c r="B2253" t="s">
        <v>8</v>
      </c>
      <c r="F2253" t="s">
        <v>7133</v>
      </c>
      <c r="G2253" t="s">
        <v>1934</v>
      </c>
    </row>
    <row r="2254" spans="1:7" hidden="1" x14ac:dyDescent="0.25">
      <c r="A2254" t="s">
        <v>2004</v>
      </c>
      <c r="B2254" t="s">
        <v>8</v>
      </c>
      <c r="E2254" t="s">
        <v>2014</v>
      </c>
      <c r="F2254" t="s">
        <v>7136</v>
      </c>
      <c r="G2254" t="s">
        <v>1934</v>
      </c>
    </row>
    <row r="2255" spans="1:7" hidden="1" x14ac:dyDescent="0.25">
      <c r="A2255" t="s">
        <v>2004</v>
      </c>
      <c r="B2255" t="s">
        <v>8</v>
      </c>
      <c r="F2255" t="s">
        <v>7163</v>
      </c>
      <c r="G2255" t="s">
        <v>1997</v>
      </c>
    </row>
    <row r="2256" spans="1:7" hidden="1" x14ac:dyDescent="0.25">
      <c r="A2256" t="s">
        <v>2004</v>
      </c>
      <c r="B2256" t="s">
        <v>8</v>
      </c>
      <c r="F2256" t="s">
        <v>7157</v>
      </c>
      <c r="G2256" t="s">
        <v>1997</v>
      </c>
    </row>
    <row r="2257" spans="1:7" hidden="1" x14ac:dyDescent="0.25">
      <c r="A2257" t="s">
        <v>2004</v>
      </c>
      <c r="F2257" t="s">
        <v>7175</v>
      </c>
      <c r="G2257" t="s">
        <v>1102</v>
      </c>
    </row>
    <row r="2258" spans="1:7" hidden="1" x14ac:dyDescent="0.25">
      <c r="A2258" t="s">
        <v>2004</v>
      </c>
      <c r="B2258" t="s">
        <v>8</v>
      </c>
      <c r="F2258" t="s">
        <v>7178</v>
      </c>
      <c r="G2258" t="s">
        <v>1103</v>
      </c>
    </row>
    <row r="2259" spans="1:7" hidden="1" x14ac:dyDescent="0.25">
      <c r="A2259" t="s">
        <v>2004</v>
      </c>
      <c r="B2259" t="s">
        <v>8</v>
      </c>
      <c r="F2259" t="s">
        <v>7181</v>
      </c>
      <c r="G2259" t="s">
        <v>91</v>
      </c>
    </row>
    <row r="2260" spans="1:7" hidden="1" x14ac:dyDescent="0.25">
      <c r="A2260" t="s">
        <v>2004</v>
      </c>
      <c r="B2260" t="s">
        <v>8</v>
      </c>
      <c r="F2260" t="s">
        <v>7184</v>
      </c>
      <c r="G2260" t="s">
        <v>1104</v>
      </c>
    </row>
    <row r="2261" spans="1:7" hidden="1" x14ac:dyDescent="0.25">
      <c r="A2261" t="s">
        <v>2004</v>
      </c>
      <c r="B2261" t="s">
        <v>8</v>
      </c>
      <c r="F2261" t="s">
        <v>7172</v>
      </c>
      <c r="G2261" t="s">
        <v>1105</v>
      </c>
    </row>
    <row r="2262" spans="1:7" hidden="1" x14ac:dyDescent="0.25">
      <c r="A2262" t="s">
        <v>2004</v>
      </c>
      <c r="B2262" t="s">
        <v>8</v>
      </c>
      <c r="F2262" t="s">
        <v>7187</v>
      </c>
      <c r="G2262" t="s">
        <v>1106</v>
      </c>
    </row>
    <row r="2263" spans="1:7" x14ac:dyDescent="0.25">
      <c r="A2263" t="s">
        <v>2004</v>
      </c>
      <c r="B2263" t="s">
        <v>8</v>
      </c>
      <c r="F2263" t="s">
        <v>7214</v>
      </c>
      <c r="G2263" t="s">
        <v>1107</v>
      </c>
    </row>
    <row r="2264" spans="1:7" hidden="1" x14ac:dyDescent="0.25">
      <c r="A2264" t="s">
        <v>2004</v>
      </c>
      <c r="B2264" t="s">
        <v>9</v>
      </c>
      <c r="F2264" t="s">
        <v>7190</v>
      </c>
      <c r="G2264" t="s">
        <v>796</v>
      </c>
    </row>
    <row r="2265" spans="1:7" hidden="1" x14ac:dyDescent="0.25">
      <c r="A2265" t="s">
        <v>4</v>
      </c>
      <c r="B2265" t="s">
        <v>9</v>
      </c>
      <c r="F2265" t="s">
        <v>7193</v>
      </c>
      <c r="G2265" t="s">
        <v>1100</v>
      </c>
    </row>
    <row r="2266" spans="1:7" hidden="1" x14ac:dyDescent="0.25">
      <c r="A2266" t="s">
        <v>4</v>
      </c>
      <c r="B2266" t="s">
        <v>7217</v>
      </c>
      <c r="F2266" t="s">
        <v>7196</v>
      </c>
      <c r="G2266" t="s">
        <v>1100</v>
      </c>
    </row>
    <row r="2267" spans="1:7" hidden="1" x14ac:dyDescent="0.25">
      <c r="A2267" t="s">
        <v>4</v>
      </c>
      <c r="B2267" t="s">
        <v>7217</v>
      </c>
      <c r="E2267" t="s">
        <v>2936</v>
      </c>
      <c r="F2267" t="s">
        <v>7199</v>
      </c>
      <c r="G2267" t="s">
        <v>1100</v>
      </c>
    </row>
    <row r="2268" spans="1:7" hidden="1" x14ac:dyDescent="0.25">
      <c r="A2268" t="s">
        <v>2004</v>
      </c>
      <c r="B2268" t="s">
        <v>8</v>
      </c>
      <c r="F2268" t="s">
        <v>7202</v>
      </c>
      <c r="G2268" s="1" t="s">
        <v>1603</v>
      </c>
    </row>
    <row r="2269" spans="1:7" hidden="1" x14ac:dyDescent="0.25">
      <c r="A2269" t="s">
        <v>2004</v>
      </c>
      <c r="B2269" t="s">
        <v>8</v>
      </c>
      <c r="F2269" t="s">
        <v>7205</v>
      </c>
      <c r="G2269" t="s">
        <v>1817</v>
      </c>
    </row>
    <row r="2270" spans="1:7" hidden="1" x14ac:dyDescent="0.25">
      <c r="A2270" t="s">
        <v>2004</v>
      </c>
      <c r="B2270" t="s">
        <v>8</v>
      </c>
      <c r="F2270" t="s">
        <v>7208</v>
      </c>
      <c r="G2270" t="s">
        <v>1934</v>
      </c>
    </row>
    <row r="2271" spans="1:7" hidden="1" x14ac:dyDescent="0.25">
      <c r="A2271" t="s">
        <v>2004</v>
      </c>
      <c r="B2271" t="s">
        <v>8</v>
      </c>
      <c r="F2271" t="s">
        <v>7211</v>
      </c>
      <c r="G2271" t="s">
        <v>1997</v>
      </c>
    </row>
    <row r="2272" spans="1:7" hidden="1" x14ac:dyDescent="0.25">
      <c r="A2272" t="s">
        <v>64</v>
      </c>
      <c r="B2272" t="s">
        <v>4193</v>
      </c>
      <c r="C2272" t="s">
        <v>5076</v>
      </c>
      <c r="F2272" t="s">
        <v>7242</v>
      </c>
      <c r="G2272" t="s">
        <v>1102</v>
      </c>
    </row>
    <row r="2273" spans="1:7" hidden="1" x14ac:dyDescent="0.25">
      <c r="A2273" t="s">
        <v>85</v>
      </c>
      <c r="B2273" t="s">
        <v>4193</v>
      </c>
      <c r="C2273" t="s">
        <v>5076</v>
      </c>
      <c r="F2273" t="s">
        <v>7245</v>
      </c>
      <c r="G2273" t="s">
        <v>1102</v>
      </c>
    </row>
    <row r="2274" spans="1:7" hidden="1" x14ac:dyDescent="0.25">
      <c r="A2274" t="s">
        <v>91</v>
      </c>
      <c r="B2274" t="s">
        <v>7410</v>
      </c>
      <c r="C2274" t="s">
        <v>60</v>
      </c>
      <c r="F2274" t="s">
        <v>7248</v>
      </c>
      <c r="G2274" t="s">
        <v>1102</v>
      </c>
    </row>
    <row r="2275" spans="1:7" hidden="1" x14ac:dyDescent="0.25">
      <c r="A2275" t="s">
        <v>62</v>
      </c>
      <c r="B2275" t="s">
        <v>7410</v>
      </c>
      <c r="C2275" t="s">
        <v>51</v>
      </c>
      <c r="F2275" t="s">
        <v>7251</v>
      </c>
      <c r="G2275" t="s">
        <v>1102</v>
      </c>
    </row>
    <row r="2276" spans="1:7" hidden="1" x14ac:dyDescent="0.25">
      <c r="A2276" t="s">
        <v>1606</v>
      </c>
      <c r="B2276" t="s">
        <v>4193</v>
      </c>
      <c r="C2276" t="s">
        <v>5076</v>
      </c>
      <c r="F2276" t="s">
        <v>7218</v>
      </c>
      <c r="G2276" t="s">
        <v>1103</v>
      </c>
    </row>
    <row r="2277" spans="1:7" hidden="1" x14ac:dyDescent="0.25">
      <c r="A2277" t="s">
        <v>650</v>
      </c>
      <c r="B2277" t="s">
        <v>4193</v>
      </c>
      <c r="C2277" t="s">
        <v>5076</v>
      </c>
      <c r="F2277" t="s">
        <v>7221</v>
      </c>
      <c r="G2277" t="s">
        <v>1103</v>
      </c>
    </row>
    <row r="2278" spans="1:7" hidden="1" x14ac:dyDescent="0.25">
      <c r="A2278" t="s">
        <v>2004</v>
      </c>
      <c r="B2278" t="s">
        <v>8</v>
      </c>
      <c r="F2278" t="s">
        <v>7224</v>
      </c>
      <c r="G2278" t="s">
        <v>1103</v>
      </c>
    </row>
    <row r="2279" spans="1:7" hidden="1" x14ac:dyDescent="0.25">
      <c r="A2279" t="s">
        <v>2004</v>
      </c>
      <c r="B2279" t="s">
        <v>8</v>
      </c>
      <c r="F2279" t="s">
        <v>7260</v>
      </c>
      <c r="G2279" t="s">
        <v>91</v>
      </c>
    </row>
    <row r="2280" spans="1:7" hidden="1" x14ac:dyDescent="0.25">
      <c r="A2280" t="s">
        <v>4</v>
      </c>
      <c r="B2280" t="s">
        <v>8</v>
      </c>
      <c r="F2280" t="s">
        <v>7263</v>
      </c>
      <c r="G2280" t="s">
        <v>91</v>
      </c>
    </row>
    <row r="2281" spans="1:7" hidden="1" x14ac:dyDescent="0.25">
      <c r="A2281" t="s">
        <v>4</v>
      </c>
      <c r="B2281" t="s">
        <v>7410</v>
      </c>
      <c r="C2281" t="s">
        <v>51</v>
      </c>
      <c r="F2281" t="s">
        <v>7266</v>
      </c>
      <c r="G2281" t="s">
        <v>91</v>
      </c>
    </row>
    <row r="2282" spans="1:7" hidden="1" x14ac:dyDescent="0.25">
      <c r="A2282" t="s">
        <v>2004</v>
      </c>
      <c r="B2282" t="s">
        <v>8</v>
      </c>
      <c r="F2282" t="s">
        <v>7227</v>
      </c>
      <c r="G2282" t="s">
        <v>1104</v>
      </c>
    </row>
    <row r="2283" spans="1:7" hidden="1" x14ac:dyDescent="0.25">
      <c r="A2283" t="s">
        <v>1606</v>
      </c>
      <c r="B2283" t="s">
        <v>7410</v>
      </c>
      <c r="C2283" t="s">
        <v>60</v>
      </c>
      <c r="F2283" t="s">
        <v>7230</v>
      </c>
      <c r="G2283" t="s">
        <v>1104</v>
      </c>
    </row>
    <row r="2284" spans="1:7" hidden="1" x14ac:dyDescent="0.25">
      <c r="A2284" t="s">
        <v>4216</v>
      </c>
      <c r="B2284" t="s">
        <v>7410</v>
      </c>
      <c r="C2284" t="s">
        <v>60</v>
      </c>
      <c r="F2284" t="s">
        <v>7233</v>
      </c>
      <c r="G2284" t="s">
        <v>1104</v>
      </c>
    </row>
    <row r="2285" spans="1:7" hidden="1" x14ac:dyDescent="0.25">
      <c r="A2285" t="s">
        <v>290</v>
      </c>
      <c r="B2285" t="s">
        <v>7410</v>
      </c>
      <c r="C2285" t="s">
        <v>60</v>
      </c>
      <c r="F2285" t="s">
        <v>7236</v>
      </c>
      <c r="G2285" t="s">
        <v>1104</v>
      </c>
    </row>
    <row r="2286" spans="1:7" hidden="1" x14ac:dyDescent="0.25">
      <c r="A2286" t="s">
        <v>650</v>
      </c>
      <c r="B2286" t="s">
        <v>7410</v>
      </c>
      <c r="C2286" t="s">
        <v>51</v>
      </c>
      <c r="F2286" t="s">
        <v>7239</v>
      </c>
      <c r="G2286" t="s">
        <v>1104</v>
      </c>
    </row>
    <row r="2287" spans="1:7" hidden="1" x14ac:dyDescent="0.25">
      <c r="A2287" t="s">
        <v>12</v>
      </c>
      <c r="B2287" t="s">
        <v>1607</v>
      </c>
      <c r="F2287" t="s">
        <v>7317</v>
      </c>
      <c r="G2287" t="s">
        <v>1105</v>
      </c>
    </row>
    <row r="2288" spans="1:7" hidden="1" x14ac:dyDescent="0.25">
      <c r="A2288" t="s">
        <v>2004</v>
      </c>
      <c r="B2288" t="s">
        <v>8</v>
      </c>
      <c r="F2288" t="s">
        <v>7320</v>
      </c>
      <c r="G2288" t="s">
        <v>1105</v>
      </c>
    </row>
    <row r="2289" spans="1:7" hidden="1" x14ac:dyDescent="0.25">
      <c r="A2289" t="s">
        <v>2004</v>
      </c>
      <c r="B2289" t="s">
        <v>8</v>
      </c>
      <c r="F2289" t="s">
        <v>7323</v>
      </c>
      <c r="G2289" t="s">
        <v>1105</v>
      </c>
    </row>
    <row r="2290" spans="1:7" hidden="1" x14ac:dyDescent="0.25">
      <c r="A2290" t="s">
        <v>4216</v>
      </c>
      <c r="B2290" t="s">
        <v>7410</v>
      </c>
      <c r="C2290" t="s">
        <v>60</v>
      </c>
      <c r="F2290" t="s">
        <v>7326</v>
      </c>
      <c r="G2290" t="s">
        <v>1105</v>
      </c>
    </row>
    <row r="2291" spans="1:7" hidden="1" x14ac:dyDescent="0.25">
      <c r="A2291" t="s">
        <v>4216</v>
      </c>
      <c r="B2291" t="s">
        <v>7410</v>
      </c>
      <c r="C2291" t="s">
        <v>60</v>
      </c>
      <c r="F2291" t="s">
        <v>7329</v>
      </c>
      <c r="G2291" t="s">
        <v>1105</v>
      </c>
    </row>
    <row r="2292" spans="1:7" hidden="1" x14ac:dyDescent="0.25">
      <c r="A2292" t="s">
        <v>290</v>
      </c>
      <c r="B2292" t="s">
        <v>86</v>
      </c>
      <c r="C2292" t="s">
        <v>60</v>
      </c>
      <c r="D2292">
        <v>4</v>
      </c>
      <c r="F2292" t="s">
        <v>7332</v>
      </c>
      <c r="G2292" t="s">
        <v>1105</v>
      </c>
    </row>
    <row r="2293" spans="1:7" hidden="1" x14ac:dyDescent="0.25">
      <c r="A2293" t="s">
        <v>1094</v>
      </c>
      <c r="B2293" t="s">
        <v>86</v>
      </c>
      <c r="C2293" t="s">
        <v>60</v>
      </c>
      <c r="E2293" t="s">
        <v>476</v>
      </c>
      <c r="F2293" t="s">
        <v>7335</v>
      </c>
      <c r="G2293" t="s">
        <v>1105</v>
      </c>
    </row>
    <row r="2294" spans="1:7" hidden="1" x14ac:dyDescent="0.25">
      <c r="A2294" t="s">
        <v>290</v>
      </c>
      <c r="B2294" t="s">
        <v>86</v>
      </c>
      <c r="C2294" t="s">
        <v>60</v>
      </c>
      <c r="D2294">
        <v>1</v>
      </c>
      <c r="F2294" t="s">
        <v>7338</v>
      </c>
      <c r="G2294" t="s">
        <v>1105</v>
      </c>
    </row>
    <row r="2295" spans="1:7" hidden="1" x14ac:dyDescent="0.25">
      <c r="A2295" t="s">
        <v>290</v>
      </c>
      <c r="B2295" t="s">
        <v>86</v>
      </c>
      <c r="C2295" t="s">
        <v>60</v>
      </c>
      <c r="D2295">
        <v>4</v>
      </c>
      <c r="F2295" t="s">
        <v>7341</v>
      </c>
      <c r="G2295" t="s">
        <v>1105</v>
      </c>
    </row>
    <row r="2296" spans="1:7" hidden="1" x14ac:dyDescent="0.25">
      <c r="A2296" t="s">
        <v>290</v>
      </c>
      <c r="B2296" t="s">
        <v>86</v>
      </c>
      <c r="C2296" t="s">
        <v>60</v>
      </c>
      <c r="D2296">
        <v>2</v>
      </c>
      <c r="F2296" t="s">
        <v>7344</v>
      </c>
      <c r="G2296" t="s">
        <v>1105</v>
      </c>
    </row>
    <row r="2297" spans="1:7" hidden="1" x14ac:dyDescent="0.25">
      <c r="A2297" t="s">
        <v>290</v>
      </c>
      <c r="B2297" t="s">
        <v>86</v>
      </c>
      <c r="C2297" t="s">
        <v>60</v>
      </c>
      <c r="D2297">
        <v>3</v>
      </c>
      <c r="F2297" t="s">
        <v>7347</v>
      </c>
      <c r="G2297" t="s">
        <v>1105</v>
      </c>
    </row>
    <row r="2298" spans="1:7" hidden="1" x14ac:dyDescent="0.25">
      <c r="A2298" t="s">
        <v>290</v>
      </c>
      <c r="B2298" t="s">
        <v>86</v>
      </c>
      <c r="C2298" t="s">
        <v>60</v>
      </c>
      <c r="D2298">
        <v>3</v>
      </c>
      <c r="F2298" t="s">
        <v>7350</v>
      </c>
      <c r="G2298" t="s">
        <v>1105</v>
      </c>
    </row>
    <row r="2299" spans="1:7" hidden="1" x14ac:dyDescent="0.25">
      <c r="A2299" t="s">
        <v>290</v>
      </c>
      <c r="B2299" t="s">
        <v>86</v>
      </c>
      <c r="C2299" t="s">
        <v>60</v>
      </c>
      <c r="D2299">
        <v>2</v>
      </c>
      <c r="F2299" t="s">
        <v>7353</v>
      </c>
      <c r="G2299" t="s">
        <v>1105</v>
      </c>
    </row>
    <row r="2300" spans="1:7" hidden="1" x14ac:dyDescent="0.25">
      <c r="A2300" t="s">
        <v>290</v>
      </c>
      <c r="B2300" t="s">
        <v>86</v>
      </c>
      <c r="C2300" t="s">
        <v>60</v>
      </c>
      <c r="D2300">
        <v>2</v>
      </c>
      <c r="F2300" t="s">
        <v>7356</v>
      </c>
      <c r="G2300" t="s">
        <v>1105</v>
      </c>
    </row>
    <row r="2301" spans="1:7" hidden="1" x14ac:dyDescent="0.25">
      <c r="A2301" t="s">
        <v>290</v>
      </c>
      <c r="B2301" t="s">
        <v>86</v>
      </c>
      <c r="C2301" t="s">
        <v>60</v>
      </c>
      <c r="D2301">
        <v>2</v>
      </c>
      <c r="F2301" t="s">
        <v>7359</v>
      </c>
      <c r="G2301" t="s">
        <v>1105</v>
      </c>
    </row>
    <row r="2302" spans="1:7" hidden="1" x14ac:dyDescent="0.25">
      <c r="A2302" t="s">
        <v>290</v>
      </c>
      <c r="B2302" t="s">
        <v>86</v>
      </c>
      <c r="C2302" t="s">
        <v>60</v>
      </c>
      <c r="D2302">
        <v>1</v>
      </c>
      <c r="F2302" t="s">
        <v>7362</v>
      </c>
      <c r="G2302" t="s">
        <v>1105</v>
      </c>
    </row>
    <row r="2303" spans="1:7" hidden="1" x14ac:dyDescent="0.25">
      <c r="A2303" t="s">
        <v>290</v>
      </c>
      <c r="B2303" t="s">
        <v>86</v>
      </c>
      <c r="C2303" t="s">
        <v>60</v>
      </c>
      <c r="D2303">
        <v>2</v>
      </c>
      <c r="F2303" t="s">
        <v>7365</v>
      </c>
      <c r="G2303" t="s">
        <v>1105</v>
      </c>
    </row>
    <row r="2304" spans="1:7" hidden="1" x14ac:dyDescent="0.25">
      <c r="A2304" t="s">
        <v>290</v>
      </c>
      <c r="B2304" t="s">
        <v>86</v>
      </c>
      <c r="C2304" t="s">
        <v>60</v>
      </c>
      <c r="D2304">
        <v>4</v>
      </c>
      <c r="F2304" t="s">
        <v>7368</v>
      </c>
      <c r="G2304" t="s">
        <v>1105</v>
      </c>
    </row>
    <row r="2305" spans="1:7" hidden="1" x14ac:dyDescent="0.25">
      <c r="A2305" t="s">
        <v>290</v>
      </c>
      <c r="B2305" t="s">
        <v>86</v>
      </c>
      <c r="C2305" t="s">
        <v>60</v>
      </c>
      <c r="D2305">
        <v>2</v>
      </c>
      <c r="F2305" t="s">
        <v>7371</v>
      </c>
      <c r="G2305" t="s">
        <v>1105</v>
      </c>
    </row>
    <row r="2306" spans="1:7" hidden="1" x14ac:dyDescent="0.25">
      <c r="A2306" t="s">
        <v>290</v>
      </c>
      <c r="B2306" t="s">
        <v>86</v>
      </c>
      <c r="C2306" t="s">
        <v>60</v>
      </c>
      <c r="D2306">
        <v>2</v>
      </c>
      <c r="F2306" t="s">
        <v>7374</v>
      </c>
      <c r="G2306" t="s">
        <v>1105</v>
      </c>
    </row>
    <row r="2307" spans="1:7" hidden="1" x14ac:dyDescent="0.25">
      <c r="A2307" t="s">
        <v>290</v>
      </c>
      <c r="B2307" t="s">
        <v>86</v>
      </c>
      <c r="C2307" t="s">
        <v>60</v>
      </c>
      <c r="D2307">
        <v>3</v>
      </c>
      <c r="F2307" t="s">
        <v>7377</v>
      </c>
      <c r="G2307" t="s">
        <v>1105</v>
      </c>
    </row>
    <row r="2308" spans="1:7" hidden="1" x14ac:dyDescent="0.25">
      <c r="A2308" t="s">
        <v>290</v>
      </c>
      <c r="B2308" t="s">
        <v>86</v>
      </c>
      <c r="C2308" t="s">
        <v>60</v>
      </c>
      <c r="D2308">
        <v>3</v>
      </c>
      <c r="F2308" t="s">
        <v>7380</v>
      </c>
      <c r="G2308" t="s">
        <v>1105</v>
      </c>
    </row>
    <row r="2309" spans="1:7" hidden="1" x14ac:dyDescent="0.25">
      <c r="A2309" t="s">
        <v>290</v>
      </c>
      <c r="B2309" t="s">
        <v>86</v>
      </c>
      <c r="C2309" t="s">
        <v>60</v>
      </c>
      <c r="D2309">
        <v>2</v>
      </c>
      <c r="F2309" t="s">
        <v>7383</v>
      </c>
      <c r="G2309" t="s">
        <v>1105</v>
      </c>
    </row>
    <row r="2310" spans="1:7" hidden="1" x14ac:dyDescent="0.25">
      <c r="A2310" t="s">
        <v>290</v>
      </c>
      <c r="B2310" t="s">
        <v>86</v>
      </c>
      <c r="C2310" t="s">
        <v>60</v>
      </c>
      <c r="D2310">
        <v>4</v>
      </c>
      <c r="F2310" t="s">
        <v>7386</v>
      </c>
      <c r="G2310" t="s">
        <v>1105</v>
      </c>
    </row>
    <row r="2311" spans="1:7" hidden="1" x14ac:dyDescent="0.25">
      <c r="A2311" t="s">
        <v>290</v>
      </c>
      <c r="B2311" t="s">
        <v>86</v>
      </c>
      <c r="C2311" t="s">
        <v>60</v>
      </c>
      <c r="D2311">
        <v>3</v>
      </c>
      <c r="F2311" t="s">
        <v>7389</v>
      </c>
      <c r="G2311" t="s">
        <v>1105</v>
      </c>
    </row>
    <row r="2312" spans="1:7" hidden="1" x14ac:dyDescent="0.25">
      <c r="A2312" t="s">
        <v>290</v>
      </c>
      <c r="B2312" t="s">
        <v>86</v>
      </c>
      <c r="C2312" t="s">
        <v>60</v>
      </c>
      <c r="D2312">
        <v>2</v>
      </c>
      <c r="F2312" t="s">
        <v>7392</v>
      </c>
      <c r="G2312" t="s">
        <v>1105</v>
      </c>
    </row>
    <row r="2313" spans="1:7" hidden="1" x14ac:dyDescent="0.25">
      <c r="A2313" t="s">
        <v>2004</v>
      </c>
      <c r="B2313" t="s">
        <v>8</v>
      </c>
      <c r="F2313" t="s">
        <v>7254</v>
      </c>
      <c r="G2313" t="s">
        <v>1106</v>
      </c>
    </row>
    <row r="2314" spans="1:7" hidden="1" x14ac:dyDescent="0.25">
      <c r="A2314" t="s">
        <v>2004</v>
      </c>
      <c r="B2314" t="s">
        <v>8</v>
      </c>
      <c r="F2314" t="s">
        <v>7257</v>
      </c>
      <c r="G2314" t="s">
        <v>1106</v>
      </c>
    </row>
    <row r="2315" spans="1:7" x14ac:dyDescent="0.25">
      <c r="A2315" t="s">
        <v>2004</v>
      </c>
      <c r="B2315" t="s">
        <v>8</v>
      </c>
      <c r="F2315" t="s">
        <v>7411</v>
      </c>
      <c r="G2315" t="s">
        <v>1107</v>
      </c>
    </row>
    <row r="2316" spans="1:7" x14ac:dyDescent="0.25">
      <c r="A2316" t="s">
        <v>2004</v>
      </c>
      <c r="B2316" t="s">
        <v>8</v>
      </c>
      <c r="F2316" t="s">
        <v>7414</v>
      </c>
      <c r="G2316" t="s">
        <v>1107</v>
      </c>
    </row>
    <row r="2317" spans="1:7" hidden="1" x14ac:dyDescent="0.25">
      <c r="A2317" t="s">
        <v>2004</v>
      </c>
      <c r="B2317" t="s">
        <v>9</v>
      </c>
      <c r="F2317" t="s">
        <v>7395</v>
      </c>
      <c r="G2317" t="s">
        <v>796</v>
      </c>
    </row>
    <row r="2318" spans="1:7" hidden="1" x14ac:dyDescent="0.25">
      <c r="A2318" t="s">
        <v>2004</v>
      </c>
      <c r="B2318" t="s">
        <v>9</v>
      </c>
      <c r="F2318" t="s">
        <v>7398</v>
      </c>
      <c r="G2318" t="s">
        <v>796</v>
      </c>
    </row>
    <row r="2319" spans="1:7" hidden="1" x14ac:dyDescent="0.25">
      <c r="A2319" t="s">
        <v>4</v>
      </c>
      <c r="B2319" t="s">
        <v>9</v>
      </c>
      <c r="F2319" t="s">
        <v>7269</v>
      </c>
      <c r="G2319" t="s">
        <v>1100</v>
      </c>
    </row>
    <row r="2320" spans="1:7" hidden="1" x14ac:dyDescent="0.25">
      <c r="A2320" t="s">
        <v>4</v>
      </c>
      <c r="B2320" t="s">
        <v>7217</v>
      </c>
      <c r="F2320" t="s">
        <v>7272</v>
      </c>
      <c r="G2320" t="s">
        <v>1100</v>
      </c>
    </row>
    <row r="2321" spans="1:7" hidden="1" x14ac:dyDescent="0.25">
      <c r="A2321" t="s">
        <v>4</v>
      </c>
      <c r="B2321" t="s">
        <v>9</v>
      </c>
      <c r="F2321" t="s">
        <v>7275</v>
      </c>
      <c r="G2321" t="s">
        <v>1100</v>
      </c>
    </row>
    <row r="2322" spans="1:7" hidden="1" x14ac:dyDescent="0.25">
      <c r="A2322" t="s">
        <v>4</v>
      </c>
      <c r="B2322" t="s">
        <v>9</v>
      </c>
      <c r="E2322" t="s">
        <v>2936</v>
      </c>
      <c r="F2322" t="s">
        <v>7278</v>
      </c>
      <c r="G2322" t="s">
        <v>1100</v>
      </c>
    </row>
    <row r="2323" spans="1:7" hidden="1" x14ac:dyDescent="0.25">
      <c r="A2323" t="s">
        <v>4</v>
      </c>
      <c r="B2323" t="s">
        <v>9</v>
      </c>
      <c r="E2323" t="s">
        <v>2936</v>
      </c>
      <c r="F2323" t="s">
        <v>7281</v>
      </c>
      <c r="G2323" t="s">
        <v>1100</v>
      </c>
    </row>
    <row r="2324" spans="1:7" hidden="1" x14ac:dyDescent="0.25">
      <c r="A2324" t="s">
        <v>4</v>
      </c>
      <c r="B2324" t="s">
        <v>7217</v>
      </c>
      <c r="F2324" t="s">
        <v>7284</v>
      </c>
      <c r="G2324" t="s">
        <v>1100</v>
      </c>
    </row>
    <row r="2325" spans="1:7" hidden="1" x14ac:dyDescent="0.25">
      <c r="A2325" t="s">
        <v>4</v>
      </c>
      <c r="B2325" t="s">
        <v>9</v>
      </c>
      <c r="E2325" t="s">
        <v>2936</v>
      </c>
      <c r="F2325" t="s">
        <v>7287</v>
      </c>
      <c r="G2325" t="s">
        <v>1100</v>
      </c>
    </row>
    <row r="2326" spans="1:7" hidden="1" x14ac:dyDescent="0.25">
      <c r="A2326" t="s">
        <v>4</v>
      </c>
      <c r="B2326" t="s">
        <v>9</v>
      </c>
      <c r="E2326" t="s">
        <v>2936</v>
      </c>
      <c r="F2326" t="s">
        <v>7290</v>
      </c>
      <c r="G2326" t="s">
        <v>1100</v>
      </c>
    </row>
    <row r="2327" spans="1:7" hidden="1" x14ac:dyDescent="0.25">
      <c r="A2327" t="s">
        <v>4</v>
      </c>
      <c r="B2327" t="s">
        <v>9</v>
      </c>
      <c r="E2327" t="s">
        <v>2936</v>
      </c>
      <c r="F2327" t="s">
        <v>7293</v>
      </c>
      <c r="G2327" t="s">
        <v>1100</v>
      </c>
    </row>
    <row r="2328" spans="1:7" hidden="1" x14ac:dyDescent="0.25">
      <c r="A2328" t="s">
        <v>4</v>
      </c>
      <c r="B2328" t="s">
        <v>86</v>
      </c>
      <c r="E2328" t="s">
        <v>7710</v>
      </c>
      <c r="F2328" t="s">
        <v>7296</v>
      </c>
      <c r="G2328" t="s">
        <v>1100</v>
      </c>
    </row>
    <row r="2329" spans="1:7" hidden="1" x14ac:dyDescent="0.25">
      <c r="A2329" t="s">
        <v>2004</v>
      </c>
      <c r="B2329" t="s">
        <v>8</v>
      </c>
      <c r="F2329" t="s">
        <v>7299</v>
      </c>
      <c r="G2329" s="1" t="s">
        <v>1603</v>
      </c>
    </row>
    <row r="2330" spans="1:7" hidden="1" x14ac:dyDescent="0.25">
      <c r="A2330" t="s">
        <v>2004</v>
      </c>
      <c r="B2330" t="s">
        <v>8</v>
      </c>
      <c r="F2330" t="s">
        <v>7302</v>
      </c>
      <c r="G2330" s="1" t="s">
        <v>1603</v>
      </c>
    </row>
    <row r="2331" spans="1:7" hidden="1" x14ac:dyDescent="0.25">
      <c r="A2331" t="s">
        <v>2004</v>
      </c>
      <c r="B2331" t="s">
        <v>8</v>
      </c>
      <c r="F2331" t="s">
        <v>7305</v>
      </c>
      <c r="G2331" t="s">
        <v>1817</v>
      </c>
    </row>
    <row r="2332" spans="1:7" hidden="1" x14ac:dyDescent="0.25">
      <c r="A2332" t="s">
        <v>2004</v>
      </c>
      <c r="B2332" t="s">
        <v>8</v>
      </c>
      <c r="F2332" t="s">
        <v>7308</v>
      </c>
      <c r="G2332" t="s">
        <v>1817</v>
      </c>
    </row>
    <row r="2333" spans="1:7" hidden="1" x14ac:dyDescent="0.25">
      <c r="A2333" t="s">
        <v>2004</v>
      </c>
      <c r="B2333" t="s">
        <v>8</v>
      </c>
      <c r="F2333" t="s">
        <v>7401</v>
      </c>
      <c r="G2333" t="s">
        <v>1934</v>
      </c>
    </row>
    <row r="2334" spans="1:7" hidden="1" x14ac:dyDescent="0.25">
      <c r="A2334" t="s">
        <v>2004</v>
      </c>
      <c r="B2334" t="s">
        <v>8</v>
      </c>
      <c r="F2334" t="s">
        <v>7404</v>
      </c>
      <c r="G2334" t="s">
        <v>1934</v>
      </c>
    </row>
    <row r="2335" spans="1:7" hidden="1" x14ac:dyDescent="0.25">
      <c r="A2335" t="s">
        <v>4</v>
      </c>
      <c r="B2335" t="s">
        <v>7417</v>
      </c>
      <c r="F2335" t="s">
        <v>7407</v>
      </c>
      <c r="G2335" t="s">
        <v>1934</v>
      </c>
    </row>
    <row r="2336" spans="1:7" hidden="1" x14ac:dyDescent="0.25">
      <c r="A2336" t="s">
        <v>2004</v>
      </c>
      <c r="B2336" t="s">
        <v>8</v>
      </c>
      <c r="F2336" t="s">
        <v>7311</v>
      </c>
      <c r="G2336" t="s">
        <v>1997</v>
      </c>
    </row>
    <row r="2337" spans="1:7" hidden="1" x14ac:dyDescent="0.25">
      <c r="A2337" t="s">
        <v>2004</v>
      </c>
      <c r="B2337" t="s">
        <v>8</v>
      </c>
      <c r="F2337" t="s">
        <v>7314</v>
      </c>
      <c r="G2337" t="s">
        <v>1997</v>
      </c>
    </row>
    <row r="2338" spans="1:7" hidden="1" x14ac:dyDescent="0.25">
      <c r="A2338" t="s">
        <v>2004</v>
      </c>
      <c r="F2338" t="s">
        <v>7418</v>
      </c>
      <c r="G2338" t="s">
        <v>1102</v>
      </c>
    </row>
    <row r="2339" spans="1:7" hidden="1" x14ac:dyDescent="0.25">
      <c r="A2339" t="s">
        <v>91</v>
      </c>
      <c r="B2339" t="s">
        <v>7706</v>
      </c>
      <c r="C2339" t="s">
        <v>60</v>
      </c>
      <c r="F2339" t="s">
        <v>7421</v>
      </c>
      <c r="G2339" t="s">
        <v>1102</v>
      </c>
    </row>
    <row r="2340" spans="1:7" hidden="1" x14ac:dyDescent="0.25">
      <c r="A2340" t="s">
        <v>62</v>
      </c>
      <c r="B2340" t="s">
        <v>7706</v>
      </c>
      <c r="C2340" t="s">
        <v>51</v>
      </c>
      <c r="F2340" t="s">
        <v>7424</v>
      </c>
      <c r="G2340" t="s">
        <v>1102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7427</v>
      </c>
      <c r="G2341" t="s">
        <v>1102</v>
      </c>
    </row>
    <row r="2342" spans="1:7" hidden="1" x14ac:dyDescent="0.25">
      <c r="A2342" t="s">
        <v>91</v>
      </c>
      <c r="B2342" t="s">
        <v>4193</v>
      </c>
      <c r="C2342" t="s">
        <v>51</v>
      </c>
      <c r="F2342" t="s">
        <v>7430</v>
      </c>
      <c r="G2342" t="s">
        <v>1102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7433</v>
      </c>
      <c r="G2343" t="s">
        <v>1102</v>
      </c>
    </row>
    <row r="2344" spans="1:7" hidden="1" x14ac:dyDescent="0.25">
      <c r="A2344" t="s">
        <v>62</v>
      </c>
      <c r="B2344" t="s">
        <v>4193</v>
      </c>
      <c r="C2344" t="s">
        <v>4240</v>
      </c>
      <c r="F2344" t="s">
        <v>7436</v>
      </c>
      <c r="G2344" t="s">
        <v>1102</v>
      </c>
    </row>
    <row r="2345" spans="1:7" hidden="1" x14ac:dyDescent="0.25">
      <c r="A2345" t="s">
        <v>2004</v>
      </c>
      <c r="B2345" t="s">
        <v>8</v>
      </c>
      <c r="F2345" t="s">
        <v>7439</v>
      </c>
      <c r="G2345" t="s">
        <v>1103</v>
      </c>
    </row>
    <row r="2346" spans="1:7" hidden="1" x14ac:dyDescent="0.25">
      <c r="A2346" t="s">
        <v>2004</v>
      </c>
      <c r="B2346" t="s">
        <v>8</v>
      </c>
      <c r="F2346" t="s">
        <v>7442</v>
      </c>
      <c r="G2346" t="s">
        <v>1103</v>
      </c>
    </row>
    <row r="2347" spans="1:7" hidden="1" x14ac:dyDescent="0.25">
      <c r="A2347" t="s">
        <v>2004</v>
      </c>
      <c r="B2347" t="s">
        <v>8</v>
      </c>
      <c r="F2347" t="s">
        <v>7478</v>
      </c>
      <c r="G2347" t="s">
        <v>91</v>
      </c>
    </row>
    <row r="2348" spans="1:7" hidden="1" x14ac:dyDescent="0.25">
      <c r="A2348" t="s">
        <v>4</v>
      </c>
      <c r="B2348" t="s">
        <v>7706</v>
      </c>
      <c r="C2348" t="s">
        <v>60</v>
      </c>
      <c r="F2348" t="s">
        <v>7481</v>
      </c>
      <c r="G2348" t="s">
        <v>91</v>
      </c>
    </row>
    <row r="2349" spans="1:7" hidden="1" x14ac:dyDescent="0.25">
      <c r="A2349" t="s">
        <v>4</v>
      </c>
      <c r="B2349" t="s">
        <v>7706</v>
      </c>
      <c r="C2349" t="s">
        <v>51</v>
      </c>
      <c r="F2349" t="s">
        <v>7484</v>
      </c>
      <c r="G2349" t="s">
        <v>91</v>
      </c>
    </row>
    <row r="2350" spans="1:7" hidden="1" x14ac:dyDescent="0.25">
      <c r="A2350" t="s">
        <v>2004</v>
      </c>
      <c r="B2350" t="s">
        <v>8</v>
      </c>
      <c r="F2350" t="s">
        <v>7487</v>
      </c>
      <c r="G2350" t="s">
        <v>91</v>
      </c>
    </row>
    <row r="2351" spans="1:7" hidden="1" x14ac:dyDescent="0.25">
      <c r="A2351" t="s">
        <v>2004</v>
      </c>
      <c r="B2351" t="s">
        <v>8</v>
      </c>
      <c r="F2351" t="s">
        <v>7568</v>
      </c>
      <c r="G2351" t="s">
        <v>1104</v>
      </c>
    </row>
    <row r="2352" spans="1:7" hidden="1" x14ac:dyDescent="0.25">
      <c r="A2352" t="s">
        <v>1606</v>
      </c>
      <c r="B2352" t="s">
        <v>7706</v>
      </c>
      <c r="C2352" t="s">
        <v>60</v>
      </c>
      <c r="F2352" t="s">
        <v>7571</v>
      </c>
      <c r="G2352" t="s">
        <v>1104</v>
      </c>
    </row>
    <row r="2353" spans="1:7" hidden="1" x14ac:dyDescent="0.25">
      <c r="A2353" t="s">
        <v>6171</v>
      </c>
      <c r="B2353" t="s">
        <v>7706</v>
      </c>
      <c r="C2353" t="s">
        <v>60</v>
      </c>
      <c r="F2353" t="s">
        <v>7574</v>
      </c>
      <c r="G2353" t="s">
        <v>1104</v>
      </c>
    </row>
    <row r="2354" spans="1:7" hidden="1" x14ac:dyDescent="0.25">
      <c r="A2354" t="s">
        <v>650</v>
      </c>
      <c r="B2354" t="s">
        <v>7706</v>
      </c>
      <c r="C2354" t="s">
        <v>51</v>
      </c>
      <c r="F2354" t="s">
        <v>7577</v>
      </c>
      <c r="G2354" t="s">
        <v>1104</v>
      </c>
    </row>
    <row r="2355" spans="1:7" hidden="1" x14ac:dyDescent="0.25">
      <c r="A2355" t="s">
        <v>2004</v>
      </c>
      <c r="B2355" t="s">
        <v>8</v>
      </c>
      <c r="F2355" t="s">
        <v>7580</v>
      </c>
      <c r="G2355" t="s">
        <v>1104</v>
      </c>
    </row>
    <row r="2356" spans="1:7" hidden="1" x14ac:dyDescent="0.25">
      <c r="A2356" t="s">
        <v>1615</v>
      </c>
      <c r="B2356" t="s">
        <v>86</v>
      </c>
      <c r="C2356" t="s">
        <v>60</v>
      </c>
      <c r="E2356" t="s">
        <v>7707</v>
      </c>
      <c r="F2356" t="s">
        <v>7595</v>
      </c>
      <c r="G2356" t="s">
        <v>1105</v>
      </c>
    </row>
    <row r="2357" spans="1:7" hidden="1" x14ac:dyDescent="0.25">
      <c r="A2357" t="s">
        <v>1615</v>
      </c>
      <c r="B2357" t="s">
        <v>86</v>
      </c>
      <c r="C2357" t="s">
        <v>60</v>
      </c>
      <c r="E2357" t="s">
        <v>7708</v>
      </c>
      <c r="F2357" t="s">
        <v>7598</v>
      </c>
      <c r="G2357" t="s">
        <v>1105</v>
      </c>
    </row>
    <row r="2358" spans="1:7" hidden="1" x14ac:dyDescent="0.25">
      <c r="A2358" t="s">
        <v>4</v>
      </c>
      <c r="B2358" t="s">
        <v>7706</v>
      </c>
      <c r="C2358" t="s">
        <v>60</v>
      </c>
      <c r="F2358" t="s">
        <v>7601</v>
      </c>
      <c r="G2358" t="s">
        <v>1105</v>
      </c>
    </row>
    <row r="2359" spans="1:7" hidden="1" x14ac:dyDescent="0.25">
      <c r="A2359" t="s">
        <v>290</v>
      </c>
      <c r="B2359" t="s">
        <v>86</v>
      </c>
      <c r="C2359" t="s">
        <v>60</v>
      </c>
      <c r="D2359">
        <v>3</v>
      </c>
      <c r="F2359" t="s">
        <v>7604</v>
      </c>
      <c r="G2359" t="s">
        <v>1105</v>
      </c>
    </row>
    <row r="2360" spans="1:7" hidden="1" x14ac:dyDescent="0.25">
      <c r="A2360" t="s">
        <v>290</v>
      </c>
      <c r="B2360" t="s">
        <v>86</v>
      </c>
      <c r="C2360" t="s">
        <v>60</v>
      </c>
      <c r="D2360">
        <v>2</v>
      </c>
      <c r="F2360" t="s">
        <v>7607</v>
      </c>
      <c r="G2360" t="s">
        <v>1105</v>
      </c>
    </row>
    <row r="2361" spans="1:7" hidden="1" x14ac:dyDescent="0.25">
      <c r="A2361" t="s">
        <v>290</v>
      </c>
      <c r="B2361" t="s">
        <v>86</v>
      </c>
      <c r="C2361" t="s">
        <v>60</v>
      </c>
      <c r="D2361">
        <v>2</v>
      </c>
      <c r="F2361" t="s">
        <v>7610</v>
      </c>
      <c r="G2361" t="s">
        <v>1105</v>
      </c>
    </row>
    <row r="2362" spans="1:7" hidden="1" x14ac:dyDescent="0.25">
      <c r="A2362" t="s">
        <v>290</v>
      </c>
      <c r="B2362" t="s">
        <v>86</v>
      </c>
      <c r="C2362" t="s">
        <v>60</v>
      </c>
      <c r="D2362">
        <v>3</v>
      </c>
      <c r="F2362" t="s">
        <v>7613</v>
      </c>
      <c r="G2362" t="s">
        <v>1105</v>
      </c>
    </row>
    <row r="2363" spans="1:7" hidden="1" x14ac:dyDescent="0.25">
      <c r="A2363" t="s">
        <v>290</v>
      </c>
      <c r="B2363" t="s">
        <v>86</v>
      </c>
      <c r="C2363" t="s">
        <v>60</v>
      </c>
      <c r="D2363">
        <v>4</v>
      </c>
      <c r="F2363" t="s">
        <v>7616</v>
      </c>
      <c r="G2363" t="s">
        <v>1105</v>
      </c>
    </row>
    <row r="2364" spans="1:7" hidden="1" x14ac:dyDescent="0.25">
      <c r="A2364" t="s">
        <v>290</v>
      </c>
      <c r="B2364" t="s">
        <v>86</v>
      </c>
      <c r="C2364" t="s">
        <v>60</v>
      </c>
      <c r="D2364">
        <v>3</v>
      </c>
      <c r="F2364" t="s">
        <v>7619</v>
      </c>
      <c r="G2364" t="s">
        <v>1105</v>
      </c>
    </row>
    <row r="2365" spans="1:7" hidden="1" x14ac:dyDescent="0.25">
      <c r="A2365" t="s">
        <v>290</v>
      </c>
      <c r="B2365" t="s">
        <v>86</v>
      </c>
      <c r="C2365" t="s">
        <v>60</v>
      </c>
      <c r="D2365">
        <v>3</v>
      </c>
      <c r="F2365" t="s">
        <v>7622</v>
      </c>
      <c r="G2365" t="s">
        <v>1105</v>
      </c>
    </row>
    <row r="2366" spans="1:7" hidden="1" x14ac:dyDescent="0.25">
      <c r="A2366" t="s">
        <v>290</v>
      </c>
      <c r="B2366" t="s">
        <v>86</v>
      </c>
      <c r="C2366" t="s">
        <v>60</v>
      </c>
      <c r="D2366">
        <v>2</v>
      </c>
      <c r="F2366" t="s">
        <v>7625</v>
      </c>
      <c r="G2366" t="s">
        <v>1105</v>
      </c>
    </row>
    <row r="2367" spans="1:7" hidden="1" x14ac:dyDescent="0.25">
      <c r="A2367" t="s">
        <v>290</v>
      </c>
      <c r="B2367" t="s">
        <v>86</v>
      </c>
      <c r="C2367" t="s">
        <v>60</v>
      </c>
      <c r="D2367">
        <v>2</v>
      </c>
      <c r="F2367" t="s">
        <v>7628</v>
      </c>
      <c r="G2367" t="s">
        <v>1105</v>
      </c>
    </row>
    <row r="2368" spans="1:7" hidden="1" x14ac:dyDescent="0.25">
      <c r="A2368" t="s">
        <v>290</v>
      </c>
      <c r="B2368" t="s">
        <v>86</v>
      </c>
      <c r="C2368" t="s">
        <v>60</v>
      </c>
      <c r="D2368">
        <v>3</v>
      </c>
      <c r="F2368" t="s">
        <v>7631</v>
      </c>
      <c r="G2368" t="s">
        <v>1105</v>
      </c>
    </row>
    <row r="2369" spans="1:7" hidden="1" x14ac:dyDescent="0.25">
      <c r="A2369" t="s">
        <v>290</v>
      </c>
      <c r="B2369" t="s">
        <v>86</v>
      </c>
      <c r="C2369" t="s">
        <v>60</v>
      </c>
      <c r="D2369">
        <v>3</v>
      </c>
      <c r="F2369" t="s">
        <v>7634</v>
      </c>
      <c r="G2369" t="s">
        <v>1105</v>
      </c>
    </row>
    <row r="2370" spans="1:7" hidden="1" x14ac:dyDescent="0.25">
      <c r="A2370" t="s">
        <v>290</v>
      </c>
      <c r="B2370" t="s">
        <v>86</v>
      </c>
      <c r="C2370" t="s">
        <v>60</v>
      </c>
      <c r="D2370">
        <v>2</v>
      </c>
      <c r="F2370" t="s">
        <v>7637</v>
      </c>
      <c r="G2370" t="s">
        <v>1105</v>
      </c>
    </row>
    <row r="2371" spans="1:7" hidden="1" x14ac:dyDescent="0.25">
      <c r="A2371" t="s">
        <v>290</v>
      </c>
      <c r="B2371" t="s">
        <v>86</v>
      </c>
      <c r="C2371" t="s">
        <v>60</v>
      </c>
      <c r="D2371">
        <v>1</v>
      </c>
      <c r="F2371" t="s">
        <v>7640</v>
      </c>
      <c r="G2371" t="s">
        <v>1105</v>
      </c>
    </row>
    <row r="2372" spans="1:7" hidden="1" x14ac:dyDescent="0.25">
      <c r="A2372" t="s">
        <v>290</v>
      </c>
      <c r="B2372" t="s">
        <v>86</v>
      </c>
      <c r="C2372" t="s">
        <v>60</v>
      </c>
      <c r="D2372">
        <v>4</v>
      </c>
      <c r="F2372" t="s">
        <v>7643</v>
      </c>
      <c r="G2372" t="s">
        <v>1105</v>
      </c>
    </row>
    <row r="2373" spans="1:7" hidden="1" x14ac:dyDescent="0.25">
      <c r="A2373" t="s">
        <v>290</v>
      </c>
      <c r="B2373" t="s">
        <v>86</v>
      </c>
      <c r="C2373" t="s">
        <v>60</v>
      </c>
      <c r="D2373">
        <v>3</v>
      </c>
      <c r="F2373" t="s">
        <v>7646</v>
      </c>
      <c r="G2373" t="s">
        <v>1105</v>
      </c>
    </row>
    <row r="2374" spans="1:7" hidden="1" x14ac:dyDescent="0.25">
      <c r="A2374" t="s">
        <v>290</v>
      </c>
      <c r="B2374" t="s">
        <v>86</v>
      </c>
      <c r="C2374" t="s">
        <v>60</v>
      </c>
      <c r="D2374">
        <v>3</v>
      </c>
      <c r="F2374" t="s">
        <v>7649</v>
      </c>
      <c r="G2374" t="s">
        <v>1105</v>
      </c>
    </row>
    <row r="2375" spans="1:7" hidden="1" x14ac:dyDescent="0.25">
      <c r="A2375" t="s">
        <v>290</v>
      </c>
      <c r="B2375" t="s">
        <v>86</v>
      </c>
      <c r="C2375" t="s">
        <v>60</v>
      </c>
      <c r="D2375">
        <v>3</v>
      </c>
      <c r="F2375" t="s">
        <v>7652</v>
      </c>
      <c r="G2375" t="s">
        <v>1105</v>
      </c>
    </row>
    <row r="2376" spans="1:7" hidden="1" x14ac:dyDescent="0.25">
      <c r="A2376" t="s">
        <v>290</v>
      </c>
      <c r="B2376" t="s">
        <v>86</v>
      </c>
      <c r="C2376" t="s">
        <v>60</v>
      </c>
      <c r="D2376">
        <v>2</v>
      </c>
      <c r="F2376" t="s">
        <v>7655</v>
      </c>
      <c r="G2376" t="s">
        <v>1105</v>
      </c>
    </row>
    <row r="2377" spans="1:7" hidden="1" x14ac:dyDescent="0.25">
      <c r="A2377" t="s">
        <v>290</v>
      </c>
      <c r="B2377" t="s">
        <v>86</v>
      </c>
      <c r="C2377" t="s">
        <v>60</v>
      </c>
      <c r="D2377">
        <v>3</v>
      </c>
      <c r="F2377" t="s">
        <v>7658</v>
      </c>
      <c r="G2377" t="s">
        <v>1105</v>
      </c>
    </row>
    <row r="2378" spans="1:7" hidden="1" x14ac:dyDescent="0.25">
      <c r="A2378" t="s">
        <v>290</v>
      </c>
      <c r="B2378" t="s">
        <v>86</v>
      </c>
      <c r="C2378" t="s">
        <v>60</v>
      </c>
      <c r="D2378">
        <v>3</v>
      </c>
      <c r="F2378" t="s">
        <v>7661</v>
      </c>
      <c r="G2378" t="s">
        <v>1105</v>
      </c>
    </row>
    <row r="2379" spans="1:7" hidden="1" x14ac:dyDescent="0.25">
      <c r="A2379" t="s">
        <v>290</v>
      </c>
      <c r="B2379" t="s">
        <v>86</v>
      </c>
      <c r="C2379" t="s">
        <v>60</v>
      </c>
      <c r="D2379">
        <v>3</v>
      </c>
      <c r="F2379" t="s">
        <v>7664</v>
      </c>
      <c r="G2379" t="s">
        <v>1105</v>
      </c>
    </row>
    <row r="2380" spans="1:7" hidden="1" x14ac:dyDescent="0.25">
      <c r="A2380" t="s">
        <v>290</v>
      </c>
      <c r="B2380" t="s">
        <v>86</v>
      </c>
      <c r="C2380" t="s">
        <v>60</v>
      </c>
      <c r="D2380">
        <v>4</v>
      </c>
      <c r="F2380" t="s">
        <v>7667</v>
      </c>
      <c r="G2380" t="s">
        <v>1105</v>
      </c>
    </row>
    <row r="2381" spans="1:7" hidden="1" x14ac:dyDescent="0.25">
      <c r="A2381" t="s">
        <v>290</v>
      </c>
      <c r="B2381" t="s">
        <v>86</v>
      </c>
      <c r="C2381" t="s">
        <v>60</v>
      </c>
      <c r="D2381">
        <v>2</v>
      </c>
      <c r="F2381" t="s">
        <v>7670</v>
      </c>
      <c r="G2381" t="s">
        <v>1105</v>
      </c>
    </row>
    <row r="2382" spans="1:7" hidden="1" x14ac:dyDescent="0.25">
      <c r="A2382" t="s">
        <v>4</v>
      </c>
      <c r="B2382" t="s">
        <v>4193</v>
      </c>
      <c r="F2382" t="s">
        <v>7673</v>
      </c>
      <c r="G2382" t="s">
        <v>1105</v>
      </c>
    </row>
    <row r="2383" spans="1:7" hidden="1" x14ac:dyDescent="0.25">
      <c r="A2383" t="s">
        <v>2004</v>
      </c>
      <c r="B2383" t="s">
        <v>8</v>
      </c>
      <c r="F2383" t="s">
        <v>7676</v>
      </c>
      <c r="G2383" t="s">
        <v>1105</v>
      </c>
    </row>
    <row r="2384" spans="1:7" hidden="1" x14ac:dyDescent="0.25">
      <c r="A2384" t="s">
        <v>2004</v>
      </c>
      <c r="B2384" t="s">
        <v>8</v>
      </c>
      <c r="F2384" t="s">
        <v>7694</v>
      </c>
      <c r="G2384" t="s">
        <v>1106</v>
      </c>
    </row>
    <row r="2385" spans="1:7" hidden="1" x14ac:dyDescent="0.25">
      <c r="A2385" t="s">
        <v>2004</v>
      </c>
      <c r="B2385" t="s">
        <v>8</v>
      </c>
      <c r="F2385" t="s">
        <v>7697</v>
      </c>
      <c r="G2385" t="s">
        <v>1106</v>
      </c>
    </row>
    <row r="2386" spans="1:7" x14ac:dyDescent="0.25">
      <c r="A2386" t="s">
        <v>2004</v>
      </c>
      <c r="B2386" t="s">
        <v>8</v>
      </c>
      <c r="F2386" t="s">
        <v>7700</v>
      </c>
      <c r="G2386" t="s">
        <v>1107</v>
      </c>
    </row>
    <row r="2387" spans="1:7" x14ac:dyDescent="0.25">
      <c r="A2387" t="s">
        <v>2004</v>
      </c>
      <c r="B2387" t="s">
        <v>8</v>
      </c>
      <c r="F2387" t="s">
        <v>7703</v>
      </c>
      <c r="G2387" t="s">
        <v>1107</v>
      </c>
    </row>
    <row r="2388" spans="1:7" hidden="1" x14ac:dyDescent="0.25">
      <c r="A2388" t="s">
        <v>2004</v>
      </c>
      <c r="B2388" t="s">
        <v>9</v>
      </c>
      <c r="F2388" t="s">
        <v>7445</v>
      </c>
      <c r="G2388" t="s">
        <v>796</v>
      </c>
    </row>
    <row r="2389" spans="1:7" hidden="1" x14ac:dyDescent="0.25">
      <c r="A2389" t="s">
        <v>2004</v>
      </c>
      <c r="B2389" t="s">
        <v>9</v>
      </c>
      <c r="F2389" t="s">
        <v>7448</v>
      </c>
      <c r="G2389" t="s">
        <v>796</v>
      </c>
    </row>
    <row r="2390" spans="1:7" hidden="1" x14ac:dyDescent="0.25">
      <c r="A2390" t="s">
        <v>4</v>
      </c>
      <c r="B2390" t="s">
        <v>86</v>
      </c>
      <c r="E2390" t="s">
        <v>7710</v>
      </c>
      <c r="F2390" t="s">
        <v>7451</v>
      </c>
      <c r="G2390" t="s">
        <v>1100</v>
      </c>
    </row>
    <row r="2391" spans="1:7" hidden="1" x14ac:dyDescent="0.25">
      <c r="A2391" t="s">
        <v>4</v>
      </c>
      <c r="B2391" t="s">
        <v>7709</v>
      </c>
      <c r="F2391" t="s">
        <v>7454</v>
      </c>
      <c r="G2391" t="s">
        <v>1100</v>
      </c>
    </row>
    <row r="2392" spans="1:7" hidden="1" x14ac:dyDescent="0.25">
      <c r="A2392" t="s">
        <v>4</v>
      </c>
      <c r="B2392" t="s">
        <v>86</v>
      </c>
      <c r="E2392" t="s">
        <v>7710</v>
      </c>
      <c r="F2392" t="s">
        <v>7457</v>
      </c>
      <c r="G2392" t="s">
        <v>1100</v>
      </c>
    </row>
    <row r="2393" spans="1:7" hidden="1" x14ac:dyDescent="0.25">
      <c r="A2393" t="s">
        <v>4</v>
      </c>
      <c r="B2393" t="s">
        <v>86</v>
      </c>
      <c r="E2393" t="s">
        <v>7710</v>
      </c>
      <c r="F2393" t="s">
        <v>7460</v>
      </c>
      <c r="G2393" t="s">
        <v>1100</v>
      </c>
    </row>
    <row r="2394" spans="1:7" hidden="1" x14ac:dyDescent="0.25">
      <c r="A2394" t="s">
        <v>4</v>
      </c>
      <c r="B2394" t="s">
        <v>7709</v>
      </c>
      <c r="F2394" t="s">
        <v>7463</v>
      </c>
      <c r="G2394" t="s">
        <v>1100</v>
      </c>
    </row>
    <row r="2395" spans="1:7" hidden="1" x14ac:dyDescent="0.25">
      <c r="A2395" t="s">
        <v>4</v>
      </c>
      <c r="B2395" t="s">
        <v>7709</v>
      </c>
      <c r="F2395" t="s">
        <v>7466</v>
      </c>
      <c r="G2395" t="s">
        <v>1100</v>
      </c>
    </row>
    <row r="2396" spans="1:7" hidden="1" x14ac:dyDescent="0.25">
      <c r="A2396" t="s">
        <v>4</v>
      </c>
      <c r="B2396" t="s">
        <v>86</v>
      </c>
      <c r="E2396" t="s">
        <v>7710</v>
      </c>
      <c r="F2396" t="s">
        <v>7469</v>
      </c>
      <c r="G2396" t="s">
        <v>1100</v>
      </c>
    </row>
    <row r="2397" spans="1:7" hidden="1" x14ac:dyDescent="0.25">
      <c r="A2397" t="s">
        <v>4</v>
      </c>
      <c r="B2397" t="s">
        <v>7709</v>
      </c>
      <c r="F2397" t="s">
        <v>7472</v>
      </c>
      <c r="G2397" t="s">
        <v>1100</v>
      </c>
    </row>
    <row r="2398" spans="1:7" hidden="1" x14ac:dyDescent="0.25">
      <c r="A2398" t="s">
        <v>4</v>
      </c>
      <c r="B2398" t="s">
        <v>86</v>
      </c>
      <c r="E2398" t="s">
        <v>7710</v>
      </c>
      <c r="F2398" t="s">
        <v>7475</v>
      </c>
      <c r="G2398" t="s">
        <v>1100</v>
      </c>
    </row>
    <row r="2399" spans="1:7" hidden="1" x14ac:dyDescent="0.25">
      <c r="A2399" t="s">
        <v>2004</v>
      </c>
      <c r="B2399" t="s">
        <v>8</v>
      </c>
      <c r="F2399" t="s">
        <v>7490</v>
      </c>
      <c r="G2399" s="1" t="s">
        <v>1603</v>
      </c>
    </row>
    <row r="2400" spans="1:7" hidden="1" x14ac:dyDescent="0.25">
      <c r="A2400" t="s">
        <v>7711</v>
      </c>
      <c r="B2400" t="s">
        <v>1607</v>
      </c>
      <c r="F2400" t="s">
        <v>7493</v>
      </c>
      <c r="G2400" s="1" t="s">
        <v>1603</v>
      </c>
    </row>
    <row r="2401" spans="1:7" hidden="1" x14ac:dyDescent="0.25">
      <c r="A2401" t="s">
        <v>7711</v>
      </c>
      <c r="B2401" t="s">
        <v>1607</v>
      </c>
      <c r="F2401" t="s">
        <v>7496</v>
      </c>
      <c r="G2401" s="1" t="s">
        <v>1603</v>
      </c>
    </row>
    <row r="2402" spans="1:7" hidden="1" x14ac:dyDescent="0.25">
      <c r="A2402" t="s">
        <v>2004</v>
      </c>
      <c r="B2402" t="s">
        <v>8</v>
      </c>
      <c r="F2402" t="s">
        <v>7499</v>
      </c>
      <c r="G2402" s="1" t="s">
        <v>1603</v>
      </c>
    </row>
    <row r="2403" spans="1:7" hidden="1" x14ac:dyDescent="0.25">
      <c r="A2403" t="s">
        <v>289</v>
      </c>
      <c r="B2403" t="s">
        <v>70</v>
      </c>
      <c r="C2403" t="s">
        <v>58</v>
      </c>
      <c r="E2403" t="s">
        <v>1618</v>
      </c>
      <c r="F2403" t="s">
        <v>7502</v>
      </c>
      <c r="G2403" s="1" t="s">
        <v>1603</v>
      </c>
    </row>
    <row r="2404" spans="1:7" hidden="1" x14ac:dyDescent="0.25">
      <c r="A2404" t="s">
        <v>289</v>
      </c>
      <c r="B2404" t="s">
        <v>70</v>
      </c>
      <c r="C2404" t="s">
        <v>58</v>
      </c>
      <c r="E2404" t="s">
        <v>2936</v>
      </c>
      <c r="F2404" t="s">
        <v>7505</v>
      </c>
      <c r="G2404" s="1" t="s">
        <v>1603</v>
      </c>
    </row>
    <row r="2405" spans="1:7" hidden="1" x14ac:dyDescent="0.25">
      <c r="A2405" t="s">
        <v>289</v>
      </c>
      <c r="B2405" t="s">
        <v>70</v>
      </c>
      <c r="C2405" t="s">
        <v>58</v>
      </c>
      <c r="E2405" t="s">
        <v>2936</v>
      </c>
      <c r="F2405" t="s">
        <v>7508</v>
      </c>
      <c r="G2405" s="1" t="s">
        <v>1603</v>
      </c>
    </row>
    <row r="2406" spans="1:7" hidden="1" x14ac:dyDescent="0.25">
      <c r="A2406" t="s">
        <v>289</v>
      </c>
      <c r="B2406" t="s">
        <v>70</v>
      </c>
      <c r="C2406" t="s">
        <v>58</v>
      </c>
      <c r="E2406" t="s">
        <v>2936</v>
      </c>
      <c r="F2406" t="s">
        <v>7511</v>
      </c>
      <c r="G2406" s="1" t="s">
        <v>1603</v>
      </c>
    </row>
    <row r="2407" spans="1:7" hidden="1" x14ac:dyDescent="0.25">
      <c r="A2407" t="s">
        <v>289</v>
      </c>
      <c r="B2407" t="s">
        <v>70</v>
      </c>
      <c r="C2407" t="s">
        <v>58</v>
      </c>
      <c r="E2407" t="s">
        <v>2936</v>
      </c>
      <c r="F2407" t="s">
        <v>7514</v>
      </c>
      <c r="G2407" s="1" t="s">
        <v>1603</v>
      </c>
    </row>
    <row r="2408" spans="1:7" hidden="1" x14ac:dyDescent="0.25">
      <c r="A2408" t="s">
        <v>650</v>
      </c>
      <c r="B2408" t="s">
        <v>70</v>
      </c>
      <c r="C2408" t="s">
        <v>58</v>
      </c>
      <c r="F2408" t="s">
        <v>7517</v>
      </c>
      <c r="G2408" s="1" t="s">
        <v>1603</v>
      </c>
    </row>
    <row r="2409" spans="1:7" hidden="1" x14ac:dyDescent="0.25">
      <c r="A2409" t="s">
        <v>7712</v>
      </c>
      <c r="B2409" t="s">
        <v>531</v>
      </c>
      <c r="F2409" t="s">
        <v>7520</v>
      </c>
      <c r="G2409" s="1" t="s">
        <v>1603</v>
      </c>
    </row>
    <row r="2410" spans="1:7" hidden="1" x14ac:dyDescent="0.25">
      <c r="A2410" t="s">
        <v>4223</v>
      </c>
      <c r="B2410" t="s">
        <v>86</v>
      </c>
      <c r="C2410" t="s">
        <v>7713</v>
      </c>
      <c r="F2410" t="s">
        <v>7523</v>
      </c>
      <c r="G2410" s="1" t="s">
        <v>1603</v>
      </c>
    </row>
    <row r="2411" spans="1:7" hidden="1" x14ac:dyDescent="0.25">
      <c r="A2411" t="s">
        <v>4223</v>
      </c>
      <c r="B2411" t="s">
        <v>86</v>
      </c>
      <c r="C2411" t="s">
        <v>7713</v>
      </c>
      <c r="E2411" t="s">
        <v>2936</v>
      </c>
      <c r="F2411" t="s">
        <v>7526</v>
      </c>
      <c r="G2411" s="1" t="s">
        <v>1603</v>
      </c>
    </row>
    <row r="2412" spans="1:7" hidden="1" x14ac:dyDescent="0.25">
      <c r="A2412" t="s">
        <v>4223</v>
      </c>
      <c r="B2412" t="s">
        <v>86</v>
      </c>
      <c r="C2412" t="s">
        <v>7713</v>
      </c>
      <c r="F2412" t="s">
        <v>7529</v>
      </c>
      <c r="G2412" s="1" t="s">
        <v>1603</v>
      </c>
    </row>
    <row r="2413" spans="1:7" hidden="1" x14ac:dyDescent="0.25">
      <c r="A2413" t="s">
        <v>2004</v>
      </c>
      <c r="B2413" t="s">
        <v>8</v>
      </c>
      <c r="F2413" t="s">
        <v>7532</v>
      </c>
      <c r="G2413" s="1" t="s">
        <v>1603</v>
      </c>
    </row>
    <row r="2414" spans="1:7" hidden="1" x14ac:dyDescent="0.25">
      <c r="A2414" t="s">
        <v>2004</v>
      </c>
      <c r="B2414" t="s">
        <v>8</v>
      </c>
      <c r="F2414" t="s">
        <v>7535</v>
      </c>
      <c r="G2414" s="1" t="s">
        <v>1603</v>
      </c>
    </row>
    <row r="2415" spans="1:7" hidden="1" x14ac:dyDescent="0.25">
      <c r="A2415" t="s">
        <v>290</v>
      </c>
      <c r="B2415" t="s">
        <v>86</v>
      </c>
      <c r="C2415" t="s">
        <v>60</v>
      </c>
      <c r="E2415" t="s">
        <v>5104</v>
      </c>
      <c r="F2415" t="s">
        <v>7538</v>
      </c>
      <c r="G2415" t="s">
        <v>1817</v>
      </c>
    </row>
    <row r="2416" spans="1:7" hidden="1" x14ac:dyDescent="0.25">
      <c r="A2416" t="s">
        <v>290</v>
      </c>
      <c r="B2416" t="s">
        <v>86</v>
      </c>
      <c r="C2416" t="s">
        <v>60</v>
      </c>
      <c r="E2416" t="s">
        <v>5104</v>
      </c>
      <c r="F2416" t="s">
        <v>7541</v>
      </c>
      <c r="G2416" t="s">
        <v>1817</v>
      </c>
    </row>
    <row r="2417" spans="1:7" hidden="1" x14ac:dyDescent="0.25">
      <c r="A2417" t="s">
        <v>290</v>
      </c>
      <c r="B2417" t="s">
        <v>86</v>
      </c>
      <c r="C2417" t="s">
        <v>60</v>
      </c>
      <c r="E2417" t="s">
        <v>5104</v>
      </c>
      <c r="F2417" t="s">
        <v>7544</v>
      </c>
      <c r="G2417" t="s">
        <v>1817</v>
      </c>
    </row>
    <row r="2418" spans="1:7" hidden="1" x14ac:dyDescent="0.25">
      <c r="A2418" t="s">
        <v>4</v>
      </c>
      <c r="B2418" t="s">
        <v>8</v>
      </c>
      <c r="F2418" t="s">
        <v>7547</v>
      </c>
      <c r="G2418" t="s">
        <v>1817</v>
      </c>
    </row>
    <row r="2419" spans="1:7" hidden="1" x14ac:dyDescent="0.25">
      <c r="A2419" t="s">
        <v>4</v>
      </c>
      <c r="B2419" t="s">
        <v>86</v>
      </c>
      <c r="C2419" t="s">
        <v>7713</v>
      </c>
      <c r="F2419" t="s">
        <v>7550</v>
      </c>
      <c r="G2419" t="s">
        <v>1817</v>
      </c>
    </row>
    <row r="2420" spans="1:7" hidden="1" x14ac:dyDescent="0.25">
      <c r="A2420" t="s">
        <v>4</v>
      </c>
      <c r="B2420" t="s">
        <v>86</v>
      </c>
      <c r="C2420" t="s">
        <v>7713</v>
      </c>
      <c r="E2420" t="s">
        <v>2936</v>
      </c>
      <c r="F2420" t="s">
        <v>7553</v>
      </c>
      <c r="G2420" t="s">
        <v>1817</v>
      </c>
    </row>
    <row r="2421" spans="1:7" hidden="1" x14ac:dyDescent="0.25">
      <c r="A2421" t="s">
        <v>4</v>
      </c>
      <c r="B2421" t="s">
        <v>86</v>
      </c>
      <c r="C2421" t="s">
        <v>7713</v>
      </c>
      <c r="F2421" t="s">
        <v>7556</v>
      </c>
      <c r="G2421" t="s">
        <v>1817</v>
      </c>
    </row>
    <row r="2422" spans="1:7" hidden="1" x14ac:dyDescent="0.25">
      <c r="A2422" t="s">
        <v>4</v>
      </c>
      <c r="B2422" t="s">
        <v>86</v>
      </c>
      <c r="C2422" t="s">
        <v>7714</v>
      </c>
      <c r="F2422" t="s">
        <v>7559</v>
      </c>
      <c r="G2422" t="s">
        <v>1817</v>
      </c>
    </row>
    <row r="2423" spans="1:7" hidden="1" x14ac:dyDescent="0.25">
      <c r="A2423" t="s">
        <v>4</v>
      </c>
      <c r="B2423" t="s">
        <v>4193</v>
      </c>
      <c r="C2423" t="s">
        <v>4240</v>
      </c>
      <c r="F2423" t="s">
        <v>7562</v>
      </c>
      <c r="G2423" t="s">
        <v>1817</v>
      </c>
    </row>
    <row r="2424" spans="1:7" hidden="1" x14ac:dyDescent="0.25">
      <c r="A2424" t="s">
        <v>650</v>
      </c>
      <c r="B2424" t="s">
        <v>4193</v>
      </c>
      <c r="C2424" t="s">
        <v>4240</v>
      </c>
      <c r="F2424" t="s">
        <v>7565</v>
      </c>
      <c r="G2424" t="s">
        <v>1817</v>
      </c>
    </row>
    <row r="2425" spans="1:7" hidden="1" x14ac:dyDescent="0.25">
      <c r="A2425" t="s">
        <v>4</v>
      </c>
      <c r="B2425" t="s">
        <v>7715</v>
      </c>
      <c r="F2425" t="s">
        <v>7583</v>
      </c>
      <c r="G2425" t="s">
        <v>1934</v>
      </c>
    </row>
    <row r="2426" spans="1:7" hidden="1" x14ac:dyDescent="0.25">
      <c r="A2426" t="s">
        <v>4</v>
      </c>
      <c r="B2426" t="s">
        <v>7716</v>
      </c>
      <c r="E2426" t="s">
        <v>2936</v>
      </c>
      <c r="F2426" t="s">
        <v>7586</v>
      </c>
      <c r="G2426" t="s">
        <v>1934</v>
      </c>
    </row>
    <row r="2427" spans="1:7" hidden="1" x14ac:dyDescent="0.25">
      <c r="A2427" t="s">
        <v>4</v>
      </c>
      <c r="B2427" t="s">
        <v>8</v>
      </c>
      <c r="E2427" t="s">
        <v>7717</v>
      </c>
      <c r="F2427" t="s">
        <v>7589</v>
      </c>
      <c r="G2427" t="s">
        <v>1934</v>
      </c>
    </row>
    <row r="2428" spans="1:7" hidden="1" x14ac:dyDescent="0.25">
      <c r="A2428" t="s">
        <v>4</v>
      </c>
      <c r="B2428" t="s">
        <v>8</v>
      </c>
      <c r="E2428" t="s">
        <v>3078</v>
      </c>
      <c r="F2428" t="s">
        <v>7592</v>
      </c>
      <c r="G2428" t="s">
        <v>1934</v>
      </c>
    </row>
    <row r="2429" spans="1:7" hidden="1" x14ac:dyDescent="0.25">
      <c r="A2429" t="s">
        <v>4223</v>
      </c>
      <c r="B2429" t="s">
        <v>5480</v>
      </c>
      <c r="C2429" t="s">
        <v>60</v>
      </c>
      <c r="F2429" t="s">
        <v>7679</v>
      </c>
      <c r="G2429" t="s">
        <v>1997</v>
      </c>
    </row>
    <row r="2430" spans="1:7" hidden="1" x14ac:dyDescent="0.25">
      <c r="A2430" t="s">
        <v>2004</v>
      </c>
      <c r="B2430" t="s">
        <v>8</v>
      </c>
      <c r="F2430" t="s">
        <v>7682</v>
      </c>
      <c r="G2430" t="s">
        <v>1997</v>
      </c>
    </row>
    <row r="2431" spans="1:7" hidden="1" x14ac:dyDescent="0.25">
      <c r="A2431" t="s">
        <v>4</v>
      </c>
      <c r="B2431" t="s">
        <v>4193</v>
      </c>
      <c r="E2431" t="s">
        <v>7718</v>
      </c>
      <c r="F2431" t="s">
        <v>7685</v>
      </c>
      <c r="G2431" t="s">
        <v>1997</v>
      </c>
    </row>
    <row r="2432" spans="1:7" hidden="1" x14ac:dyDescent="0.25">
      <c r="A2432" t="s">
        <v>4223</v>
      </c>
      <c r="B2432" t="s">
        <v>5480</v>
      </c>
      <c r="C2432" t="s">
        <v>7713</v>
      </c>
      <c r="F2432" t="s">
        <v>7688</v>
      </c>
      <c r="G2432" t="s">
        <v>1997</v>
      </c>
    </row>
    <row r="2433" spans="1:7" hidden="1" x14ac:dyDescent="0.25">
      <c r="A2433" t="s">
        <v>4223</v>
      </c>
      <c r="B2433" t="s">
        <v>5480</v>
      </c>
      <c r="C2433" t="s">
        <v>7719</v>
      </c>
      <c r="F2433" t="s">
        <v>7691</v>
      </c>
      <c r="G2433" t="s">
        <v>1997</v>
      </c>
    </row>
    <row r="2434" spans="1:7" hidden="1" x14ac:dyDescent="0.25">
      <c r="A2434" t="s">
        <v>91</v>
      </c>
      <c r="B2434" t="s">
        <v>4193</v>
      </c>
      <c r="C2434" t="s">
        <v>5076</v>
      </c>
      <c r="F2434" t="s">
        <v>7723</v>
      </c>
      <c r="G2434" t="s">
        <v>1102</v>
      </c>
    </row>
    <row r="2435" spans="1:7" hidden="1" x14ac:dyDescent="0.25">
      <c r="A2435" t="s">
        <v>62</v>
      </c>
      <c r="B2435" t="s">
        <v>4193</v>
      </c>
      <c r="C2435" t="s">
        <v>5076</v>
      </c>
      <c r="F2435" t="s">
        <v>7726</v>
      </c>
      <c r="G2435" t="s">
        <v>1102</v>
      </c>
    </row>
    <row r="2436" spans="1:7" hidden="1" x14ac:dyDescent="0.25">
      <c r="A2436" t="s">
        <v>2004</v>
      </c>
      <c r="B2436" t="s">
        <v>8</v>
      </c>
      <c r="F2436" t="s">
        <v>7720</v>
      </c>
      <c r="G2436" t="s">
        <v>1103</v>
      </c>
    </row>
    <row r="2437" spans="1:7" hidden="1" x14ac:dyDescent="0.25">
      <c r="A2437" t="s">
        <v>289</v>
      </c>
      <c r="B2437" t="s">
        <v>2927</v>
      </c>
      <c r="C2437" t="s">
        <v>7169</v>
      </c>
      <c r="F2437" t="s">
        <v>7819</v>
      </c>
      <c r="G2437" t="s">
        <v>91</v>
      </c>
    </row>
    <row r="2438" spans="1:7" hidden="1" x14ac:dyDescent="0.25">
      <c r="A2438" t="s">
        <v>289</v>
      </c>
      <c r="B2438" t="s">
        <v>2927</v>
      </c>
      <c r="C2438" t="s">
        <v>7169</v>
      </c>
      <c r="E2438" t="s">
        <v>2936</v>
      </c>
      <c r="F2438" t="s">
        <v>7822</v>
      </c>
      <c r="G2438" t="s">
        <v>91</v>
      </c>
    </row>
    <row r="2439" spans="1:7" hidden="1" x14ac:dyDescent="0.25">
      <c r="A2439" t="s">
        <v>289</v>
      </c>
      <c r="B2439" t="s">
        <v>2927</v>
      </c>
      <c r="C2439" t="s">
        <v>7169</v>
      </c>
      <c r="E2439" t="s">
        <v>2936</v>
      </c>
      <c r="F2439" t="s">
        <v>7825</v>
      </c>
      <c r="G2439" t="s">
        <v>91</v>
      </c>
    </row>
    <row r="2440" spans="1:7" hidden="1" x14ac:dyDescent="0.25">
      <c r="A2440" t="s">
        <v>2004</v>
      </c>
      <c r="B2440" t="s">
        <v>8</v>
      </c>
      <c r="F2440" t="s">
        <v>7828</v>
      </c>
      <c r="G2440" t="s">
        <v>1104</v>
      </c>
    </row>
    <row r="2441" spans="1:7" hidden="1" x14ac:dyDescent="0.25">
      <c r="A2441" t="s">
        <v>1094</v>
      </c>
      <c r="B2441" t="s">
        <v>86</v>
      </c>
      <c r="C2441" t="s">
        <v>60</v>
      </c>
      <c r="E2441" t="s">
        <v>7870</v>
      </c>
      <c r="F2441" t="s">
        <v>7831</v>
      </c>
      <c r="G2441" t="s">
        <v>1105</v>
      </c>
    </row>
    <row r="2442" spans="1:7" hidden="1" x14ac:dyDescent="0.25">
      <c r="A2442" t="s">
        <v>1094</v>
      </c>
      <c r="B2442" t="s">
        <v>86</v>
      </c>
      <c r="C2442" t="s">
        <v>60</v>
      </c>
      <c r="E2442" t="s">
        <v>7870</v>
      </c>
      <c r="F2442" t="s">
        <v>7834</v>
      </c>
      <c r="G2442" t="s">
        <v>1105</v>
      </c>
    </row>
    <row r="2443" spans="1:7" hidden="1" x14ac:dyDescent="0.25">
      <c r="A2443" t="s">
        <v>1094</v>
      </c>
      <c r="B2443" t="s">
        <v>86</v>
      </c>
      <c r="C2443" t="s">
        <v>60</v>
      </c>
      <c r="E2443" t="s">
        <v>7870</v>
      </c>
      <c r="F2443" t="s">
        <v>7837</v>
      </c>
      <c r="G2443" t="s">
        <v>1105</v>
      </c>
    </row>
    <row r="2444" spans="1:7" hidden="1" x14ac:dyDescent="0.25">
      <c r="A2444" t="s">
        <v>1094</v>
      </c>
      <c r="B2444" t="s">
        <v>86</v>
      </c>
      <c r="C2444" t="s">
        <v>60</v>
      </c>
      <c r="E2444" t="s">
        <v>7870</v>
      </c>
      <c r="F2444" t="s">
        <v>7840</v>
      </c>
      <c r="G2444" t="s">
        <v>1105</v>
      </c>
    </row>
    <row r="2445" spans="1:7" hidden="1" x14ac:dyDescent="0.25">
      <c r="A2445" t="s">
        <v>1094</v>
      </c>
      <c r="B2445" t="s">
        <v>86</v>
      </c>
      <c r="C2445" t="s">
        <v>60</v>
      </c>
      <c r="E2445" t="s">
        <v>7870</v>
      </c>
      <c r="F2445" t="s">
        <v>7843</v>
      </c>
      <c r="G2445" t="s">
        <v>1105</v>
      </c>
    </row>
    <row r="2446" spans="1:7" hidden="1" x14ac:dyDescent="0.25">
      <c r="A2446" t="s">
        <v>1094</v>
      </c>
      <c r="B2446" t="s">
        <v>86</v>
      </c>
      <c r="C2446" t="s">
        <v>60</v>
      </c>
      <c r="E2446" t="s">
        <v>7870</v>
      </c>
      <c r="F2446" t="s">
        <v>7846</v>
      </c>
      <c r="G2446" t="s">
        <v>1105</v>
      </c>
    </row>
    <row r="2447" spans="1:7" hidden="1" x14ac:dyDescent="0.25">
      <c r="A2447" t="s">
        <v>1094</v>
      </c>
      <c r="B2447" t="s">
        <v>86</v>
      </c>
      <c r="C2447" t="s">
        <v>60</v>
      </c>
      <c r="E2447" t="s">
        <v>7870</v>
      </c>
      <c r="F2447" t="s">
        <v>7849</v>
      </c>
      <c r="G2447" t="s">
        <v>1105</v>
      </c>
    </row>
    <row r="2448" spans="1:7" hidden="1" x14ac:dyDescent="0.25">
      <c r="A2448" t="s">
        <v>2004</v>
      </c>
      <c r="B2448" t="s">
        <v>8</v>
      </c>
      <c r="F2448" t="s">
        <v>7852</v>
      </c>
      <c r="G2448" t="s">
        <v>1105</v>
      </c>
    </row>
    <row r="2449" spans="1:7" hidden="1" x14ac:dyDescent="0.25">
      <c r="A2449" t="s">
        <v>290</v>
      </c>
      <c r="B2449" t="s">
        <v>86</v>
      </c>
      <c r="C2449" t="s">
        <v>60</v>
      </c>
      <c r="E2449" t="s">
        <v>5104</v>
      </c>
      <c r="F2449" t="s">
        <v>7855</v>
      </c>
      <c r="G2449" t="s">
        <v>1106</v>
      </c>
    </row>
    <row r="2450" spans="1:7" hidden="1" x14ac:dyDescent="0.25">
      <c r="A2450" t="s">
        <v>290</v>
      </c>
      <c r="B2450" t="s">
        <v>86</v>
      </c>
      <c r="C2450" t="s">
        <v>60</v>
      </c>
      <c r="E2450" t="s">
        <v>2936</v>
      </c>
      <c r="F2450" t="s">
        <v>7858</v>
      </c>
      <c r="G2450" t="s">
        <v>1106</v>
      </c>
    </row>
    <row r="2451" spans="1:7" hidden="1" x14ac:dyDescent="0.25">
      <c r="A2451" t="s">
        <v>290</v>
      </c>
      <c r="B2451" t="s">
        <v>86</v>
      </c>
      <c r="C2451" t="s">
        <v>60</v>
      </c>
      <c r="E2451" t="s">
        <v>2936</v>
      </c>
      <c r="F2451" t="s">
        <v>7861</v>
      </c>
      <c r="G2451" t="s">
        <v>1106</v>
      </c>
    </row>
    <row r="2452" spans="1:7" x14ac:dyDescent="0.25">
      <c r="A2452" t="s">
        <v>2004</v>
      </c>
      <c r="B2452" t="s">
        <v>8</v>
      </c>
      <c r="F2452" t="s">
        <v>7867</v>
      </c>
      <c r="G2452" t="s">
        <v>1107</v>
      </c>
    </row>
    <row r="2453" spans="1:7" hidden="1" x14ac:dyDescent="0.25">
      <c r="A2453" t="s">
        <v>2004</v>
      </c>
      <c r="B2453" t="s">
        <v>9</v>
      </c>
      <c r="F2453" t="s">
        <v>7864</v>
      </c>
      <c r="G2453" t="s">
        <v>796</v>
      </c>
    </row>
    <row r="2454" spans="1:7" hidden="1" x14ac:dyDescent="0.25">
      <c r="A2454" t="s">
        <v>4</v>
      </c>
      <c r="B2454" t="s">
        <v>86</v>
      </c>
      <c r="E2454" t="s">
        <v>7710</v>
      </c>
      <c r="F2454" t="s">
        <v>7729</v>
      </c>
      <c r="G2454" t="s">
        <v>1100</v>
      </c>
    </row>
    <row r="2455" spans="1:7" hidden="1" x14ac:dyDescent="0.25">
      <c r="A2455" t="s">
        <v>4</v>
      </c>
      <c r="B2455" t="s">
        <v>7709</v>
      </c>
      <c r="F2455" t="s">
        <v>7732</v>
      </c>
      <c r="G2455" t="s">
        <v>1100</v>
      </c>
    </row>
    <row r="2456" spans="1:7" hidden="1" x14ac:dyDescent="0.25">
      <c r="A2456" t="s">
        <v>4</v>
      </c>
      <c r="B2456" t="s">
        <v>86</v>
      </c>
      <c r="E2456" t="s">
        <v>7710</v>
      </c>
      <c r="F2456" t="s">
        <v>7735</v>
      </c>
      <c r="G2456" t="s">
        <v>1100</v>
      </c>
    </row>
    <row r="2457" spans="1:7" hidden="1" x14ac:dyDescent="0.25">
      <c r="A2457" t="s">
        <v>4</v>
      </c>
      <c r="B2457" t="s">
        <v>7709</v>
      </c>
      <c r="F2457" t="s">
        <v>7738</v>
      </c>
      <c r="G2457" t="s">
        <v>1100</v>
      </c>
    </row>
    <row r="2458" spans="1:7" hidden="1" x14ac:dyDescent="0.25">
      <c r="A2458" t="s">
        <v>4</v>
      </c>
      <c r="B2458" t="s">
        <v>86</v>
      </c>
      <c r="E2458" t="s">
        <v>7710</v>
      </c>
      <c r="F2458" t="s">
        <v>7741</v>
      </c>
      <c r="G2458" t="s">
        <v>1100</v>
      </c>
    </row>
    <row r="2459" spans="1:7" hidden="1" x14ac:dyDescent="0.25">
      <c r="A2459" t="s">
        <v>2004</v>
      </c>
      <c r="B2459" t="s">
        <v>8</v>
      </c>
      <c r="F2459" t="s">
        <v>7744</v>
      </c>
      <c r="G2459" s="1" t="s">
        <v>1603</v>
      </c>
    </row>
    <row r="2460" spans="1:7" hidden="1" x14ac:dyDescent="0.25">
      <c r="A2460" t="s">
        <v>289</v>
      </c>
      <c r="B2460" t="s">
        <v>86</v>
      </c>
      <c r="C2460" t="s">
        <v>7719</v>
      </c>
      <c r="F2460" t="s">
        <v>7747</v>
      </c>
      <c r="G2460" t="s">
        <v>1817</v>
      </c>
    </row>
    <row r="2461" spans="1:7" hidden="1" x14ac:dyDescent="0.25">
      <c r="A2461" t="s">
        <v>158</v>
      </c>
      <c r="B2461" t="s">
        <v>86</v>
      </c>
      <c r="C2461" t="s">
        <v>7714</v>
      </c>
      <c r="F2461" t="s">
        <v>7750</v>
      </c>
      <c r="G2461" t="s">
        <v>1817</v>
      </c>
    </row>
    <row r="2462" spans="1:7" hidden="1" x14ac:dyDescent="0.25">
      <c r="A2462" t="s">
        <v>1606</v>
      </c>
      <c r="B2462" t="s">
        <v>4193</v>
      </c>
      <c r="C2462" t="s">
        <v>5076</v>
      </c>
      <c r="F2462" t="s">
        <v>7753</v>
      </c>
      <c r="G2462" t="s">
        <v>1817</v>
      </c>
    </row>
    <row r="2463" spans="1:7" hidden="1" x14ac:dyDescent="0.25">
      <c r="A2463" t="s">
        <v>1606</v>
      </c>
      <c r="B2463" t="s">
        <v>4193</v>
      </c>
      <c r="C2463" t="s">
        <v>5076</v>
      </c>
      <c r="E2463" t="s">
        <v>2936</v>
      </c>
      <c r="F2463" t="s">
        <v>7756</v>
      </c>
      <c r="G2463" t="s">
        <v>1817</v>
      </c>
    </row>
    <row r="2464" spans="1:7" hidden="1" x14ac:dyDescent="0.25">
      <c r="A2464" t="s">
        <v>4223</v>
      </c>
      <c r="B2464" t="s">
        <v>86</v>
      </c>
      <c r="C2464" t="s">
        <v>528</v>
      </c>
      <c r="F2464" t="s">
        <v>7759</v>
      </c>
      <c r="G2464" t="s">
        <v>1817</v>
      </c>
    </row>
    <row r="2465" spans="1:7" hidden="1" x14ac:dyDescent="0.25">
      <c r="A2465" t="s">
        <v>4223</v>
      </c>
      <c r="B2465" t="s">
        <v>86</v>
      </c>
      <c r="C2465" t="s">
        <v>528</v>
      </c>
      <c r="E2465" t="s">
        <v>2936</v>
      </c>
      <c r="F2465" t="s">
        <v>7762</v>
      </c>
      <c r="G2465" t="s">
        <v>1817</v>
      </c>
    </row>
    <row r="2466" spans="1:7" hidden="1" x14ac:dyDescent="0.25">
      <c r="A2466" t="s">
        <v>7871</v>
      </c>
      <c r="B2466" t="s">
        <v>531</v>
      </c>
      <c r="F2466" t="s">
        <v>7765</v>
      </c>
      <c r="G2466" t="s">
        <v>1817</v>
      </c>
    </row>
    <row r="2467" spans="1:7" hidden="1" x14ac:dyDescent="0.25">
      <c r="A2467" t="s">
        <v>650</v>
      </c>
      <c r="B2467" t="s">
        <v>4193</v>
      </c>
      <c r="C2467" t="s">
        <v>5076</v>
      </c>
      <c r="F2467" t="s">
        <v>7768</v>
      </c>
      <c r="G2467" t="s">
        <v>1817</v>
      </c>
    </row>
    <row r="2468" spans="1:7" hidden="1" x14ac:dyDescent="0.25">
      <c r="A2468" t="s">
        <v>4223</v>
      </c>
      <c r="B2468" t="s">
        <v>86</v>
      </c>
      <c r="C2468" t="s">
        <v>528</v>
      </c>
      <c r="F2468" t="s">
        <v>7771</v>
      </c>
      <c r="G2468" t="s">
        <v>1817</v>
      </c>
    </row>
    <row r="2469" spans="1:7" hidden="1" x14ac:dyDescent="0.25">
      <c r="A2469" t="s">
        <v>4</v>
      </c>
      <c r="B2469" t="s">
        <v>8</v>
      </c>
      <c r="F2469" t="s">
        <v>7774</v>
      </c>
      <c r="G2469" t="s">
        <v>1817</v>
      </c>
    </row>
    <row r="2470" spans="1:7" hidden="1" x14ac:dyDescent="0.25">
      <c r="A2470" t="s">
        <v>4</v>
      </c>
      <c r="B2470" t="s">
        <v>8</v>
      </c>
      <c r="F2470" t="s">
        <v>7777</v>
      </c>
      <c r="G2470" t="s">
        <v>1934</v>
      </c>
    </row>
    <row r="2471" spans="1:7" hidden="1" x14ac:dyDescent="0.25">
      <c r="A2471" t="s">
        <v>4</v>
      </c>
      <c r="B2471" t="s">
        <v>8</v>
      </c>
      <c r="E2471" t="s">
        <v>2936</v>
      </c>
      <c r="F2471" t="s">
        <v>7780</v>
      </c>
      <c r="G2471" t="s">
        <v>1934</v>
      </c>
    </row>
    <row r="2472" spans="1:7" hidden="1" x14ac:dyDescent="0.25">
      <c r="A2472" t="s">
        <v>4</v>
      </c>
      <c r="B2472" t="s">
        <v>8</v>
      </c>
      <c r="E2472" t="s">
        <v>2936</v>
      </c>
      <c r="F2472" t="s">
        <v>7783</v>
      </c>
      <c r="G2472" t="s">
        <v>1934</v>
      </c>
    </row>
    <row r="2473" spans="1:7" hidden="1" x14ac:dyDescent="0.25">
      <c r="A2473" t="s">
        <v>4</v>
      </c>
      <c r="B2473" t="s">
        <v>8</v>
      </c>
      <c r="E2473" t="s">
        <v>2936</v>
      </c>
      <c r="F2473" t="s">
        <v>7786</v>
      </c>
      <c r="G2473" t="s">
        <v>1934</v>
      </c>
    </row>
    <row r="2474" spans="1:7" hidden="1" x14ac:dyDescent="0.25">
      <c r="A2474" t="s">
        <v>4</v>
      </c>
      <c r="B2474" t="s">
        <v>8</v>
      </c>
      <c r="E2474" t="s">
        <v>2936</v>
      </c>
      <c r="F2474" t="s">
        <v>7789</v>
      </c>
      <c r="G2474" t="s">
        <v>1934</v>
      </c>
    </row>
    <row r="2475" spans="1:7" hidden="1" x14ac:dyDescent="0.25">
      <c r="A2475" t="s">
        <v>4223</v>
      </c>
      <c r="B2475" t="s">
        <v>5480</v>
      </c>
      <c r="C2475" t="s">
        <v>60</v>
      </c>
      <c r="F2475" t="s">
        <v>7792</v>
      </c>
      <c r="G2475" t="s">
        <v>1997</v>
      </c>
    </row>
    <row r="2476" spans="1:7" hidden="1" x14ac:dyDescent="0.25">
      <c r="A2476" t="s">
        <v>4223</v>
      </c>
      <c r="B2476" t="s">
        <v>5480</v>
      </c>
      <c r="C2476" t="s">
        <v>60</v>
      </c>
      <c r="F2476" t="s">
        <v>7795</v>
      </c>
      <c r="G2476" t="s">
        <v>1997</v>
      </c>
    </row>
    <row r="2477" spans="1:7" hidden="1" x14ac:dyDescent="0.25">
      <c r="A2477" t="s">
        <v>4223</v>
      </c>
      <c r="B2477" t="s">
        <v>5480</v>
      </c>
      <c r="C2477" t="s">
        <v>7719</v>
      </c>
      <c r="F2477" t="s">
        <v>7798</v>
      </c>
      <c r="G2477" t="s">
        <v>1997</v>
      </c>
    </row>
    <row r="2478" spans="1:7" hidden="1" x14ac:dyDescent="0.25">
      <c r="A2478" t="s">
        <v>4</v>
      </c>
      <c r="B2478" t="s">
        <v>4193</v>
      </c>
      <c r="E2478" t="s">
        <v>7718</v>
      </c>
      <c r="F2478" t="s">
        <v>7801</v>
      </c>
      <c r="G2478" t="s">
        <v>1997</v>
      </c>
    </row>
    <row r="2479" spans="1:7" hidden="1" x14ac:dyDescent="0.25">
      <c r="A2479" t="s">
        <v>4</v>
      </c>
      <c r="B2479" t="s">
        <v>8</v>
      </c>
      <c r="E2479" t="s">
        <v>2936</v>
      </c>
      <c r="F2479" t="s">
        <v>7804</v>
      </c>
      <c r="G2479" t="s">
        <v>1997</v>
      </c>
    </row>
    <row r="2480" spans="1:7" hidden="1" x14ac:dyDescent="0.25">
      <c r="A2480" t="s">
        <v>4</v>
      </c>
      <c r="B2480" t="s">
        <v>8</v>
      </c>
      <c r="E2480" t="s">
        <v>2936</v>
      </c>
      <c r="F2480" t="s">
        <v>7807</v>
      </c>
      <c r="G2480" t="s">
        <v>1997</v>
      </c>
    </row>
    <row r="2481" spans="1:7" hidden="1" x14ac:dyDescent="0.25">
      <c r="A2481" t="s">
        <v>4223</v>
      </c>
      <c r="B2481" t="s">
        <v>5480</v>
      </c>
      <c r="C2481" t="s">
        <v>7714</v>
      </c>
      <c r="F2481" t="s">
        <v>7810</v>
      </c>
      <c r="G2481" t="s">
        <v>1997</v>
      </c>
    </row>
    <row r="2482" spans="1:7" hidden="1" x14ac:dyDescent="0.25">
      <c r="A2482" t="s">
        <v>4223</v>
      </c>
      <c r="B2482" t="s">
        <v>5480</v>
      </c>
      <c r="C2482" t="s">
        <v>60</v>
      </c>
      <c r="F2482" t="s">
        <v>7813</v>
      </c>
      <c r="G2482" t="s">
        <v>1997</v>
      </c>
    </row>
    <row r="2483" spans="1:7" hidden="1" x14ac:dyDescent="0.25">
      <c r="A2483" t="s">
        <v>4</v>
      </c>
      <c r="B2483" t="s">
        <v>8</v>
      </c>
      <c r="F2483" t="s">
        <v>7816</v>
      </c>
      <c r="G2483" t="s">
        <v>1997</v>
      </c>
    </row>
    <row r="2484" spans="1:7" hidden="1" x14ac:dyDescent="0.25">
      <c r="A2484" t="s">
        <v>64</v>
      </c>
      <c r="B2484" t="s">
        <v>4193</v>
      </c>
      <c r="C2484" t="s">
        <v>5076</v>
      </c>
      <c r="F2484" t="s">
        <v>7890</v>
      </c>
      <c r="G2484" t="s">
        <v>1102</v>
      </c>
    </row>
    <row r="2485" spans="1:7" hidden="1" x14ac:dyDescent="0.25">
      <c r="A2485" t="s">
        <v>85</v>
      </c>
      <c r="B2485" t="s">
        <v>4193</v>
      </c>
      <c r="C2485" t="s">
        <v>5076</v>
      </c>
      <c r="F2485" t="s">
        <v>7893</v>
      </c>
      <c r="G2485" t="s">
        <v>1102</v>
      </c>
    </row>
    <row r="2486" spans="1:7" hidden="1" x14ac:dyDescent="0.25">
      <c r="A2486" t="s">
        <v>91</v>
      </c>
      <c r="B2486" t="s">
        <v>6329</v>
      </c>
      <c r="C2486" t="s">
        <v>5076</v>
      </c>
      <c r="F2486" t="s">
        <v>7896</v>
      </c>
      <c r="G2486" t="s">
        <v>1102</v>
      </c>
    </row>
    <row r="2487" spans="1:7" hidden="1" x14ac:dyDescent="0.25">
      <c r="A2487" t="s">
        <v>62</v>
      </c>
      <c r="B2487" t="s">
        <v>6329</v>
      </c>
      <c r="C2487" t="s">
        <v>5076</v>
      </c>
      <c r="F2487" t="s">
        <v>7899</v>
      </c>
      <c r="G2487" t="s">
        <v>1102</v>
      </c>
    </row>
    <row r="2488" spans="1:7" hidden="1" x14ac:dyDescent="0.25">
      <c r="A2488" t="s">
        <v>91</v>
      </c>
      <c r="B2488" t="s">
        <v>4193</v>
      </c>
      <c r="C2488" t="s">
        <v>5076</v>
      </c>
      <c r="F2488" t="s">
        <v>7902</v>
      </c>
      <c r="G2488" t="s">
        <v>1102</v>
      </c>
    </row>
    <row r="2489" spans="1:7" hidden="1" x14ac:dyDescent="0.25">
      <c r="A2489" t="s">
        <v>62</v>
      </c>
      <c r="B2489" t="s">
        <v>4193</v>
      </c>
      <c r="C2489" t="s">
        <v>5076</v>
      </c>
      <c r="F2489" t="s">
        <v>7905</v>
      </c>
      <c r="G2489" t="s">
        <v>1102</v>
      </c>
    </row>
    <row r="2490" spans="1:7" hidden="1" x14ac:dyDescent="0.25">
      <c r="A2490" t="s">
        <v>8040</v>
      </c>
      <c r="B2490" t="s">
        <v>4193</v>
      </c>
      <c r="C2490" t="s">
        <v>5076</v>
      </c>
      <c r="F2490" t="s">
        <v>7908</v>
      </c>
      <c r="G2490" t="s">
        <v>1102</v>
      </c>
    </row>
    <row r="2491" spans="1:7" hidden="1" x14ac:dyDescent="0.25">
      <c r="A2491" t="s">
        <v>64</v>
      </c>
      <c r="B2491" t="s">
        <v>4193</v>
      </c>
      <c r="C2491" t="s">
        <v>5076</v>
      </c>
      <c r="F2491" t="s">
        <v>7911</v>
      </c>
      <c r="G2491" t="s">
        <v>1102</v>
      </c>
    </row>
    <row r="2492" spans="1:7" hidden="1" x14ac:dyDescent="0.25">
      <c r="A2492" t="s">
        <v>62</v>
      </c>
      <c r="B2492" t="s">
        <v>6190</v>
      </c>
      <c r="C2492" t="s">
        <v>51</v>
      </c>
      <c r="F2492" t="s">
        <v>7914</v>
      </c>
      <c r="G2492" t="s">
        <v>1102</v>
      </c>
    </row>
    <row r="2493" spans="1:7" hidden="1" x14ac:dyDescent="0.25">
      <c r="A2493" t="s">
        <v>85</v>
      </c>
      <c r="B2493" t="s">
        <v>4193</v>
      </c>
      <c r="C2493" t="s">
        <v>5076</v>
      </c>
      <c r="F2493" t="s">
        <v>7917</v>
      </c>
      <c r="G2493" t="s">
        <v>1102</v>
      </c>
    </row>
    <row r="2494" spans="1:7" hidden="1" x14ac:dyDescent="0.25">
      <c r="A2494" t="s">
        <v>91</v>
      </c>
      <c r="B2494" t="s">
        <v>8041</v>
      </c>
      <c r="F2494" t="s">
        <v>7920</v>
      </c>
      <c r="G2494" t="s">
        <v>1102</v>
      </c>
    </row>
    <row r="2495" spans="1:7" hidden="1" x14ac:dyDescent="0.25">
      <c r="A2495" t="s">
        <v>62</v>
      </c>
      <c r="B2495" t="s">
        <v>8041</v>
      </c>
      <c r="F2495" t="s">
        <v>7923</v>
      </c>
      <c r="G2495" t="s">
        <v>1102</v>
      </c>
    </row>
    <row r="2496" spans="1:7" hidden="1" x14ac:dyDescent="0.25">
      <c r="A2496" t="s">
        <v>91</v>
      </c>
      <c r="B2496" t="s">
        <v>6190</v>
      </c>
      <c r="C2496" t="s">
        <v>51</v>
      </c>
      <c r="F2496" t="s">
        <v>7926</v>
      </c>
      <c r="G2496" t="s">
        <v>1102</v>
      </c>
    </row>
    <row r="2497" spans="1:7" hidden="1" x14ac:dyDescent="0.25">
      <c r="A2497" t="s">
        <v>1606</v>
      </c>
      <c r="B2497" t="s">
        <v>4193</v>
      </c>
      <c r="C2497" t="s">
        <v>5076</v>
      </c>
      <c r="F2497" t="s">
        <v>7872</v>
      </c>
      <c r="G2497" t="s">
        <v>1103</v>
      </c>
    </row>
    <row r="2498" spans="1:7" hidden="1" x14ac:dyDescent="0.25">
      <c r="A2498" t="s">
        <v>6171</v>
      </c>
      <c r="B2498" t="s">
        <v>4193</v>
      </c>
      <c r="C2498" t="s">
        <v>5076</v>
      </c>
      <c r="E2498" t="s">
        <v>5474</v>
      </c>
      <c r="F2498" t="s">
        <v>7875</v>
      </c>
      <c r="G2498" t="s">
        <v>1103</v>
      </c>
    </row>
    <row r="2499" spans="1:7" hidden="1" x14ac:dyDescent="0.25">
      <c r="A2499" t="s">
        <v>650</v>
      </c>
      <c r="B2499" t="s">
        <v>4193</v>
      </c>
      <c r="C2499" t="s">
        <v>5076</v>
      </c>
      <c r="F2499" t="s">
        <v>7878</v>
      </c>
      <c r="G2499" t="s">
        <v>1103</v>
      </c>
    </row>
    <row r="2500" spans="1:7" hidden="1" x14ac:dyDescent="0.25">
      <c r="A2500" t="s">
        <v>8042</v>
      </c>
      <c r="B2500" t="s">
        <v>6329</v>
      </c>
      <c r="C2500" t="s">
        <v>5076</v>
      </c>
      <c r="F2500" t="s">
        <v>7881</v>
      </c>
      <c r="G2500" t="s">
        <v>1103</v>
      </c>
    </row>
    <row r="2501" spans="1:7" hidden="1" x14ac:dyDescent="0.25">
      <c r="A2501" t="s">
        <v>1606</v>
      </c>
      <c r="B2501" t="s">
        <v>4193</v>
      </c>
      <c r="C2501" t="s">
        <v>5076</v>
      </c>
      <c r="F2501" t="s">
        <v>7884</v>
      </c>
      <c r="G2501" t="s">
        <v>1103</v>
      </c>
    </row>
    <row r="2502" spans="1:7" hidden="1" x14ac:dyDescent="0.25">
      <c r="A2502" t="s">
        <v>650</v>
      </c>
      <c r="B2502" t="s">
        <v>4193</v>
      </c>
      <c r="C2502" t="s">
        <v>5076</v>
      </c>
      <c r="F2502" t="s">
        <v>7887</v>
      </c>
      <c r="G2502" t="s">
        <v>1103</v>
      </c>
    </row>
    <row r="2503" spans="1:7" hidden="1" x14ac:dyDescent="0.25">
      <c r="A2503" t="s">
        <v>2004</v>
      </c>
      <c r="B2503" t="s">
        <v>8</v>
      </c>
      <c r="F2503" t="s">
        <v>7944</v>
      </c>
      <c r="G2503" t="s">
        <v>91</v>
      </c>
    </row>
    <row r="2504" spans="1:7" hidden="1" x14ac:dyDescent="0.25">
      <c r="A2504" t="s">
        <v>2004</v>
      </c>
      <c r="B2504" t="s">
        <v>8</v>
      </c>
      <c r="F2504" t="s">
        <v>7947</v>
      </c>
      <c r="G2504" t="s">
        <v>91</v>
      </c>
    </row>
    <row r="2505" spans="1:7" hidden="1" x14ac:dyDescent="0.25">
      <c r="A2505" t="s">
        <v>4</v>
      </c>
      <c r="B2505" t="s">
        <v>531</v>
      </c>
      <c r="F2505" t="s">
        <v>7950</v>
      </c>
      <c r="G2505" t="s">
        <v>91</v>
      </c>
    </row>
    <row r="2506" spans="1:7" hidden="1" x14ac:dyDescent="0.25">
      <c r="A2506" t="s">
        <v>2004</v>
      </c>
      <c r="B2506" t="s">
        <v>8</v>
      </c>
      <c r="F2506" t="s">
        <v>7953</v>
      </c>
      <c r="G2506" t="s">
        <v>91</v>
      </c>
    </row>
    <row r="2507" spans="1:7" hidden="1" x14ac:dyDescent="0.25">
      <c r="A2507" t="s">
        <v>8042</v>
      </c>
      <c r="B2507" t="s">
        <v>6656</v>
      </c>
      <c r="C2507" t="s">
        <v>5076</v>
      </c>
      <c r="F2507" t="s">
        <v>7992</v>
      </c>
      <c r="G2507" t="s">
        <v>1104</v>
      </c>
    </row>
    <row r="2508" spans="1:7" hidden="1" x14ac:dyDescent="0.25">
      <c r="A2508" t="s">
        <v>4</v>
      </c>
      <c r="B2508" t="s">
        <v>6656</v>
      </c>
      <c r="C2508" t="s">
        <v>5076</v>
      </c>
      <c r="E2508" t="s">
        <v>8043</v>
      </c>
      <c r="F2508" t="s">
        <v>7995</v>
      </c>
      <c r="G2508" t="s">
        <v>1104</v>
      </c>
    </row>
    <row r="2509" spans="1:7" hidden="1" x14ac:dyDescent="0.25">
      <c r="A2509" t="s">
        <v>4</v>
      </c>
      <c r="B2509" t="s">
        <v>4193</v>
      </c>
      <c r="C2509" t="s">
        <v>5076</v>
      </c>
      <c r="F2509" t="s">
        <v>7998</v>
      </c>
      <c r="G2509" t="s">
        <v>1104</v>
      </c>
    </row>
    <row r="2510" spans="1:7" hidden="1" x14ac:dyDescent="0.25">
      <c r="A2510" t="s">
        <v>4</v>
      </c>
      <c r="B2510" t="s">
        <v>8</v>
      </c>
      <c r="E2510" t="s">
        <v>8044</v>
      </c>
      <c r="F2510" t="s">
        <v>8001</v>
      </c>
      <c r="G2510" t="s">
        <v>1104</v>
      </c>
    </row>
    <row r="2511" spans="1:7" hidden="1" x14ac:dyDescent="0.25">
      <c r="A2511" t="s">
        <v>650</v>
      </c>
      <c r="B2511" t="s">
        <v>6190</v>
      </c>
      <c r="C2511" t="s">
        <v>51</v>
      </c>
      <c r="F2511" t="s">
        <v>8004</v>
      </c>
      <c r="G2511" t="s">
        <v>1104</v>
      </c>
    </row>
    <row r="2512" spans="1:7" hidden="1" x14ac:dyDescent="0.25">
      <c r="A2512" t="s">
        <v>1606</v>
      </c>
      <c r="B2512" t="s">
        <v>8041</v>
      </c>
      <c r="F2512" t="s">
        <v>8007</v>
      </c>
      <c r="G2512" t="s">
        <v>1104</v>
      </c>
    </row>
    <row r="2513" spans="1:7" hidden="1" x14ac:dyDescent="0.25">
      <c r="A2513" t="s">
        <v>650</v>
      </c>
      <c r="B2513" t="s">
        <v>8041</v>
      </c>
      <c r="F2513" t="s">
        <v>8010</v>
      </c>
      <c r="G2513" t="s">
        <v>1104</v>
      </c>
    </row>
    <row r="2514" spans="1:7" hidden="1" x14ac:dyDescent="0.25">
      <c r="A2514" t="s">
        <v>1606</v>
      </c>
      <c r="B2514" t="s">
        <v>6190</v>
      </c>
      <c r="F2514" t="s">
        <v>8013</v>
      </c>
      <c r="G2514" t="s">
        <v>1104</v>
      </c>
    </row>
    <row r="2515" spans="1:7" hidden="1" x14ac:dyDescent="0.25">
      <c r="A2515" t="s">
        <v>2004</v>
      </c>
      <c r="B2515" t="s">
        <v>8</v>
      </c>
      <c r="F2515" t="s">
        <v>7929</v>
      </c>
      <c r="G2515" t="s">
        <v>1105</v>
      </c>
    </row>
    <row r="2516" spans="1:7" hidden="1" x14ac:dyDescent="0.25">
      <c r="A2516" t="s">
        <v>8042</v>
      </c>
      <c r="B2516" t="s">
        <v>6656</v>
      </c>
      <c r="F2516" t="s">
        <v>7932</v>
      </c>
      <c r="G2516" t="s">
        <v>1105</v>
      </c>
    </row>
    <row r="2517" spans="1:7" hidden="1" x14ac:dyDescent="0.25">
      <c r="A2517" t="s">
        <v>4</v>
      </c>
      <c r="B2517" t="s">
        <v>8045</v>
      </c>
      <c r="F2517" t="s">
        <v>7935</v>
      </c>
      <c r="G2517" t="s">
        <v>1105</v>
      </c>
    </row>
    <row r="2518" spans="1:7" hidden="1" x14ac:dyDescent="0.25">
      <c r="A2518" t="s">
        <v>4</v>
      </c>
      <c r="B2518" t="s">
        <v>8045</v>
      </c>
      <c r="F2518" t="s">
        <v>7938</v>
      </c>
      <c r="G2518" t="s">
        <v>1105</v>
      </c>
    </row>
    <row r="2519" spans="1:7" hidden="1" x14ac:dyDescent="0.25">
      <c r="A2519" t="s">
        <v>4</v>
      </c>
      <c r="B2519" t="s">
        <v>8045</v>
      </c>
      <c r="F2519" t="s">
        <v>7941</v>
      </c>
      <c r="G2519" t="s">
        <v>1105</v>
      </c>
    </row>
    <row r="2520" spans="1:7" hidden="1" x14ac:dyDescent="0.25">
      <c r="A2520" t="s">
        <v>2004</v>
      </c>
      <c r="B2520" t="s">
        <v>8</v>
      </c>
      <c r="F2520" t="s">
        <v>8016</v>
      </c>
      <c r="G2520" t="s">
        <v>1106</v>
      </c>
    </row>
    <row r="2521" spans="1:7" hidden="1" x14ac:dyDescent="0.25">
      <c r="A2521" t="s">
        <v>2004</v>
      </c>
      <c r="B2521" t="s">
        <v>8</v>
      </c>
      <c r="F2521" t="s">
        <v>8019</v>
      </c>
      <c r="G2521" t="s">
        <v>1106</v>
      </c>
    </row>
    <row r="2522" spans="1:7" x14ac:dyDescent="0.25">
      <c r="A2522" t="s">
        <v>2004</v>
      </c>
      <c r="B2522" t="s">
        <v>8</v>
      </c>
      <c r="F2522" t="s">
        <v>8046</v>
      </c>
      <c r="G2522" t="s">
        <v>1107</v>
      </c>
    </row>
    <row r="2523" spans="1:7" x14ac:dyDescent="0.25">
      <c r="A2523" t="s">
        <v>2004</v>
      </c>
      <c r="B2523" t="s">
        <v>8</v>
      </c>
      <c r="F2523" t="s">
        <v>8049</v>
      </c>
      <c r="G2523" t="s">
        <v>1107</v>
      </c>
    </row>
    <row r="2524" spans="1:7" hidden="1" x14ac:dyDescent="0.25">
      <c r="A2524" t="s">
        <v>2004</v>
      </c>
      <c r="B2524" t="s">
        <v>9</v>
      </c>
      <c r="F2524" t="s">
        <v>8022</v>
      </c>
      <c r="G2524" t="s">
        <v>796</v>
      </c>
    </row>
    <row r="2525" spans="1:7" hidden="1" x14ac:dyDescent="0.25">
      <c r="A2525" t="s">
        <v>2004</v>
      </c>
      <c r="B2525" t="s">
        <v>9</v>
      </c>
      <c r="F2525" t="s">
        <v>8025</v>
      </c>
      <c r="G2525" t="s">
        <v>796</v>
      </c>
    </row>
    <row r="2526" spans="1:7" hidden="1" x14ac:dyDescent="0.25">
      <c r="A2526" t="s">
        <v>2004</v>
      </c>
      <c r="B2526" t="s">
        <v>86</v>
      </c>
      <c r="F2526" t="s">
        <v>7956</v>
      </c>
      <c r="G2526" t="s">
        <v>1100</v>
      </c>
    </row>
    <row r="2527" spans="1:7" hidden="1" x14ac:dyDescent="0.25">
      <c r="A2527" t="s">
        <v>2004</v>
      </c>
      <c r="B2527" t="s">
        <v>86</v>
      </c>
      <c r="F2527" t="s">
        <v>7959</v>
      </c>
      <c r="G2527" t="s">
        <v>1100</v>
      </c>
    </row>
    <row r="2528" spans="1:7" hidden="1" x14ac:dyDescent="0.25">
      <c r="A2528" t="s">
        <v>1606</v>
      </c>
      <c r="B2528" t="s">
        <v>6656</v>
      </c>
      <c r="C2528" t="s">
        <v>5076</v>
      </c>
      <c r="F2528" t="s">
        <v>8028</v>
      </c>
      <c r="G2528" s="1" t="s">
        <v>1603</v>
      </c>
    </row>
    <row r="2529" spans="1:7" hidden="1" x14ac:dyDescent="0.25">
      <c r="A2529" t="s">
        <v>8042</v>
      </c>
      <c r="B2529" t="s">
        <v>6656</v>
      </c>
      <c r="C2529" t="s">
        <v>5076</v>
      </c>
      <c r="E2529" t="s">
        <v>8052</v>
      </c>
      <c r="F2529" t="s">
        <v>8031</v>
      </c>
      <c r="G2529" s="1" t="s">
        <v>1603</v>
      </c>
    </row>
    <row r="2530" spans="1:7" hidden="1" x14ac:dyDescent="0.25">
      <c r="A2530" t="s">
        <v>650</v>
      </c>
      <c r="B2530" t="s">
        <v>6656</v>
      </c>
      <c r="C2530" t="s">
        <v>5076</v>
      </c>
      <c r="F2530" t="s">
        <v>8034</v>
      </c>
      <c r="G2530" s="1" t="s">
        <v>1603</v>
      </c>
    </row>
    <row r="2531" spans="1:7" hidden="1" x14ac:dyDescent="0.25">
      <c r="A2531" t="s">
        <v>4</v>
      </c>
      <c r="B2531" t="s">
        <v>1607</v>
      </c>
      <c r="C2531" t="s">
        <v>8053</v>
      </c>
      <c r="F2531" t="s">
        <v>8037</v>
      </c>
      <c r="G2531" s="1" t="s">
        <v>1603</v>
      </c>
    </row>
    <row r="2532" spans="1:7" hidden="1" x14ac:dyDescent="0.25">
      <c r="A2532" t="s">
        <v>8042</v>
      </c>
      <c r="B2532" t="s">
        <v>6656</v>
      </c>
      <c r="C2532" t="s">
        <v>5076</v>
      </c>
      <c r="F2532" t="s">
        <v>7962</v>
      </c>
      <c r="G2532" t="s">
        <v>1817</v>
      </c>
    </row>
    <row r="2533" spans="1:7" hidden="1" x14ac:dyDescent="0.25">
      <c r="A2533" t="s">
        <v>4</v>
      </c>
      <c r="B2533" t="s">
        <v>8045</v>
      </c>
      <c r="F2533" t="s">
        <v>7965</v>
      </c>
      <c r="G2533" t="s">
        <v>1817</v>
      </c>
    </row>
    <row r="2534" spans="1:7" hidden="1" x14ac:dyDescent="0.25">
      <c r="A2534" t="s">
        <v>4</v>
      </c>
      <c r="B2534" t="s">
        <v>8</v>
      </c>
      <c r="F2534" t="s">
        <v>7968</v>
      </c>
      <c r="G2534" t="s">
        <v>1817</v>
      </c>
    </row>
    <row r="2535" spans="1:7" hidden="1" x14ac:dyDescent="0.25">
      <c r="A2535" t="s">
        <v>4</v>
      </c>
      <c r="B2535" t="s">
        <v>8</v>
      </c>
      <c r="F2535" t="s">
        <v>7971</v>
      </c>
      <c r="G2535" t="s">
        <v>1934</v>
      </c>
    </row>
    <row r="2536" spans="1:7" hidden="1" x14ac:dyDescent="0.25">
      <c r="A2536" t="s">
        <v>4</v>
      </c>
      <c r="B2536" t="s">
        <v>12</v>
      </c>
      <c r="F2536" t="s">
        <v>7974</v>
      </c>
      <c r="G2536" t="s">
        <v>1934</v>
      </c>
    </row>
    <row r="2537" spans="1:7" hidden="1" x14ac:dyDescent="0.25">
      <c r="A2537" t="s">
        <v>4</v>
      </c>
      <c r="B2537" t="s">
        <v>8</v>
      </c>
      <c r="F2537" t="s">
        <v>7977</v>
      </c>
      <c r="G2537" t="s">
        <v>1934</v>
      </c>
    </row>
    <row r="2538" spans="1:7" hidden="1" x14ac:dyDescent="0.25">
      <c r="A2538" t="s">
        <v>4</v>
      </c>
      <c r="B2538" t="s">
        <v>12</v>
      </c>
      <c r="F2538" t="s">
        <v>7980</v>
      </c>
      <c r="G2538" t="s">
        <v>1934</v>
      </c>
    </row>
    <row r="2539" spans="1:7" hidden="1" x14ac:dyDescent="0.25">
      <c r="A2539" t="s">
        <v>4</v>
      </c>
      <c r="B2539" t="s">
        <v>8</v>
      </c>
      <c r="F2539" t="s">
        <v>7983</v>
      </c>
      <c r="G2539" t="s">
        <v>1997</v>
      </c>
    </row>
    <row r="2540" spans="1:7" hidden="1" x14ac:dyDescent="0.25">
      <c r="A2540" t="s">
        <v>4</v>
      </c>
      <c r="B2540" t="s">
        <v>8</v>
      </c>
      <c r="F2540" t="s">
        <v>7986</v>
      </c>
      <c r="G2540" t="s">
        <v>1997</v>
      </c>
    </row>
    <row r="2541" spans="1:7" hidden="1" x14ac:dyDescent="0.25">
      <c r="A2541" t="s">
        <v>4</v>
      </c>
      <c r="B2541" t="s">
        <v>8</v>
      </c>
      <c r="F2541" t="s">
        <v>7989</v>
      </c>
      <c r="G2541" t="s">
        <v>1997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8054</v>
      </c>
      <c r="G2542" t="s">
        <v>1102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8057</v>
      </c>
      <c r="G2543" t="s">
        <v>1102</v>
      </c>
    </row>
    <row r="2544" spans="1:7" hidden="1" x14ac:dyDescent="0.25">
      <c r="A2544" t="s">
        <v>91</v>
      </c>
      <c r="B2544" t="s">
        <v>70</v>
      </c>
      <c r="C2544" t="s">
        <v>5076</v>
      </c>
      <c r="F2544" t="s">
        <v>8060</v>
      </c>
      <c r="G2544" t="s">
        <v>1102</v>
      </c>
    </row>
    <row r="2545" spans="1:7" hidden="1" x14ac:dyDescent="0.25">
      <c r="A2545" t="s">
        <v>62</v>
      </c>
      <c r="B2545" t="s">
        <v>70</v>
      </c>
      <c r="C2545" t="s">
        <v>5076</v>
      </c>
      <c r="F2545" t="s">
        <v>8063</v>
      </c>
      <c r="G2545" t="s">
        <v>1102</v>
      </c>
    </row>
    <row r="2546" spans="1:7" hidden="1" x14ac:dyDescent="0.25">
      <c r="A2546" t="s">
        <v>62</v>
      </c>
      <c r="B2546" t="s">
        <v>6190</v>
      </c>
      <c r="C2546" t="s">
        <v>51</v>
      </c>
      <c r="F2546" t="s">
        <v>8066</v>
      </c>
      <c r="G2546" t="s">
        <v>1102</v>
      </c>
    </row>
    <row r="2547" spans="1:7" hidden="1" x14ac:dyDescent="0.25">
      <c r="A2547" t="s">
        <v>91</v>
      </c>
      <c r="B2547" t="s">
        <v>6190</v>
      </c>
      <c r="C2547" t="s">
        <v>51</v>
      </c>
      <c r="F2547" t="s">
        <v>8069</v>
      </c>
      <c r="G2547" t="s">
        <v>1102</v>
      </c>
    </row>
    <row r="2548" spans="1:7" hidden="1" x14ac:dyDescent="0.25">
      <c r="A2548" t="s">
        <v>2004</v>
      </c>
      <c r="F2548" t="s">
        <v>8072</v>
      </c>
      <c r="G2548" t="s">
        <v>1102</v>
      </c>
    </row>
    <row r="2549" spans="1:7" hidden="1" x14ac:dyDescent="0.25">
      <c r="A2549" t="s">
        <v>2004</v>
      </c>
      <c r="F2549" t="s">
        <v>8075</v>
      </c>
      <c r="G2549" t="s">
        <v>1102</v>
      </c>
    </row>
    <row r="2550" spans="1:7" hidden="1" x14ac:dyDescent="0.25">
      <c r="A2550" t="s">
        <v>533</v>
      </c>
      <c r="B2550" t="s">
        <v>531</v>
      </c>
      <c r="C2550" t="s">
        <v>1621</v>
      </c>
      <c r="E2550" t="s">
        <v>1620</v>
      </c>
      <c r="F2550" t="s">
        <v>8078</v>
      </c>
      <c r="G2550" t="s">
        <v>1103</v>
      </c>
    </row>
    <row r="2551" spans="1:7" hidden="1" x14ac:dyDescent="0.25">
      <c r="A2551" t="s">
        <v>2004</v>
      </c>
      <c r="B2551" t="s">
        <v>8</v>
      </c>
      <c r="F2551" t="s">
        <v>8081</v>
      </c>
      <c r="G2551" t="s">
        <v>1103</v>
      </c>
    </row>
    <row r="2552" spans="1:7" hidden="1" x14ac:dyDescent="0.25">
      <c r="A2552" t="s">
        <v>2004</v>
      </c>
      <c r="B2552" t="s">
        <v>8</v>
      </c>
      <c r="F2552" t="s">
        <v>8084</v>
      </c>
      <c r="G2552" t="s">
        <v>1103</v>
      </c>
    </row>
    <row r="2553" spans="1:7" hidden="1" x14ac:dyDescent="0.25">
      <c r="A2553" t="s">
        <v>2004</v>
      </c>
      <c r="B2553" t="s">
        <v>8</v>
      </c>
      <c r="F2553" t="s">
        <v>8087</v>
      </c>
      <c r="G2553" t="s">
        <v>1103</v>
      </c>
    </row>
    <row r="2554" spans="1:7" hidden="1" x14ac:dyDescent="0.25">
      <c r="A2554" t="s">
        <v>2004</v>
      </c>
      <c r="B2554" t="s">
        <v>8</v>
      </c>
      <c r="F2554" t="s">
        <v>8108</v>
      </c>
      <c r="G2554" t="s">
        <v>91</v>
      </c>
    </row>
    <row r="2555" spans="1:7" hidden="1" x14ac:dyDescent="0.25">
      <c r="A2555" t="s">
        <v>2004</v>
      </c>
      <c r="B2555" t="s">
        <v>8</v>
      </c>
      <c r="F2555" t="s">
        <v>8111</v>
      </c>
      <c r="G2555" t="s">
        <v>91</v>
      </c>
    </row>
    <row r="2556" spans="1:7" hidden="1" x14ac:dyDescent="0.25">
      <c r="A2556" t="s">
        <v>2004</v>
      </c>
      <c r="B2556" t="s">
        <v>8</v>
      </c>
      <c r="F2556" t="s">
        <v>8114</v>
      </c>
      <c r="G2556" t="s">
        <v>91</v>
      </c>
    </row>
    <row r="2557" spans="1:7" hidden="1" x14ac:dyDescent="0.25">
      <c r="A2557" t="s">
        <v>2004</v>
      </c>
      <c r="B2557" t="s">
        <v>8</v>
      </c>
      <c r="F2557" t="s">
        <v>8117</v>
      </c>
      <c r="G2557" t="s">
        <v>91</v>
      </c>
    </row>
    <row r="2558" spans="1:7" hidden="1" x14ac:dyDescent="0.25">
      <c r="A2558" t="s">
        <v>4</v>
      </c>
      <c r="B2558" t="s">
        <v>1607</v>
      </c>
      <c r="C2558" t="s">
        <v>8330</v>
      </c>
      <c r="F2558" t="s">
        <v>8090</v>
      </c>
      <c r="G2558" t="s">
        <v>1104</v>
      </c>
    </row>
    <row r="2559" spans="1:7" hidden="1" x14ac:dyDescent="0.25">
      <c r="A2559" t="s">
        <v>4</v>
      </c>
      <c r="B2559" t="s">
        <v>8</v>
      </c>
      <c r="F2559" t="s">
        <v>8093</v>
      </c>
      <c r="G2559" t="s">
        <v>1104</v>
      </c>
    </row>
    <row r="2560" spans="1:7" hidden="1" x14ac:dyDescent="0.25">
      <c r="A2560" t="s">
        <v>2004</v>
      </c>
      <c r="B2560" t="s">
        <v>8</v>
      </c>
      <c r="F2560" t="s">
        <v>8096</v>
      </c>
      <c r="G2560" t="s">
        <v>1104</v>
      </c>
    </row>
    <row r="2561" spans="1:7" hidden="1" x14ac:dyDescent="0.25">
      <c r="A2561" t="s">
        <v>2004</v>
      </c>
      <c r="B2561" t="s">
        <v>8</v>
      </c>
      <c r="F2561" t="s">
        <v>8099</v>
      </c>
      <c r="G2561" t="s">
        <v>1104</v>
      </c>
    </row>
    <row r="2562" spans="1:7" hidden="1" x14ac:dyDescent="0.25">
      <c r="A2562" t="s">
        <v>2004</v>
      </c>
      <c r="B2562" t="s">
        <v>8</v>
      </c>
      <c r="F2562" t="s">
        <v>8102</v>
      </c>
      <c r="G2562" t="s">
        <v>1104</v>
      </c>
    </row>
    <row r="2563" spans="1:7" hidden="1" x14ac:dyDescent="0.25">
      <c r="A2563" t="s">
        <v>2004</v>
      </c>
      <c r="B2563" t="s">
        <v>8</v>
      </c>
      <c r="F2563" t="s">
        <v>8105</v>
      </c>
      <c r="G2563" t="s">
        <v>1104</v>
      </c>
    </row>
    <row r="2564" spans="1:7" hidden="1" x14ac:dyDescent="0.25">
      <c r="A2564" t="s">
        <v>4</v>
      </c>
      <c r="B2564" t="s">
        <v>8331</v>
      </c>
      <c r="F2564" t="s">
        <v>8285</v>
      </c>
      <c r="G2564" t="s">
        <v>1105</v>
      </c>
    </row>
    <row r="2565" spans="1:7" hidden="1" x14ac:dyDescent="0.25">
      <c r="A2565" t="s">
        <v>4</v>
      </c>
      <c r="B2565" t="s">
        <v>8331</v>
      </c>
      <c r="F2565" t="s">
        <v>8288</v>
      </c>
      <c r="G2565" t="s">
        <v>1105</v>
      </c>
    </row>
    <row r="2566" spans="1:7" hidden="1" x14ac:dyDescent="0.25">
      <c r="A2566" t="s">
        <v>2004</v>
      </c>
      <c r="B2566" t="s">
        <v>8</v>
      </c>
      <c r="F2566" t="s">
        <v>8291</v>
      </c>
      <c r="G2566" t="s">
        <v>1105</v>
      </c>
    </row>
    <row r="2567" spans="1:7" hidden="1" x14ac:dyDescent="0.25">
      <c r="A2567" t="s">
        <v>4</v>
      </c>
      <c r="B2567" t="s">
        <v>1607</v>
      </c>
      <c r="C2567" t="s">
        <v>7169</v>
      </c>
      <c r="F2567" t="s">
        <v>8294</v>
      </c>
      <c r="G2567" t="s">
        <v>1105</v>
      </c>
    </row>
    <row r="2568" spans="1:7" hidden="1" x14ac:dyDescent="0.25">
      <c r="A2568" t="s">
        <v>2004</v>
      </c>
      <c r="B2568" t="s">
        <v>8</v>
      </c>
      <c r="F2568" t="s">
        <v>8297</v>
      </c>
      <c r="G2568" t="s">
        <v>1105</v>
      </c>
    </row>
    <row r="2569" spans="1:7" hidden="1" x14ac:dyDescent="0.25">
      <c r="A2569" t="s">
        <v>2004</v>
      </c>
      <c r="B2569" t="s">
        <v>8</v>
      </c>
      <c r="F2569" t="s">
        <v>8300</v>
      </c>
      <c r="G2569" t="s">
        <v>1105</v>
      </c>
    </row>
    <row r="2570" spans="1:7" hidden="1" x14ac:dyDescent="0.25">
      <c r="A2570" t="s">
        <v>2004</v>
      </c>
      <c r="B2570" t="s">
        <v>8</v>
      </c>
      <c r="F2570" t="s">
        <v>8303</v>
      </c>
      <c r="G2570" t="s">
        <v>1106</v>
      </c>
    </row>
    <row r="2571" spans="1:7" hidden="1" x14ac:dyDescent="0.25">
      <c r="A2571" t="s">
        <v>2004</v>
      </c>
      <c r="B2571" t="s">
        <v>8</v>
      </c>
      <c r="F2571" t="s">
        <v>8306</v>
      </c>
      <c r="G2571" t="s">
        <v>1106</v>
      </c>
    </row>
    <row r="2572" spans="1:7" hidden="1" x14ac:dyDescent="0.25">
      <c r="A2572" t="s">
        <v>2004</v>
      </c>
      <c r="B2572" t="s">
        <v>8</v>
      </c>
      <c r="F2572" t="s">
        <v>8309</v>
      </c>
      <c r="G2572" t="s">
        <v>1106</v>
      </c>
    </row>
    <row r="2573" spans="1:7" hidden="1" x14ac:dyDescent="0.25">
      <c r="A2573" t="s">
        <v>2004</v>
      </c>
      <c r="B2573" t="s">
        <v>8</v>
      </c>
      <c r="F2573" t="s">
        <v>8312</v>
      </c>
      <c r="G2573" t="s">
        <v>1106</v>
      </c>
    </row>
    <row r="2574" spans="1:7" x14ac:dyDescent="0.25">
      <c r="A2574" t="s">
        <v>2004</v>
      </c>
      <c r="B2574" t="s">
        <v>8</v>
      </c>
      <c r="F2574" t="s">
        <v>8336</v>
      </c>
      <c r="G2574" t="s">
        <v>1107</v>
      </c>
    </row>
    <row r="2575" spans="1:7" x14ac:dyDescent="0.25">
      <c r="A2575" t="s">
        <v>2004</v>
      </c>
      <c r="B2575" t="s">
        <v>8</v>
      </c>
      <c r="F2575" t="s">
        <v>8339</v>
      </c>
      <c r="G2575" t="s">
        <v>1107</v>
      </c>
    </row>
    <row r="2576" spans="1:7" x14ac:dyDescent="0.25">
      <c r="A2576" t="s">
        <v>2004</v>
      </c>
      <c r="B2576" t="s">
        <v>8</v>
      </c>
      <c r="F2576" t="s">
        <v>8342</v>
      </c>
      <c r="G2576" t="s">
        <v>1107</v>
      </c>
    </row>
    <row r="2577" spans="1:7" x14ac:dyDescent="0.25">
      <c r="A2577" t="s">
        <v>2004</v>
      </c>
      <c r="B2577" t="s">
        <v>8</v>
      </c>
      <c r="F2577" t="s">
        <v>8346</v>
      </c>
      <c r="G2577" t="s">
        <v>1107</v>
      </c>
    </row>
    <row r="2578" spans="1:7" x14ac:dyDescent="0.25">
      <c r="A2578" t="s">
        <v>2004</v>
      </c>
      <c r="B2578" t="s">
        <v>8</v>
      </c>
      <c r="F2578" t="s">
        <v>8348</v>
      </c>
      <c r="G2578" t="s">
        <v>1107</v>
      </c>
    </row>
    <row r="2579" spans="1:7" hidden="1" x14ac:dyDescent="0.25">
      <c r="A2579" t="s">
        <v>7166</v>
      </c>
      <c r="F2579" t="s">
        <v>8144</v>
      </c>
      <c r="G2579" t="s">
        <v>796</v>
      </c>
    </row>
    <row r="2580" spans="1:7" hidden="1" x14ac:dyDescent="0.25">
      <c r="A2580" t="s">
        <v>1091</v>
      </c>
      <c r="B2580" t="s">
        <v>53</v>
      </c>
      <c r="D2580">
        <v>5</v>
      </c>
      <c r="F2580" t="s">
        <v>8147</v>
      </c>
      <c r="G2580" t="s">
        <v>796</v>
      </c>
    </row>
    <row r="2581" spans="1:7" hidden="1" x14ac:dyDescent="0.25">
      <c r="A2581" t="s">
        <v>4</v>
      </c>
      <c r="B2581" t="s">
        <v>531</v>
      </c>
      <c r="F2581" t="s">
        <v>8150</v>
      </c>
      <c r="G2581" t="s">
        <v>796</v>
      </c>
    </row>
    <row r="2582" spans="1:7" hidden="1" x14ac:dyDescent="0.25">
      <c r="A2582" t="s">
        <v>2004</v>
      </c>
      <c r="B2582" t="s">
        <v>9</v>
      </c>
      <c r="F2582" t="s">
        <v>8153</v>
      </c>
      <c r="G2582" t="s">
        <v>796</v>
      </c>
    </row>
    <row r="2583" spans="1:7" hidden="1" x14ac:dyDescent="0.25">
      <c r="A2583" t="s">
        <v>2004</v>
      </c>
      <c r="B2583" t="s">
        <v>9</v>
      </c>
      <c r="F2583" t="s">
        <v>8332</v>
      </c>
      <c r="G2583" t="s">
        <v>796</v>
      </c>
    </row>
    <row r="2584" spans="1:7" hidden="1" x14ac:dyDescent="0.25">
      <c r="A2584" t="s">
        <v>2004</v>
      </c>
      <c r="B2584" t="s">
        <v>9</v>
      </c>
      <c r="F2584" t="s">
        <v>8156</v>
      </c>
      <c r="G2584" t="s">
        <v>796</v>
      </c>
    </row>
    <row r="2585" spans="1:7" hidden="1" x14ac:dyDescent="0.25">
      <c r="A2585" t="s">
        <v>4</v>
      </c>
      <c r="B2585" t="s">
        <v>8335</v>
      </c>
      <c r="F2585" t="s">
        <v>8120</v>
      </c>
      <c r="G2585" t="s">
        <v>1100</v>
      </c>
    </row>
    <row r="2586" spans="1:7" hidden="1" x14ac:dyDescent="0.25">
      <c r="A2586" t="s">
        <v>1091</v>
      </c>
      <c r="B2586" t="s">
        <v>8335</v>
      </c>
      <c r="C2586" t="s">
        <v>53</v>
      </c>
      <c r="D2586">
        <v>2</v>
      </c>
      <c r="E2586" t="s">
        <v>8362</v>
      </c>
      <c r="F2586" t="s">
        <v>8123</v>
      </c>
      <c r="G2586" t="s">
        <v>1100</v>
      </c>
    </row>
    <row r="2587" spans="1:7" hidden="1" x14ac:dyDescent="0.25">
      <c r="A2587" t="s">
        <v>1091</v>
      </c>
      <c r="B2587" t="s">
        <v>8335</v>
      </c>
      <c r="C2587" t="s">
        <v>53</v>
      </c>
      <c r="D2587">
        <v>1</v>
      </c>
      <c r="F2587" t="s">
        <v>8126</v>
      </c>
      <c r="G2587" t="s">
        <v>1100</v>
      </c>
    </row>
    <row r="2588" spans="1:7" hidden="1" x14ac:dyDescent="0.25">
      <c r="A2588" t="s">
        <v>1091</v>
      </c>
      <c r="B2588" t="s">
        <v>8335</v>
      </c>
      <c r="C2588" t="s">
        <v>53</v>
      </c>
      <c r="D2588">
        <v>2</v>
      </c>
      <c r="F2588" t="s">
        <v>8129</v>
      </c>
      <c r="G2588" t="s">
        <v>1100</v>
      </c>
    </row>
    <row r="2589" spans="1:7" hidden="1" x14ac:dyDescent="0.25">
      <c r="A2589" t="s">
        <v>4</v>
      </c>
      <c r="B2589" t="s">
        <v>1607</v>
      </c>
      <c r="F2589" t="s">
        <v>8132</v>
      </c>
      <c r="G2589" t="s">
        <v>1100</v>
      </c>
    </row>
    <row r="2590" spans="1:7" hidden="1" x14ac:dyDescent="0.25">
      <c r="A2590" t="s">
        <v>2004</v>
      </c>
      <c r="B2590" t="s">
        <v>86</v>
      </c>
      <c r="E2590" t="s">
        <v>5479</v>
      </c>
      <c r="F2590" t="s">
        <v>8135</v>
      </c>
      <c r="G2590" t="s">
        <v>1100</v>
      </c>
    </row>
    <row r="2591" spans="1:7" hidden="1" x14ac:dyDescent="0.25">
      <c r="A2591" t="s">
        <v>2004</v>
      </c>
      <c r="B2591" t="s">
        <v>86</v>
      </c>
      <c r="E2591" t="s">
        <v>5479</v>
      </c>
      <c r="F2591" t="s">
        <v>8138</v>
      </c>
      <c r="G2591" t="s">
        <v>1100</v>
      </c>
    </row>
    <row r="2592" spans="1:7" hidden="1" x14ac:dyDescent="0.25">
      <c r="A2592" t="s">
        <v>2004</v>
      </c>
      <c r="B2592" t="s">
        <v>86</v>
      </c>
      <c r="E2592" t="s">
        <v>5479</v>
      </c>
      <c r="F2592" t="s">
        <v>8141</v>
      </c>
      <c r="G2592" t="s">
        <v>1100</v>
      </c>
    </row>
    <row r="2593" spans="1:7" hidden="1" x14ac:dyDescent="0.25">
      <c r="A2593" t="s">
        <v>1606</v>
      </c>
      <c r="B2593" t="s">
        <v>70</v>
      </c>
      <c r="F2593" t="s">
        <v>8198</v>
      </c>
      <c r="G2593" s="1" t="s">
        <v>1603</v>
      </c>
    </row>
    <row r="2594" spans="1:7" hidden="1" x14ac:dyDescent="0.25">
      <c r="A2594" t="s">
        <v>290</v>
      </c>
      <c r="B2594" t="s">
        <v>70</v>
      </c>
      <c r="C2594" t="s">
        <v>5093</v>
      </c>
      <c r="E2594" t="s">
        <v>2949</v>
      </c>
      <c r="F2594" t="s">
        <v>8201</v>
      </c>
      <c r="G2594" s="1" t="s">
        <v>1603</v>
      </c>
    </row>
    <row r="2595" spans="1:7" hidden="1" x14ac:dyDescent="0.25">
      <c r="A2595" t="s">
        <v>290</v>
      </c>
      <c r="B2595" t="s">
        <v>70</v>
      </c>
      <c r="C2595" t="s">
        <v>5093</v>
      </c>
      <c r="E2595" t="s">
        <v>2949</v>
      </c>
      <c r="F2595" t="s">
        <v>8204</v>
      </c>
      <c r="G2595" s="1" t="s">
        <v>1603</v>
      </c>
    </row>
    <row r="2596" spans="1:7" hidden="1" x14ac:dyDescent="0.25">
      <c r="A2596" t="s">
        <v>290</v>
      </c>
      <c r="B2596" t="s">
        <v>70</v>
      </c>
      <c r="C2596" t="s">
        <v>5093</v>
      </c>
      <c r="E2596" t="s">
        <v>2949</v>
      </c>
      <c r="F2596" t="s">
        <v>8207</v>
      </c>
      <c r="G2596" s="1" t="s">
        <v>1603</v>
      </c>
    </row>
    <row r="2597" spans="1:7" hidden="1" x14ac:dyDescent="0.25">
      <c r="A2597" t="s">
        <v>650</v>
      </c>
      <c r="B2597" t="s">
        <v>70</v>
      </c>
      <c r="F2597" t="s">
        <v>8210</v>
      </c>
      <c r="G2597" s="1" t="s">
        <v>1603</v>
      </c>
    </row>
    <row r="2598" spans="1:7" hidden="1" x14ac:dyDescent="0.25">
      <c r="A2598" t="s">
        <v>533</v>
      </c>
      <c r="B2598" t="s">
        <v>531</v>
      </c>
      <c r="C2598" t="s">
        <v>8350</v>
      </c>
      <c r="F2598" t="s">
        <v>8213</v>
      </c>
      <c r="G2598" s="1" t="s">
        <v>1603</v>
      </c>
    </row>
    <row r="2599" spans="1:7" hidden="1" x14ac:dyDescent="0.25">
      <c r="A2599" t="s">
        <v>4</v>
      </c>
      <c r="B2599" t="s">
        <v>531</v>
      </c>
      <c r="F2599" t="s">
        <v>8216</v>
      </c>
      <c r="G2599" s="1" t="s">
        <v>1603</v>
      </c>
    </row>
    <row r="2600" spans="1:7" hidden="1" x14ac:dyDescent="0.25">
      <c r="A2600" t="s">
        <v>4</v>
      </c>
      <c r="B2600" t="s">
        <v>8351</v>
      </c>
      <c r="F2600" t="s">
        <v>8219</v>
      </c>
      <c r="G2600" s="1" t="s">
        <v>1603</v>
      </c>
    </row>
    <row r="2601" spans="1:7" hidden="1" x14ac:dyDescent="0.25">
      <c r="A2601" t="s">
        <v>4</v>
      </c>
      <c r="B2601" t="s">
        <v>8351</v>
      </c>
      <c r="F2601" t="s">
        <v>8222</v>
      </c>
      <c r="G2601" s="1" t="s">
        <v>1603</v>
      </c>
    </row>
    <row r="2602" spans="1:7" hidden="1" x14ac:dyDescent="0.25">
      <c r="A2602" t="s">
        <v>4</v>
      </c>
      <c r="B2602" t="s">
        <v>8353</v>
      </c>
      <c r="F2602" t="s">
        <v>8225</v>
      </c>
      <c r="G2602" s="1" t="s">
        <v>1603</v>
      </c>
    </row>
    <row r="2603" spans="1:7" hidden="1" x14ac:dyDescent="0.25">
      <c r="A2603" t="s">
        <v>289</v>
      </c>
      <c r="B2603" t="s">
        <v>8352</v>
      </c>
      <c r="C2603" t="s">
        <v>1621</v>
      </c>
      <c r="F2603" t="s">
        <v>8228</v>
      </c>
      <c r="G2603" s="1" t="s">
        <v>1603</v>
      </c>
    </row>
    <row r="2604" spans="1:7" hidden="1" x14ac:dyDescent="0.25">
      <c r="A2604" t="s">
        <v>4</v>
      </c>
      <c r="B2604" t="s">
        <v>8</v>
      </c>
      <c r="F2604" t="s">
        <v>8231</v>
      </c>
      <c r="G2604" s="1" t="s">
        <v>1603</v>
      </c>
    </row>
    <row r="2605" spans="1:7" hidden="1" x14ac:dyDescent="0.25">
      <c r="A2605" t="s">
        <v>4</v>
      </c>
      <c r="B2605" t="s">
        <v>8</v>
      </c>
      <c r="F2605" t="s">
        <v>8234</v>
      </c>
      <c r="G2605" s="1" t="s">
        <v>1603</v>
      </c>
    </row>
    <row r="2606" spans="1:7" hidden="1" x14ac:dyDescent="0.25">
      <c r="A2606" t="s">
        <v>4</v>
      </c>
      <c r="B2606" t="s">
        <v>8</v>
      </c>
      <c r="F2606" t="s">
        <v>8237</v>
      </c>
      <c r="G2606" s="1" t="s">
        <v>1603</v>
      </c>
    </row>
    <row r="2607" spans="1:7" hidden="1" x14ac:dyDescent="0.25">
      <c r="A2607" t="s">
        <v>1606</v>
      </c>
      <c r="B2607" t="s">
        <v>70</v>
      </c>
      <c r="F2607" t="s">
        <v>8240</v>
      </c>
      <c r="G2607" s="1" t="s">
        <v>1603</v>
      </c>
    </row>
    <row r="2608" spans="1:7" hidden="1" x14ac:dyDescent="0.25">
      <c r="A2608" t="s">
        <v>290</v>
      </c>
      <c r="B2608" t="s">
        <v>70</v>
      </c>
      <c r="C2608" t="s">
        <v>5093</v>
      </c>
      <c r="F2608" t="s">
        <v>8243</v>
      </c>
      <c r="G2608" s="1" t="s">
        <v>1603</v>
      </c>
    </row>
    <row r="2609" spans="1:7" hidden="1" x14ac:dyDescent="0.25">
      <c r="A2609" t="s">
        <v>290</v>
      </c>
      <c r="B2609" t="s">
        <v>70</v>
      </c>
      <c r="C2609" t="s">
        <v>5093</v>
      </c>
      <c r="F2609" t="s">
        <v>8246</v>
      </c>
      <c r="G2609" s="1" t="s">
        <v>1603</v>
      </c>
    </row>
    <row r="2610" spans="1:7" hidden="1" x14ac:dyDescent="0.25">
      <c r="A2610" t="s">
        <v>290</v>
      </c>
      <c r="B2610" t="s">
        <v>70</v>
      </c>
      <c r="C2610" t="s">
        <v>5093</v>
      </c>
      <c r="F2610" t="s">
        <v>8249</v>
      </c>
      <c r="G2610" s="1" t="s">
        <v>1603</v>
      </c>
    </row>
    <row r="2611" spans="1:7" hidden="1" x14ac:dyDescent="0.25">
      <c r="A2611" t="s">
        <v>650</v>
      </c>
      <c r="B2611" t="s">
        <v>70</v>
      </c>
      <c r="F2611" t="s">
        <v>8252</v>
      </c>
      <c r="G2611" s="1" t="s">
        <v>1603</v>
      </c>
    </row>
    <row r="2612" spans="1:7" hidden="1" x14ac:dyDescent="0.25">
      <c r="A2612" t="s">
        <v>1606</v>
      </c>
      <c r="B2612" t="s">
        <v>8354</v>
      </c>
      <c r="E2612" t="s">
        <v>8355</v>
      </c>
      <c r="F2612" t="s">
        <v>8255</v>
      </c>
      <c r="G2612" s="1" t="s">
        <v>1603</v>
      </c>
    </row>
    <row r="2613" spans="1:7" hidden="1" x14ac:dyDescent="0.25">
      <c r="A2613" t="s">
        <v>6171</v>
      </c>
      <c r="B2613" t="s">
        <v>8354</v>
      </c>
      <c r="E2613" t="s">
        <v>8356</v>
      </c>
      <c r="F2613" t="s">
        <v>8258</v>
      </c>
      <c r="G2613" s="1" t="s">
        <v>1603</v>
      </c>
    </row>
    <row r="2614" spans="1:7" hidden="1" x14ac:dyDescent="0.25">
      <c r="A2614" t="s">
        <v>650</v>
      </c>
      <c r="B2614" t="s">
        <v>8354</v>
      </c>
      <c r="F2614" t="s">
        <v>8261</v>
      </c>
      <c r="G2614" s="1" t="s">
        <v>1603</v>
      </c>
    </row>
    <row r="2615" spans="1:7" hidden="1" x14ac:dyDescent="0.25">
      <c r="A2615" t="s">
        <v>8357</v>
      </c>
      <c r="B2615" t="s">
        <v>5093</v>
      </c>
      <c r="E2615" t="s">
        <v>8358</v>
      </c>
      <c r="F2615" t="s">
        <v>8264</v>
      </c>
      <c r="G2615" s="1" t="s">
        <v>1603</v>
      </c>
    </row>
    <row r="2616" spans="1:7" hidden="1" x14ac:dyDescent="0.25">
      <c r="A2616" t="s">
        <v>2004</v>
      </c>
      <c r="B2616" t="s">
        <v>8</v>
      </c>
      <c r="F2616" t="s">
        <v>8267</v>
      </c>
      <c r="G2616" s="1" t="s">
        <v>1603</v>
      </c>
    </row>
    <row r="2617" spans="1:7" hidden="1" x14ac:dyDescent="0.25">
      <c r="A2617" t="s">
        <v>2004</v>
      </c>
      <c r="B2617" t="s">
        <v>8</v>
      </c>
      <c r="F2617" t="s">
        <v>8270</v>
      </c>
      <c r="G2617" s="1" t="s">
        <v>1603</v>
      </c>
    </row>
    <row r="2618" spans="1:7" hidden="1" x14ac:dyDescent="0.25">
      <c r="A2618" t="s">
        <v>290</v>
      </c>
      <c r="B2618" t="s">
        <v>70</v>
      </c>
      <c r="C2618" t="s">
        <v>58</v>
      </c>
      <c r="E2618" t="s">
        <v>8359</v>
      </c>
      <c r="F2618" t="s">
        <v>8159</v>
      </c>
      <c r="G2618" t="s">
        <v>1817</v>
      </c>
    </row>
    <row r="2619" spans="1:7" hidden="1" x14ac:dyDescent="0.25">
      <c r="A2619" t="s">
        <v>290</v>
      </c>
      <c r="B2619" t="s">
        <v>70</v>
      </c>
      <c r="C2619" t="s">
        <v>58</v>
      </c>
      <c r="E2619" t="s">
        <v>2936</v>
      </c>
      <c r="F2619" t="s">
        <v>8162</v>
      </c>
      <c r="G2619" t="s">
        <v>1817</v>
      </c>
    </row>
    <row r="2620" spans="1:7" hidden="1" x14ac:dyDescent="0.25">
      <c r="A2620" t="s">
        <v>290</v>
      </c>
      <c r="B2620" t="s">
        <v>70</v>
      </c>
      <c r="C2620" t="s">
        <v>58</v>
      </c>
      <c r="E2620" t="s">
        <v>2936</v>
      </c>
      <c r="F2620" t="s">
        <v>8165</v>
      </c>
      <c r="G2620" t="s">
        <v>1817</v>
      </c>
    </row>
    <row r="2621" spans="1:7" hidden="1" x14ac:dyDescent="0.25">
      <c r="A2621" t="s">
        <v>290</v>
      </c>
      <c r="B2621" t="s">
        <v>70</v>
      </c>
      <c r="C2621" t="s">
        <v>58</v>
      </c>
      <c r="E2621" t="s">
        <v>2936</v>
      </c>
      <c r="F2621" t="s">
        <v>8168</v>
      </c>
      <c r="G2621" t="s">
        <v>1817</v>
      </c>
    </row>
    <row r="2622" spans="1:7" hidden="1" x14ac:dyDescent="0.25">
      <c r="A2622" t="s">
        <v>290</v>
      </c>
      <c r="B2622" t="s">
        <v>70</v>
      </c>
      <c r="C2622" t="s">
        <v>58</v>
      </c>
      <c r="E2622" t="s">
        <v>2936</v>
      </c>
      <c r="F2622" t="s">
        <v>8171</v>
      </c>
      <c r="G2622" t="s">
        <v>1817</v>
      </c>
    </row>
    <row r="2623" spans="1:7" hidden="1" x14ac:dyDescent="0.25">
      <c r="A2623" t="s">
        <v>290</v>
      </c>
      <c r="B2623" t="s">
        <v>70</v>
      </c>
      <c r="C2623" t="s">
        <v>58</v>
      </c>
      <c r="E2623" t="s">
        <v>2936</v>
      </c>
      <c r="F2623" t="s">
        <v>8174</v>
      </c>
      <c r="G2623" t="s">
        <v>1817</v>
      </c>
    </row>
    <row r="2624" spans="1:7" hidden="1" x14ac:dyDescent="0.25">
      <c r="A2624" t="s">
        <v>650</v>
      </c>
      <c r="B2624" t="s">
        <v>70</v>
      </c>
      <c r="C2624" t="s">
        <v>51</v>
      </c>
      <c r="F2624" t="s">
        <v>8177</v>
      </c>
      <c r="G2624" t="s">
        <v>1817</v>
      </c>
    </row>
    <row r="2625" spans="1:7" hidden="1" x14ac:dyDescent="0.25">
      <c r="A2625" t="s">
        <v>650</v>
      </c>
      <c r="B2625" t="s">
        <v>8360</v>
      </c>
      <c r="C2625" t="s">
        <v>1621</v>
      </c>
      <c r="F2625" t="s">
        <v>8180</v>
      </c>
      <c r="G2625" t="s">
        <v>1817</v>
      </c>
    </row>
    <row r="2626" spans="1:7" hidden="1" x14ac:dyDescent="0.25">
      <c r="A2626" t="s">
        <v>4</v>
      </c>
      <c r="B2626" t="s">
        <v>8045</v>
      </c>
      <c r="F2626" t="s">
        <v>8183</v>
      </c>
      <c r="G2626" t="s">
        <v>1817</v>
      </c>
    </row>
    <row r="2627" spans="1:7" hidden="1" x14ac:dyDescent="0.25">
      <c r="A2627" t="s">
        <v>4</v>
      </c>
      <c r="B2627" t="s">
        <v>8045</v>
      </c>
      <c r="F2627" t="s">
        <v>8186</v>
      </c>
      <c r="G2627" t="s">
        <v>1817</v>
      </c>
    </row>
    <row r="2628" spans="1:7" hidden="1" x14ac:dyDescent="0.25">
      <c r="A2628" t="s">
        <v>2004</v>
      </c>
      <c r="B2628" t="s">
        <v>8</v>
      </c>
      <c r="F2628" t="s">
        <v>8189</v>
      </c>
      <c r="G2628" t="s">
        <v>1817</v>
      </c>
    </row>
    <row r="2629" spans="1:7" hidden="1" x14ac:dyDescent="0.25">
      <c r="A2629" t="s">
        <v>4</v>
      </c>
      <c r="B2629" t="s">
        <v>8045</v>
      </c>
      <c r="F2629" t="s">
        <v>8192</v>
      </c>
      <c r="G2629" t="s">
        <v>1817</v>
      </c>
    </row>
    <row r="2630" spans="1:7" hidden="1" x14ac:dyDescent="0.25">
      <c r="A2630" t="s">
        <v>4</v>
      </c>
      <c r="B2630" t="s">
        <v>8045</v>
      </c>
      <c r="F2630" t="s">
        <v>8195</v>
      </c>
      <c r="G2630" t="s">
        <v>1817</v>
      </c>
    </row>
    <row r="2631" spans="1:7" hidden="1" x14ac:dyDescent="0.25">
      <c r="A2631" t="s">
        <v>2004</v>
      </c>
      <c r="B2631" t="s">
        <v>8</v>
      </c>
      <c r="F2631" t="s">
        <v>8315</v>
      </c>
      <c r="G2631" t="s">
        <v>1934</v>
      </c>
    </row>
    <row r="2632" spans="1:7" hidden="1" x14ac:dyDescent="0.25">
      <c r="A2632" t="s">
        <v>2004</v>
      </c>
      <c r="B2632" t="s">
        <v>8</v>
      </c>
      <c r="F2632" t="s">
        <v>8318</v>
      </c>
      <c r="G2632" t="s">
        <v>1934</v>
      </c>
    </row>
    <row r="2633" spans="1:7" hidden="1" x14ac:dyDescent="0.25">
      <c r="A2633" t="s">
        <v>2004</v>
      </c>
      <c r="B2633" t="s">
        <v>8</v>
      </c>
      <c r="F2633" t="s">
        <v>8321</v>
      </c>
      <c r="G2633" t="s">
        <v>1934</v>
      </c>
    </row>
    <row r="2634" spans="1:7" hidden="1" x14ac:dyDescent="0.25">
      <c r="A2634" t="s">
        <v>2004</v>
      </c>
      <c r="B2634" t="s">
        <v>8</v>
      </c>
      <c r="F2634" t="s">
        <v>8324</v>
      </c>
      <c r="G2634" t="s">
        <v>1934</v>
      </c>
    </row>
    <row r="2635" spans="1:7" hidden="1" x14ac:dyDescent="0.25">
      <c r="A2635" t="s">
        <v>2004</v>
      </c>
      <c r="B2635" t="s">
        <v>8</v>
      </c>
      <c r="F2635" t="s">
        <v>8327</v>
      </c>
      <c r="G2635" t="s">
        <v>1934</v>
      </c>
    </row>
    <row r="2636" spans="1:7" hidden="1" x14ac:dyDescent="0.25">
      <c r="A2636" t="s">
        <v>533</v>
      </c>
      <c r="B2636" t="s">
        <v>531</v>
      </c>
      <c r="C2636" t="s">
        <v>8361</v>
      </c>
      <c r="F2636" t="s">
        <v>8273</v>
      </c>
      <c r="G2636" t="s">
        <v>1997</v>
      </c>
    </row>
    <row r="2637" spans="1:7" hidden="1" x14ac:dyDescent="0.25">
      <c r="A2637" t="s">
        <v>2004</v>
      </c>
      <c r="B2637" t="s">
        <v>8</v>
      </c>
      <c r="F2637" t="s">
        <v>8276</v>
      </c>
      <c r="G2637" t="s">
        <v>1997</v>
      </c>
    </row>
    <row r="2638" spans="1:7" hidden="1" x14ac:dyDescent="0.25">
      <c r="A2638" t="s">
        <v>2004</v>
      </c>
      <c r="B2638" t="s">
        <v>8</v>
      </c>
      <c r="F2638" t="s">
        <v>8279</v>
      </c>
      <c r="G2638" t="s">
        <v>1997</v>
      </c>
    </row>
    <row r="2639" spans="1:7" hidden="1" x14ac:dyDescent="0.25">
      <c r="A2639" t="s">
        <v>2004</v>
      </c>
      <c r="B2639" t="s">
        <v>8</v>
      </c>
      <c r="F2639" t="s">
        <v>8282</v>
      </c>
      <c r="G2639" t="s">
        <v>1997</v>
      </c>
    </row>
    <row r="2640" spans="1:7" hidden="1" x14ac:dyDescent="0.25">
      <c r="A2640" t="s">
        <v>2004</v>
      </c>
      <c r="F2640" t="s">
        <v>8372</v>
      </c>
      <c r="G2640" t="s">
        <v>1102</v>
      </c>
    </row>
    <row r="2641" spans="1:7" hidden="1" x14ac:dyDescent="0.25">
      <c r="A2641" t="s">
        <v>91</v>
      </c>
      <c r="B2641" t="s">
        <v>8483</v>
      </c>
      <c r="F2641" t="s">
        <v>8375</v>
      </c>
      <c r="G2641" t="s">
        <v>1102</v>
      </c>
    </row>
    <row r="2642" spans="1:7" hidden="1" x14ac:dyDescent="0.25">
      <c r="A2642" t="s">
        <v>62</v>
      </c>
      <c r="B2642" t="s">
        <v>8483</v>
      </c>
      <c r="F2642" t="s">
        <v>8378</v>
      </c>
      <c r="G2642" t="s">
        <v>1102</v>
      </c>
    </row>
    <row r="2643" spans="1:7" hidden="1" x14ac:dyDescent="0.25">
      <c r="A2643" t="s">
        <v>2004</v>
      </c>
      <c r="F2643" t="s">
        <v>8381</v>
      </c>
      <c r="G2643" t="s">
        <v>1102</v>
      </c>
    </row>
    <row r="2644" spans="1:7" hidden="1" x14ac:dyDescent="0.25">
      <c r="A2644" t="s">
        <v>2004</v>
      </c>
      <c r="B2644" t="s">
        <v>8</v>
      </c>
      <c r="F2644" t="s">
        <v>8363</v>
      </c>
      <c r="G2644" t="s">
        <v>1103</v>
      </c>
    </row>
    <row r="2645" spans="1:7" hidden="1" x14ac:dyDescent="0.25">
      <c r="A2645" t="s">
        <v>2004</v>
      </c>
      <c r="B2645" t="s">
        <v>8</v>
      </c>
      <c r="F2645" t="s">
        <v>8366</v>
      </c>
      <c r="G2645" t="s">
        <v>1103</v>
      </c>
    </row>
    <row r="2646" spans="1:7" hidden="1" x14ac:dyDescent="0.25">
      <c r="A2646" t="s">
        <v>2004</v>
      </c>
      <c r="B2646" t="s">
        <v>8</v>
      </c>
      <c r="F2646" t="s">
        <v>8369</v>
      </c>
      <c r="G2646" t="s">
        <v>1103</v>
      </c>
    </row>
    <row r="2647" spans="1:7" hidden="1" x14ac:dyDescent="0.25">
      <c r="A2647" t="s">
        <v>2004</v>
      </c>
      <c r="B2647" t="s">
        <v>8</v>
      </c>
      <c r="F2647" t="s">
        <v>8384</v>
      </c>
      <c r="G2647" t="s">
        <v>91</v>
      </c>
    </row>
    <row r="2648" spans="1:7" hidden="1" x14ac:dyDescent="0.25">
      <c r="A2648" t="s">
        <v>2004</v>
      </c>
      <c r="B2648" t="s">
        <v>8</v>
      </c>
      <c r="F2648" t="s">
        <v>8387</v>
      </c>
      <c r="G2648" t="s">
        <v>91</v>
      </c>
    </row>
    <row r="2649" spans="1:7" hidden="1" x14ac:dyDescent="0.25">
      <c r="A2649" t="s">
        <v>2004</v>
      </c>
      <c r="B2649" t="s">
        <v>8</v>
      </c>
      <c r="F2649" t="s">
        <v>8390</v>
      </c>
      <c r="G2649" t="s">
        <v>91</v>
      </c>
    </row>
    <row r="2650" spans="1:7" hidden="1" x14ac:dyDescent="0.25">
      <c r="A2650" t="s">
        <v>2004</v>
      </c>
      <c r="B2650" t="s">
        <v>8</v>
      </c>
      <c r="F2650" t="s">
        <v>8402</v>
      </c>
      <c r="G2650" t="s">
        <v>1104</v>
      </c>
    </row>
    <row r="2651" spans="1:7" hidden="1" x14ac:dyDescent="0.25">
      <c r="A2651" t="s">
        <v>2004</v>
      </c>
      <c r="B2651" t="s">
        <v>8</v>
      </c>
      <c r="F2651" t="s">
        <v>8405</v>
      </c>
      <c r="G2651" t="s">
        <v>1104</v>
      </c>
    </row>
    <row r="2652" spans="1:7" hidden="1" x14ac:dyDescent="0.25">
      <c r="A2652" t="s">
        <v>2004</v>
      </c>
      <c r="B2652" t="s">
        <v>8</v>
      </c>
      <c r="F2652" t="s">
        <v>8408</v>
      </c>
      <c r="G2652" t="s">
        <v>1104</v>
      </c>
    </row>
    <row r="2653" spans="1:7" hidden="1" x14ac:dyDescent="0.25">
      <c r="A2653" t="s">
        <v>2004</v>
      </c>
      <c r="B2653" t="s">
        <v>8</v>
      </c>
      <c r="F2653" t="s">
        <v>8429</v>
      </c>
      <c r="G2653" t="s">
        <v>1105</v>
      </c>
    </row>
    <row r="2654" spans="1:7" hidden="1" x14ac:dyDescent="0.25">
      <c r="A2654" t="s">
        <v>4</v>
      </c>
      <c r="B2654" t="s">
        <v>8483</v>
      </c>
      <c r="E2654" t="s">
        <v>8042</v>
      </c>
      <c r="F2654" t="s">
        <v>8432</v>
      </c>
      <c r="G2654" t="s">
        <v>1105</v>
      </c>
    </row>
    <row r="2655" spans="1:7" hidden="1" x14ac:dyDescent="0.25">
      <c r="A2655" t="s">
        <v>2004</v>
      </c>
      <c r="B2655" t="s">
        <v>8</v>
      </c>
      <c r="F2655" t="s">
        <v>8435</v>
      </c>
      <c r="G2655" t="s">
        <v>1105</v>
      </c>
    </row>
    <row r="2656" spans="1:7" hidden="1" x14ac:dyDescent="0.25">
      <c r="A2656" t="s">
        <v>2004</v>
      </c>
      <c r="B2656" t="s">
        <v>8</v>
      </c>
      <c r="F2656" t="s">
        <v>8393</v>
      </c>
      <c r="G2656" t="s">
        <v>1106</v>
      </c>
    </row>
    <row r="2657" spans="1:7" hidden="1" x14ac:dyDescent="0.25">
      <c r="A2657" t="s">
        <v>2004</v>
      </c>
      <c r="B2657" t="s">
        <v>8</v>
      </c>
      <c r="F2657" t="s">
        <v>8396</v>
      </c>
      <c r="G2657" t="s">
        <v>1106</v>
      </c>
    </row>
    <row r="2658" spans="1:7" hidden="1" x14ac:dyDescent="0.25">
      <c r="A2658" t="s">
        <v>2004</v>
      </c>
      <c r="B2658" t="s">
        <v>8</v>
      </c>
      <c r="F2658" t="s">
        <v>8399</v>
      </c>
      <c r="G2658" t="s">
        <v>1106</v>
      </c>
    </row>
    <row r="2659" spans="1:7" x14ac:dyDescent="0.25">
      <c r="A2659" t="s">
        <v>2004</v>
      </c>
      <c r="B2659" t="s">
        <v>8</v>
      </c>
      <c r="F2659" t="s">
        <v>8474</v>
      </c>
      <c r="G2659" t="s">
        <v>1107</v>
      </c>
    </row>
    <row r="2660" spans="1:7" x14ac:dyDescent="0.25">
      <c r="A2660" t="s">
        <v>2004</v>
      </c>
      <c r="B2660" t="s">
        <v>8</v>
      </c>
      <c r="F2660" t="s">
        <v>8477</v>
      </c>
      <c r="G2660" t="s">
        <v>1107</v>
      </c>
    </row>
    <row r="2661" spans="1:7" x14ac:dyDescent="0.25">
      <c r="A2661" t="s">
        <v>2004</v>
      </c>
      <c r="B2661" t="s">
        <v>8</v>
      </c>
      <c r="F2661" t="s">
        <v>8480</v>
      </c>
      <c r="G2661" t="s">
        <v>1107</v>
      </c>
    </row>
    <row r="2662" spans="1:7" hidden="1" x14ac:dyDescent="0.25">
      <c r="A2662" t="s">
        <v>2004</v>
      </c>
      <c r="B2662" t="s">
        <v>9</v>
      </c>
      <c r="F2662" t="s">
        <v>8411</v>
      </c>
      <c r="G2662" t="s">
        <v>796</v>
      </c>
    </row>
    <row r="2663" spans="1:7" hidden="1" x14ac:dyDescent="0.25">
      <c r="A2663" t="s">
        <v>2004</v>
      </c>
      <c r="B2663" t="s">
        <v>9</v>
      </c>
      <c r="F2663" t="s">
        <v>8414</v>
      </c>
      <c r="G2663" t="s">
        <v>796</v>
      </c>
    </row>
    <row r="2664" spans="1:7" hidden="1" x14ac:dyDescent="0.25">
      <c r="A2664" t="s">
        <v>2004</v>
      </c>
      <c r="B2664" t="s">
        <v>9</v>
      </c>
      <c r="F2664" t="s">
        <v>8417</v>
      </c>
      <c r="G2664" t="s">
        <v>796</v>
      </c>
    </row>
    <row r="2665" spans="1:7" hidden="1" x14ac:dyDescent="0.25">
      <c r="A2665" t="s">
        <v>2004</v>
      </c>
      <c r="B2665" t="s">
        <v>86</v>
      </c>
      <c r="E2665" t="s">
        <v>5479</v>
      </c>
      <c r="F2665" t="s">
        <v>8420</v>
      </c>
      <c r="G2665" t="s">
        <v>1100</v>
      </c>
    </row>
    <row r="2666" spans="1:7" hidden="1" x14ac:dyDescent="0.25">
      <c r="A2666" t="s">
        <v>2004</v>
      </c>
      <c r="B2666" t="s">
        <v>86</v>
      </c>
      <c r="E2666" t="s">
        <v>5479</v>
      </c>
      <c r="F2666" t="s">
        <v>8423</v>
      </c>
      <c r="G2666" t="s">
        <v>1100</v>
      </c>
    </row>
    <row r="2667" spans="1:7" hidden="1" x14ac:dyDescent="0.25">
      <c r="A2667" t="s">
        <v>2004</v>
      </c>
      <c r="B2667" t="s">
        <v>86</v>
      </c>
      <c r="E2667" t="s">
        <v>5479</v>
      </c>
      <c r="F2667" t="s">
        <v>8426</v>
      </c>
      <c r="G2667" t="s">
        <v>1100</v>
      </c>
    </row>
    <row r="2668" spans="1:7" hidden="1" x14ac:dyDescent="0.25">
      <c r="A2668" t="s">
        <v>2004</v>
      </c>
      <c r="B2668" t="s">
        <v>8</v>
      </c>
      <c r="F2668" t="s">
        <v>8438</v>
      </c>
      <c r="G2668" s="1" t="s">
        <v>1603</v>
      </c>
    </row>
    <row r="2669" spans="1:7" hidden="1" x14ac:dyDescent="0.25">
      <c r="A2669" t="s">
        <v>2004</v>
      </c>
      <c r="B2669" t="s">
        <v>8</v>
      </c>
      <c r="F2669" t="s">
        <v>8441</v>
      </c>
      <c r="G2669" s="1" t="s">
        <v>1603</v>
      </c>
    </row>
    <row r="2670" spans="1:7" hidden="1" x14ac:dyDescent="0.25">
      <c r="A2670" t="s">
        <v>2004</v>
      </c>
      <c r="B2670" t="s">
        <v>8</v>
      </c>
      <c r="F2670" t="s">
        <v>8444</v>
      </c>
      <c r="G2670" s="1" t="s">
        <v>1603</v>
      </c>
    </row>
    <row r="2671" spans="1:7" hidden="1" x14ac:dyDescent="0.25">
      <c r="A2671" t="s">
        <v>2004</v>
      </c>
      <c r="B2671" t="s">
        <v>8</v>
      </c>
      <c r="F2671" t="s">
        <v>8447</v>
      </c>
      <c r="G2671" t="s">
        <v>1817</v>
      </c>
    </row>
    <row r="2672" spans="1:7" hidden="1" x14ac:dyDescent="0.25">
      <c r="A2672" t="s">
        <v>2004</v>
      </c>
      <c r="B2672" t="s">
        <v>8</v>
      </c>
      <c r="F2672" t="s">
        <v>8450</v>
      </c>
      <c r="G2672" t="s">
        <v>1817</v>
      </c>
    </row>
    <row r="2673" spans="1:7" hidden="1" x14ac:dyDescent="0.25">
      <c r="A2673" t="s">
        <v>2004</v>
      </c>
      <c r="B2673" t="s">
        <v>8</v>
      </c>
      <c r="F2673" t="s">
        <v>8453</v>
      </c>
      <c r="G2673" t="s">
        <v>1817</v>
      </c>
    </row>
    <row r="2674" spans="1:7" hidden="1" x14ac:dyDescent="0.25">
      <c r="A2674" t="s">
        <v>2004</v>
      </c>
      <c r="B2674" t="s">
        <v>8</v>
      </c>
      <c r="F2674" t="s">
        <v>8456</v>
      </c>
      <c r="G2674" t="s">
        <v>1934</v>
      </c>
    </row>
    <row r="2675" spans="1:7" hidden="1" x14ac:dyDescent="0.25">
      <c r="A2675" t="s">
        <v>2004</v>
      </c>
      <c r="B2675" t="s">
        <v>8</v>
      </c>
      <c r="F2675" t="s">
        <v>8459</v>
      </c>
      <c r="G2675" t="s">
        <v>1934</v>
      </c>
    </row>
    <row r="2676" spans="1:7" hidden="1" x14ac:dyDescent="0.25">
      <c r="A2676" t="s">
        <v>2004</v>
      </c>
      <c r="B2676" t="s">
        <v>8</v>
      </c>
      <c r="F2676" t="s">
        <v>8462</v>
      </c>
      <c r="G2676" t="s">
        <v>1934</v>
      </c>
    </row>
    <row r="2677" spans="1:7" hidden="1" x14ac:dyDescent="0.25">
      <c r="A2677" t="s">
        <v>2004</v>
      </c>
      <c r="B2677" t="s">
        <v>8</v>
      </c>
      <c r="F2677" t="s">
        <v>8465</v>
      </c>
      <c r="G2677" t="s">
        <v>1997</v>
      </c>
    </row>
    <row r="2678" spans="1:7" hidden="1" x14ac:dyDescent="0.25">
      <c r="A2678" t="s">
        <v>2004</v>
      </c>
      <c r="B2678" t="s">
        <v>8</v>
      </c>
      <c r="F2678" t="s">
        <v>8468</v>
      </c>
      <c r="G2678" t="s">
        <v>1997</v>
      </c>
    </row>
    <row r="2679" spans="1:7" hidden="1" x14ac:dyDescent="0.25">
      <c r="A2679" t="s">
        <v>2004</v>
      </c>
      <c r="B2679" t="s">
        <v>8</v>
      </c>
      <c r="F2679" t="s">
        <v>8471</v>
      </c>
      <c r="G2679" t="s">
        <v>1997</v>
      </c>
    </row>
    <row r="2680" spans="1:7" hidden="1" x14ac:dyDescent="0.25">
      <c r="A2680" t="s">
        <v>2004</v>
      </c>
      <c r="F2680" s="8" t="s">
        <v>8505</v>
      </c>
      <c r="G2680" t="s">
        <v>1102</v>
      </c>
    </row>
    <row r="2681" spans="1:7" hidden="1" x14ac:dyDescent="0.25">
      <c r="A2681" t="s">
        <v>91</v>
      </c>
      <c r="B2681" t="s">
        <v>8799</v>
      </c>
      <c r="F2681" s="8" t="s">
        <v>8508</v>
      </c>
      <c r="G2681" t="s">
        <v>1102</v>
      </c>
    </row>
    <row r="2682" spans="1:7" hidden="1" x14ac:dyDescent="0.25">
      <c r="A2682" t="s">
        <v>62</v>
      </c>
      <c r="B2682" t="s">
        <v>8799</v>
      </c>
      <c r="F2682" s="8" t="s">
        <v>8511</v>
      </c>
      <c r="G2682" t="s">
        <v>1102</v>
      </c>
    </row>
    <row r="2683" spans="1:7" hidden="1" x14ac:dyDescent="0.25">
      <c r="A2683" t="s">
        <v>2004</v>
      </c>
      <c r="F2683" s="8" t="s">
        <v>8514</v>
      </c>
      <c r="G2683" t="s">
        <v>1102</v>
      </c>
    </row>
    <row r="2684" spans="1:7" hidden="1" x14ac:dyDescent="0.25">
      <c r="A2684" t="s">
        <v>91</v>
      </c>
      <c r="B2684" t="s">
        <v>8352</v>
      </c>
      <c r="F2684" s="8" t="s">
        <v>8517</v>
      </c>
      <c r="G2684" t="s">
        <v>1102</v>
      </c>
    </row>
    <row r="2685" spans="1:7" hidden="1" x14ac:dyDescent="0.25">
      <c r="A2685" t="s">
        <v>62</v>
      </c>
      <c r="B2685" t="s">
        <v>8352</v>
      </c>
      <c r="F2685" s="8" t="s">
        <v>8520</v>
      </c>
      <c r="G2685" t="s">
        <v>1102</v>
      </c>
    </row>
    <row r="2686" spans="1:7" hidden="1" x14ac:dyDescent="0.25">
      <c r="A2686" t="s">
        <v>91</v>
      </c>
      <c r="B2686" t="s">
        <v>8800</v>
      </c>
      <c r="F2686" s="8" t="s">
        <v>8523</v>
      </c>
      <c r="G2686" t="s">
        <v>1102</v>
      </c>
    </row>
    <row r="2687" spans="1:7" hidden="1" x14ac:dyDescent="0.25">
      <c r="A2687" t="s">
        <v>62</v>
      </c>
      <c r="B2687" t="s">
        <v>8800</v>
      </c>
      <c r="F2687" s="8" t="s">
        <v>8526</v>
      </c>
      <c r="G2687" t="s">
        <v>1102</v>
      </c>
    </row>
    <row r="2688" spans="1:7" hidden="1" x14ac:dyDescent="0.25">
      <c r="A2688" t="s">
        <v>91</v>
      </c>
      <c r="B2688" t="s">
        <v>8801</v>
      </c>
      <c r="F2688" s="8" t="s">
        <v>8529</v>
      </c>
      <c r="G2688" t="s">
        <v>1102</v>
      </c>
    </row>
    <row r="2689" spans="1:7" hidden="1" x14ac:dyDescent="0.25">
      <c r="A2689" t="s">
        <v>62</v>
      </c>
      <c r="B2689" t="s">
        <v>8801</v>
      </c>
      <c r="F2689" s="8" t="s">
        <v>8532</v>
      </c>
      <c r="G2689" t="s">
        <v>1102</v>
      </c>
    </row>
    <row r="2690" spans="1:7" hidden="1" x14ac:dyDescent="0.25">
      <c r="A2690" t="s">
        <v>91</v>
      </c>
      <c r="B2690" t="s">
        <v>8801</v>
      </c>
      <c r="F2690" s="8" t="s">
        <v>8535</v>
      </c>
      <c r="G2690" t="s">
        <v>1102</v>
      </c>
    </row>
    <row r="2691" spans="1:7" hidden="1" x14ac:dyDescent="0.25">
      <c r="A2691" t="s">
        <v>91</v>
      </c>
      <c r="B2691" t="s">
        <v>8802</v>
      </c>
      <c r="F2691" s="8" t="s">
        <v>8538</v>
      </c>
      <c r="G2691" t="s">
        <v>1102</v>
      </c>
    </row>
    <row r="2692" spans="1:7" hidden="1" x14ac:dyDescent="0.25">
      <c r="A2692" t="s">
        <v>62</v>
      </c>
      <c r="B2692" t="s">
        <v>8802</v>
      </c>
      <c r="F2692" s="8" t="s">
        <v>8541</v>
      </c>
      <c r="G2692" t="s">
        <v>1102</v>
      </c>
    </row>
    <row r="2693" spans="1:7" hidden="1" x14ac:dyDescent="0.25">
      <c r="A2693" t="s">
        <v>62</v>
      </c>
      <c r="B2693" t="s">
        <v>8801</v>
      </c>
      <c r="F2693" s="8" t="s">
        <v>8544</v>
      </c>
      <c r="G2693" t="s">
        <v>1102</v>
      </c>
    </row>
    <row r="2694" spans="1:7" hidden="1" x14ac:dyDescent="0.25">
      <c r="A2694" t="s">
        <v>2004</v>
      </c>
      <c r="F2694" s="8" t="s">
        <v>8547</v>
      </c>
      <c r="G2694" t="s">
        <v>1102</v>
      </c>
    </row>
    <row r="2695" spans="1:7" hidden="1" x14ac:dyDescent="0.25">
      <c r="A2695" t="s">
        <v>91</v>
      </c>
      <c r="B2695" t="s">
        <v>8800</v>
      </c>
      <c r="F2695" s="8" t="s">
        <v>8550</v>
      </c>
      <c r="G2695" t="s">
        <v>1102</v>
      </c>
    </row>
    <row r="2696" spans="1:7" hidden="1" x14ac:dyDescent="0.25">
      <c r="A2696" t="s">
        <v>62</v>
      </c>
      <c r="B2696" t="s">
        <v>8800</v>
      </c>
      <c r="F2696" s="8" t="s">
        <v>8553</v>
      </c>
      <c r="G2696" t="s">
        <v>1102</v>
      </c>
    </row>
    <row r="2697" spans="1:7" hidden="1" x14ac:dyDescent="0.25">
      <c r="A2697" t="s">
        <v>2004</v>
      </c>
      <c r="B2697" t="s">
        <v>8</v>
      </c>
      <c r="F2697" s="8" t="s">
        <v>8484</v>
      </c>
      <c r="G2697" t="s">
        <v>1103</v>
      </c>
    </row>
    <row r="2698" spans="1:7" hidden="1" x14ac:dyDescent="0.25">
      <c r="A2698" t="s">
        <v>2004</v>
      </c>
      <c r="B2698" t="s">
        <v>8</v>
      </c>
      <c r="F2698" s="8" t="s">
        <v>8487</v>
      </c>
      <c r="G2698" t="s">
        <v>1103</v>
      </c>
    </row>
    <row r="2699" spans="1:7" hidden="1" x14ac:dyDescent="0.25">
      <c r="A2699" t="s">
        <v>2004</v>
      </c>
      <c r="B2699" t="s">
        <v>8</v>
      </c>
      <c r="F2699" s="8" t="s">
        <v>8490</v>
      </c>
      <c r="G2699" t="s">
        <v>1103</v>
      </c>
    </row>
    <row r="2700" spans="1:7" hidden="1" x14ac:dyDescent="0.25">
      <c r="A2700" t="s">
        <v>2004</v>
      </c>
      <c r="B2700" t="s">
        <v>8</v>
      </c>
      <c r="F2700" s="8" t="s">
        <v>8493</v>
      </c>
      <c r="G2700" t="s">
        <v>1103</v>
      </c>
    </row>
    <row r="2701" spans="1:7" hidden="1" x14ac:dyDescent="0.25">
      <c r="A2701" t="s">
        <v>2004</v>
      </c>
      <c r="B2701" t="s">
        <v>8</v>
      </c>
      <c r="F2701" s="8" t="s">
        <v>8496</v>
      </c>
      <c r="G2701" t="s">
        <v>1103</v>
      </c>
    </row>
    <row r="2702" spans="1:7" hidden="1" x14ac:dyDescent="0.25">
      <c r="A2702" t="s">
        <v>2004</v>
      </c>
      <c r="B2702" t="s">
        <v>8</v>
      </c>
      <c r="F2702" s="8" t="s">
        <v>8499</v>
      </c>
      <c r="G2702" t="s">
        <v>1103</v>
      </c>
    </row>
    <row r="2703" spans="1:7" hidden="1" x14ac:dyDescent="0.25">
      <c r="A2703" t="s">
        <v>2004</v>
      </c>
      <c r="B2703" t="s">
        <v>8</v>
      </c>
      <c r="F2703" s="8" t="s">
        <v>8502</v>
      </c>
      <c r="G2703" t="s">
        <v>1103</v>
      </c>
    </row>
    <row r="2704" spans="1:7" hidden="1" x14ac:dyDescent="0.25">
      <c r="A2704" t="s">
        <v>2004</v>
      </c>
      <c r="B2704" t="s">
        <v>8</v>
      </c>
      <c r="F2704" s="8" t="s">
        <v>8619</v>
      </c>
      <c r="G2704" t="s">
        <v>91</v>
      </c>
    </row>
    <row r="2705" spans="1:7" hidden="1" x14ac:dyDescent="0.25">
      <c r="A2705" t="s">
        <v>4</v>
      </c>
      <c r="B2705" t="s">
        <v>8803</v>
      </c>
      <c r="F2705" s="8" t="s">
        <v>8622</v>
      </c>
      <c r="G2705" t="s">
        <v>91</v>
      </c>
    </row>
    <row r="2706" spans="1:7" hidden="1" x14ac:dyDescent="0.25">
      <c r="A2706" t="s">
        <v>4</v>
      </c>
      <c r="B2706" t="s">
        <v>8803</v>
      </c>
      <c r="F2706" s="8" t="s">
        <v>8625</v>
      </c>
      <c r="G2706" t="s">
        <v>91</v>
      </c>
    </row>
    <row r="2707" spans="1:7" hidden="1" x14ac:dyDescent="0.25">
      <c r="A2707" t="s">
        <v>4</v>
      </c>
      <c r="B2707" t="s">
        <v>8803</v>
      </c>
      <c r="F2707" s="8" t="s">
        <v>8628</v>
      </c>
      <c r="G2707" t="s">
        <v>91</v>
      </c>
    </row>
    <row r="2708" spans="1:7" hidden="1" x14ac:dyDescent="0.25">
      <c r="A2708" t="s">
        <v>4</v>
      </c>
      <c r="B2708" t="s">
        <v>8803</v>
      </c>
      <c r="F2708" s="8" t="s">
        <v>8631</v>
      </c>
      <c r="G2708" t="s">
        <v>91</v>
      </c>
    </row>
    <row r="2709" spans="1:7" hidden="1" x14ac:dyDescent="0.25">
      <c r="A2709" t="s">
        <v>4</v>
      </c>
      <c r="B2709" t="s">
        <v>8803</v>
      </c>
      <c r="F2709" s="8" t="s">
        <v>8634</v>
      </c>
      <c r="G2709" t="s">
        <v>91</v>
      </c>
    </row>
    <row r="2710" spans="1:7" hidden="1" x14ac:dyDescent="0.25">
      <c r="A2710" t="s">
        <v>2004</v>
      </c>
      <c r="B2710" t="s">
        <v>8</v>
      </c>
      <c r="F2710" s="8" t="s">
        <v>8637</v>
      </c>
      <c r="G2710" t="s">
        <v>91</v>
      </c>
    </row>
    <row r="2711" spans="1:7" hidden="1" x14ac:dyDescent="0.25">
      <c r="A2711" t="s">
        <v>2004</v>
      </c>
      <c r="B2711" t="s">
        <v>8</v>
      </c>
      <c r="F2711" s="8" t="s">
        <v>8640</v>
      </c>
      <c r="G2711" t="s">
        <v>1104</v>
      </c>
    </row>
    <row r="2712" spans="1:7" hidden="1" x14ac:dyDescent="0.25">
      <c r="A2712" t="s">
        <v>4</v>
      </c>
      <c r="B2712" t="s">
        <v>8</v>
      </c>
      <c r="F2712" s="8" t="s">
        <v>8643</v>
      </c>
      <c r="G2712" t="s">
        <v>1104</v>
      </c>
    </row>
    <row r="2713" spans="1:7" hidden="1" x14ac:dyDescent="0.25">
      <c r="A2713" t="s">
        <v>4</v>
      </c>
      <c r="B2713" t="s">
        <v>8</v>
      </c>
      <c r="F2713" s="8" t="s">
        <v>8646</v>
      </c>
      <c r="G2713" t="s">
        <v>1104</v>
      </c>
    </row>
    <row r="2714" spans="1:7" hidden="1" x14ac:dyDescent="0.25">
      <c r="A2714" t="s">
        <v>4</v>
      </c>
      <c r="B2714" t="s">
        <v>8</v>
      </c>
      <c r="F2714" s="8" t="s">
        <v>8649</v>
      </c>
      <c r="G2714" t="s">
        <v>1104</v>
      </c>
    </row>
    <row r="2715" spans="1:7" hidden="1" x14ac:dyDescent="0.25">
      <c r="A2715" t="s">
        <v>4</v>
      </c>
      <c r="B2715" t="s">
        <v>1607</v>
      </c>
      <c r="F2715" s="8" t="s">
        <v>8652</v>
      </c>
      <c r="G2715" t="s">
        <v>1104</v>
      </c>
    </row>
    <row r="2716" spans="1:7" hidden="1" x14ac:dyDescent="0.25">
      <c r="A2716" t="s">
        <v>4</v>
      </c>
      <c r="B2716" t="s">
        <v>8803</v>
      </c>
      <c r="F2716" s="8" t="s">
        <v>8655</v>
      </c>
      <c r="G2716" t="s">
        <v>1104</v>
      </c>
    </row>
    <row r="2717" spans="1:7" hidden="1" x14ac:dyDescent="0.25">
      <c r="A2717" t="s">
        <v>4</v>
      </c>
      <c r="B2717" t="s">
        <v>8803</v>
      </c>
      <c r="F2717" s="8" t="s">
        <v>8658</v>
      </c>
      <c r="G2717" t="s">
        <v>1104</v>
      </c>
    </row>
    <row r="2718" spans="1:7" hidden="1" x14ac:dyDescent="0.25">
      <c r="A2718" t="s">
        <v>1606</v>
      </c>
      <c r="B2718" t="s">
        <v>8801</v>
      </c>
      <c r="F2718" s="8" t="s">
        <v>8661</v>
      </c>
      <c r="G2718" t="s">
        <v>1104</v>
      </c>
    </row>
    <row r="2719" spans="1:7" hidden="1" x14ac:dyDescent="0.25">
      <c r="A2719" t="s">
        <v>1606</v>
      </c>
      <c r="B2719" t="s">
        <v>8802</v>
      </c>
      <c r="F2719" s="8" t="s">
        <v>8664</v>
      </c>
      <c r="G2719" t="s">
        <v>1104</v>
      </c>
    </row>
    <row r="2720" spans="1:7" hidden="1" x14ac:dyDescent="0.25">
      <c r="A2720" t="s">
        <v>650</v>
      </c>
      <c r="B2720" t="s">
        <v>8802</v>
      </c>
      <c r="F2720" s="8" t="s">
        <v>8667</v>
      </c>
      <c r="G2720" t="s">
        <v>1104</v>
      </c>
    </row>
    <row r="2721" spans="1:7" hidden="1" x14ac:dyDescent="0.25">
      <c r="A2721" t="s">
        <v>650</v>
      </c>
      <c r="B2721" t="s">
        <v>8801</v>
      </c>
      <c r="F2721" s="8" t="s">
        <v>8670</v>
      </c>
      <c r="G2721" t="s">
        <v>1104</v>
      </c>
    </row>
    <row r="2722" spans="1:7" hidden="1" x14ac:dyDescent="0.25">
      <c r="A2722" t="s">
        <v>2004</v>
      </c>
      <c r="B2722" t="s">
        <v>8</v>
      </c>
      <c r="F2722" s="8" t="s">
        <v>8673</v>
      </c>
      <c r="G2722" t="s">
        <v>1104</v>
      </c>
    </row>
    <row r="2723" spans="1:7" hidden="1" x14ac:dyDescent="0.25">
      <c r="A2723" t="s">
        <v>4</v>
      </c>
      <c r="B2723" t="s">
        <v>8804</v>
      </c>
      <c r="F2723" s="8" t="s">
        <v>8676</v>
      </c>
      <c r="G2723" t="s">
        <v>1104</v>
      </c>
    </row>
    <row r="2724" spans="1:7" hidden="1" x14ac:dyDescent="0.25">
      <c r="A2724" t="s">
        <v>2004</v>
      </c>
      <c r="B2724" t="s">
        <v>8</v>
      </c>
      <c r="F2724" s="8" t="s">
        <v>8556</v>
      </c>
      <c r="G2724" t="s">
        <v>1105</v>
      </c>
    </row>
    <row r="2725" spans="1:7" hidden="1" x14ac:dyDescent="0.25">
      <c r="A2725" t="s">
        <v>4</v>
      </c>
      <c r="B2725" t="s">
        <v>8805</v>
      </c>
      <c r="F2725" s="8" t="s">
        <v>8559</v>
      </c>
      <c r="G2725" t="s">
        <v>1105</v>
      </c>
    </row>
    <row r="2726" spans="1:7" hidden="1" x14ac:dyDescent="0.25">
      <c r="A2726" t="s">
        <v>2004</v>
      </c>
      <c r="B2726" t="s">
        <v>8</v>
      </c>
      <c r="F2726" s="8" t="s">
        <v>8562</v>
      </c>
      <c r="G2726" t="s">
        <v>1105</v>
      </c>
    </row>
    <row r="2727" spans="1:7" hidden="1" x14ac:dyDescent="0.25">
      <c r="A2727" t="s">
        <v>2004</v>
      </c>
      <c r="B2727" t="s">
        <v>8</v>
      </c>
      <c r="F2727" s="8" t="s">
        <v>8565</v>
      </c>
      <c r="G2727" t="s">
        <v>1105</v>
      </c>
    </row>
    <row r="2728" spans="1:7" hidden="1" x14ac:dyDescent="0.25">
      <c r="A2728" t="s">
        <v>2004</v>
      </c>
      <c r="B2728" t="s">
        <v>8</v>
      </c>
      <c r="F2728" s="8" t="s">
        <v>8568</v>
      </c>
      <c r="G2728" t="s">
        <v>1105</v>
      </c>
    </row>
    <row r="2729" spans="1:7" hidden="1" x14ac:dyDescent="0.25">
      <c r="A2729" t="s">
        <v>2004</v>
      </c>
      <c r="B2729" t="s">
        <v>8</v>
      </c>
      <c r="F2729" s="8" t="s">
        <v>8571</v>
      </c>
      <c r="G2729" t="s">
        <v>1105</v>
      </c>
    </row>
    <row r="2730" spans="1:7" hidden="1" x14ac:dyDescent="0.25">
      <c r="A2730" t="s">
        <v>2004</v>
      </c>
      <c r="B2730" t="s">
        <v>8</v>
      </c>
      <c r="F2730" s="8" t="s">
        <v>8574</v>
      </c>
      <c r="G2730" t="s">
        <v>1105</v>
      </c>
    </row>
    <row r="2731" spans="1:7" hidden="1" x14ac:dyDescent="0.25">
      <c r="A2731" t="s">
        <v>2004</v>
      </c>
      <c r="B2731" t="s">
        <v>8</v>
      </c>
      <c r="F2731" s="8" t="s">
        <v>8577</v>
      </c>
      <c r="G2731" t="s">
        <v>1106</v>
      </c>
    </row>
    <row r="2732" spans="1:7" hidden="1" x14ac:dyDescent="0.25">
      <c r="A2732" t="s">
        <v>2004</v>
      </c>
      <c r="B2732" t="s">
        <v>8</v>
      </c>
      <c r="F2732" s="8" t="s">
        <v>8580</v>
      </c>
      <c r="G2732" t="s">
        <v>1106</v>
      </c>
    </row>
    <row r="2733" spans="1:7" hidden="1" x14ac:dyDescent="0.25">
      <c r="A2733" t="s">
        <v>2004</v>
      </c>
      <c r="B2733" t="s">
        <v>8</v>
      </c>
      <c r="F2733" s="8" t="s">
        <v>8583</v>
      </c>
      <c r="G2733" t="s">
        <v>1106</v>
      </c>
    </row>
    <row r="2734" spans="1:7" hidden="1" x14ac:dyDescent="0.25">
      <c r="A2734" t="s">
        <v>2004</v>
      </c>
      <c r="B2734" t="s">
        <v>8</v>
      </c>
      <c r="F2734" s="8" t="s">
        <v>8586</v>
      </c>
      <c r="G2734" t="s">
        <v>1106</v>
      </c>
    </row>
    <row r="2735" spans="1:7" hidden="1" x14ac:dyDescent="0.25">
      <c r="A2735" t="s">
        <v>2004</v>
      </c>
      <c r="B2735" t="s">
        <v>8</v>
      </c>
      <c r="F2735" s="8" t="s">
        <v>8589</v>
      </c>
      <c r="G2735" t="s">
        <v>1106</v>
      </c>
    </row>
    <row r="2736" spans="1:7" hidden="1" x14ac:dyDescent="0.25">
      <c r="A2736" t="s">
        <v>2004</v>
      </c>
      <c r="B2736" t="s">
        <v>8</v>
      </c>
      <c r="F2736" s="8" t="s">
        <v>8592</v>
      </c>
      <c r="G2736" t="s">
        <v>1106</v>
      </c>
    </row>
    <row r="2737" spans="1:7" hidden="1" x14ac:dyDescent="0.25">
      <c r="A2737" t="s">
        <v>2004</v>
      </c>
      <c r="B2737" t="s">
        <v>8</v>
      </c>
      <c r="F2737" s="8" t="s">
        <v>8595</v>
      </c>
      <c r="G2737" t="s">
        <v>1106</v>
      </c>
    </row>
    <row r="2738" spans="1:7" x14ac:dyDescent="0.25">
      <c r="A2738" t="s">
        <v>2004</v>
      </c>
      <c r="B2738" t="s">
        <v>8</v>
      </c>
      <c r="F2738" t="s">
        <v>6161</v>
      </c>
      <c r="G2738" t="s">
        <v>1107</v>
      </c>
    </row>
    <row r="2739" spans="1:7" x14ac:dyDescent="0.25">
      <c r="A2739" t="s">
        <v>2004</v>
      </c>
      <c r="B2739" t="s">
        <v>8</v>
      </c>
      <c r="F2739" t="s">
        <v>7998</v>
      </c>
      <c r="G2739" t="s">
        <v>1107</v>
      </c>
    </row>
    <row r="2740" spans="1:7" x14ac:dyDescent="0.25">
      <c r="A2740" t="s">
        <v>2004</v>
      </c>
      <c r="B2740" t="s">
        <v>8</v>
      </c>
      <c r="F2740" t="s">
        <v>364</v>
      </c>
      <c r="G2740" t="s">
        <v>1107</v>
      </c>
    </row>
    <row r="2741" spans="1:7" x14ac:dyDescent="0.25">
      <c r="A2741" t="s">
        <v>2004</v>
      </c>
      <c r="B2741" t="s">
        <v>8</v>
      </c>
      <c r="F2741" t="s">
        <v>367</v>
      </c>
      <c r="G2741" t="s">
        <v>1107</v>
      </c>
    </row>
    <row r="2742" spans="1:7" x14ac:dyDescent="0.25">
      <c r="A2742" t="s">
        <v>2004</v>
      </c>
      <c r="B2742" t="s">
        <v>8</v>
      </c>
      <c r="F2742" t="s">
        <v>370</v>
      </c>
      <c r="G2742" t="s">
        <v>1107</v>
      </c>
    </row>
    <row r="2743" spans="1:7" x14ac:dyDescent="0.25">
      <c r="A2743" t="s">
        <v>2004</v>
      </c>
      <c r="B2743" t="s">
        <v>8</v>
      </c>
      <c r="F2743" t="s">
        <v>373</v>
      </c>
      <c r="G2743" t="s">
        <v>1107</v>
      </c>
    </row>
    <row r="2744" spans="1:7" x14ac:dyDescent="0.25">
      <c r="A2744" t="s">
        <v>2004</v>
      </c>
      <c r="B2744" t="s">
        <v>8</v>
      </c>
      <c r="F2744" t="s">
        <v>376</v>
      </c>
      <c r="G2744" t="s">
        <v>1107</v>
      </c>
    </row>
    <row r="2745" spans="1:7" hidden="1" x14ac:dyDescent="0.25">
      <c r="A2745" t="s">
        <v>2004</v>
      </c>
      <c r="B2745" t="s">
        <v>9</v>
      </c>
      <c r="F2745" s="8" t="s">
        <v>8598</v>
      </c>
      <c r="G2745" t="s">
        <v>796</v>
      </c>
    </row>
    <row r="2746" spans="1:7" hidden="1" x14ac:dyDescent="0.25">
      <c r="A2746" t="s">
        <v>2004</v>
      </c>
      <c r="B2746" t="s">
        <v>9</v>
      </c>
      <c r="F2746" s="8" t="s">
        <v>8601</v>
      </c>
      <c r="G2746" t="s">
        <v>796</v>
      </c>
    </row>
    <row r="2747" spans="1:7" hidden="1" x14ac:dyDescent="0.25">
      <c r="A2747" t="s">
        <v>2004</v>
      </c>
      <c r="B2747" t="s">
        <v>9</v>
      </c>
      <c r="F2747" s="8" t="s">
        <v>8604</v>
      </c>
      <c r="G2747" t="s">
        <v>796</v>
      </c>
    </row>
    <row r="2748" spans="1:7" hidden="1" x14ac:dyDescent="0.25">
      <c r="A2748" t="s">
        <v>2004</v>
      </c>
      <c r="B2748" t="s">
        <v>9</v>
      </c>
      <c r="F2748" s="8" t="s">
        <v>8607</v>
      </c>
      <c r="G2748" t="s">
        <v>796</v>
      </c>
    </row>
    <row r="2749" spans="1:7" hidden="1" x14ac:dyDescent="0.25">
      <c r="A2749" t="s">
        <v>2004</v>
      </c>
      <c r="B2749" t="s">
        <v>9</v>
      </c>
      <c r="F2749" s="8" t="s">
        <v>8610</v>
      </c>
      <c r="G2749" t="s">
        <v>796</v>
      </c>
    </row>
    <row r="2750" spans="1:7" hidden="1" x14ac:dyDescent="0.25">
      <c r="A2750" t="s">
        <v>2004</v>
      </c>
      <c r="B2750" t="s">
        <v>9</v>
      </c>
      <c r="F2750" s="8" t="s">
        <v>8613</v>
      </c>
      <c r="G2750" t="s">
        <v>796</v>
      </c>
    </row>
    <row r="2751" spans="1:7" hidden="1" x14ac:dyDescent="0.25">
      <c r="A2751" t="s">
        <v>2004</v>
      </c>
      <c r="B2751" t="s">
        <v>8824</v>
      </c>
      <c r="F2751" s="8" t="s">
        <v>8616</v>
      </c>
      <c r="G2751" t="s">
        <v>796</v>
      </c>
    </row>
    <row r="2752" spans="1:7" hidden="1" x14ac:dyDescent="0.25">
      <c r="A2752" t="s">
        <v>2004</v>
      </c>
      <c r="B2752" t="s">
        <v>86</v>
      </c>
      <c r="E2752" t="s">
        <v>5479</v>
      </c>
      <c r="F2752" s="8" t="s">
        <v>8682</v>
      </c>
      <c r="G2752" t="s">
        <v>1100</v>
      </c>
    </row>
    <row r="2753" spans="1:7" hidden="1" x14ac:dyDescent="0.25">
      <c r="A2753" t="s">
        <v>2004</v>
      </c>
      <c r="B2753" t="s">
        <v>86</v>
      </c>
      <c r="E2753" t="s">
        <v>5479</v>
      </c>
      <c r="F2753" s="8" t="s">
        <v>8685</v>
      </c>
      <c r="G2753" t="s">
        <v>1100</v>
      </c>
    </row>
    <row r="2754" spans="1:7" hidden="1" x14ac:dyDescent="0.25">
      <c r="A2754" t="s">
        <v>2004</v>
      </c>
      <c r="B2754" t="s">
        <v>8825</v>
      </c>
      <c r="E2754" t="s">
        <v>5479</v>
      </c>
      <c r="F2754" s="8" t="s">
        <v>8688</v>
      </c>
      <c r="G2754" t="s">
        <v>1100</v>
      </c>
    </row>
    <row r="2755" spans="1:7" hidden="1" x14ac:dyDescent="0.25">
      <c r="A2755" t="s">
        <v>2004</v>
      </c>
      <c r="B2755" t="s">
        <v>86</v>
      </c>
      <c r="E2755" t="s">
        <v>5479</v>
      </c>
      <c r="F2755" s="8" t="s">
        <v>8691</v>
      </c>
      <c r="G2755" t="s">
        <v>1100</v>
      </c>
    </row>
    <row r="2756" spans="1:7" hidden="1" x14ac:dyDescent="0.25">
      <c r="A2756" t="s">
        <v>2004</v>
      </c>
      <c r="B2756" t="s">
        <v>86</v>
      </c>
      <c r="E2756" t="s">
        <v>5479</v>
      </c>
      <c r="F2756" s="8" t="s">
        <v>8694</v>
      </c>
      <c r="G2756" t="s">
        <v>1100</v>
      </c>
    </row>
    <row r="2757" spans="1:7" hidden="1" x14ac:dyDescent="0.25">
      <c r="A2757" t="s">
        <v>2004</v>
      </c>
      <c r="B2757" t="s">
        <v>86</v>
      </c>
      <c r="E2757" t="s">
        <v>5479</v>
      </c>
      <c r="F2757" s="8" t="s">
        <v>8697</v>
      </c>
      <c r="G2757" t="s">
        <v>1100</v>
      </c>
    </row>
    <row r="2758" spans="1:7" hidden="1" x14ac:dyDescent="0.25">
      <c r="A2758" t="s">
        <v>2004</v>
      </c>
      <c r="B2758" t="s">
        <v>86</v>
      </c>
      <c r="E2758" t="s">
        <v>5479</v>
      </c>
      <c r="F2758" s="8" t="s">
        <v>8700</v>
      </c>
      <c r="G2758" t="s">
        <v>1100</v>
      </c>
    </row>
    <row r="2759" spans="1:7" hidden="1" x14ac:dyDescent="0.25">
      <c r="A2759" t="s">
        <v>2004</v>
      </c>
      <c r="B2759" t="s">
        <v>8</v>
      </c>
      <c r="F2759" s="8" t="s">
        <v>8703</v>
      </c>
      <c r="G2759" s="1" t="s">
        <v>1603</v>
      </c>
    </row>
    <row r="2760" spans="1:7" hidden="1" x14ac:dyDescent="0.25">
      <c r="A2760" t="s">
        <v>2004</v>
      </c>
      <c r="B2760" t="s">
        <v>8826</v>
      </c>
      <c r="F2760" s="8" t="s">
        <v>8706</v>
      </c>
      <c r="G2760" s="1" t="s">
        <v>1603</v>
      </c>
    </row>
    <row r="2761" spans="1:7" hidden="1" x14ac:dyDescent="0.25">
      <c r="A2761" t="s">
        <v>2004</v>
      </c>
      <c r="B2761" t="s">
        <v>8826</v>
      </c>
      <c r="F2761" s="8" t="s">
        <v>8709</v>
      </c>
      <c r="G2761" s="1" t="s">
        <v>1603</v>
      </c>
    </row>
    <row r="2762" spans="1:7" hidden="1" x14ac:dyDescent="0.25">
      <c r="A2762" t="s">
        <v>2004</v>
      </c>
      <c r="B2762" t="s">
        <v>8</v>
      </c>
      <c r="F2762" s="8" t="s">
        <v>8712</v>
      </c>
      <c r="G2762" s="1" t="s">
        <v>1603</v>
      </c>
    </row>
    <row r="2763" spans="1:7" hidden="1" x14ac:dyDescent="0.25">
      <c r="A2763" t="s">
        <v>2004</v>
      </c>
      <c r="B2763" t="s">
        <v>8826</v>
      </c>
      <c r="F2763" s="8" t="s">
        <v>8715</v>
      </c>
      <c r="G2763" s="1" t="s">
        <v>1603</v>
      </c>
    </row>
    <row r="2764" spans="1:7" hidden="1" x14ac:dyDescent="0.25">
      <c r="A2764" t="s">
        <v>2004</v>
      </c>
      <c r="B2764" t="s">
        <v>8826</v>
      </c>
      <c r="F2764" s="8" t="s">
        <v>8718</v>
      </c>
      <c r="G2764" s="1" t="s">
        <v>1603</v>
      </c>
    </row>
    <row r="2765" spans="1:7" hidden="1" x14ac:dyDescent="0.25">
      <c r="A2765" t="s">
        <v>4</v>
      </c>
      <c r="B2765" t="s">
        <v>8805</v>
      </c>
      <c r="F2765" s="8" t="s">
        <v>8721</v>
      </c>
      <c r="G2765" s="1" t="s">
        <v>1603</v>
      </c>
    </row>
    <row r="2766" spans="1:7" hidden="1" x14ac:dyDescent="0.25">
      <c r="A2766" t="s">
        <v>4</v>
      </c>
      <c r="B2766" t="s">
        <v>8045</v>
      </c>
      <c r="F2766" s="8" t="s">
        <v>8724</v>
      </c>
      <c r="G2766" t="s">
        <v>1817</v>
      </c>
    </row>
    <row r="2767" spans="1:7" hidden="1" x14ac:dyDescent="0.25">
      <c r="A2767" t="s">
        <v>4</v>
      </c>
      <c r="B2767" t="s">
        <v>8045</v>
      </c>
      <c r="F2767" s="8" t="s">
        <v>8727</v>
      </c>
      <c r="G2767" t="s">
        <v>1817</v>
      </c>
    </row>
    <row r="2768" spans="1:7" hidden="1" x14ac:dyDescent="0.25">
      <c r="A2768" t="s">
        <v>4</v>
      </c>
      <c r="B2768" t="s">
        <v>8045</v>
      </c>
      <c r="F2768" s="8" t="s">
        <v>8730</v>
      </c>
      <c r="G2768" t="s">
        <v>1817</v>
      </c>
    </row>
    <row r="2769" spans="1:7" hidden="1" x14ac:dyDescent="0.25">
      <c r="A2769" t="s">
        <v>4</v>
      </c>
      <c r="B2769" t="s">
        <v>8045</v>
      </c>
      <c r="F2769" s="8" t="s">
        <v>8733</v>
      </c>
      <c r="G2769" t="s">
        <v>1817</v>
      </c>
    </row>
    <row r="2770" spans="1:7" hidden="1" x14ac:dyDescent="0.25">
      <c r="A2770" t="s">
        <v>4</v>
      </c>
      <c r="B2770" t="s">
        <v>8045</v>
      </c>
      <c r="F2770" s="8" t="s">
        <v>8736</v>
      </c>
      <c r="G2770" t="s">
        <v>1817</v>
      </c>
    </row>
    <row r="2771" spans="1:7" hidden="1" x14ac:dyDescent="0.25">
      <c r="A2771" t="s">
        <v>4</v>
      </c>
      <c r="B2771" t="s">
        <v>8045</v>
      </c>
      <c r="F2771" s="8" t="s">
        <v>8739</v>
      </c>
      <c r="G2771" t="s">
        <v>1817</v>
      </c>
    </row>
    <row r="2772" spans="1:7" hidden="1" x14ac:dyDescent="0.25">
      <c r="A2772" t="s">
        <v>4</v>
      </c>
      <c r="B2772" t="s">
        <v>8045</v>
      </c>
      <c r="F2772" s="8" t="s">
        <v>8742</v>
      </c>
      <c r="G2772" t="s">
        <v>1817</v>
      </c>
    </row>
    <row r="2773" spans="1:7" hidden="1" x14ac:dyDescent="0.25">
      <c r="A2773" t="s">
        <v>2004</v>
      </c>
      <c r="B2773" t="s">
        <v>8</v>
      </c>
      <c r="F2773" s="8" t="s">
        <v>8745</v>
      </c>
      <c r="G2773" t="s">
        <v>1817</v>
      </c>
    </row>
    <row r="2774" spans="1:7" hidden="1" x14ac:dyDescent="0.25">
      <c r="A2774" t="s">
        <v>4</v>
      </c>
      <c r="B2774" t="s">
        <v>8045</v>
      </c>
      <c r="F2774" s="8" t="s">
        <v>8748</v>
      </c>
      <c r="G2774" t="s">
        <v>1817</v>
      </c>
    </row>
    <row r="2775" spans="1:7" hidden="1" x14ac:dyDescent="0.25">
      <c r="A2775" t="s">
        <v>4</v>
      </c>
      <c r="B2775" t="s">
        <v>8827</v>
      </c>
      <c r="F2775" s="8" t="s">
        <v>8751</v>
      </c>
      <c r="G2775" t="s">
        <v>1817</v>
      </c>
    </row>
    <row r="2776" spans="1:7" hidden="1" x14ac:dyDescent="0.25">
      <c r="A2776" t="s">
        <v>2004</v>
      </c>
      <c r="B2776" t="s">
        <v>8</v>
      </c>
      <c r="F2776" s="8" t="s">
        <v>8754</v>
      </c>
      <c r="G2776" t="s">
        <v>1817</v>
      </c>
    </row>
    <row r="2777" spans="1:7" hidden="1" x14ac:dyDescent="0.25">
      <c r="A2777" t="s">
        <v>2004</v>
      </c>
      <c r="B2777" t="s">
        <v>8</v>
      </c>
      <c r="F2777" s="8" t="s">
        <v>8757</v>
      </c>
      <c r="G2777" t="s">
        <v>1934</v>
      </c>
    </row>
    <row r="2778" spans="1:7" hidden="1" x14ac:dyDescent="0.25">
      <c r="A2778" t="s">
        <v>2004</v>
      </c>
      <c r="B2778" t="s">
        <v>8</v>
      </c>
      <c r="F2778" s="8" t="s">
        <v>8760</v>
      </c>
      <c r="G2778" t="s">
        <v>1934</v>
      </c>
    </row>
    <row r="2779" spans="1:7" hidden="1" x14ac:dyDescent="0.25">
      <c r="A2779" t="s">
        <v>2004</v>
      </c>
      <c r="B2779" t="s">
        <v>8</v>
      </c>
      <c r="F2779" s="8" t="s">
        <v>8763</v>
      </c>
      <c r="G2779" t="s">
        <v>1934</v>
      </c>
    </row>
    <row r="2780" spans="1:7" hidden="1" x14ac:dyDescent="0.25">
      <c r="A2780" t="s">
        <v>2004</v>
      </c>
      <c r="B2780" t="s">
        <v>8</v>
      </c>
      <c r="F2780" s="8" t="s">
        <v>8766</v>
      </c>
      <c r="G2780" t="s">
        <v>1934</v>
      </c>
    </row>
    <row r="2781" spans="1:7" hidden="1" x14ac:dyDescent="0.25">
      <c r="A2781" t="s">
        <v>2004</v>
      </c>
      <c r="B2781" t="s">
        <v>8</v>
      </c>
      <c r="F2781" s="8" t="s">
        <v>8769</v>
      </c>
      <c r="G2781" t="s">
        <v>1934</v>
      </c>
    </row>
    <row r="2782" spans="1:7" hidden="1" x14ac:dyDescent="0.25">
      <c r="A2782" t="s">
        <v>2004</v>
      </c>
      <c r="B2782" t="s">
        <v>8</v>
      </c>
      <c r="F2782" s="8" t="s">
        <v>8772</v>
      </c>
      <c r="G2782" t="s">
        <v>1934</v>
      </c>
    </row>
    <row r="2783" spans="1:7" hidden="1" x14ac:dyDescent="0.25">
      <c r="A2783" t="s">
        <v>2004</v>
      </c>
      <c r="B2783" t="s">
        <v>8</v>
      </c>
      <c r="F2783" s="8" t="s">
        <v>8775</v>
      </c>
      <c r="G2783" t="s">
        <v>1934</v>
      </c>
    </row>
    <row r="2784" spans="1:7" hidden="1" x14ac:dyDescent="0.25">
      <c r="A2784" t="s">
        <v>2004</v>
      </c>
      <c r="B2784" t="s">
        <v>8</v>
      </c>
      <c r="F2784" s="8" t="s">
        <v>8778</v>
      </c>
      <c r="G2784" t="s">
        <v>1997</v>
      </c>
    </row>
    <row r="2785" spans="1:7" hidden="1" x14ac:dyDescent="0.25">
      <c r="A2785" t="s">
        <v>2004</v>
      </c>
      <c r="B2785" t="s">
        <v>8</v>
      </c>
      <c r="F2785" s="8" t="s">
        <v>8781</v>
      </c>
      <c r="G2785" t="s">
        <v>1997</v>
      </c>
    </row>
    <row r="2786" spans="1:7" hidden="1" x14ac:dyDescent="0.25">
      <c r="A2786" t="s">
        <v>2004</v>
      </c>
      <c r="B2786" t="s">
        <v>8</v>
      </c>
      <c r="F2786" s="8" t="s">
        <v>8784</v>
      </c>
      <c r="G2786" t="s">
        <v>1997</v>
      </c>
    </row>
    <row r="2787" spans="1:7" hidden="1" x14ac:dyDescent="0.25">
      <c r="A2787" t="s">
        <v>2004</v>
      </c>
      <c r="B2787" t="s">
        <v>8</v>
      </c>
      <c r="F2787" s="8" t="s">
        <v>8787</v>
      </c>
      <c r="G2787" t="s">
        <v>1997</v>
      </c>
    </row>
    <row r="2788" spans="1:7" hidden="1" x14ac:dyDescent="0.25">
      <c r="A2788" t="s">
        <v>2004</v>
      </c>
      <c r="B2788" t="s">
        <v>8</v>
      </c>
      <c r="F2788" s="8" t="s">
        <v>8790</v>
      </c>
      <c r="G2788" t="s">
        <v>1997</v>
      </c>
    </row>
    <row r="2789" spans="1:7" hidden="1" x14ac:dyDescent="0.25">
      <c r="A2789" t="s">
        <v>2004</v>
      </c>
      <c r="B2789" t="s">
        <v>8</v>
      </c>
      <c r="F2789" s="8" t="s">
        <v>8793</v>
      </c>
      <c r="G2789" t="s">
        <v>1997</v>
      </c>
    </row>
    <row r="2790" spans="1:7" hidden="1" x14ac:dyDescent="0.25">
      <c r="A2790" t="s">
        <v>2004</v>
      </c>
      <c r="B2790" t="s">
        <v>8</v>
      </c>
      <c r="F2790" s="8" t="s">
        <v>8796</v>
      </c>
      <c r="G2790" t="s">
        <v>1997</v>
      </c>
    </row>
    <row r="2791" spans="1:7" x14ac:dyDescent="0.25">
      <c r="A2791" t="s">
        <v>2004</v>
      </c>
      <c r="B2791" t="s">
        <v>8</v>
      </c>
      <c r="F2791" s="8" t="s">
        <v>8679</v>
      </c>
      <c r="G2791" t="s">
        <v>1107</v>
      </c>
    </row>
    <row r="2792" spans="1:7" x14ac:dyDescent="0.25">
      <c r="A2792" t="s">
        <v>2004</v>
      </c>
      <c r="B2792" t="s">
        <v>8</v>
      </c>
      <c r="F2792" s="8" t="s">
        <v>8806</v>
      </c>
      <c r="G2792" t="s">
        <v>1107</v>
      </c>
    </row>
    <row r="2793" spans="1:7" x14ac:dyDescent="0.25">
      <c r="A2793" t="s">
        <v>2004</v>
      </c>
      <c r="B2793" t="s">
        <v>8</v>
      </c>
      <c r="F2793" s="8" t="s">
        <v>8809</v>
      </c>
      <c r="G2793" t="s">
        <v>1107</v>
      </c>
    </row>
    <row r="2794" spans="1:7" x14ac:dyDescent="0.25">
      <c r="A2794" t="s">
        <v>2004</v>
      </c>
      <c r="B2794" t="s">
        <v>8</v>
      </c>
      <c r="F2794" s="8" t="s">
        <v>8812</v>
      </c>
      <c r="G2794" t="s">
        <v>1107</v>
      </c>
    </row>
    <row r="2795" spans="1:7" x14ac:dyDescent="0.25">
      <c r="A2795" t="s">
        <v>2004</v>
      </c>
      <c r="B2795" t="s">
        <v>8</v>
      </c>
      <c r="F2795" s="8" t="s">
        <v>8815</v>
      </c>
      <c r="G2795" t="s">
        <v>1107</v>
      </c>
    </row>
    <row r="2796" spans="1:7" x14ac:dyDescent="0.25">
      <c r="A2796" t="s">
        <v>2004</v>
      </c>
      <c r="B2796" t="s">
        <v>8</v>
      </c>
      <c r="F2796" s="8" t="s">
        <v>8818</v>
      </c>
      <c r="G2796" t="s">
        <v>1107</v>
      </c>
    </row>
    <row r="2797" spans="1:7" x14ac:dyDescent="0.25">
      <c r="A2797" t="s">
        <v>2004</v>
      </c>
      <c r="B2797" t="s">
        <v>8</v>
      </c>
      <c r="F2797" s="8" t="s">
        <v>8821</v>
      </c>
      <c r="G2797" t="s">
        <v>1107</v>
      </c>
    </row>
  </sheetData>
  <phoneticPr fontId="2" type="noConversion"/>
  <conditionalFormatting sqref="C2:C11 C14 C16:C18 C23:C24">
    <cfRule type="notContainsText" dxfId="550" priority="413" operator="notContains" text="порожний">
      <formula>ISERROR(SEARCH("порожний",C2))</formula>
    </cfRule>
  </conditionalFormatting>
  <conditionalFormatting sqref="B11 A695 A697:A701 A825 B932">
    <cfRule type="containsText" dxfId="549" priority="412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548" priority="411" operator="notContains" text="порожний">
      <formula>ISERROR(SEARCH("порожний",C12))</formula>
    </cfRule>
  </conditionalFormatting>
  <conditionalFormatting sqref="B12:B14">
    <cfRule type="containsText" dxfId="547" priority="410" operator="containsText" text="Выезд с территории">
      <formula>NOT(ISERROR(SEARCH("Выезд с территории",B12)))</formula>
    </cfRule>
  </conditionalFormatting>
  <conditionalFormatting sqref="C15">
    <cfRule type="notContainsText" dxfId="546" priority="409" operator="notContains" text="порожний">
      <formula>ISERROR(SEARCH("порожний",C15))</formula>
    </cfRule>
  </conditionalFormatting>
  <conditionalFormatting sqref="C19:C22">
    <cfRule type="notContainsText" dxfId="545" priority="408" operator="notContains" text="порожний">
      <formula>ISERROR(SEARCH("порожний",C19))</formula>
    </cfRule>
  </conditionalFormatting>
  <conditionalFormatting sqref="C25">
    <cfRule type="notContainsText" dxfId="544" priority="407" operator="notContains" text="порожний">
      <formula>ISERROR(SEARCH("порожний",C25))</formula>
    </cfRule>
  </conditionalFormatting>
  <conditionalFormatting sqref="C26:C27">
    <cfRule type="notContainsText" dxfId="543" priority="406" operator="notContains" text="порожний">
      <formula>ISERROR(SEARCH("порожний",C26))</formula>
    </cfRule>
  </conditionalFormatting>
  <conditionalFormatting sqref="C29">
    <cfRule type="notContainsText" dxfId="542" priority="405" operator="notContains" text="порожний">
      <formula>ISERROR(SEARCH("порожний",C29))</formula>
    </cfRule>
  </conditionalFormatting>
  <conditionalFormatting sqref="C39">
    <cfRule type="notContainsText" dxfId="541" priority="400" operator="notContains" text="порожний">
      <formula>ISERROR(SEARCH("порожний",C39))</formula>
    </cfRule>
  </conditionalFormatting>
  <conditionalFormatting sqref="C32">
    <cfRule type="notContainsText" dxfId="540" priority="404" operator="notContains" text="порожний">
      <formula>ISERROR(SEARCH("порожний",C32))</formula>
    </cfRule>
  </conditionalFormatting>
  <conditionalFormatting sqref="C34">
    <cfRule type="notContainsText" dxfId="539" priority="403" operator="notContains" text="порожний">
      <formula>ISERROR(SEARCH("порожний",C34))</formula>
    </cfRule>
  </conditionalFormatting>
  <conditionalFormatting sqref="C36">
    <cfRule type="notContainsText" dxfId="538" priority="402" operator="notContains" text="порожний">
      <formula>ISERROR(SEARCH("порожний",C36))</formula>
    </cfRule>
  </conditionalFormatting>
  <conditionalFormatting sqref="C38">
    <cfRule type="notContainsText" dxfId="537" priority="401" operator="notContains" text="порожний">
      <formula>ISERROR(SEARCH("порожний",C38))</formula>
    </cfRule>
  </conditionalFormatting>
  <conditionalFormatting sqref="E147">
    <cfRule type="containsText" dxfId="536" priority="399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535" priority="398" operator="notContains" text="порожний">
      <formula>ISERROR(SEARCH("порожний",C581))</formula>
    </cfRule>
  </conditionalFormatting>
  <conditionalFormatting sqref="C586">
    <cfRule type="notContainsText" dxfId="534" priority="397" operator="notContains" text="порожний">
      <formula>ISERROR(SEARCH("порожний",C586))</formula>
    </cfRule>
  </conditionalFormatting>
  <conditionalFormatting sqref="B609">
    <cfRule type="containsText" dxfId="533" priority="396" operator="containsText" text="Выезд с территории">
      <formula>NOT(ISERROR(SEARCH("Выезд с территории",B609)))</formula>
    </cfRule>
  </conditionalFormatting>
  <conditionalFormatting sqref="B609 B932">
    <cfRule type="containsText" dxfId="532" priority="394" operator="containsText" text="Газель базы">
      <formula>NOT(ISERROR(SEARCH("Газель базы",B609)))</formula>
    </cfRule>
    <cfRule type="containsText" dxfId="531" priority="395" operator="containsText" text="Погрузчик базы">
      <formula>NOT(ISERROR(SEARCH("Погрузчик базы",B609)))</formula>
    </cfRule>
  </conditionalFormatting>
  <conditionalFormatting sqref="B609 B932">
    <cfRule type="containsText" dxfId="530" priority="393" operator="containsText" text="Трактор базы">
      <formula>NOT(ISERROR(SEARCH("Трактор базы",B609)))</formula>
    </cfRule>
  </conditionalFormatting>
  <conditionalFormatting sqref="B614">
    <cfRule type="containsText" dxfId="529" priority="389" operator="containsText" text="Трактор базы">
      <formula>NOT(ISERROR(SEARCH("Трактор базы",B614)))</formula>
    </cfRule>
  </conditionalFormatting>
  <conditionalFormatting sqref="B614">
    <cfRule type="containsText" dxfId="528" priority="392" operator="containsText" text="Выезд с территории">
      <formula>NOT(ISERROR(SEARCH("Выезд с территории",B614)))</formula>
    </cfRule>
  </conditionalFormatting>
  <conditionalFormatting sqref="B614">
    <cfRule type="containsText" dxfId="527" priority="390" operator="containsText" text="Газель базы">
      <formula>NOT(ISERROR(SEARCH("Газель базы",B614)))</formula>
    </cfRule>
    <cfRule type="containsText" dxfId="526" priority="391" operator="containsText" text="Погрузчик базы">
      <formula>NOT(ISERROR(SEARCH("Погрузчик базы",B614)))</formula>
    </cfRule>
  </conditionalFormatting>
  <conditionalFormatting sqref="C649">
    <cfRule type="notContainsText" dxfId="525" priority="388" operator="notContains" text="порожний">
      <formula>ISERROR(SEARCH("порожний",C649))</formula>
    </cfRule>
  </conditionalFormatting>
  <conditionalFormatting sqref="C655">
    <cfRule type="notContainsText" dxfId="524" priority="385" operator="notContains" text="порожний">
      <formula>ISERROR(SEARCH("порожний",C655))</formula>
    </cfRule>
  </conditionalFormatting>
  <conditionalFormatting sqref="C650">
    <cfRule type="notContainsText" dxfId="523" priority="387" operator="notContains" text="порожний">
      <formula>ISERROR(SEARCH("порожний",C650))</formula>
    </cfRule>
  </conditionalFormatting>
  <conditionalFormatting sqref="C654">
    <cfRule type="notContainsText" dxfId="522" priority="386" operator="notContains" text="порожний">
      <formula>ISERROR(SEARCH("порожний",C654))</formula>
    </cfRule>
  </conditionalFormatting>
  <conditionalFormatting sqref="A663:A666 A668:A670 A695 A697:A701 A825">
    <cfRule type="containsText" dxfId="521" priority="382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520" priority="384" operator="containsText" text="Выезд с территории">
      <formula>NOT(ISERROR(SEARCH("Выезд с территории",A663)))</formula>
    </cfRule>
  </conditionalFormatting>
  <conditionalFormatting sqref="A663:A666 A668:A670 A695 A697:A701 A825">
    <cfRule type="containsText" dxfId="519" priority="383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518" priority="379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517" priority="381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516" priority="380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515" priority="369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514" priority="378" operator="containsText" text="Выезд с территории">
      <formula>NOT(ISERROR(SEARCH("Выезд с территории",A681)))</formula>
    </cfRule>
  </conditionalFormatting>
  <conditionalFormatting sqref="A681">
    <cfRule type="containsText" dxfId="513" priority="377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512" priority="376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511" priority="372" operator="containsText" text="Трактор базы">
      <formula>NOT(ISERROR(SEARCH("Трактор базы",B682)))</formula>
    </cfRule>
  </conditionalFormatting>
  <conditionalFormatting sqref="B682">
    <cfRule type="containsText" dxfId="510" priority="375" operator="containsText" text="Выезд с территории">
      <formula>NOT(ISERROR(SEARCH("Выезд с территории",B682)))</formula>
    </cfRule>
  </conditionalFormatting>
  <conditionalFormatting sqref="B682">
    <cfRule type="containsText" dxfId="509" priority="373" operator="containsText" text="Газель базы">
      <formula>NOT(ISERROR(SEARCH("Газель базы",B682)))</formula>
    </cfRule>
    <cfRule type="containsText" dxfId="508" priority="374" operator="containsText" text="Погрузчик базы">
      <formula>NOT(ISERROR(SEARCH("Погрузчик базы",B682)))</formula>
    </cfRule>
  </conditionalFormatting>
  <conditionalFormatting sqref="A684:A687">
    <cfRule type="containsText" dxfId="507" priority="371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506" priority="370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505" priority="360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504" priority="362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503" priority="361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502" priority="357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501" priority="359" operator="containsText" text="Выезд с территории">
      <formula>NOT(ISERROR(SEARCH("Выезд с территории",A824)))</formula>
    </cfRule>
  </conditionalFormatting>
  <conditionalFormatting sqref="A824">
    <cfRule type="containsText" dxfId="500" priority="358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499" priority="353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498" priority="351" operator="containsText" text="Газель базы">
      <formula>NOT(ISERROR(SEARCH("Газель базы",B846)))</formula>
    </cfRule>
    <cfRule type="containsText" dxfId="497" priority="352" operator="containsText" text="Погрузчик базы">
      <formula>NOT(ISERROR(SEARCH("Погрузчик базы",B846)))</formula>
    </cfRule>
  </conditionalFormatting>
  <conditionalFormatting sqref="B846:B850">
    <cfRule type="containsText" dxfId="496" priority="350" operator="containsText" text="Трактор базы">
      <formula>NOT(ISERROR(SEARCH("Трактор базы",B846)))</formula>
    </cfRule>
  </conditionalFormatting>
  <conditionalFormatting sqref="A916:A917">
    <cfRule type="containsText" dxfId="495" priority="344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494" priority="349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493" priority="347" operator="containsText" text="Газель базы">
      <formula>NOT(ISERROR(SEARCH("Газель базы",B916)))</formula>
    </cfRule>
    <cfRule type="containsText" dxfId="492" priority="348" operator="containsText" text="Погрузчик базы">
      <formula>NOT(ISERROR(SEARCH("Погрузчик базы",B916)))</formula>
    </cfRule>
  </conditionalFormatting>
  <conditionalFormatting sqref="B916:B917">
    <cfRule type="containsText" dxfId="491" priority="346" operator="containsText" text="Трактор базы">
      <formula>NOT(ISERROR(SEARCH("Трактор базы",B916)))</formula>
    </cfRule>
  </conditionalFormatting>
  <conditionalFormatting sqref="A916:A917">
    <cfRule type="containsText" dxfId="490" priority="345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489" priority="343" operator="containsText" text="Выезд с территории">
      <formula>NOT(ISERROR(SEARCH("Выезд с территории",E916)))</formula>
    </cfRule>
  </conditionalFormatting>
  <conditionalFormatting sqref="A932">
    <cfRule type="containsText" dxfId="488" priority="320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487" priority="342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486" priority="340" operator="containsText" text="Газель базы">
      <formula>NOT(ISERROR(SEARCH("Газель базы",B918)))</formula>
    </cfRule>
    <cfRule type="containsText" dxfId="485" priority="341" operator="containsText" text="Погрузчик базы">
      <formula>NOT(ISERROR(SEARCH("Погрузчик базы",B918)))</formula>
    </cfRule>
  </conditionalFormatting>
  <conditionalFormatting sqref="B918:B924">
    <cfRule type="containsText" dxfId="484" priority="339" operator="containsText" text="Трактор базы">
      <formula>NOT(ISERROR(SEARCH("Трактор базы",B918)))</formula>
    </cfRule>
  </conditionalFormatting>
  <conditionalFormatting sqref="A918">
    <cfRule type="containsText" dxfId="483" priority="338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482" priority="337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481" priority="331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480" priority="336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479" priority="334" operator="containsText" text="Газель базы">
      <formula>NOT(ISERROR(SEARCH("Газель базы",B926)))</formula>
    </cfRule>
    <cfRule type="containsText" dxfId="478" priority="335" operator="containsText" text="Погрузчик базы">
      <formula>NOT(ISERROR(SEARCH("Погрузчик базы",B926)))</formula>
    </cfRule>
  </conditionalFormatting>
  <conditionalFormatting sqref="B926:B928">
    <cfRule type="containsText" dxfId="477" priority="333" operator="containsText" text="Трактор базы">
      <formula>NOT(ISERROR(SEARCH("Трактор базы",B926)))</formula>
    </cfRule>
  </conditionalFormatting>
  <conditionalFormatting sqref="A926:A928">
    <cfRule type="containsText" dxfId="476" priority="332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475" priority="330" operator="containsText" text="Выезд с территории">
      <formula>NOT(ISERROR(SEARCH("Выезд с территории",E926)))</formula>
    </cfRule>
  </conditionalFormatting>
  <conditionalFormatting sqref="A930">
    <cfRule type="containsText" dxfId="474" priority="324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473" priority="329" operator="containsText" text="Выезд с территории">
      <formula>NOT(ISERROR(SEARCH("Выезд с территории",A930)))</formula>
    </cfRule>
  </conditionalFormatting>
  <conditionalFormatting sqref="B930">
    <cfRule type="containsText" dxfId="472" priority="327" operator="containsText" text="Газель базы">
      <formula>NOT(ISERROR(SEARCH("Газель базы",B930)))</formula>
    </cfRule>
    <cfRule type="containsText" dxfId="471" priority="328" operator="containsText" text="Погрузчик базы">
      <formula>NOT(ISERROR(SEARCH("Погрузчик базы",B930)))</formula>
    </cfRule>
  </conditionalFormatting>
  <conditionalFormatting sqref="B930">
    <cfRule type="containsText" dxfId="470" priority="326" operator="containsText" text="Трактор базы">
      <formula>NOT(ISERROR(SEARCH("Трактор базы",B930)))</formula>
    </cfRule>
  </conditionalFormatting>
  <conditionalFormatting sqref="A930">
    <cfRule type="containsText" dxfId="469" priority="325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468" priority="323" operator="containsText" text="Выезд с территории">
      <formula>NOT(ISERROR(SEARCH("Выезд с территории",E930)))</formula>
    </cfRule>
  </conditionalFormatting>
  <conditionalFormatting sqref="A932">
    <cfRule type="containsText" dxfId="467" priority="322" operator="containsText" text="Выезд с территории">
      <formula>NOT(ISERROR(SEARCH("Выезд с территории",A932)))</formula>
    </cfRule>
  </conditionalFormatting>
  <conditionalFormatting sqref="A932">
    <cfRule type="containsText" dxfId="466" priority="321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465" priority="317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464" priority="319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463" priority="318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462" priority="316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461" priority="315" operator="notContains" text="порожний">
      <formula>ISERROR(SEARCH("порожний",C954))</formula>
    </cfRule>
  </conditionalFormatting>
  <conditionalFormatting sqref="B954:B956">
    <cfRule type="containsText" dxfId="460" priority="313" operator="containsText" text="Газель базы">
      <formula>NOT(ISERROR(SEARCH("Газель базы",B954)))</formula>
    </cfRule>
    <cfRule type="containsText" dxfId="459" priority="314" operator="containsText" text="Погрузчик базы">
      <formula>NOT(ISERROR(SEARCH("Погрузчик базы",B954)))</formula>
    </cfRule>
  </conditionalFormatting>
  <conditionalFormatting sqref="B954:B956">
    <cfRule type="containsText" dxfId="458" priority="312" operator="containsText" text="Трактор базы">
      <formula>NOT(ISERROR(SEARCH("Трактор базы",B954)))</formula>
    </cfRule>
  </conditionalFormatting>
  <conditionalFormatting sqref="A954:A956">
    <cfRule type="containsText" dxfId="457" priority="311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456" priority="310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455" priority="308" operator="notContains" text="порожний">
      <formula>ISERROR(SEARCH("порожний",C995))</formula>
    </cfRule>
  </conditionalFormatting>
  <conditionalFormatting sqref="C987">
    <cfRule type="notContainsText" dxfId="454" priority="309" operator="notContains" text="порожний">
      <formula>ISERROR(SEARCH("порожний",C987))</formula>
    </cfRule>
  </conditionalFormatting>
  <conditionalFormatting sqref="B999">
    <cfRule type="containsText" dxfId="453" priority="307" operator="containsText" text="Выезд с территории">
      <formula>NOT(ISERROR(SEARCH("Выезд с территории",B999)))</formula>
    </cfRule>
  </conditionalFormatting>
  <conditionalFormatting sqref="B999">
    <cfRule type="containsText" dxfId="452" priority="305" operator="containsText" text="Газель базы">
      <formula>NOT(ISERROR(SEARCH("Газель базы",B999)))</formula>
    </cfRule>
    <cfRule type="containsText" dxfId="451" priority="306" operator="containsText" text="Погрузчик базы">
      <formula>NOT(ISERROR(SEARCH("Погрузчик базы",B999)))</formula>
    </cfRule>
  </conditionalFormatting>
  <conditionalFormatting sqref="B999">
    <cfRule type="containsText" dxfId="450" priority="304" operator="containsText" text="Трактор базы">
      <formula>NOT(ISERROR(SEARCH("Трактор базы",B999)))</formula>
    </cfRule>
  </conditionalFormatting>
  <conditionalFormatting sqref="B1019:B1022">
    <cfRule type="containsText" dxfId="449" priority="300" operator="containsText" text="Трактор базы">
      <formula>NOT(ISERROR(SEARCH("Трактор базы",B1019)))</formula>
    </cfRule>
  </conditionalFormatting>
  <conditionalFormatting sqref="B1019:B1022">
    <cfRule type="containsText" dxfId="448" priority="303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447" priority="301" operator="containsText" text="Газель базы">
      <formula>NOT(ISERROR(SEARCH("Газель базы",B1019)))</formula>
    </cfRule>
    <cfRule type="containsText" dxfId="446" priority="302" operator="containsText" text="Погрузчик базы">
      <formula>NOT(ISERROR(SEARCH("Погрузчик базы",B1019)))</formula>
    </cfRule>
  </conditionalFormatting>
  <conditionalFormatting sqref="C966">
    <cfRule type="notContainsText" dxfId="445" priority="299" operator="notContains" text="порожний">
      <formula>ISERROR(SEARCH("порожний",C966))</formula>
    </cfRule>
  </conditionalFormatting>
  <conditionalFormatting sqref="A1029">
    <cfRule type="containsText" dxfId="444" priority="296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443" priority="298" operator="containsText" text="Выезд с территории">
      <formula>NOT(ISERROR(SEARCH("Выезд с территории",A1029)))</formula>
    </cfRule>
  </conditionalFormatting>
  <conditionalFormatting sqref="A1029">
    <cfRule type="containsText" dxfId="442" priority="297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441" priority="295" operator="containsText" text="Выезд с территории">
      <formula>NOT(ISERROR(SEARCH("Выезд с территории",B1030)))</formula>
    </cfRule>
  </conditionalFormatting>
  <conditionalFormatting sqref="B1030">
    <cfRule type="containsText" dxfId="440" priority="293" operator="containsText" text="Газель базы">
      <formula>NOT(ISERROR(SEARCH("Газель базы",B1030)))</formula>
    </cfRule>
    <cfRule type="containsText" dxfId="439" priority="294" operator="containsText" text="Погрузчик базы">
      <formula>NOT(ISERROR(SEARCH("Погрузчик базы",B1030)))</formula>
    </cfRule>
  </conditionalFormatting>
  <conditionalFormatting sqref="B1030">
    <cfRule type="containsText" dxfId="438" priority="292" operator="containsText" text="Трактор базы">
      <formula>NOT(ISERROR(SEARCH("Трактор базы",B1030)))</formula>
    </cfRule>
  </conditionalFormatting>
  <conditionalFormatting sqref="A1035">
    <cfRule type="containsText" dxfId="437" priority="286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436" priority="289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435" priority="291" operator="containsText" text="Выезд с территории">
      <formula>NOT(ISERROR(SEARCH("Выезд с территории",A1033)))</formula>
    </cfRule>
  </conditionalFormatting>
  <conditionalFormatting sqref="A1033">
    <cfRule type="containsText" dxfId="434" priority="290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433" priority="288" operator="containsText" text="Выезд с территории">
      <formula>NOT(ISERROR(SEARCH("Выезд с территории",A1035)))</formula>
    </cfRule>
  </conditionalFormatting>
  <conditionalFormatting sqref="A1035">
    <cfRule type="containsText" dxfId="432" priority="287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431" priority="285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430" priority="283" operator="containsText" text="Газель базы">
      <formula>NOT(ISERROR(SEARCH("Газель базы",B1138)))</formula>
    </cfRule>
    <cfRule type="containsText" dxfId="429" priority="284" operator="containsText" text="Погрузчик базы">
      <formula>NOT(ISERROR(SEARCH("Погрузчик базы",B1138)))</formula>
    </cfRule>
  </conditionalFormatting>
  <conditionalFormatting sqref="B1138:B1161">
    <cfRule type="containsText" dxfId="428" priority="282" operator="containsText" text="Трактор базы">
      <formula>NOT(ISERROR(SEARCH("Трактор базы",B1138)))</formula>
    </cfRule>
  </conditionalFormatting>
  <conditionalFormatting sqref="B1258:B1262">
    <cfRule type="containsText" dxfId="427" priority="266" operator="containsText" text="Трактор базы">
      <formula>NOT(ISERROR(SEARCH("Трактор базы",B1258)))</formula>
    </cfRule>
  </conditionalFormatting>
  <conditionalFormatting sqref="B1244:B1252">
    <cfRule type="containsText" dxfId="426" priority="281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425" priority="279" operator="containsText" text="Газель базы">
      <formula>NOT(ISERROR(SEARCH("Газель базы",B1244)))</formula>
    </cfRule>
    <cfRule type="containsText" dxfId="424" priority="280" operator="containsText" text="Погрузчик базы">
      <formula>NOT(ISERROR(SEARCH("Погрузчик базы",B1244)))</formula>
    </cfRule>
  </conditionalFormatting>
  <conditionalFormatting sqref="B1244:B1252">
    <cfRule type="containsText" dxfId="423" priority="278" operator="containsText" text="Трактор базы">
      <formula>NOT(ISERROR(SEARCH("Трактор базы",B1244)))</formula>
    </cfRule>
  </conditionalFormatting>
  <conditionalFormatting sqref="B1253:B1256">
    <cfRule type="containsText" dxfId="422" priority="277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421" priority="275" operator="containsText" text="Газель базы">
      <formula>NOT(ISERROR(SEARCH("Газель базы",B1253)))</formula>
    </cfRule>
    <cfRule type="containsText" dxfId="420" priority="276" operator="containsText" text="Погрузчик базы">
      <formula>NOT(ISERROR(SEARCH("Погрузчик базы",B1253)))</formula>
    </cfRule>
  </conditionalFormatting>
  <conditionalFormatting sqref="B1253:B1256">
    <cfRule type="containsText" dxfId="419" priority="274" operator="containsText" text="Трактор базы">
      <formula>NOT(ISERROR(SEARCH("Трактор базы",B1253)))</formula>
    </cfRule>
  </conditionalFormatting>
  <conditionalFormatting sqref="B1257">
    <cfRule type="containsText" dxfId="418" priority="273" operator="containsText" text="Выезд с территории">
      <formula>NOT(ISERROR(SEARCH("Выезд с территории",B1257)))</formula>
    </cfRule>
  </conditionalFormatting>
  <conditionalFormatting sqref="B1257">
    <cfRule type="containsText" dxfId="417" priority="271" operator="containsText" text="Газель базы">
      <formula>NOT(ISERROR(SEARCH("Газель базы",B1257)))</formula>
    </cfRule>
    <cfRule type="containsText" dxfId="416" priority="272" operator="containsText" text="Погрузчик базы">
      <formula>NOT(ISERROR(SEARCH("Погрузчик базы",B1257)))</formula>
    </cfRule>
  </conditionalFormatting>
  <conditionalFormatting sqref="B1257">
    <cfRule type="containsText" dxfId="415" priority="270" operator="containsText" text="Трактор базы">
      <formula>NOT(ISERROR(SEARCH("Трактор базы",B1257)))</formula>
    </cfRule>
  </conditionalFormatting>
  <conditionalFormatting sqref="B1258:B1262">
    <cfRule type="containsText" dxfId="414" priority="269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413" priority="267" operator="containsText" text="Газель базы">
      <formula>NOT(ISERROR(SEARCH("Газель базы",B1258)))</formula>
    </cfRule>
    <cfRule type="containsText" dxfId="412" priority="268" operator="containsText" text="Погрузчик базы">
      <formula>NOT(ISERROR(SEARCH("Погрузчик базы",B1258)))</formula>
    </cfRule>
  </conditionalFormatting>
  <conditionalFormatting sqref="B1281:B1287">
    <cfRule type="containsText" dxfId="411" priority="265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410" priority="263" operator="containsText" text="Газель базы">
      <formula>NOT(ISERROR(SEARCH("Газель базы",B1281)))</formula>
    </cfRule>
    <cfRule type="containsText" dxfId="409" priority="264" operator="containsText" text="Погрузчик базы">
      <formula>NOT(ISERROR(SEARCH("Погрузчик базы",B1281)))</formula>
    </cfRule>
  </conditionalFormatting>
  <conditionalFormatting sqref="B1281:B1287">
    <cfRule type="containsText" dxfId="408" priority="262" operator="containsText" text="Трактор базы">
      <formula>NOT(ISERROR(SEARCH("Трактор базы",B1281)))</formula>
    </cfRule>
  </conditionalFormatting>
  <conditionalFormatting sqref="B1296">
    <cfRule type="containsText" dxfId="407" priority="258" operator="containsText" text="Трактор базы">
      <formula>NOT(ISERROR(SEARCH("Трактор базы",B1296)))</formula>
    </cfRule>
  </conditionalFormatting>
  <conditionalFormatting sqref="B1296">
    <cfRule type="containsText" dxfId="406" priority="261" operator="containsText" text="Выезд с территории">
      <formula>NOT(ISERROR(SEARCH("Выезд с территории",B1296)))</formula>
    </cfRule>
  </conditionalFormatting>
  <conditionalFormatting sqref="B1296">
    <cfRule type="containsText" dxfId="405" priority="259" operator="containsText" text="Газель базы">
      <formula>NOT(ISERROR(SEARCH("Газель базы",B1296)))</formula>
    </cfRule>
    <cfRule type="containsText" dxfId="404" priority="260" operator="containsText" text="Погрузчик базы">
      <formula>NOT(ISERROR(SEARCH("Погрузчик базы",B1296)))</formula>
    </cfRule>
  </conditionalFormatting>
  <conditionalFormatting sqref="C1320:C1321">
    <cfRule type="notContainsText" dxfId="403" priority="256" operator="notContains" text="порожний">
      <formula>ISERROR(SEARCH("порожний",C1320))</formula>
    </cfRule>
  </conditionalFormatting>
  <conditionalFormatting sqref="A1323">
    <cfRule type="containsText" dxfId="402" priority="250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401" priority="253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400" priority="255" operator="containsText" text="Выезд с территории">
      <formula>NOT(ISERROR(SEARCH("Выезд с территории",A1322)))</formula>
    </cfRule>
  </conditionalFormatting>
  <conditionalFormatting sqref="A1322">
    <cfRule type="containsText" dxfId="399" priority="254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398" priority="252" operator="containsText" text="Выезд с территории">
      <formula>NOT(ISERROR(SEARCH("Выезд с территории",A1323)))</formula>
    </cfRule>
  </conditionalFormatting>
  <conditionalFormatting sqref="A1323">
    <cfRule type="containsText" dxfId="397" priority="251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396" priority="249" operator="notContains" text="порожний">
      <formula>ISERROR(SEARCH("порожний",C1336))</formula>
    </cfRule>
  </conditionalFormatting>
  <conditionalFormatting sqref="C1346">
    <cfRule type="notContainsText" dxfId="395" priority="248" operator="notContains" text="порожний">
      <formula>ISERROR(SEARCH("порожний",C1346))</formula>
    </cfRule>
  </conditionalFormatting>
  <conditionalFormatting sqref="A1391">
    <cfRule type="containsText" dxfId="394" priority="242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393" priority="244" operator="containsText" text="Выезд с территории">
      <formula>NOT(ISERROR(SEARCH("Выезд с территории",A1391)))</formula>
    </cfRule>
  </conditionalFormatting>
  <conditionalFormatting sqref="A1391">
    <cfRule type="containsText" dxfId="392" priority="243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391" priority="239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390" priority="241" operator="containsText" text="Выезд с территории">
      <formula>NOT(ISERROR(SEARCH("Выезд с территории",A1398)))</formula>
    </cfRule>
  </conditionalFormatting>
  <conditionalFormatting sqref="A1398">
    <cfRule type="containsText" dxfId="389" priority="240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388" priority="238" operator="notContains" text="порожний">
      <formula>ISERROR(SEARCH("порожний",C1606))</formula>
    </cfRule>
  </conditionalFormatting>
  <conditionalFormatting sqref="B1633:B1636">
    <cfRule type="containsText" dxfId="387" priority="237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386" priority="235" operator="containsText" text="Газель базы">
      <formula>NOT(ISERROR(SEARCH("Газель базы",B1633)))</formula>
    </cfRule>
    <cfRule type="containsText" dxfId="385" priority="236" operator="containsText" text="Погрузчик базы">
      <formula>NOT(ISERROR(SEARCH("Погрузчик базы",B1633)))</formula>
    </cfRule>
  </conditionalFormatting>
  <conditionalFormatting sqref="B1633:B1636">
    <cfRule type="containsText" dxfId="384" priority="234" operator="containsText" text="Трактор базы">
      <formula>NOT(ISERROR(SEARCH("Трактор базы",B1633)))</formula>
    </cfRule>
  </conditionalFormatting>
  <conditionalFormatting sqref="B1637:B1642">
    <cfRule type="containsText" dxfId="383" priority="233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382" priority="231" operator="containsText" text="Газель базы">
      <formula>NOT(ISERROR(SEARCH("Газель базы",B1637)))</formula>
    </cfRule>
    <cfRule type="containsText" dxfId="381" priority="232" operator="containsText" text="Погрузчик базы">
      <formula>NOT(ISERROR(SEARCH("Погрузчик базы",B1637)))</formula>
    </cfRule>
  </conditionalFormatting>
  <conditionalFormatting sqref="B1637:B1642">
    <cfRule type="containsText" dxfId="380" priority="230" operator="containsText" text="Трактор базы">
      <formula>NOT(ISERROR(SEARCH("Трактор базы",B1637)))</formula>
    </cfRule>
  </conditionalFormatting>
  <conditionalFormatting sqref="B1671:B1672">
    <cfRule type="containsText" dxfId="379" priority="226" operator="containsText" text="Трактор базы">
      <formula>NOT(ISERROR(SEARCH("Трактор базы",B1671)))</formula>
    </cfRule>
  </conditionalFormatting>
  <conditionalFormatting sqref="B1671:B1672">
    <cfRule type="containsText" dxfId="378" priority="229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377" priority="227" operator="containsText" text="Газель базы">
      <formula>NOT(ISERROR(SEARCH("Газель базы",B1671)))</formula>
    </cfRule>
    <cfRule type="containsText" dxfId="376" priority="228" operator="containsText" text="Погрузчик базы">
      <formula>NOT(ISERROR(SEARCH("Погрузчик базы",B1671)))</formula>
    </cfRule>
  </conditionalFormatting>
  <conditionalFormatting sqref="B1675">
    <cfRule type="containsText" dxfId="375" priority="222" operator="containsText" text="Трактор базы">
      <formula>NOT(ISERROR(SEARCH("Трактор базы",B1675)))</formula>
    </cfRule>
  </conditionalFormatting>
  <conditionalFormatting sqref="B1675">
    <cfRule type="containsText" dxfId="374" priority="225" operator="containsText" text="Выезд с территории">
      <formula>NOT(ISERROR(SEARCH("Выезд с территории",B1675)))</formula>
    </cfRule>
  </conditionalFormatting>
  <conditionalFormatting sqref="B1675">
    <cfRule type="containsText" dxfId="373" priority="223" operator="containsText" text="Газель базы">
      <formula>NOT(ISERROR(SEARCH("Газель базы",B1675)))</formula>
    </cfRule>
    <cfRule type="containsText" dxfId="372" priority="224" operator="containsText" text="Погрузчик базы">
      <formula>NOT(ISERROR(SEARCH("Погрузчик базы",B1675)))</formula>
    </cfRule>
  </conditionalFormatting>
  <conditionalFormatting sqref="A1678">
    <cfRule type="containsText" dxfId="371" priority="219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370" priority="221" operator="containsText" text="Выезд с территории">
      <formula>NOT(ISERROR(SEARCH("Выезд с территории",A1678)))</formula>
    </cfRule>
  </conditionalFormatting>
  <conditionalFormatting sqref="A1678">
    <cfRule type="containsText" dxfId="369" priority="220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368" priority="218" operator="notContains" text="порожний">
      <formula>ISERROR(SEARCH("порожний",C1723))</formula>
    </cfRule>
  </conditionalFormatting>
  <conditionalFormatting sqref="C1725:C1726">
    <cfRule type="notContainsText" dxfId="367" priority="217" operator="notContains" text="порожний">
      <formula>ISERROR(SEARCH("порожний",C1725))</formula>
    </cfRule>
  </conditionalFormatting>
  <conditionalFormatting sqref="C1727">
    <cfRule type="notContainsText" dxfId="366" priority="216" operator="notContains" text="порожний">
      <formula>ISERROR(SEARCH("порожний",C1727))</formula>
    </cfRule>
  </conditionalFormatting>
  <conditionalFormatting sqref="C1728">
    <cfRule type="notContainsText" dxfId="365" priority="215" operator="notContains" text="порожний">
      <formula>ISERROR(SEARCH("порожний",C1728))</formula>
    </cfRule>
  </conditionalFormatting>
  <conditionalFormatting sqref="B1732:B1733">
    <cfRule type="containsText" dxfId="364" priority="214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363" priority="212" operator="containsText" text="Газель базы">
      <formula>NOT(ISERROR(SEARCH("Газель базы",B1732)))</formula>
    </cfRule>
    <cfRule type="containsText" dxfId="362" priority="213" operator="containsText" text="Погрузчик базы">
      <formula>NOT(ISERROR(SEARCH("Погрузчик базы",B1732)))</formula>
    </cfRule>
  </conditionalFormatting>
  <conditionalFormatting sqref="B1732:B1733">
    <cfRule type="containsText" dxfId="361" priority="211" operator="containsText" text="Трактор базы">
      <formula>NOT(ISERROR(SEARCH("Трактор базы",B1732)))</formula>
    </cfRule>
  </conditionalFormatting>
  <conditionalFormatting sqref="B1734:B1735">
    <cfRule type="containsText" dxfId="360" priority="210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359" priority="208" operator="containsText" text="Газель базы">
      <formula>NOT(ISERROR(SEARCH("Газель базы",B1734)))</formula>
    </cfRule>
    <cfRule type="containsText" dxfId="358" priority="209" operator="containsText" text="Погрузчик базы">
      <formula>NOT(ISERROR(SEARCH("Погрузчик базы",B1734)))</formula>
    </cfRule>
  </conditionalFormatting>
  <conditionalFormatting sqref="B1734:B1735">
    <cfRule type="containsText" dxfId="357" priority="207" operator="containsText" text="Трактор базы">
      <formula>NOT(ISERROR(SEARCH("Трактор базы",B1734)))</formula>
    </cfRule>
  </conditionalFormatting>
  <conditionalFormatting sqref="B1762:B1764">
    <cfRule type="containsText" dxfId="356" priority="193" operator="containsText" text="Трактор базы">
      <formula>NOT(ISERROR(SEARCH("Трактор базы",B1762)))</formula>
    </cfRule>
  </conditionalFormatting>
  <conditionalFormatting sqref="B1740:B1741">
    <cfRule type="containsText" dxfId="355" priority="206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354" priority="204" operator="containsText" text="Газель базы">
      <formula>NOT(ISERROR(SEARCH("Газель базы",B1740)))</formula>
    </cfRule>
    <cfRule type="containsText" dxfId="353" priority="205" operator="containsText" text="Погрузчик базы">
      <formula>NOT(ISERROR(SEARCH("Погрузчик базы",B1740)))</formula>
    </cfRule>
  </conditionalFormatting>
  <conditionalFormatting sqref="B1740:B1741">
    <cfRule type="containsText" dxfId="352" priority="203" operator="containsText" text="Трактор базы">
      <formula>NOT(ISERROR(SEARCH("Трактор базы",B1740)))</formula>
    </cfRule>
  </conditionalFormatting>
  <conditionalFormatting sqref="A1755">
    <cfRule type="containsText" dxfId="351" priority="200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350" priority="202" operator="containsText" text="Выезд с территории">
      <formula>NOT(ISERROR(SEARCH("Выезд с территории",A1755)))</formula>
    </cfRule>
  </conditionalFormatting>
  <conditionalFormatting sqref="A1755">
    <cfRule type="containsText" dxfId="349" priority="201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348" priority="197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347" priority="199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346" priority="198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345" priority="184" operator="containsText" text="Трактор базы">
      <formula>NOT(ISERROR(SEARCH("Трактор базы",B1773)))</formula>
    </cfRule>
  </conditionalFormatting>
  <conditionalFormatting sqref="B1762:B1764">
    <cfRule type="containsText" dxfId="344" priority="196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343" priority="194" operator="containsText" text="Газель базы">
      <formula>NOT(ISERROR(SEARCH("Газель базы",B1762)))</formula>
    </cfRule>
    <cfRule type="containsText" dxfId="342" priority="195" operator="containsText" text="Погрузчик базы">
      <formula>NOT(ISERROR(SEARCH("Погрузчик базы",B1762)))</formula>
    </cfRule>
  </conditionalFormatting>
  <conditionalFormatting sqref="B1776:B1777">
    <cfRule type="containsText" dxfId="341" priority="175" operator="containsText" text="Трактор базы">
      <formula>NOT(ISERROR(SEARCH("Трактор базы",B1776)))</formula>
    </cfRule>
  </conditionalFormatting>
  <conditionalFormatting sqref="B1770:B1771">
    <cfRule type="containsText" dxfId="340" priority="192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339" priority="190" operator="containsText" text="Газель базы">
      <formula>NOT(ISERROR(SEARCH("Газель базы",B1770)))</formula>
    </cfRule>
    <cfRule type="containsText" dxfId="338" priority="191" operator="containsText" text="Погрузчик базы">
      <formula>NOT(ISERROR(SEARCH("Погрузчик базы",B1770)))</formula>
    </cfRule>
  </conditionalFormatting>
  <conditionalFormatting sqref="B1770:B1771">
    <cfRule type="containsText" dxfId="337" priority="189" operator="containsText" text="Трактор базы">
      <formula>NOT(ISERROR(SEARCH("Трактор базы",B1770)))</formula>
    </cfRule>
  </conditionalFormatting>
  <conditionalFormatting sqref="B1773">
    <cfRule type="containsText" dxfId="336" priority="188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335" priority="187" operator="notContains" text="порожний">
      <formula>ISERROR(SEARCH("порожний",C1773))</formula>
    </cfRule>
  </conditionalFormatting>
  <conditionalFormatting sqref="B1773">
    <cfRule type="containsText" dxfId="334" priority="185" operator="containsText" text="Газель базы">
      <formula>NOT(ISERROR(SEARCH("Газель базы",B1773)))</formula>
    </cfRule>
    <cfRule type="containsText" dxfId="333" priority="186" operator="containsText" text="Погрузчик базы">
      <formula>NOT(ISERROR(SEARCH("Погрузчик базы",B1773)))</formula>
    </cfRule>
  </conditionalFormatting>
  <conditionalFormatting sqref="B1775">
    <cfRule type="containsText" dxfId="332" priority="179" operator="containsText" text="Трактор базы">
      <formula>NOT(ISERROR(SEARCH("Трактор базы",B1775)))</formula>
    </cfRule>
  </conditionalFormatting>
  <conditionalFormatting sqref="B1775">
    <cfRule type="containsText" dxfId="331" priority="183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330" priority="182" operator="notContains" text="порожний">
      <formula>ISERROR(SEARCH("порожний",C1775))</formula>
    </cfRule>
  </conditionalFormatting>
  <conditionalFormatting sqref="B1775">
    <cfRule type="containsText" dxfId="329" priority="180" operator="containsText" text="Газель базы">
      <formula>NOT(ISERROR(SEARCH("Газель базы",B1775)))</formula>
    </cfRule>
    <cfRule type="containsText" dxfId="328" priority="181" operator="containsText" text="Погрузчик базы">
      <formula>NOT(ISERROR(SEARCH("Погрузчик базы",B1775)))</formula>
    </cfRule>
  </conditionalFormatting>
  <conditionalFormatting sqref="B1776:B1777">
    <cfRule type="containsText" dxfId="327" priority="178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326" priority="176" operator="containsText" text="Газель базы">
      <formula>NOT(ISERROR(SEARCH("Газель базы",B1776)))</formula>
    </cfRule>
    <cfRule type="containsText" dxfId="325" priority="177" operator="containsText" text="Погрузчик базы">
      <formula>NOT(ISERROR(SEARCH("Погрузчик базы",B1776)))</formula>
    </cfRule>
  </conditionalFormatting>
  <conditionalFormatting sqref="B1891">
    <cfRule type="containsText" dxfId="324" priority="167" operator="containsText" text="Трактор базы">
      <formula>NOT(ISERROR(SEARCH("Трактор базы",B1891)))</formula>
    </cfRule>
  </conditionalFormatting>
  <conditionalFormatting sqref="B1889">
    <cfRule type="containsText" dxfId="323" priority="174" operator="containsText" text="Выезд с территории">
      <formula>NOT(ISERROR(SEARCH("Выезд с территории",B1889)))</formula>
    </cfRule>
  </conditionalFormatting>
  <conditionalFormatting sqref="B1889">
    <cfRule type="containsText" dxfId="322" priority="172" operator="containsText" text="Газель базы">
      <formula>NOT(ISERROR(SEARCH("Газель базы",B1889)))</formula>
    </cfRule>
    <cfRule type="containsText" dxfId="321" priority="173" operator="containsText" text="Погрузчик базы">
      <formula>NOT(ISERROR(SEARCH("Погрузчик базы",B1889)))</formula>
    </cfRule>
  </conditionalFormatting>
  <conditionalFormatting sqref="B1889">
    <cfRule type="containsText" dxfId="320" priority="171" operator="containsText" text="Трактор базы">
      <formula>NOT(ISERROR(SEARCH("Трактор базы",B1889)))</formula>
    </cfRule>
  </conditionalFormatting>
  <conditionalFormatting sqref="B1891">
    <cfRule type="containsText" dxfId="319" priority="170" operator="containsText" text="Выезд с территории">
      <formula>NOT(ISERROR(SEARCH("Выезд с территории",B1891)))</formula>
    </cfRule>
  </conditionalFormatting>
  <conditionalFormatting sqref="B1891">
    <cfRule type="containsText" dxfId="318" priority="168" operator="containsText" text="Газель базы">
      <formula>NOT(ISERROR(SEARCH("Газель базы",B1891)))</formula>
    </cfRule>
    <cfRule type="containsText" dxfId="317" priority="169" operator="containsText" text="Погрузчик базы">
      <formula>NOT(ISERROR(SEARCH("Погрузчик базы",B1891)))</formula>
    </cfRule>
  </conditionalFormatting>
  <conditionalFormatting sqref="B1920">
    <cfRule type="containsText" dxfId="316" priority="155" operator="containsText" text="Трактор базы">
      <formula>NOT(ISERROR(SEARCH("Трактор базы",B1920)))</formula>
    </cfRule>
  </conditionalFormatting>
  <conditionalFormatting sqref="B1904:B1914">
    <cfRule type="containsText" dxfId="315" priority="166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314" priority="164" operator="containsText" text="Газель базы">
      <formula>NOT(ISERROR(SEARCH("Газель базы",B1904)))</formula>
    </cfRule>
    <cfRule type="containsText" dxfId="313" priority="165" operator="containsText" text="Погрузчик базы">
      <formula>NOT(ISERROR(SEARCH("Погрузчик базы",B1904)))</formula>
    </cfRule>
  </conditionalFormatting>
  <conditionalFormatting sqref="B1904:B1914">
    <cfRule type="containsText" dxfId="312" priority="163" operator="containsText" text="Трактор базы">
      <formula>NOT(ISERROR(SEARCH("Трактор базы",B1904)))</formula>
    </cfRule>
  </conditionalFormatting>
  <conditionalFormatting sqref="B1915:B1919">
    <cfRule type="containsText" dxfId="311" priority="162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310" priority="160" operator="containsText" text="Газель базы">
      <formula>NOT(ISERROR(SEARCH("Газель базы",B1915)))</formula>
    </cfRule>
    <cfRule type="containsText" dxfId="309" priority="161" operator="containsText" text="Погрузчик базы">
      <formula>NOT(ISERROR(SEARCH("Погрузчик базы",B1915)))</formula>
    </cfRule>
  </conditionalFormatting>
  <conditionalFormatting sqref="B1915:B1919">
    <cfRule type="containsText" dxfId="308" priority="159" operator="containsText" text="Трактор базы">
      <formula>NOT(ISERROR(SEARCH("Трактор базы",B1915)))</formula>
    </cfRule>
  </conditionalFormatting>
  <conditionalFormatting sqref="B1920">
    <cfRule type="containsText" dxfId="307" priority="158" operator="containsText" text="Выезд с территории">
      <formula>NOT(ISERROR(SEARCH("Выезд с территории",B1920)))</formula>
    </cfRule>
  </conditionalFormatting>
  <conditionalFormatting sqref="B1920">
    <cfRule type="containsText" dxfId="306" priority="156" operator="containsText" text="Газель базы">
      <formula>NOT(ISERROR(SEARCH("Газель базы",B1920)))</formula>
    </cfRule>
    <cfRule type="containsText" dxfId="305" priority="157" operator="containsText" text="Погрузчик базы">
      <formula>NOT(ISERROR(SEARCH("Погрузчик базы",B1920)))</formula>
    </cfRule>
  </conditionalFormatting>
  <conditionalFormatting sqref="B1939">
    <cfRule type="containsText" dxfId="304" priority="151" operator="containsText" text="Трактор базы">
      <formula>NOT(ISERROR(SEARCH("Трактор базы",B1939)))</formula>
    </cfRule>
  </conditionalFormatting>
  <conditionalFormatting sqref="B1939">
    <cfRule type="containsText" dxfId="303" priority="154" operator="containsText" text="Выезд с территории">
      <formula>NOT(ISERROR(SEARCH("Выезд с территории",B1939)))</formula>
    </cfRule>
  </conditionalFormatting>
  <conditionalFormatting sqref="B1939">
    <cfRule type="containsText" dxfId="302" priority="152" operator="containsText" text="Газель базы">
      <formula>NOT(ISERROR(SEARCH("Газель базы",B1939)))</formula>
    </cfRule>
    <cfRule type="containsText" dxfId="301" priority="153" operator="containsText" text="Погрузчик базы">
      <formula>NOT(ISERROR(SEARCH("Погрузчик базы",B1939)))</formula>
    </cfRule>
  </conditionalFormatting>
  <conditionalFormatting sqref="A1943">
    <cfRule type="containsText" dxfId="300" priority="148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299" priority="150" operator="containsText" text="Выезд с территории">
      <formula>NOT(ISERROR(SEARCH("Выезд с территории",A1943)))</formula>
    </cfRule>
  </conditionalFormatting>
  <conditionalFormatting sqref="A1943">
    <cfRule type="containsText" dxfId="298" priority="149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297" priority="132" operator="containsText" text="Трактор базы">
      <formula>NOT(ISERROR(SEARCH("Трактор базы",B1977)))</formula>
    </cfRule>
  </conditionalFormatting>
  <conditionalFormatting sqref="B1974">
    <cfRule type="containsText" dxfId="296" priority="147" operator="containsText" text="Выезд с территории">
      <formula>NOT(ISERROR(SEARCH("Выезд с территории",B1974)))</formula>
    </cfRule>
  </conditionalFormatting>
  <conditionalFormatting sqref="B1974">
    <cfRule type="containsText" dxfId="295" priority="145" operator="containsText" text="Газель базы">
      <formula>NOT(ISERROR(SEARCH("Газель базы",B1974)))</formula>
    </cfRule>
    <cfRule type="containsText" dxfId="294" priority="146" operator="containsText" text="Погрузчик базы">
      <formula>NOT(ISERROR(SEARCH("Погрузчик базы",B1974)))</formula>
    </cfRule>
  </conditionalFormatting>
  <conditionalFormatting sqref="B1974">
    <cfRule type="containsText" dxfId="293" priority="144" operator="containsText" text="Трактор базы">
      <formula>NOT(ISERROR(SEARCH("Трактор базы",B1974)))</formula>
    </cfRule>
  </conditionalFormatting>
  <conditionalFormatting sqref="B1975">
    <cfRule type="containsText" dxfId="292" priority="143" operator="containsText" text="Выезд с территории">
      <formula>NOT(ISERROR(SEARCH("Выезд с территории",B1975)))</formula>
    </cfRule>
  </conditionalFormatting>
  <conditionalFormatting sqref="B1975">
    <cfRule type="containsText" dxfId="291" priority="141" operator="containsText" text="Газель базы">
      <formula>NOT(ISERROR(SEARCH("Газель базы",B1975)))</formula>
    </cfRule>
    <cfRule type="containsText" dxfId="290" priority="142" operator="containsText" text="Погрузчик базы">
      <formula>NOT(ISERROR(SEARCH("Погрузчик базы",B1975)))</formula>
    </cfRule>
  </conditionalFormatting>
  <conditionalFormatting sqref="B1975">
    <cfRule type="containsText" dxfId="289" priority="140" operator="containsText" text="Трактор базы">
      <formula>NOT(ISERROR(SEARCH("Трактор базы",B1975)))</formula>
    </cfRule>
  </conditionalFormatting>
  <conditionalFormatting sqref="B1976">
    <cfRule type="containsText" dxfId="288" priority="139" operator="containsText" text="Выезд с территории">
      <formula>NOT(ISERROR(SEARCH("Выезд с территории",B1976)))</formula>
    </cfRule>
  </conditionalFormatting>
  <conditionalFormatting sqref="B1976">
    <cfRule type="containsText" dxfId="287" priority="137" operator="containsText" text="Газель базы">
      <formula>NOT(ISERROR(SEARCH("Газель базы",B1976)))</formula>
    </cfRule>
    <cfRule type="containsText" dxfId="286" priority="138" operator="containsText" text="Погрузчик базы">
      <formula>NOT(ISERROR(SEARCH("Погрузчик базы",B1976)))</formula>
    </cfRule>
  </conditionalFormatting>
  <conditionalFormatting sqref="B1976">
    <cfRule type="containsText" dxfId="285" priority="136" operator="containsText" text="Трактор базы">
      <formula>NOT(ISERROR(SEARCH("Трактор базы",B1976)))</formula>
    </cfRule>
  </conditionalFormatting>
  <conditionalFormatting sqref="B1977">
    <cfRule type="containsText" dxfId="284" priority="135" operator="containsText" text="Выезд с территории">
      <formula>NOT(ISERROR(SEARCH("Выезд с территории",B1977)))</formula>
    </cfRule>
  </conditionalFormatting>
  <conditionalFormatting sqref="B1977">
    <cfRule type="containsText" dxfId="283" priority="133" operator="containsText" text="Газель базы">
      <formula>NOT(ISERROR(SEARCH("Газель базы",B1977)))</formula>
    </cfRule>
    <cfRule type="containsText" dxfId="282" priority="134" operator="containsText" text="Погрузчик базы">
      <formula>NOT(ISERROR(SEARCH("Погрузчик базы",B1977)))</formula>
    </cfRule>
  </conditionalFormatting>
  <conditionalFormatting sqref="C1965">
    <cfRule type="notContainsText" dxfId="281" priority="131" operator="notContains" text="порожний">
      <formula>ISERROR(SEARCH("порожний",C1965))</formula>
    </cfRule>
  </conditionalFormatting>
  <conditionalFormatting sqref="B2042">
    <cfRule type="containsText" dxfId="280" priority="127" operator="containsText" text="Трактор базы">
      <formula>NOT(ISERROR(SEARCH("Трактор базы",B2042)))</formula>
    </cfRule>
  </conditionalFormatting>
  <conditionalFormatting sqref="B2042">
    <cfRule type="containsText" dxfId="279" priority="130" operator="containsText" text="Выезд с территории">
      <formula>NOT(ISERROR(SEARCH("Выезд с территории",B2042)))</formula>
    </cfRule>
  </conditionalFormatting>
  <conditionalFormatting sqref="B2042">
    <cfRule type="containsText" dxfId="278" priority="128" operator="containsText" text="Газель базы">
      <formula>NOT(ISERROR(SEARCH("Газель базы",B2042)))</formula>
    </cfRule>
    <cfRule type="containsText" dxfId="277" priority="129" operator="containsText" text="Погрузчик базы">
      <formula>NOT(ISERROR(SEARCH("Погрузчик базы",B2042)))</formula>
    </cfRule>
  </conditionalFormatting>
  <conditionalFormatting sqref="C2050">
    <cfRule type="notContainsText" dxfId="276" priority="126" operator="notContains" text="порожний">
      <formula>ISERROR(SEARCH("порожний",C2050))</formula>
    </cfRule>
  </conditionalFormatting>
  <conditionalFormatting sqref="B2054">
    <cfRule type="containsText" dxfId="275" priority="125" operator="containsText" text="Выезд с территории">
      <formula>NOT(ISERROR(SEARCH("Выезд с территории",B2054)))</formula>
    </cfRule>
  </conditionalFormatting>
  <conditionalFormatting sqref="B2054">
    <cfRule type="containsText" dxfId="274" priority="123" operator="containsText" text="Газель базы">
      <formula>NOT(ISERROR(SEARCH("Газель базы",B2054)))</formula>
    </cfRule>
    <cfRule type="containsText" dxfId="273" priority="124" operator="containsText" text="Погрузчик базы">
      <formula>NOT(ISERROR(SEARCH("Погрузчик базы",B2054)))</formula>
    </cfRule>
  </conditionalFormatting>
  <conditionalFormatting sqref="B2054">
    <cfRule type="containsText" dxfId="272" priority="122" operator="containsText" text="Трактор базы">
      <formula>NOT(ISERROR(SEARCH("Трактор базы",B2054)))</formula>
    </cfRule>
  </conditionalFormatting>
  <conditionalFormatting sqref="B2055">
    <cfRule type="containsText" dxfId="271" priority="118" operator="containsText" text="Трактор базы">
      <formula>NOT(ISERROR(SEARCH("Трактор базы",B2055)))</formula>
    </cfRule>
  </conditionalFormatting>
  <conditionalFormatting sqref="B2055">
    <cfRule type="containsText" dxfId="270" priority="121" operator="containsText" text="Выезд с территории">
      <formula>NOT(ISERROR(SEARCH("Выезд с территории",B2055)))</formula>
    </cfRule>
  </conditionalFormatting>
  <conditionalFormatting sqref="B2055">
    <cfRule type="containsText" dxfId="269" priority="119" operator="containsText" text="Газель базы">
      <formula>NOT(ISERROR(SEARCH("Газель базы",B2055)))</formula>
    </cfRule>
    <cfRule type="containsText" dxfId="268" priority="120" operator="containsText" text="Погрузчик базы">
      <formula>NOT(ISERROR(SEARCH("Погрузчик базы",B2055)))</formula>
    </cfRule>
  </conditionalFormatting>
  <conditionalFormatting sqref="A2087:A2089">
    <cfRule type="containsText" dxfId="267" priority="111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266" priority="117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265" priority="116" operator="notContains" text="порожний">
      <formula>ISERROR(SEARCH("порожний",C2087))</formula>
    </cfRule>
  </conditionalFormatting>
  <conditionalFormatting sqref="B2087:B2089">
    <cfRule type="containsText" dxfId="264" priority="114" operator="containsText" text="Газель базы">
      <formula>NOT(ISERROR(SEARCH("Газель базы",B2087)))</formula>
    </cfRule>
    <cfRule type="containsText" dxfId="263" priority="115" operator="containsText" text="Погрузчик базы">
      <formula>NOT(ISERROR(SEARCH("Погрузчик базы",B2087)))</formula>
    </cfRule>
  </conditionalFormatting>
  <conditionalFormatting sqref="B2087:B2089">
    <cfRule type="containsText" dxfId="262" priority="113" operator="containsText" text="Трактор базы">
      <formula>NOT(ISERROR(SEARCH("Трактор базы",B2087)))</formula>
    </cfRule>
  </conditionalFormatting>
  <conditionalFormatting sqref="A2087:A2089">
    <cfRule type="containsText" dxfId="261" priority="112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260" priority="110" operator="containsText" text="Выезд с территории">
      <formula>NOT(ISERROR(SEARCH("Выезд с территории",B2101)))</formula>
    </cfRule>
  </conditionalFormatting>
  <conditionalFormatting sqref="B2101">
    <cfRule type="containsText" dxfId="259" priority="108" operator="containsText" text="Газель базы">
      <formula>NOT(ISERROR(SEARCH("Газель базы",B2101)))</formula>
    </cfRule>
    <cfRule type="containsText" dxfId="258" priority="109" operator="containsText" text="Погрузчик базы">
      <formula>NOT(ISERROR(SEARCH("Погрузчик базы",B2101)))</formula>
    </cfRule>
  </conditionalFormatting>
  <conditionalFormatting sqref="B2101">
    <cfRule type="containsText" dxfId="257" priority="107" operator="containsText" text="Трактор базы">
      <formula>NOT(ISERROR(SEARCH("Трактор базы",B2101)))</formula>
    </cfRule>
  </conditionalFormatting>
  <conditionalFormatting sqref="B2102">
    <cfRule type="containsText" dxfId="256" priority="106" operator="containsText" text="Выезд с территории">
      <formula>NOT(ISERROR(SEARCH("Выезд с территории",B2102)))</formula>
    </cfRule>
  </conditionalFormatting>
  <conditionalFormatting sqref="B2102">
    <cfRule type="containsText" dxfId="255" priority="104" operator="containsText" text="Газель базы">
      <formula>NOT(ISERROR(SEARCH("Газель базы",B2102)))</formula>
    </cfRule>
    <cfRule type="containsText" dxfId="254" priority="105" operator="containsText" text="Погрузчик базы">
      <formula>NOT(ISERROR(SEARCH("Погрузчик базы",B2102)))</formula>
    </cfRule>
  </conditionalFormatting>
  <conditionalFormatting sqref="B2102">
    <cfRule type="containsText" dxfId="253" priority="103" operator="containsText" text="Трактор базы">
      <formula>NOT(ISERROR(SEARCH("Трактор базы",B2102)))</formula>
    </cfRule>
  </conditionalFormatting>
  <conditionalFormatting sqref="B2103">
    <cfRule type="containsText" dxfId="252" priority="99" operator="containsText" text="Трактор базы">
      <formula>NOT(ISERROR(SEARCH("Трактор базы",B2103)))</formula>
    </cfRule>
  </conditionalFormatting>
  <conditionalFormatting sqref="B2103">
    <cfRule type="containsText" dxfId="251" priority="102" operator="containsText" text="Выезд с территории">
      <formula>NOT(ISERROR(SEARCH("Выезд с территории",B2103)))</formula>
    </cfRule>
  </conditionalFormatting>
  <conditionalFormatting sqref="B2103">
    <cfRule type="containsText" dxfId="250" priority="100" operator="containsText" text="Газель базы">
      <formula>NOT(ISERROR(SEARCH("Газель базы",B2103)))</formula>
    </cfRule>
    <cfRule type="containsText" dxfId="249" priority="101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248" priority="96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247" priority="98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246" priority="97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245" priority="95" operator="containsText" text="Выезд с территории">
      <formula>NOT(ISERROR(SEARCH("Выезд с территории",B2276)))</formula>
    </cfRule>
  </conditionalFormatting>
  <conditionalFormatting sqref="B2276">
    <cfRule type="containsText" dxfId="244" priority="93" operator="containsText" text="Газель базы">
      <formula>NOT(ISERROR(SEARCH("Газель базы",B2276)))</formula>
    </cfRule>
    <cfRule type="containsText" dxfId="243" priority="94" operator="containsText" text="Погрузчик базы">
      <formula>NOT(ISERROR(SEARCH("Погрузчик базы",B2276)))</formula>
    </cfRule>
  </conditionalFormatting>
  <conditionalFormatting sqref="B2276">
    <cfRule type="containsText" dxfId="242" priority="92" operator="containsText" text="Трактор базы">
      <formula>NOT(ISERROR(SEARCH("Трактор базы",B2276)))</formula>
    </cfRule>
  </conditionalFormatting>
  <conditionalFormatting sqref="B2277">
    <cfRule type="containsText" dxfId="241" priority="88" operator="containsText" text="Трактор базы">
      <formula>NOT(ISERROR(SEARCH("Трактор базы",B2277)))</formula>
    </cfRule>
  </conditionalFormatting>
  <conditionalFormatting sqref="B2277">
    <cfRule type="containsText" dxfId="240" priority="91" operator="containsText" text="Выезд с территории">
      <formula>NOT(ISERROR(SEARCH("Выезд с территории",B2277)))</formula>
    </cfRule>
  </conditionalFormatting>
  <conditionalFormatting sqref="B2277">
    <cfRule type="containsText" dxfId="239" priority="89" operator="containsText" text="Газель базы">
      <formula>NOT(ISERROR(SEARCH("Газель базы",B2277)))</formula>
    </cfRule>
    <cfRule type="containsText" dxfId="238" priority="90" operator="containsText" text="Погрузчик базы">
      <formula>NOT(ISERROR(SEARCH("Погрузчик базы",B2277)))</formula>
    </cfRule>
  </conditionalFormatting>
  <conditionalFormatting sqref="A2279">
    <cfRule type="containsText" dxfId="237" priority="85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236" priority="87" operator="containsText" text="Выезд с территории">
      <formula>NOT(ISERROR(SEARCH("Выезд с территории",A2279)))</formula>
    </cfRule>
  </conditionalFormatting>
  <conditionalFormatting sqref="A2279">
    <cfRule type="containsText" dxfId="235" priority="86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234" priority="82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233" priority="84" operator="containsText" text="Выезд с территории">
      <formula>NOT(ISERROR(SEARCH("Выезд с территории",A2347)))</formula>
    </cfRule>
  </conditionalFormatting>
  <conditionalFormatting sqref="A2347">
    <cfRule type="containsText" dxfId="232" priority="83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231" priority="63" operator="containsText" text="Трактор базы">
      <formula>NOT(ISERROR(SEARCH("Трактор базы",B2382)))</formula>
    </cfRule>
  </conditionalFormatting>
  <conditionalFormatting sqref="B2348:B2349">
    <cfRule type="containsText" dxfId="230" priority="81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229" priority="79" operator="containsText" text="Газель базы">
      <formula>NOT(ISERROR(SEARCH("Газель базы",B2348)))</formula>
    </cfRule>
    <cfRule type="containsText" dxfId="228" priority="80" operator="containsText" text="Погрузчик базы">
      <formula>NOT(ISERROR(SEARCH("Погрузчик базы",B2348)))</formula>
    </cfRule>
  </conditionalFormatting>
  <conditionalFormatting sqref="B2348:B2349">
    <cfRule type="containsText" dxfId="227" priority="78" operator="containsText" text="Трактор базы">
      <formula>NOT(ISERROR(SEARCH("Трактор базы",B2348)))</formula>
    </cfRule>
  </conditionalFormatting>
  <conditionalFormatting sqref="A2350">
    <cfRule type="containsText" dxfId="226" priority="75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225" priority="77" operator="containsText" text="Выезд с территории">
      <formula>NOT(ISERROR(SEARCH("Выезд с территории",A2350)))</formula>
    </cfRule>
  </conditionalFormatting>
  <conditionalFormatting sqref="A2350">
    <cfRule type="containsText" dxfId="224" priority="76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223" priority="74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222" priority="72" operator="containsText" text="Газель базы">
      <formula>NOT(ISERROR(SEARCH("Газель базы",B2352)))</formula>
    </cfRule>
    <cfRule type="containsText" dxfId="221" priority="73" operator="containsText" text="Погрузчик базы">
      <formula>NOT(ISERROR(SEARCH("Погрузчик базы",B2352)))</formula>
    </cfRule>
  </conditionalFormatting>
  <conditionalFormatting sqref="B2352:B2354">
    <cfRule type="containsText" dxfId="220" priority="71" operator="containsText" text="Трактор базы">
      <formula>NOT(ISERROR(SEARCH("Трактор базы",B2352)))</formula>
    </cfRule>
  </conditionalFormatting>
  <conditionalFormatting sqref="B2358">
    <cfRule type="containsText" dxfId="219" priority="70" operator="containsText" text="Выезд с территории">
      <formula>NOT(ISERROR(SEARCH("Выезд с территории",B2358)))</formula>
    </cfRule>
  </conditionalFormatting>
  <conditionalFormatting sqref="B2358">
    <cfRule type="containsText" dxfId="218" priority="68" operator="containsText" text="Газель базы">
      <formula>NOT(ISERROR(SEARCH("Газель базы",B2358)))</formula>
    </cfRule>
    <cfRule type="containsText" dxfId="217" priority="69" operator="containsText" text="Погрузчик базы">
      <formula>NOT(ISERROR(SEARCH("Погрузчик базы",B2358)))</formula>
    </cfRule>
  </conditionalFormatting>
  <conditionalFormatting sqref="B2358">
    <cfRule type="containsText" dxfId="216" priority="67" operator="containsText" text="Трактор базы">
      <formula>NOT(ISERROR(SEARCH("Трактор базы",B2358)))</formula>
    </cfRule>
  </conditionalFormatting>
  <conditionalFormatting sqref="B2382">
    <cfRule type="containsText" dxfId="215" priority="66" operator="containsText" text="Выезд с территории">
      <formula>NOT(ISERROR(SEARCH("Выезд с территории",B2382)))</formula>
    </cfRule>
  </conditionalFormatting>
  <conditionalFormatting sqref="B2382">
    <cfRule type="containsText" dxfId="214" priority="64" operator="containsText" text="Газель базы">
      <formula>NOT(ISERROR(SEARCH("Газель базы",B2382)))</formula>
    </cfRule>
    <cfRule type="containsText" dxfId="213" priority="65" operator="containsText" text="Погрузчик базы">
      <formula>NOT(ISERROR(SEARCH("Погрузчик базы",B2382)))</formula>
    </cfRule>
  </conditionalFormatting>
  <conditionalFormatting sqref="B2423:B2424">
    <cfRule type="containsText" dxfId="212" priority="62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211" priority="60" operator="containsText" text="Газель базы">
      <formula>NOT(ISERROR(SEARCH("Газель базы",B2423)))</formula>
    </cfRule>
    <cfRule type="containsText" dxfId="210" priority="61" operator="containsText" text="Погрузчик базы">
      <formula>NOT(ISERROR(SEARCH("Погрузчик базы",B2423)))</formula>
    </cfRule>
  </conditionalFormatting>
  <conditionalFormatting sqref="B2423:B2424">
    <cfRule type="containsText" dxfId="209" priority="59" operator="containsText" text="Трактор базы">
      <formula>NOT(ISERROR(SEARCH("Трактор базы",B2423)))</formula>
    </cfRule>
  </conditionalFormatting>
  <conditionalFormatting sqref="B2431">
    <cfRule type="containsText" dxfId="208" priority="58" operator="containsText" text="Выезд с территории">
      <formula>NOT(ISERROR(SEARCH("Выезд с территории",B2431)))</formula>
    </cfRule>
  </conditionalFormatting>
  <conditionalFormatting sqref="B2431">
    <cfRule type="containsText" dxfId="207" priority="56" operator="containsText" text="Газель базы">
      <formula>NOT(ISERROR(SEARCH("Газель базы",B2431)))</formula>
    </cfRule>
    <cfRule type="containsText" dxfId="206" priority="57" operator="containsText" text="Погрузчик базы">
      <formula>NOT(ISERROR(SEARCH("Погрузчик базы",B2431)))</formula>
    </cfRule>
  </conditionalFormatting>
  <conditionalFormatting sqref="B2431">
    <cfRule type="containsText" dxfId="205" priority="55" operator="containsText" text="Трактор базы">
      <formula>NOT(ISERROR(SEARCH("Трактор базы",B2431)))</formula>
    </cfRule>
  </conditionalFormatting>
  <conditionalFormatting sqref="B2478">
    <cfRule type="containsText" dxfId="204" priority="43" operator="containsText" text="Трактор базы">
      <formula>NOT(ISERROR(SEARCH("Трактор базы",B2478)))</formula>
    </cfRule>
  </conditionalFormatting>
  <conditionalFormatting sqref="B2462:B2463">
    <cfRule type="containsText" dxfId="203" priority="54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202" priority="52" operator="containsText" text="Газель базы">
      <formula>NOT(ISERROR(SEARCH("Газель базы",B2462)))</formula>
    </cfRule>
    <cfRule type="containsText" dxfId="201" priority="53" operator="containsText" text="Погрузчик базы">
      <formula>NOT(ISERROR(SEARCH("Погрузчик базы",B2462)))</formula>
    </cfRule>
  </conditionalFormatting>
  <conditionalFormatting sqref="B2462:B2463">
    <cfRule type="containsText" dxfId="200" priority="51" operator="containsText" text="Трактор базы">
      <formula>NOT(ISERROR(SEARCH("Трактор базы",B2462)))</formula>
    </cfRule>
  </conditionalFormatting>
  <conditionalFormatting sqref="B2467">
    <cfRule type="containsText" dxfId="199" priority="50" operator="containsText" text="Выезд с территории">
      <formula>NOT(ISERROR(SEARCH("Выезд с территории",B2467)))</formula>
    </cfRule>
  </conditionalFormatting>
  <conditionalFormatting sqref="B2467">
    <cfRule type="containsText" dxfId="198" priority="48" operator="containsText" text="Газель базы">
      <formula>NOT(ISERROR(SEARCH("Газель базы",B2467)))</formula>
    </cfRule>
    <cfRule type="containsText" dxfId="197" priority="49" operator="containsText" text="Погрузчик базы">
      <formula>NOT(ISERROR(SEARCH("Погрузчик базы",B2467)))</formula>
    </cfRule>
  </conditionalFormatting>
  <conditionalFormatting sqref="B2467">
    <cfRule type="containsText" dxfId="196" priority="47" operator="containsText" text="Трактор базы">
      <formula>NOT(ISERROR(SEARCH("Трактор базы",B2467)))</formula>
    </cfRule>
  </conditionalFormatting>
  <conditionalFormatting sqref="B2478">
    <cfRule type="containsText" dxfId="195" priority="46" operator="containsText" text="Выезд с территории">
      <formula>NOT(ISERROR(SEARCH("Выезд с территории",B2478)))</formula>
    </cfRule>
  </conditionalFormatting>
  <conditionalFormatting sqref="B2478">
    <cfRule type="containsText" dxfId="194" priority="44" operator="containsText" text="Газель базы">
      <formula>NOT(ISERROR(SEARCH("Газель базы",B2478)))</formula>
    </cfRule>
    <cfRule type="containsText" dxfId="193" priority="45" operator="containsText" text="Погрузчик базы">
      <formula>NOT(ISERROR(SEARCH("Погрузчик базы",B2478)))</formula>
    </cfRule>
  </conditionalFormatting>
  <conditionalFormatting sqref="B2499">
    <cfRule type="containsText" dxfId="192" priority="31" operator="containsText" text="Трактор базы">
      <formula>NOT(ISERROR(SEARCH("Трактор базы",B2499)))</formula>
    </cfRule>
  </conditionalFormatting>
  <conditionalFormatting sqref="B2497">
    <cfRule type="containsText" dxfId="191" priority="42" operator="containsText" text="Выезд с территории">
      <formula>NOT(ISERROR(SEARCH("Выезд с территории",B2497)))</formula>
    </cfRule>
  </conditionalFormatting>
  <conditionalFormatting sqref="B2497">
    <cfRule type="containsText" dxfId="190" priority="40" operator="containsText" text="Газель базы">
      <formula>NOT(ISERROR(SEARCH("Газель базы",B2497)))</formula>
    </cfRule>
    <cfRule type="containsText" dxfId="189" priority="41" operator="containsText" text="Погрузчик базы">
      <formula>NOT(ISERROR(SEARCH("Погрузчик базы",B2497)))</formula>
    </cfRule>
  </conditionalFormatting>
  <conditionalFormatting sqref="B2497">
    <cfRule type="containsText" dxfId="188" priority="39" operator="containsText" text="Трактор базы">
      <formula>NOT(ISERROR(SEARCH("Трактор базы",B2497)))</formula>
    </cfRule>
  </conditionalFormatting>
  <conditionalFormatting sqref="B2498">
    <cfRule type="containsText" dxfId="187" priority="38" operator="containsText" text="Выезд с территории">
      <formula>NOT(ISERROR(SEARCH("Выезд с территории",B2498)))</formula>
    </cfRule>
  </conditionalFormatting>
  <conditionalFormatting sqref="B2498">
    <cfRule type="containsText" dxfId="186" priority="36" operator="containsText" text="Газель базы">
      <formula>NOT(ISERROR(SEARCH("Газель базы",B2498)))</formula>
    </cfRule>
    <cfRule type="containsText" dxfId="185" priority="37" operator="containsText" text="Погрузчик базы">
      <formula>NOT(ISERROR(SEARCH("Погрузчик базы",B2498)))</formula>
    </cfRule>
  </conditionalFormatting>
  <conditionalFormatting sqref="B2498">
    <cfRule type="containsText" dxfId="184" priority="35" operator="containsText" text="Трактор базы">
      <formula>NOT(ISERROR(SEARCH("Трактор базы",B2498)))</formula>
    </cfRule>
  </conditionalFormatting>
  <conditionalFormatting sqref="B2499">
    <cfRule type="containsText" dxfId="183" priority="34" operator="containsText" text="Выезд с территории">
      <formula>NOT(ISERROR(SEARCH("Выезд с территории",B2499)))</formula>
    </cfRule>
  </conditionalFormatting>
  <conditionalFormatting sqref="B2499">
    <cfRule type="containsText" dxfId="182" priority="32" operator="containsText" text="Газель базы">
      <formula>NOT(ISERROR(SEARCH("Газель базы",B2499)))</formula>
    </cfRule>
    <cfRule type="containsText" dxfId="181" priority="33" operator="containsText" text="Погрузчик базы">
      <formula>NOT(ISERROR(SEARCH("Погрузчик базы",B2499)))</formula>
    </cfRule>
  </conditionalFormatting>
  <conditionalFormatting sqref="B2512:B2513">
    <cfRule type="containsText" dxfId="180" priority="5" operator="containsText" text="Трактор базы">
      <formula>NOT(ISERROR(SEARCH("Трактор базы",B2512)))</formula>
    </cfRule>
  </conditionalFormatting>
  <conditionalFormatting sqref="B2500">
    <cfRule type="containsText" dxfId="179" priority="30" operator="containsText" text="Выезд с территории">
      <formula>NOT(ISERROR(SEARCH("Выезд с территории",B2500)))</formula>
    </cfRule>
  </conditionalFormatting>
  <conditionalFormatting sqref="B2500">
    <cfRule type="containsText" dxfId="178" priority="28" operator="containsText" text="Газель базы">
      <formula>NOT(ISERROR(SEARCH("Газель базы",B2500)))</formula>
    </cfRule>
    <cfRule type="containsText" dxfId="177" priority="29" operator="containsText" text="Погрузчик базы">
      <formula>NOT(ISERROR(SEARCH("Погрузчик базы",B2500)))</formula>
    </cfRule>
  </conditionalFormatting>
  <conditionalFormatting sqref="B2500">
    <cfRule type="containsText" dxfId="176" priority="27" operator="containsText" text="Трактор базы">
      <formula>NOT(ISERROR(SEARCH("Трактор базы",B2500)))</formula>
    </cfRule>
  </conditionalFormatting>
  <conditionalFormatting sqref="B2501">
    <cfRule type="containsText" dxfId="175" priority="26" operator="containsText" text="Выезд с территории">
      <formula>NOT(ISERROR(SEARCH("Выезд с территории",B2501)))</formula>
    </cfRule>
  </conditionalFormatting>
  <conditionalFormatting sqref="B2501">
    <cfRule type="containsText" dxfId="174" priority="24" operator="containsText" text="Газель базы">
      <formula>NOT(ISERROR(SEARCH("Газель базы",B2501)))</formula>
    </cfRule>
    <cfRule type="containsText" dxfId="173" priority="25" operator="containsText" text="Погрузчик базы">
      <formula>NOT(ISERROR(SEARCH("Погрузчик базы",B2501)))</formula>
    </cfRule>
  </conditionalFormatting>
  <conditionalFormatting sqref="B2501">
    <cfRule type="containsText" dxfId="172" priority="23" operator="containsText" text="Трактор базы">
      <formula>NOT(ISERROR(SEARCH("Трактор базы",B2501)))</formula>
    </cfRule>
  </conditionalFormatting>
  <conditionalFormatting sqref="B2502">
    <cfRule type="containsText" dxfId="171" priority="19" operator="containsText" text="Трактор базы">
      <formula>NOT(ISERROR(SEARCH("Трактор базы",B2502)))</formula>
    </cfRule>
  </conditionalFormatting>
  <conditionalFormatting sqref="B2502">
    <cfRule type="containsText" dxfId="170" priority="22" operator="containsText" text="Выезд с территории">
      <formula>NOT(ISERROR(SEARCH("Выезд с территории",B2502)))</formula>
    </cfRule>
  </conditionalFormatting>
  <conditionalFormatting sqref="B2502">
    <cfRule type="containsText" dxfId="169" priority="20" operator="containsText" text="Газель базы">
      <formula>NOT(ISERROR(SEARCH("Газель базы",B2502)))</formula>
    </cfRule>
    <cfRule type="containsText" dxfId="168" priority="21" operator="containsText" text="Погрузчик базы">
      <formula>NOT(ISERROR(SEARCH("Погрузчик базы",B2502)))</formula>
    </cfRule>
  </conditionalFormatting>
  <conditionalFormatting sqref="A2503:A2504">
    <cfRule type="containsText" dxfId="167" priority="16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166" priority="18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165" priority="17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164" priority="13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163" priority="15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162" priority="14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161" priority="12" operator="containsText" text="Выезд с территории">
      <formula>NOT(ISERROR(SEARCH("Выезд с территории",B2509)))</formula>
    </cfRule>
  </conditionalFormatting>
  <conditionalFormatting sqref="B2509">
    <cfRule type="containsText" dxfId="160" priority="10" operator="containsText" text="Газель базы">
      <formula>NOT(ISERROR(SEARCH("Газель базы",B2509)))</formula>
    </cfRule>
    <cfRule type="containsText" dxfId="159" priority="11" operator="containsText" text="Погрузчик базы">
      <formula>NOT(ISERROR(SEARCH("Погрузчик базы",B2509)))</formula>
    </cfRule>
  </conditionalFormatting>
  <conditionalFormatting sqref="B2509">
    <cfRule type="containsText" dxfId="158" priority="9" operator="containsText" text="Трактор базы">
      <formula>NOT(ISERROR(SEARCH("Трактор базы",B2509)))</formula>
    </cfRule>
  </conditionalFormatting>
  <conditionalFormatting sqref="B2512:B2513">
    <cfRule type="containsText" dxfId="157" priority="8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156" priority="6" operator="containsText" text="Газель базы">
      <formula>NOT(ISERROR(SEARCH("Газель базы",B2512)))</formula>
    </cfRule>
    <cfRule type="containsText" dxfId="155" priority="7" operator="containsText" text="Погрузчик базы">
      <formula>NOT(ISERROR(SEARCH("Погрузчик базы",B2512)))</formula>
    </cfRule>
  </conditionalFormatting>
  <conditionalFormatting sqref="E2586">
    <cfRule type="containsText" dxfId="154" priority="4" operator="containsText" text="Выезд с территории">
      <formula>NOT(ISERROR(SEARCH("Выезд с территории",E2586)))</formula>
    </cfRule>
  </conditionalFormatting>
  <conditionalFormatting sqref="A2710">
    <cfRule type="containsText" dxfId="153" priority="1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152" priority="3" operator="containsText" text="Выезд с территории">
      <formula>NOT(ISERROR(SEARCH("Выезд с территории",A2710)))</formula>
    </cfRule>
  </conditionalFormatting>
  <conditionalFormatting sqref="A2710">
    <cfRule type="containsText" dxfId="151" priority="2" operator="containsText" text="Въезд на второстепенную дорогу">
      <formula>NOT(ISERROR(SEARCH("Въезд на второстепенную дорогу",A2710)))</formula>
    </cfRule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210"/>
  <sheetViews>
    <sheetView topLeftCell="A187" zoomScale="80" zoomScaleNormal="80" workbookViewId="0">
      <selection activeCell="F174" sqref="F174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t="s">
        <v>1398</v>
      </c>
      <c r="J2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0.4105787037037037</v>
      </c>
      <c r="D3" s="2" t="s">
        <v>466</v>
      </c>
      <c r="E3" t="s">
        <v>67</v>
      </c>
      <c r="F3" t="s">
        <v>468</v>
      </c>
      <c r="I3" t="s">
        <v>382</v>
      </c>
      <c r="J3" t="s">
        <v>334</v>
      </c>
      <c r="K3" t="s">
        <v>383</v>
      </c>
      <c r="L3" t="s">
        <v>384</v>
      </c>
      <c r="M3" s="3" t="str">
        <f>HYPERLINK(Таблица3[[#This Row],[RelativePath]])</f>
        <v>5 Крыльцо общага\K07156189_22_20251111T095114Z.jpg</v>
      </c>
    </row>
    <row r="4" spans="1:13" x14ac:dyDescent="0.25">
      <c r="A4" t="s">
        <v>14</v>
      </c>
      <c r="B4" s="4">
        <v>45972</v>
      </c>
      <c r="C4" s="6">
        <v>0.39787037037037037</v>
      </c>
      <c r="D4" s="2" t="s">
        <v>466</v>
      </c>
      <c r="E4" t="s">
        <v>67</v>
      </c>
      <c r="F4" t="s">
        <v>468</v>
      </c>
      <c r="I4" t="s">
        <v>367</v>
      </c>
      <c r="J4" t="s">
        <v>334</v>
      </c>
      <c r="K4" t="s">
        <v>368</v>
      </c>
      <c r="L4" t="s">
        <v>369</v>
      </c>
      <c r="M4" s="3" t="str">
        <f>HYPERLINK(Таблица3[[#This Row],[RelativePath]])</f>
        <v>5 Крыльцо общага\K07156189_22_20251111T093256Z.jpg</v>
      </c>
    </row>
    <row r="5" spans="1:13" x14ac:dyDescent="0.25">
      <c r="A5" t="s">
        <v>14</v>
      </c>
      <c r="B5" s="4">
        <v>45972</v>
      </c>
      <c r="C5" s="6">
        <v>0.40370370370370373</v>
      </c>
      <c r="D5" s="2" t="s">
        <v>466</v>
      </c>
      <c r="E5" t="s">
        <v>67</v>
      </c>
      <c r="F5" t="s">
        <v>468</v>
      </c>
      <c r="I5" t="s">
        <v>370</v>
      </c>
      <c r="J5" t="s">
        <v>334</v>
      </c>
      <c r="K5" t="s">
        <v>371</v>
      </c>
      <c r="L5" t="s">
        <v>372</v>
      </c>
      <c r="M5" s="3" t="str">
        <f>HYPERLINK(Таблица3[[#This Row],[RelativePath]])</f>
        <v>5 Крыльцо общага\K07156189_22_20251111T094120Z.jpg</v>
      </c>
    </row>
    <row r="6" spans="1:13" x14ac:dyDescent="0.25">
      <c r="A6" t="s">
        <v>14</v>
      </c>
      <c r="B6" s="4">
        <v>45972</v>
      </c>
      <c r="C6" s="6">
        <v>0.51362268518518517</v>
      </c>
      <c r="D6" s="2" t="s">
        <v>1616</v>
      </c>
      <c r="E6" t="s">
        <v>55</v>
      </c>
      <c r="F6" t="s">
        <v>1617</v>
      </c>
      <c r="H6" t="s">
        <v>1618</v>
      </c>
      <c r="I6" t="s">
        <v>1477</v>
      </c>
      <c r="J6" t="s">
        <v>1308</v>
      </c>
      <c r="K6" t="s">
        <v>1478</v>
      </c>
      <c r="L6" t="s">
        <v>1479</v>
      </c>
      <c r="M6" s="3" t="str">
        <f>HYPERLINK(Таблица3[[#This Row],[RelativePath]])</f>
        <v>10 Сушилка навес\E33149364_3_20251111T121937Z.jpg</v>
      </c>
    </row>
    <row r="7" spans="1:13" x14ac:dyDescent="0.25">
      <c r="A7" t="s">
        <v>14</v>
      </c>
      <c r="B7" s="4">
        <v>45972</v>
      </c>
      <c r="C7" s="6">
        <v>0.40597222222222223</v>
      </c>
      <c r="D7" s="2" t="s">
        <v>466</v>
      </c>
      <c r="E7" t="s">
        <v>67</v>
      </c>
      <c r="F7" t="s">
        <v>468</v>
      </c>
      <c r="I7" t="s">
        <v>376</v>
      </c>
      <c r="J7" t="s">
        <v>334</v>
      </c>
      <c r="K7" t="s">
        <v>377</v>
      </c>
      <c r="L7" t="s">
        <v>378</v>
      </c>
      <c r="M7" s="3" t="str">
        <f>HYPERLINK(Таблица3[[#This Row],[RelativePath]])</f>
        <v>5 Крыльцо общага\K07156189_22_20251111T094436Z.jpg</v>
      </c>
    </row>
    <row r="8" spans="1:13" x14ac:dyDescent="0.25">
      <c r="A8" t="s">
        <v>14</v>
      </c>
      <c r="B8" s="4">
        <v>45972</v>
      </c>
      <c r="C8" s="6">
        <v>0.40881944444444446</v>
      </c>
      <c r="D8" s="2" t="s">
        <v>466</v>
      </c>
      <c r="E8" t="s">
        <v>67</v>
      </c>
      <c r="F8" t="s">
        <v>468</v>
      </c>
      <c r="I8" t="s">
        <v>379</v>
      </c>
      <c r="J8" t="s">
        <v>334</v>
      </c>
      <c r="K8" t="s">
        <v>380</v>
      </c>
      <c r="L8" t="s">
        <v>381</v>
      </c>
      <c r="M8" s="3" t="str">
        <f>HYPERLINK(Таблица3[[#This Row],[RelativePath]])</f>
        <v>5 Крыльцо общага\K07156189_22_20251111T094842Z.jpg</v>
      </c>
    </row>
    <row r="9" spans="1:13" x14ac:dyDescent="0.25">
      <c r="A9" t="s">
        <v>14</v>
      </c>
      <c r="B9" s="4">
        <v>45972</v>
      </c>
      <c r="C9" s="6">
        <v>0.42736111111111114</v>
      </c>
      <c r="D9" s="2" t="s">
        <v>466</v>
      </c>
      <c r="E9" t="s">
        <v>67</v>
      </c>
      <c r="F9" t="s">
        <v>468</v>
      </c>
      <c r="I9" t="s">
        <v>397</v>
      </c>
      <c r="J9" t="s">
        <v>334</v>
      </c>
      <c r="K9" t="s">
        <v>398</v>
      </c>
      <c r="L9" t="s">
        <v>399</v>
      </c>
      <c r="M9" s="3" t="str">
        <f>HYPERLINK(Таблица3[[#This Row],[RelativePath]])</f>
        <v>5 Крыльцо общага\K07156189_22_20251111T101524Z.jpg</v>
      </c>
    </row>
    <row r="10" spans="1:13" x14ac:dyDescent="0.25">
      <c r="A10" t="s">
        <v>14</v>
      </c>
      <c r="B10" s="4">
        <v>45972</v>
      </c>
      <c r="C10" s="6">
        <v>0.41136574074074073</v>
      </c>
      <c r="D10" s="2" t="s">
        <v>466</v>
      </c>
      <c r="E10" t="s">
        <v>67</v>
      </c>
      <c r="F10" t="s">
        <v>468</v>
      </c>
      <c r="I10" t="s">
        <v>385</v>
      </c>
      <c r="J10" t="s">
        <v>334</v>
      </c>
      <c r="K10" t="s">
        <v>386</v>
      </c>
      <c r="L10" t="s">
        <v>387</v>
      </c>
      <c r="M10" s="3" t="str">
        <f>HYPERLINK(Таблица3[[#This Row],[RelativePath]])</f>
        <v>5 Крыльцо общага\K07156189_22_20251111T095222Z.jpg</v>
      </c>
    </row>
    <row r="11" spans="1:13" x14ac:dyDescent="0.25">
      <c r="A11" t="s">
        <v>14</v>
      </c>
      <c r="B11" s="4">
        <v>45972</v>
      </c>
      <c r="C11" s="6">
        <v>0.41312500000000002</v>
      </c>
      <c r="D11" s="2" t="s">
        <v>466</v>
      </c>
      <c r="E11" t="s">
        <v>67</v>
      </c>
      <c r="F11" t="s">
        <v>468</v>
      </c>
      <c r="I11" t="s">
        <v>388</v>
      </c>
      <c r="J11" t="s">
        <v>334</v>
      </c>
      <c r="K11" t="s">
        <v>389</v>
      </c>
      <c r="L11" t="s">
        <v>390</v>
      </c>
      <c r="M11" s="3" t="str">
        <f>HYPERLINK(Таблица3[[#This Row],[RelativePath]])</f>
        <v>5 Крыльцо общага\K07156189_22_20251111T095454Z.jpg</v>
      </c>
    </row>
    <row r="12" spans="1:13" x14ac:dyDescent="0.25">
      <c r="A12" t="s">
        <v>14</v>
      </c>
      <c r="B12" s="4">
        <v>45972</v>
      </c>
      <c r="C12" s="6">
        <v>0.40377314814814813</v>
      </c>
      <c r="D12" s="2" t="s">
        <v>466</v>
      </c>
      <c r="E12" t="s">
        <v>67</v>
      </c>
      <c r="F12" t="s">
        <v>468</v>
      </c>
      <c r="I12" t="s">
        <v>373</v>
      </c>
      <c r="J12" t="s">
        <v>334</v>
      </c>
      <c r="K12" t="s">
        <v>374</v>
      </c>
      <c r="L12" t="s">
        <v>375</v>
      </c>
      <c r="M12" s="3" t="str">
        <f>HYPERLINK(Таблица3[[#This Row],[RelativePath]])</f>
        <v>5 Крыльцо общага\K07156189_22_20251111T094126Z.jpg</v>
      </c>
    </row>
    <row r="13" spans="1:13" x14ac:dyDescent="0.25">
      <c r="A13" t="s">
        <v>14</v>
      </c>
      <c r="B13" s="4">
        <v>45972</v>
      </c>
      <c r="C13" s="6">
        <v>0.41627314814814814</v>
      </c>
      <c r="D13" s="2" t="s">
        <v>466</v>
      </c>
      <c r="E13" t="s">
        <v>67</v>
      </c>
      <c r="F13" t="s">
        <v>468</v>
      </c>
      <c r="I13" t="s">
        <v>391</v>
      </c>
      <c r="J13" t="s">
        <v>334</v>
      </c>
      <c r="K13" t="s">
        <v>392</v>
      </c>
      <c r="L13" t="s">
        <v>393</v>
      </c>
      <c r="M13" s="3" t="str">
        <f>HYPERLINK(Таблица3[[#This Row],[RelativePath]])</f>
        <v>5 Крыльцо общага\K07156189_22_20251111T095926Z.jpg</v>
      </c>
    </row>
    <row r="14" spans="1:13" x14ac:dyDescent="0.25">
      <c r="A14" t="s">
        <v>14</v>
      </c>
      <c r="B14" s="4">
        <v>45972</v>
      </c>
      <c r="C14" s="6">
        <v>0.4226273148148148</v>
      </c>
      <c r="D14" s="2" t="s">
        <v>466</v>
      </c>
      <c r="E14" t="s">
        <v>67</v>
      </c>
      <c r="F14" t="s">
        <v>468</v>
      </c>
      <c r="I14" t="s">
        <v>394</v>
      </c>
      <c r="J14" t="s">
        <v>334</v>
      </c>
      <c r="K14" t="s">
        <v>395</v>
      </c>
      <c r="L14" t="s">
        <v>396</v>
      </c>
      <c r="M14" s="3" t="str">
        <f>HYPERLINK(Таблица3[[#This Row],[RelativePath]])</f>
        <v>5 Крыльцо общага\K07156189_22_20251111T100835Z.jpg</v>
      </c>
    </row>
    <row r="15" spans="1:13" x14ac:dyDescent="0.25">
      <c r="A15" t="s">
        <v>14</v>
      </c>
      <c r="B15" s="4">
        <v>45972</v>
      </c>
      <c r="C15" s="6">
        <v>0.42944444444444446</v>
      </c>
      <c r="D15" s="2" t="s">
        <v>466</v>
      </c>
      <c r="E15" t="s">
        <v>67</v>
      </c>
      <c r="F15" t="s">
        <v>468</v>
      </c>
      <c r="I15" t="s">
        <v>400</v>
      </c>
      <c r="J15" t="s">
        <v>334</v>
      </c>
      <c r="K15" t="s">
        <v>401</v>
      </c>
      <c r="L15" t="s">
        <v>402</v>
      </c>
      <c r="M15" s="3" t="str">
        <f>HYPERLINK(Таблица3[[#This Row],[RelativePath]])</f>
        <v>5 Крыльцо общага\K07156189_22_20251111T101824Z.jpg</v>
      </c>
    </row>
    <row r="16" spans="1:13" x14ac:dyDescent="0.25">
      <c r="A16" t="s">
        <v>14</v>
      </c>
      <c r="B16" s="4">
        <v>45972</v>
      </c>
      <c r="C16" s="6">
        <v>0.4316550925925926</v>
      </c>
      <c r="D16" s="2" t="s">
        <v>466</v>
      </c>
      <c r="E16" t="s">
        <v>67</v>
      </c>
      <c r="F16" t="s">
        <v>468</v>
      </c>
      <c r="I16" t="s">
        <v>403</v>
      </c>
      <c r="J16" t="s">
        <v>334</v>
      </c>
      <c r="K16" t="s">
        <v>404</v>
      </c>
      <c r="L16" t="s">
        <v>405</v>
      </c>
      <c r="M16" s="3" t="str">
        <f>HYPERLINK(Таблица3[[#This Row],[RelativePath]])</f>
        <v>5 Крыльцо общага\K07156189_22_20251111T102135Z.jpg</v>
      </c>
    </row>
    <row r="17" spans="1:13" x14ac:dyDescent="0.25">
      <c r="A17" t="s">
        <v>14</v>
      </c>
      <c r="B17" s="4">
        <v>45972</v>
      </c>
      <c r="C17" s="6">
        <v>0.43408564814814815</v>
      </c>
      <c r="D17" s="2" t="s">
        <v>466</v>
      </c>
      <c r="E17" t="s">
        <v>67</v>
      </c>
      <c r="F17" t="s">
        <v>468</v>
      </c>
      <c r="I17" t="s">
        <v>406</v>
      </c>
      <c r="J17" t="s">
        <v>334</v>
      </c>
      <c r="K17" t="s">
        <v>407</v>
      </c>
      <c r="L17" t="s">
        <v>408</v>
      </c>
      <c r="M17" s="3" t="str">
        <f>HYPERLINK(Таблица3[[#This Row],[RelativePath]])</f>
        <v>5 Крыльцо общага\K07156189_22_20251111T102505Z.jpg</v>
      </c>
    </row>
    <row r="18" spans="1:13" x14ac:dyDescent="0.25">
      <c r="A18" t="s">
        <v>14</v>
      </c>
      <c r="B18" s="4">
        <v>45972</v>
      </c>
      <c r="C18" s="6">
        <v>0.43606481481481479</v>
      </c>
      <c r="D18" s="2" t="s">
        <v>466</v>
      </c>
      <c r="E18" t="s">
        <v>67</v>
      </c>
      <c r="F18" t="s">
        <v>469</v>
      </c>
      <c r="H18" t="s">
        <v>470</v>
      </c>
      <c r="I18" t="s">
        <v>409</v>
      </c>
      <c r="J18" t="s">
        <v>334</v>
      </c>
      <c r="K18" t="s">
        <v>410</v>
      </c>
      <c r="L18" t="s">
        <v>411</v>
      </c>
      <c r="M18" s="3" t="str">
        <f>HYPERLINK(Таблица3[[#This Row],[RelativePath]])</f>
        <v>5 Крыльцо общага\K07156189_22_20251111T102756Z.jpg</v>
      </c>
    </row>
    <row r="19" spans="1:13" x14ac:dyDescent="0.25">
      <c r="A19" t="s">
        <v>14</v>
      </c>
      <c r="B19" s="4">
        <v>45972</v>
      </c>
      <c r="C19" s="6">
        <v>0.46743055555555557</v>
      </c>
      <c r="D19" s="2" t="s">
        <v>466</v>
      </c>
      <c r="E19" t="s">
        <v>63</v>
      </c>
      <c r="F19" t="s">
        <v>58</v>
      </c>
      <c r="H19" t="s">
        <v>1620</v>
      </c>
      <c r="I19" t="s">
        <v>1456</v>
      </c>
      <c r="J19" t="s">
        <v>1308</v>
      </c>
      <c r="K19" t="s">
        <v>1457</v>
      </c>
      <c r="L19" t="s">
        <v>1458</v>
      </c>
      <c r="M19" s="3" t="str">
        <f>HYPERLINK(Таблица3[[#This Row],[RelativePath]])</f>
        <v>10 Сушилка навес\E33149364_3_20251111T111306Z.jpg</v>
      </c>
    </row>
    <row r="20" spans="1:13" x14ac:dyDescent="0.25">
      <c r="A20" t="s">
        <v>14</v>
      </c>
      <c r="B20" s="4">
        <v>45972</v>
      </c>
      <c r="C20" s="6">
        <v>0.47805555555555557</v>
      </c>
      <c r="D20" s="2" t="s">
        <v>1616</v>
      </c>
      <c r="E20" t="s">
        <v>63</v>
      </c>
      <c r="F20" t="s">
        <v>58</v>
      </c>
      <c r="H20" t="s">
        <v>1620</v>
      </c>
      <c r="I20" t="s">
        <v>1459</v>
      </c>
      <c r="J20" t="s">
        <v>1308</v>
      </c>
      <c r="K20" t="s">
        <v>1460</v>
      </c>
      <c r="L20" t="s">
        <v>1461</v>
      </c>
      <c r="M20" s="3" t="str">
        <f>HYPERLINK(Таблица3[[#This Row],[RelativePath]])</f>
        <v>10 Сушилка навес\E33149364_3_20251111T112824Z.jpg</v>
      </c>
    </row>
    <row r="21" spans="1:13" x14ac:dyDescent="0.25">
      <c r="A21" t="s">
        <v>14</v>
      </c>
      <c r="B21" s="4">
        <v>45972</v>
      </c>
      <c r="C21" s="6">
        <v>0.52853009259259254</v>
      </c>
      <c r="D21" s="2" t="s">
        <v>1616</v>
      </c>
      <c r="E21" t="s">
        <v>55</v>
      </c>
      <c r="F21" t="s">
        <v>1622</v>
      </c>
      <c r="I21" t="s">
        <v>1486</v>
      </c>
      <c r="J21" t="s">
        <v>1308</v>
      </c>
      <c r="K21" t="s">
        <v>1487</v>
      </c>
      <c r="L21" t="s">
        <v>1488</v>
      </c>
      <c r="M21" s="3" t="str">
        <f>HYPERLINK(Таблица3[[#This Row],[RelativePath]])</f>
        <v>10 Сушилка навес\E33149364_3_20251111T124105Z.jpg</v>
      </c>
    </row>
    <row r="22" spans="1:13" x14ac:dyDescent="0.25">
      <c r="A22" t="s">
        <v>14</v>
      </c>
      <c r="B22" s="4">
        <v>45972</v>
      </c>
      <c r="C22" s="6">
        <v>0.50693287037037038</v>
      </c>
      <c r="D22" s="2" t="s">
        <v>466</v>
      </c>
      <c r="E22" t="s">
        <v>55</v>
      </c>
      <c r="F22" t="s">
        <v>1617</v>
      </c>
      <c r="H22" t="s">
        <v>1618</v>
      </c>
      <c r="I22" t="s">
        <v>1471</v>
      </c>
      <c r="J22" t="s">
        <v>1308</v>
      </c>
      <c r="K22" t="s">
        <v>1472</v>
      </c>
      <c r="L22" t="s">
        <v>1473</v>
      </c>
      <c r="M22" s="3" t="str">
        <f>HYPERLINK(Таблица3[[#This Row],[RelativePath]])</f>
        <v>10 Сушилка навес\E33149364_3_20251111T120959Z.jpg</v>
      </c>
    </row>
    <row r="23" spans="1:13" x14ac:dyDescent="0.25">
      <c r="A23" t="s">
        <v>14</v>
      </c>
      <c r="B23" s="4">
        <v>45972</v>
      </c>
      <c r="C23" s="6">
        <v>0.50932870370370376</v>
      </c>
      <c r="D23" s="2" t="s">
        <v>1616</v>
      </c>
      <c r="E23" t="s">
        <v>55</v>
      </c>
      <c r="F23" t="s">
        <v>1617</v>
      </c>
      <c r="H23" t="s">
        <v>1618</v>
      </c>
      <c r="I23" t="s">
        <v>1474</v>
      </c>
      <c r="J23" t="s">
        <v>1308</v>
      </c>
      <c r="K23" t="s">
        <v>1475</v>
      </c>
      <c r="L23" t="s">
        <v>1476</v>
      </c>
      <c r="M23" s="3" t="str">
        <f>HYPERLINK(Таблица3[[#This Row],[RelativePath]])</f>
        <v>10 Сушилка навес\E33149364_3_20251111T121326Z.jpg</v>
      </c>
    </row>
    <row r="24" spans="1:13" x14ac:dyDescent="0.25">
      <c r="A24" t="s">
        <v>14</v>
      </c>
      <c r="B24" s="4">
        <v>45972</v>
      </c>
      <c r="C24" s="6">
        <v>0.48200231481481481</v>
      </c>
      <c r="D24" s="2" t="s">
        <v>1616</v>
      </c>
      <c r="E24" t="s">
        <v>63</v>
      </c>
      <c r="F24" t="s">
        <v>58</v>
      </c>
      <c r="H24" t="s">
        <v>1620</v>
      </c>
      <c r="I24" t="s">
        <v>1462</v>
      </c>
      <c r="J24" t="s">
        <v>1308</v>
      </c>
      <c r="K24" t="s">
        <v>1463</v>
      </c>
      <c r="L24" t="s">
        <v>1464</v>
      </c>
      <c r="M24" s="3" t="str">
        <f>HYPERLINK(Таблица3[[#This Row],[RelativePath]])</f>
        <v>10 Сушилка навес\E33149364_3_20251111T113405Z.jpg</v>
      </c>
    </row>
    <row r="25" spans="1:13" x14ac:dyDescent="0.25">
      <c r="A25" t="s">
        <v>14</v>
      </c>
      <c r="B25" s="4">
        <v>45972</v>
      </c>
      <c r="C25" s="6">
        <v>0.51658564814814811</v>
      </c>
      <c r="D25" s="2" t="s">
        <v>1616</v>
      </c>
      <c r="E25" t="s">
        <v>55</v>
      </c>
      <c r="F25" t="s">
        <v>1619</v>
      </c>
      <c r="H25" t="s">
        <v>1620</v>
      </c>
      <c r="I25" t="s">
        <v>1480</v>
      </c>
      <c r="J25" t="s">
        <v>1308</v>
      </c>
      <c r="K25" t="s">
        <v>1481</v>
      </c>
      <c r="L25" t="s">
        <v>1482</v>
      </c>
      <c r="M25" s="3" t="str">
        <f>HYPERLINK(Таблица3[[#This Row],[RelativePath]])</f>
        <v>10 Сушилка навес\E33149364_3_20251111T122353Z.jpg</v>
      </c>
    </row>
    <row r="26" spans="1:13" x14ac:dyDescent="0.25">
      <c r="A26" t="s">
        <v>14</v>
      </c>
      <c r="B26" s="4">
        <v>45972</v>
      </c>
      <c r="C26" s="6">
        <v>0.52825231481481483</v>
      </c>
      <c r="D26" s="2" t="s">
        <v>1616</v>
      </c>
      <c r="E26" t="s">
        <v>55</v>
      </c>
      <c r="F26" t="s">
        <v>1621</v>
      </c>
      <c r="I26" t="s">
        <v>1483</v>
      </c>
      <c r="J26" t="s">
        <v>1308</v>
      </c>
      <c r="K26" t="s">
        <v>1484</v>
      </c>
      <c r="L26" t="s">
        <v>1485</v>
      </c>
      <c r="M26" s="3" t="str">
        <f>HYPERLINK(Таблица3[[#This Row],[RelativePath]])</f>
        <v>10 Сушилка навес\E33149364_3_20251111T124041Z.jpg</v>
      </c>
    </row>
    <row r="27" spans="1:13" x14ac:dyDescent="0.25">
      <c r="A27" t="s">
        <v>16</v>
      </c>
      <c r="B27" s="4">
        <v>45974</v>
      </c>
      <c r="C27" s="6">
        <v>0.38702546296296297</v>
      </c>
      <c r="D27" s="2" t="s">
        <v>466</v>
      </c>
      <c r="E27" t="s">
        <v>70</v>
      </c>
      <c r="F27" t="s">
        <v>58</v>
      </c>
      <c r="H27" t="s">
        <v>1620</v>
      </c>
      <c r="I27" t="s">
        <v>1525</v>
      </c>
      <c r="J27" t="s">
        <v>1308</v>
      </c>
      <c r="K27" t="s">
        <v>1526</v>
      </c>
      <c r="L27" t="s">
        <v>1527</v>
      </c>
      <c r="M27" s="3" t="str">
        <f>HYPERLINK(Таблица3[[#This Row],[RelativePath]])</f>
        <v>10 Сушилка навес\E33149364_3_20251113T091719Z.jpg</v>
      </c>
    </row>
    <row r="28" spans="1:13" x14ac:dyDescent="0.25">
      <c r="A28" t="s">
        <v>16</v>
      </c>
      <c r="B28" s="4">
        <v>45974</v>
      </c>
      <c r="C28" s="6">
        <v>0.38524305555555555</v>
      </c>
      <c r="D28" s="2" t="s">
        <v>466</v>
      </c>
      <c r="E28" t="s">
        <v>70</v>
      </c>
      <c r="F28" t="s">
        <v>58</v>
      </c>
      <c r="H28" t="s">
        <v>1620</v>
      </c>
      <c r="I28" t="s">
        <v>1522</v>
      </c>
      <c r="J28" t="s">
        <v>1308</v>
      </c>
      <c r="K28" t="s">
        <v>1523</v>
      </c>
      <c r="L28" t="s">
        <v>1524</v>
      </c>
      <c r="M28" s="3" t="str">
        <f>HYPERLINK(Таблица3[[#This Row],[RelativePath]])</f>
        <v>10 Сушилка навес\E33149364_3_20251113T091445Z.jpg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t="s">
        <v>1271</v>
      </c>
      <c r="J29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0.38093749999999998</v>
      </c>
      <c r="D30" s="2" t="s">
        <v>466</v>
      </c>
      <c r="E30" t="s">
        <v>70</v>
      </c>
      <c r="F30" t="s">
        <v>58</v>
      </c>
      <c r="H30" t="s">
        <v>2956</v>
      </c>
      <c r="I30" t="s">
        <v>2658</v>
      </c>
      <c r="J30" t="s">
        <v>1308</v>
      </c>
      <c r="K30" t="s">
        <v>2659</v>
      </c>
      <c r="L30" t="s">
        <v>2660</v>
      </c>
      <c r="M30" s="3" t="str">
        <f>HYPERLINK(Таблица3[[#This Row],[RelativePath]])</f>
        <v>10 Сушилка навес\E33149364_3_20251118T090833Z.jpg</v>
      </c>
    </row>
    <row r="31" spans="1:13" x14ac:dyDescent="0.25">
      <c r="A31" t="s">
        <v>14</v>
      </c>
      <c r="B31" s="4">
        <v>45979</v>
      </c>
      <c r="C31" s="6">
        <v>0.38103009259259257</v>
      </c>
      <c r="D31" s="2" t="s">
        <v>1616</v>
      </c>
      <c r="E31" t="s">
        <v>70</v>
      </c>
      <c r="F31" t="s">
        <v>58</v>
      </c>
      <c r="H31" t="s">
        <v>2956</v>
      </c>
      <c r="I31" t="s">
        <v>2661</v>
      </c>
      <c r="J31" t="s">
        <v>1308</v>
      </c>
      <c r="K31" t="s">
        <v>2662</v>
      </c>
      <c r="L31" t="s">
        <v>2663</v>
      </c>
      <c r="M31" s="3" t="str">
        <f>HYPERLINK(Таблица3[[#This Row],[RelativePath]])</f>
        <v>10 Сушилка навес\E33149364_3_20251118T090841Z.jpg</v>
      </c>
    </row>
    <row r="32" spans="1:13" x14ac:dyDescent="0.25">
      <c r="A32" t="s">
        <v>14</v>
      </c>
      <c r="B32" s="4">
        <v>45979</v>
      </c>
      <c r="C32" s="6">
        <v>0.38112268518518516</v>
      </c>
      <c r="D32" s="2" t="s">
        <v>1616</v>
      </c>
      <c r="E32" t="s">
        <v>70</v>
      </c>
      <c r="F32" t="s">
        <v>58</v>
      </c>
      <c r="H32" t="s">
        <v>2956</v>
      </c>
      <c r="I32" t="s">
        <v>2664</v>
      </c>
      <c r="J32" t="s">
        <v>1308</v>
      </c>
      <c r="K32" t="s">
        <v>2665</v>
      </c>
      <c r="L32" t="s">
        <v>2666</v>
      </c>
      <c r="M32" s="3" t="str">
        <f>HYPERLINK(Таблица3[[#This Row],[RelativePath]])</f>
        <v>10 Сушилка навес\E33149364_3_20251118T090849Z.jpg</v>
      </c>
    </row>
    <row r="33" spans="1:13" x14ac:dyDescent="0.25">
      <c r="A33" t="s">
        <v>14</v>
      </c>
      <c r="B33" s="4">
        <v>45979</v>
      </c>
      <c r="C33" s="6">
        <v>0.58296296296296302</v>
      </c>
      <c r="D33" s="2" t="s">
        <v>289</v>
      </c>
      <c r="E33" t="s">
        <v>2927</v>
      </c>
      <c r="F33" t="s">
        <v>58</v>
      </c>
      <c r="H33" t="s">
        <v>2928</v>
      </c>
      <c r="I33" t="s">
        <v>2070</v>
      </c>
      <c r="J33" t="s">
        <v>204</v>
      </c>
      <c r="K33" t="s">
        <v>2071</v>
      </c>
      <c r="L33" t="s">
        <v>2072</v>
      </c>
      <c r="M33" s="3" t="str">
        <f>HYPERLINK(Таблица3[[#This Row],[RelativePath]])</f>
        <v>3 Въезд на базу\E33149364_8_20251118T135928Z.jpg</v>
      </c>
    </row>
    <row r="34" spans="1:13" x14ac:dyDescent="0.25">
      <c r="A34" t="s">
        <v>14</v>
      </c>
      <c r="B34" s="4">
        <v>45979</v>
      </c>
      <c r="C34" s="6">
        <v>0.38665509259259262</v>
      </c>
      <c r="D34" s="2" t="s">
        <v>1616</v>
      </c>
      <c r="E34" t="s">
        <v>70</v>
      </c>
      <c r="F34" t="s">
        <v>58</v>
      </c>
      <c r="H34" t="s">
        <v>2956</v>
      </c>
      <c r="I34" t="s">
        <v>2670</v>
      </c>
      <c r="J34" t="s">
        <v>1308</v>
      </c>
      <c r="K34" t="s">
        <v>2671</v>
      </c>
      <c r="L34" t="s">
        <v>2672</v>
      </c>
      <c r="M34" s="3" t="str">
        <f>HYPERLINK(Таблица3[[#This Row],[RelativePath]])</f>
        <v>10 Сушилка навес\E33149364_3_20251118T091647Z.jpg</v>
      </c>
    </row>
    <row r="35" spans="1:13" x14ac:dyDescent="0.25">
      <c r="A35" t="s">
        <v>14</v>
      </c>
      <c r="B35" s="4">
        <v>45979</v>
      </c>
      <c r="C35" s="6">
        <v>0.3881134259259259</v>
      </c>
      <c r="D35" s="2" t="s">
        <v>1616</v>
      </c>
      <c r="E35" t="s">
        <v>70</v>
      </c>
      <c r="F35" t="s">
        <v>2951</v>
      </c>
      <c r="H35" t="s">
        <v>2956</v>
      </c>
      <c r="I35" t="s">
        <v>2676</v>
      </c>
      <c r="J35" t="s">
        <v>1308</v>
      </c>
      <c r="K35" t="s">
        <v>2677</v>
      </c>
      <c r="L35" t="s">
        <v>2678</v>
      </c>
      <c r="M35" s="3" t="str">
        <f>HYPERLINK(Таблица3[[#This Row],[RelativePath]])</f>
        <v>10 Сушилка навес\E33149364_3_20251118T091853Z.jpg</v>
      </c>
    </row>
    <row r="36" spans="1:13" x14ac:dyDescent="0.25">
      <c r="A36" t="s">
        <v>14</v>
      </c>
      <c r="B36" s="4">
        <v>45979</v>
      </c>
      <c r="C36" s="6">
        <v>0.38765046296296296</v>
      </c>
      <c r="D36" s="2" t="s">
        <v>1616</v>
      </c>
      <c r="E36" t="s">
        <v>70</v>
      </c>
      <c r="F36" t="s">
        <v>2950</v>
      </c>
      <c r="H36" t="s">
        <v>2956</v>
      </c>
      <c r="I36" t="s">
        <v>2673</v>
      </c>
      <c r="J36" t="s">
        <v>1308</v>
      </c>
      <c r="K36" t="s">
        <v>2674</v>
      </c>
      <c r="L36" t="s">
        <v>2675</v>
      </c>
      <c r="M36" s="3" t="str">
        <f>HYPERLINK(Таблица3[[#This Row],[RelativePath]])</f>
        <v>10 Сушилка навес\E33149364_3_20251118T091813Z.jpg</v>
      </c>
    </row>
    <row r="37" spans="1:13" x14ac:dyDescent="0.25">
      <c r="A37" t="s">
        <v>14</v>
      </c>
      <c r="B37" s="4">
        <v>45979</v>
      </c>
      <c r="C37" s="6">
        <v>0.38149305555555557</v>
      </c>
      <c r="D37" s="2" t="s">
        <v>1616</v>
      </c>
      <c r="E37" t="s">
        <v>70</v>
      </c>
      <c r="F37" t="s">
        <v>58</v>
      </c>
      <c r="H37" t="s">
        <v>2956</v>
      </c>
      <c r="I37" t="s">
        <v>2667</v>
      </c>
      <c r="J37" t="s">
        <v>1308</v>
      </c>
      <c r="K37" t="s">
        <v>2668</v>
      </c>
      <c r="L37" t="s">
        <v>2669</v>
      </c>
      <c r="M37" s="3" t="str">
        <f>HYPERLINK(Таблица3[[#This Row],[RelativePath]])</f>
        <v>10 Сушилка навес\E33149364_3_20251118T090921Z.jpg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2957</v>
      </c>
      <c r="I38" t="s">
        <v>2541</v>
      </c>
      <c r="J38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0.43287037037037035</v>
      </c>
      <c r="D39" s="2" t="s">
        <v>466</v>
      </c>
      <c r="E39" t="s">
        <v>2920</v>
      </c>
      <c r="F39" t="s">
        <v>58</v>
      </c>
      <c r="H39" t="s">
        <v>2957</v>
      </c>
      <c r="I39" t="s">
        <v>2697</v>
      </c>
      <c r="J39" t="s">
        <v>1308</v>
      </c>
      <c r="K39" t="s">
        <v>2698</v>
      </c>
      <c r="L39" t="s">
        <v>2534</v>
      </c>
      <c r="M39" s="3" t="str">
        <f>HYPERLINK(Таблица3[[#This Row],[RelativePath]])</f>
        <v>10 Сушилка навес\E33149364_3_20251118T102320Z.jpg</v>
      </c>
    </row>
    <row r="40" spans="1:13" x14ac:dyDescent="0.25">
      <c r="A40" t="s">
        <v>14</v>
      </c>
      <c r="B40" s="4">
        <v>45979</v>
      </c>
      <c r="C40" s="6">
        <v>0.38895833333333335</v>
      </c>
      <c r="D40" s="2" t="s">
        <v>1616</v>
      </c>
      <c r="E40" t="s">
        <v>70</v>
      </c>
      <c r="F40" t="s">
        <v>2952</v>
      </c>
      <c r="H40" t="s">
        <v>2956</v>
      </c>
      <c r="I40" t="s">
        <v>2679</v>
      </c>
      <c r="J40" t="s">
        <v>1308</v>
      </c>
      <c r="K40" t="s">
        <v>2680</v>
      </c>
      <c r="L40" t="s">
        <v>2681</v>
      </c>
      <c r="M40" s="3" t="str">
        <f>HYPERLINK(Таблица3[[#This Row],[RelativePath]])</f>
        <v>10 Сушилка навес\E33149364_3_20251118T092006Z.jpg</v>
      </c>
    </row>
    <row r="41" spans="1:13" x14ac:dyDescent="0.25">
      <c r="A41" t="s">
        <v>14</v>
      </c>
      <c r="B41" s="4">
        <v>45979</v>
      </c>
      <c r="C41" s="6">
        <v>0.43355324074074075</v>
      </c>
      <c r="D41" s="2" t="s">
        <v>1616</v>
      </c>
      <c r="E41" t="s">
        <v>2920</v>
      </c>
      <c r="F41" t="s">
        <v>58</v>
      </c>
      <c r="H41" t="s">
        <v>2957</v>
      </c>
      <c r="I41" t="s">
        <v>2699</v>
      </c>
      <c r="J41" t="s">
        <v>1308</v>
      </c>
      <c r="K41" t="s">
        <v>2700</v>
      </c>
      <c r="L41" t="s">
        <v>2546</v>
      </c>
      <c r="M41" s="3" t="str">
        <f>HYPERLINK(Таблица3[[#This Row],[RelativePath]])</f>
        <v>10 Сушилка навес\E33149364_3_20251118T102419Z.jpg</v>
      </c>
    </row>
    <row r="42" spans="1:13" x14ac:dyDescent="0.25">
      <c r="A42" t="s">
        <v>14</v>
      </c>
      <c r="B42" s="4">
        <v>45979</v>
      </c>
      <c r="C42" s="6">
        <v>0.43384259259259261</v>
      </c>
      <c r="D42" s="2" t="s">
        <v>1616</v>
      </c>
      <c r="E42" t="s">
        <v>2920</v>
      </c>
      <c r="F42" t="s">
        <v>58</v>
      </c>
      <c r="H42" t="s">
        <v>2957</v>
      </c>
      <c r="I42" t="s">
        <v>2701</v>
      </c>
      <c r="J42" t="s">
        <v>1308</v>
      </c>
      <c r="K42" t="s">
        <v>2702</v>
      </c>
      <c r="L42" t="s">
        <v>2703</v>
      </c>
      <c r="M42" s="3" t="str">
        <f>HYPERLINK(Таблица3[[#This Row],[RelativePath]])</f>
        <v>10 Сушилка навес\E33149364_3_20251118T102444Z.jpg</v>
      </c>
    </row>
    <row r="43" spans="1:13" x14ac:dyDescent="0.25">
      <c r="A43" t="s">
        <v>14</v>
      </c>
      <c r="B43" s="4">
        <v>45979</v>
      </c>
      <c r="C43" s="6">
        <v>0.43373842592592593</v>
      </c>
      <c r="D43" s="2" t="s">
        <v>1616</v>
      </c>
      <c r="E43" t="s">
        <v>2920</v>
      </c>
      <c r="F43" t="s">
        <v>58</v>
      </c>
      <c r="H43" t="s">
        <v>2957</v>
      </c>
      <c r="I43" t="s">
        <v>2547</v>
      </c>
      <c r="J43" t="s">
        <v>1628</v>
      </c>
      <c r="K43" t="s">
        <v>2548</v>
      </c>
      <c r="L43" t="s">
        <v>2549</v>
      </c>
      <c r="M43" s="3" t="str">
        <f>HYPERLINK(Таблица3[[#This Row],[RelativePath]])</f>
        <v>11 С ангара на базу\E33149364_4_20251118T102435Z.jpg</v>
      </c>
    </row>
    <row r="44" spans="1:13" x14ac:dyDescent="0.25">
      <c r="A44" t="s">
        <v>14</v>
      </c>
      <c r="B44" s="4">
        <v>45979</v>
      </c>
      <c r="C44" s="6">
        <v>0.4332523148148148</v>
      </c>
      <c r="D44" s="2" t="s">
        <v>1616</v>
      </c>
      <c r="E44" t="s">
        <v>2920</v>
      </c>
      <c r="F44" t="s">
        <v>58</v>
      </c>
      <c r="H44" t="s">
        <v>2957</v>
      </c>
      <c r="I44" t="s">
        <v>2538</v>
      </c>
      <c r="J44" t="s">
        <v>1628</v>
      </c>
      <c r="K44" t="s">
        <v>2539</v>
      </c>
      <c r="L44" t="s">
        <v>2540</v>
      </c>
      <c r="M44" s="3" t="str">
        <f>HYPERLINK(Таблица3[[#This Row],[RelativePath]])</f>
        <v>11 С ангара на базу\E33149364_4_20251118T102353Z.jpg</v>
      </c>
    </row>
    <row r="45" spans="1:13" x14ac:dyDescent="0.25">
      <c r="A45" t="s">
        <v>14</v>
      </c>
      <c r="B45" s="4">
        <v>45979</v>
      </c>
      <c r="C45" s="6">
        <v>0.43306712962962962</v>
      </c>
      <c r="D45" s="2" t="s">
        <v>1616</v>
      </c>
      <c r="E45" t="s">
        <v>2920</v>
      </c>
      <c r="F45" t="s">
        <v>58</v>
      </c>
      <c r="H45" t="s">
        <v>2957</v>
      </c>
      <c r="I45" t="s">
        <v>2535</v>
      </c>
      <c r="J45" t="s">
        <v>1628</v>
      </c>
      <c r="K45" t="s">
        <v>2536</v>
      </c>
      <c r="L45" t="s">
        <v>2537</v>
      </c>
      <c r="M45" s="3" t="str">
        <f>HYPERLINK(Таблица3[[#This Row],[RelativePath]])</f>
        <v>11 С ангара на базу\E33149364_4_20251118T102337Z.jpg</v>
      </c>
    </row>
    <row r="46" spans="1:13" x14ac:dyDescent="0.25">
      <c r="A46" t="s">
        <v>14</v>
      </c>
      <c r="B46" s="4">
        <v>45979</v>
      </c>
      <c r="C46" s="6">
        <v>0.43386574074074075</v>
      </c>
      <c r="D46" s="2" t="s">
        <v>1616</v>
      </c>
      <c r="E46" t="s">
        <v>2920</v>
      </c>
      <c r="F46" t="s">
        <v>58</v>
      </c>
      <c r="H46" t="s">
        <v>2957</v>
      </c>
      <c r="I46" t="s">
        <v>2550</v>
      </c>
      <c r="J46" t="s">
        <v>1628</v>
      </c>
      <c r="K46" t="s">
        <v>2551</v>
      </c>
      <c r="L46" t="s">
        <v>2552</v>
      </c>
      <c r="M46" s="3" t="str">
        <f>HYPERLINK(Таблица3[[#This Row],[RelativePath]])</f>
        <v>11 С ангара на базу\E33149364_4_20251118T102446Z.jpg</v>
      </c>
    </row>
    <row r="47" spans="1:13" x14ac:dyDescent="0.25">
      <c r="A47" t="s">
        <v>15</v>
      </c>
      <c r="B47" s="4">
        <v>45980</v>
      </c>
      <c r="C47" s="6">
        <v>0.46342592592592591</v>
      </c>
      <c r="D47" s="2" t="s">
        <v>1616</v>
      </c>
      <c r="E47" t="s">
        <v>70</v>
      </c>
      <c r="F47" t="s">
        <v>58</v>
      </c>
      <c r="H47" t="s">
        <v>2956</v>
      </c>
      <c r="I47" t="s">
        <v>2737</v>
      </c>
      <c r="J47" t="s">
        <v>1308</v>
      </c>
      <c r="K47" t="s">
        <v>2738</v>
      </c>
      <c r="L47" t="s">
        <v>2739</v>
      </c>
      <c r="M47" s="3" t="str">
        <f>HYPERLINK(Таблица3[[#This Row],[RelativePath]])</f>
        <v>10 Сушилка навес\E33149364_3_20251119T110720Z.jpg</v>
      </c>
    </row>
    <row r="48" spans="1:13" x14ac:dyDescent="0.25">
      <c r="A48" t="s">
        <v>15</v>
      </c>
      <c r="B48" s="4">
        <v>45980</v>
      </c>
      <c r="C48" s="6">
        <v>0.47151620370370373</v>
      </c>
      <c r="D48" s="2" t="s">
        <v>1616</v>
      </c>
      <c r="E48" t="s">
        <v>70</v>
      </c>
      <c r="F48" t="s">
        <v>58</v>
      </c>
      <c r="H48" t="s">
        <v>2956</v>
      </c>
      <c r="I48" t="s">
        <v>2758</v>
      </c>
      <c r="J48" t="s">
        <v>1308</v>
      </c>
      <c r="K48" t="s">
        <v>2759</v>
      </c>
      <c r="L48" t="s">
        <v>2760</v>
      </c>
      <c r="M48" s="3" t="str">
        <f>HYPERLINK(Таблица3[[#This Row],[RelativePath]])</f>
        <v>10 Сушилка навес\E33149364_3_20251119T111859Z.jpg</v>
      </c>
    </row>
    <row r="49" spans="1:13" x14ac:dyDescent="0.25">
      <c r="A49" t="s">
        <v>15</v>
      </c>
      <c r="B49" s="4">
        <v>45980</v>
      </c>
      <c r="C49" s="6">
        <v>0.46206018518518521</v>
      </c>
      <c r="D49" s="2" t="s">
        <v>1616</v>
      </c>
      <c r="E49" t="s">
        <v>70</v>
      </c>
      <c r="F49" t="s">
        <v>58</v>
      </c>
      <c r="H49" t="s">
        <v>2956</v>
      </c>
      <c r="I49" t="s">
        <v>2734</v>
      </c>
      <c r="J49" t="s">
        <v>1308</v>
      </c>
      <c r="K49" t="s">
        <v>2735</v>
      </c>
      <c r="L49" t="s">
        <v>2736</v>
      </c>
      <c r="M49" s="3" t="str">
        <f>HYPERLINK(Таблица3[[#This Row],[RelativePath]])</f>
        <v>10 Сушилка навес\E33149364_3_20251119T110522Z.jpg</v>
      </c>
    </row>
    <row r="50" spans="1:13" x14ac:dyDescent="0.25">
      <c r="A50" t="s">
        <v>15</v>
      </c>
      <c r="B50" s="4">
        <v>45980</v>
      </c>
      <c r="C50" s="6">
        <v>0.46673611111111113</v>
      </c>
      <c r="D50" s="2" t="s">
        <v>1616</v>
      </c>
      <c r="E50" t="s">
        <v>70</v>
      </c>
      <c r="F50" t="s">
        <v>58</v>
      </c>
      <c r="H50" t="s">
        <v>2956</v>
      </c>
      <c r="I50" t="s">
        <v>2746</v>
      </c>
      <c r="J50" t="s">
        <v>1308</v>
      </c>
      <c r="K50" t="s">
        <v>2747</v>
      </c>
      <c r="L50" t="s">
        <v>2748</v>
      </c>
      <c r="M50" s="3" t="str">
        <f>HYPERLINK(Таблица3[[#This Row],[RelativePath]])</f>
        <v>10 Сушилка навес\E33149364_3_20251119T111206Z.jpg</v>
      </c>
    </row>
    <row r="51" spans="1:13" x14ac:dyDescent="0.25">
      <c r="A51" t="s">
        <v>15</v>
      </c>
      <c r="B51" s="4">
        <v>45980</v>
      </c>
      <c r="C51" s="6">
        <v>0.46177083333333335</v>
      </c>
      <c r="D51" s="2" t="s">
        <v>466</v>
      </c>
      <c r="E51" t="s">
        <v>70</v>
      </c>
      <c r="F51" t="s">
        <v>58</v>
      </c>
      <c r="H51" t="s">
        <v>2956</v>
      </c>
      <c r="I51" t="s">
        <v>2731</v>
      </c>
      <c r="J51" t="s">
        <v>1308</v>
      </c>
      <c r="K51" t="s">
        <v>2732</v>
      </c>
      <c r="L51" t="s">
        <v>2733</v>
      </c>
      <c r="M51" s="3" t="str">
        <f>HYPERLINK(Таблица3[[#This Row],[RelativePath]])</f>
        <v>10 Сушилка навес\E33149364_3_20251119T110457Z.jpg</v>
      </c>
    </row>
    <row r="52" spans="1:13" x14ac:dyDescent="0.25">
      <c r="A52" t="s">
        <v>15</v>
      </c>
      <c r="B52" s="4">
        <v>45980</v>
      </c>
      <c r="C52" s="6">
        <v>0.46755787037037039</v>
      </c>
      <c r="D52" s="2" t="s">
        <v>1616</v>
      </c>
      <c r="E52" t="s">
        <v>70</v>
      </c>
      <c r="F52" t="s">
        <v>58</v>
      </c>
      <c r="H52" t="s">
        <v>2956</v>
      </c>
      <c r="I52" t="s">
        <v>2752</v>
      </c>
      <c r="J52" t="s">
        <v>1308</v>
      </c>
      <c r="K52" t="s">
        <v>2753</v>
      </c>
      <c r="L52" t="s">
        <v>2754</v>
      </c>
      <c r="M52" s="3" t="str">
        <f>HYPERLINK(Таблица3[[#This Row],[RelativePath]])</f>
        <v>10 Сушилка навес\E33149364_3_20251119T111317Z.jpg</v>
      </c>
    </row>
    <row r="53" spans="1:13" x14ac:dyDescent="0.25">
      <c r="A53" t="s">
        <v>15</v>
      </c>
      <c r="B53" s="4">
        <v>45980</v>
      </c>
      <c r="C53" s="6">
        <v>0.46975694444444444</v>
      </c>
      <c r="D53" s="2" t="s">
        <v>1616</v>
      </c>
      <c r="E53" t="s">
        <v>70</v>
      </c>
      <c r="F53" t="s">
        <v>58</v>
      </c>
      <c r="H53" t="s">
        <v>2956</v>
      </c>
      <c r="I53" t="s">
        <v>2755</v>
      </c>
      <c r="J53" t="s">
        <v>1308</v>
      </c>
      <c r="K53" t="s">
        <v>2756</v>
      </c>
      <c r="L53" t="s">
        <v>2757</v>
      </c>
      <c r="M53" s="3" t="str">
        <f>HYPERLINK(Таблица3[[#This Row],[RelativePath]])</f>
        <v>10 Сушилка навес\E33149364_3_20251119T111627Z.jpg</v>
      </c>
    </row>
    <row r="54" spans="1:13" x14ac:dyDescent="0.25">
      <c r="A54" t="s">
        <v>15</v>
      </c>
      <c r="B54" s="4">
        <v>45980</v>
      </c>
      <c r="C54" s="6">
        <v>0.46688657407407408</v>
      </c>
      <c r="D54" s="2" t="s">
        <v>1616</v>
      </c>
      <c r="E54" t="s">
        <v>70</v>
      </c>
      <c r="F54" t="s">
        <v>58</v>
      </c>
      <c r="H54" t="s">
        <v>2956</v>
      </c>
      <c r="I54" t="s">
        <v>2749</v>
      </c>
      <c r="J54" t="s">
        <v>1308</v>
      </c>
      <c r="K54" t="s">
        <v>2750</v>
      </c>
      <c r="L54" t="s">
        <v>2751</v>
      </c>
      <c r="M54" s="3" t="str">
        <f>HYPERLINK(Таблица3[[#This Row],[RelativePath]])</f>
        <v>10 Сушилка навес\E33149364_3_20251119T111219Z.jpg</v>
      </c>
    </row>
    <row r="55" spans="1:13" x14ac:dyDescent="0.25">
      <c r="A55" t="s">
        <v>15</v>
      </c>
      <c r="B55" s="4">
        <v>45980</v>
      </c>
      <c r="C55" s="6">
        <v>0.47458333333333336</v>
      </c>
      <c r="D55" s="2" t="s">
        <v>1616</v>
      </c>
      <c r="E55" t="s">
        <v>70</v>
      </c>
      <c r="F55" t="s">
        <v>2962</v>
      </c>
      <c r="H55" t="s">
        <v>2956</v>
      </c>
      <c r="I55" t="s">
        <v>2764</v>
      </c>
      <c r="J55" t="s">
        <v>1308</v>
      </c>
      <c r="K55" t="s">
        <v>2765</v>
      </c>
      <c r="L55" t="s">
        <v>2766</v>
      </c>
      <c r="M55" s="3" t="str">
        <f>HYPERLINK(Таблица3[[#This Row],[RelativePath]])</f>
        <v>10 Сушилка навес\E33149364_3_20251119T112324Z.jpg</v>
      </c>
    </row>
    <row r="56" spans="1:13" x14ac:dyDescent="0.25">
      <c r="A56" t="s">
        <v>15</v>
      </c>
      <c r="B56" s="4">
        <v>45980</v>
      </c>
      <c r="C56" s="6">
        <v>0.47570601851851851</v>
      </c>
      <c r="D56" s="2" t="s">
        <v>1616</v>
      </c>
      <c r="E56" t="s">
        <v>70</v>
      </c>
      <c r="F56" t="s">
        <v>58</v>
      </c>
      <c r="H56" t="s">
        <v>2963</v>
      </c>
      <c r="I56" t="s">
        <v>2767</v>
      </c>
      <c r="J56" t="s">
        <v>1308</v>
      </c>
      <c r="K56" t="s">
        <v>2768</v>
      </c>
      <c r="L56" t="s">
        <v>2769</v>
      </c>
      <c r="M56" s="3" t="str">
        <f>HYPERLINK(Таблица3[[#This Row],[RelativePath]])</f>
        <v>10 Сушилка навес\E33149364_3_20251119T112501Z.jpg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2956</v>
      </c>
      <c r="I57" t="s">
        <v>2743</v>
      </c>
      <c r="J57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0.47793981481481479</v>
      </c>
      <c r="D58" s="2" t="s">
        <v>1616</v>
      </c>
      <c r="E58" t="s">
        <v>70</v>
      </c>
      <c r="F58" t="s">
        <v>58</v>
      </c>
      <c r="H58" t="s">
        <v>2963</v>
      </c>
      <c r="I58" t="s">
        <v>2773</v>
      </c>
      <c r="J58" t="s">
        <v>1308</v>
      </c>
      <c r="K58" t="s">
        <v>2774</v>
      </c>
      <c r="L58" t="s">
        <v>2775</v>
      </c>
      <c r="M58" s="3" t="str">
        <f>HYPERLINK(Таблица3[[#This Row],[RelativePath]])</f>
        <v>10 Сушилка навес\E33149364_3_20251119T112814Z.jpg</v>
      </c>
    </row>
    <row r="59" spans="1:13" x14ac:dyDescent="0.25">
      <c r="A59" t="s">
        <v>15</v>
      </c>
      <c r="B59" s="4">
        <v>45980</v>
      </c>
      <c r="C59" s="6">
        <v>0.47957175925925927</v>
      </c>
      <c r="D59" s="2" t="s">
        <v>1616</v>
      </c>
      <c r="E59" t="s">
        <v>70</v>
      </c>
      <c r="F59" t="s">
        <v>2962</v>
      </c>
      <c r="H59" t="s">
        <v>2957</v>
      </c>
      <c r="I59" t="s">
        <v>2791</v>
      </c>
      <c r="J59" t="s">
        <v>1308</v>
      </c>
      <c r="K59" t="s">
        <v>2792</v>
      </c>
      <c r="L59" t="s">
        <v>2793</v>
      </c>
      <c r="M59" s="3" t="str">
        <f>HYPERLINK(Таблица3[[#This Row],[RelativePath]])</f>
        <v>10 Сушилка навес\E33149364_3_20251119T113035Z.jpg</v>
      </c>
    </row>
    <row r="60" spans="1:13" x14ac:dyDescent="0.25">
      <c r="A60" t="s">
        <v>15</v>
      </c>
      <c r="B60" s="4">
        <v>45980</v>
      </c>
      <c r="C60" s="6">
        <v>0.47585648148148146</v>
      </c>
      <c r="D60" s="2" t="s">
        <v>1616</v>
      </c>
      <c r="E60" t="s">
        <v>70</v>
      </c>
      <c r="F60" t="s">
        <v>58</v>
      </c>
      <c r="H60" t="s">
        <v>2963</v>
      </c>
      <c r="I60" t="s">
        <v>2770</v>
      </c>
      <c r="J60" t="s">
        <v>1308</v>
      </c>
      <c r="K60" t="s">
        <v>2771</v>
      </c>
      <c r="L60" t="s">
        <v>2772</v>
      </c>
      <c r="M60" s="3" t="str">
        <f>HYPERLINK(Таблица3[[#This Row],[RelativePath]])</f>
        <v>10 Сушилка навес\E33149364_3_20251119T112514Z.jpg</v>
      </c>
    </row>
    <row r="61" spans="1:13" x14ac:dyDescent="0.25">
      <c r="A61" t="s">
        <v>15</v>
      </c>
      <c r="B61" s="4">
        <v>45980</v>
      </c>
      <c r="C61" s="6">
        <v>0.47888888888888886</v>
      </c>
      <c r="D61" s="2" t="s">
        <v>1616</v>
      </c>
      <c r="E61" t="s">
        <v>70</v>
      </c>
      <c r="F61" t="s">
        <v>2962</v>
      </c>
      <c r="H61" t="s">
        <v>2957</v>
      </c>
      <c r="I61" t="s">
        <v>2779</v>
      </c>
      <c r="J61" t="s">
        <v>1308</v>
      </c>
      <c r="K61" t="s">
        <v>2780</v>
      </c>
      <c r="L61" t="s">
        <v>2781</v>
      </c>
      <c r="M61" s="3" t="str">
        <f>HYPERLINK(Таблица3[[#This Row],[RelativePath]])</f>
        <v>10 Сушилка навес\E33149364_3_20251119T112936Z.jpg</v>
      </c>
    </row>
    <row r="62" spans="1:13" x14ac:dyDescent="0.25">
      <c r="A62" t="s">
        <v>15</v>
      </c>
      <c r="B62" s="4">
        <v>45980</v>
      </c>
      <c r="C62" s="6">
        <v>0.47864583333333333</v>
      </c>
      <c r="D62" s="2" t="s">
        <v>1616</v>
      </c>
      <c r="E62" t="s">
        <v>70</v>
      </c>
      <c r="F62" t="s">
        <v>58</v>
      </c>
      <c r="H62" t="s">
        <v>2957</v>
      </c>
      <c r="I62" t="s">
        <v>2776</v>
      </c>
      <c r="J62" t="s">
        <v>1308</v>
      </c>
      <c r="K62" t="s">
        <v>2777</v>
      </c>
      <c r="L62" t="s">
        <v>2778</v>
      </c>
      <c r="M62" s="3" t="str">
        <f>HYPERLINK(Таблица3[[#This Row],[RelativePath]])</f>
        <v>10 Сушилка навес\E33149364_3_20251119T112915Z.jpg</v>
      </c>
    </row>
    <row r="63" spans="1:13" x14ac:dyDescent="0.25">
      <c r="A63" t="s">
        <v>15</v>
      </c>
      <c r="B63" s="4">
        <v>45980</v>
      </c>
      <c r="C63" s="6">
        <v>0.47940972222222222</v>
      </c>
      <c r="D63" s="2" t="s">
        <v>1616</v>
      </c>
      <c r="E63" t="s">
        <v>70</v>
      </c>
      <c r="F63" t="s">
        <v>2962</v>
      </c>
      <c r="H63" t="s">
        <v>2957</v>
      </c>
      <c r="I63" t="s">
        <v>2785</v>
      </c>
      <c r="J63" t="s">
        <v>1308</v>
      </c>
      <c r="K63" t="s">
        <v>2786</v>
      </c>
      <c r="L63" t="s">
        <v>2787</v>
      </c>
      <c r="M63" s="3" t="str">
        <f>HYPERLINK(Таблица3[[#This Row],[RelativePath]])</f>
        <v>10 Сушилка навес\E33149364_3_20251119T113021Z.jpg</v>
      </c>
    </row>
    <row r="64" spans="1:13" x14ac:dyDescent="0.25">
      <c r="A64" t="s">
        <v>15</v>
      </c>
      <c r="B64" s="4">
        <v>45980</v>
      </c>
      <c r="C64" s="6">
        <v>0.46491898148148147</v>
      </c>
      <c r="D64" s="2" t="s">
        <v>1616</v>
      </c>
      <c r="E64" t="s">
        <v>70</v>
      </c>
      <c r="F64" t="s">
        <v>58</v>
      </c>
      <c r="H64" t="s">
        <v>2956</v>
      </c>
      <c r="I64" t="s">
        <v>2740</v>
      </c>
      <c r="J64" t="s">
        <v>1308</v>
      </c>
      <c r="K64" t="s">
        <v>2741</v>
      </c>
      <c r="L64" t="s">
        <v>2742</v>
      </c>
      <c r="M64" s="3" t="str">
        <f>HYPERLINK(Таблица3[[#This Row],[RelativePath]])</f>
        <v>10 Сушилка навес\E33149364_3_20251119T110929Z.jpg</v>
      </c>
    </row>
    <row r="65" spans="1:13" x14ac:dyDescent="0.25">
      <c r="A65" t="s">
        <v>15</v>
      </c>
      <c r="B65" s="4">
        <v>45980</v>
      </c>
      <c r="C65" s="6">
        <v>0.4790625</v>
      </c>
      <c r="D65" s="2" t="s">
        <v>1616</v>
      </c>
      <c r="E65" t="s">
        <v>70</v>
      </c>
      <c r="F65" t="s">
        <v>2962</v>
      </c>
      <c r="H65" t="s">
        <v>2957</v>
      </c>
      <c r="I65" t="s">
        <v>2782</v>
      </c>
      <c r="J65" t="s">
        <v>1308</v>
      </c>
      <c r="K65" t="s">
        <v>2783</v>
      </c>
      <c r="L65" t="s">
        <v>2784</v>
      </c>
      <c r="M65" s="3" t="str">
        <f>HYPERLINK(Таблица3[[#This Row],[RelativePath]])</f>
        <v>10 Сушилка навес\E33149364_3_20251119T112951Z.jpg</v>
      </c>
    </row>
    <row r="66" spans="1:13" x14ac:dyDescent="0.25">
      <c r="A66" t="s">
        <v>15</v>
      </c>
      <c r="B66" s="4">
        <v>45980</v>
      </c>
      <c r="C66" s="6">
        <v>0.47385416666666669</v>
      </c>
      <c r="D66" s="2" t="s">
        <v>1616</v>
      </c>
      <c r="E66" t="s">
        <v>70</v>
      </c>
      <c r="F66" t="s">
        <v>58</v>
      </c>
      <c r="H66" t="s">
        <v>2963</v>
      </c>
      <c r="I66" t="s">
        <v>2761</v>
      </c>
      <c r="J66" t="s">
        <v>1308</v>
      </c>
      <c r="K66" t="s">
        <v>2762</v>
      </c>
      <c r="L66" t="s">
        <v>2763</v>
      </c>
      <c r="M66" s="3" t="str">
        <f>HYPERLINK(Таблица3[[#This Row],[RelativePath]])</f>
        <v>10 Сушилка навес\E33149364_3_20251119T112221Z.jpg</v>
      </c>
    </row>
    <row r="67" spans="1:13" x14ac:dyDescent="0.25">
      <c r="A67" t="s">
        <v>15</v>
      </c>
      <c r="B67" s="4">
        <v>45980</v>
      </c>
      <c r="C67" s="6">
        <v>0.47950231481481481</v>
      </c>
      <c r="D67" s="2" t="s">
        <v>1616</v>
      </c>
      <c r="E67" t="s">
        <v>70</v>
      </c>
      <c r="F67" t="s">
        <v>2962</v>
      </c>
      <c r="H67" t="s">
        <v>2957</v>
      </c>
      <c r="I67" t="s">
        <v>2788</v>
      </c>
      <c r="J67" t="s">
        <v>1308</v>
      </c>
      <c r="K67" t="s">
        <v>2789</v>
      </c>
      <c r="L67" t="s">
        <v>2790</v>
      </c>
      <c r="M67" s="3" t="str">
        <f>HYPERLINK(Таблица3[[#This Row],[RelativePath]])</f>
        <v>10 Сушилка навес\E33149364_3_20251119T113029Z.jpg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t="s">
        <v>2082</v>
      </c>
      <c r="J68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0.63023148148148145</v>
      </c>
      <c r="D69" s="2" t="s">
        <v>289</v>
      </c>
      <c r="E69" t="s">
        <v>70</v>
      </c>
      <c r="F69" t="s">
        <v>58</v>
      </c>
      <c r="H69" t="s">
        <v>2936</v>
      </c>
      <c r="I69" t="s">
        <v>3946</v>
      </c>
      <c r="J69" t="s">
        <v>2985</v>
      </c>
      <c r="K69" t="s">
        <v>3947</v>
      </c>
      <c r="L69" t="s">
        <v>3948</v>
      </c>
      <c r="M69" s="3" t="str">
        <f>HYPERLINK(Таблица3[[#This Row],[RelativePath]])</f>
        <v>10 Сушилка навес\E33149364_3_20251125T150732Z.jpg</v>
      </c>
    </row>
    <row r="70" spans="1:13" x14ac:dyDescent="0.25">
      <c r="A70" t="s">
        <v>14</v>
      </c>
      <c r="B70" s="4">
        <v>45986</v>
      </c>
      <c r="C70" s="6">
        <v>0.6300810185185185</v>
      </c>
      <c r="D70" s="2" t="s">
        <v>289</v>
      </c>
      <c r="E70" t="s">
        <v>70</v>
      </c>
      <c r="F70" t="s">
        <v>58</v>
      </c>
      <c r="H70" t="s">
        <v>2936</v>
      </c>
      <c r="I70" t="s">
        <v>3943</v>
      </c>
      <c r="J70" t="s">
        <v>2985</v>
      </c>
      <c r="K70" t="s">
        <v>3944</v>
      </c>
      <c r="L70" t="s">
        <v>3945</v>
      </c>
      <c r="M70" s="3" t="str">
        <f>HYPERLINK(Таблица3[[#This Row],[RelativePath]])</f>
        <v>10 Сушилка навес\E33149364_3_20251125T150719Z.jpg</v>
      </c>
    </row>
    <row r="71" spans="1:13" x14ac:dyDescent="0.25">
      <c r="A71" t="s">
        <v>14</v>
      </c>
      <c r="B71" s="4">
        <v>45986</v>
      </c>
      <c r="C71" s="6">
        <v>0.6318287037037037</v>
      </c>
      <c r="D71" s="2" t="s">
        <v>289</v>
      </c>
      <c r="E71" t="s">
        <v>70</v>
      </c>
      <c r="F71" t="s">
        <v>4233</v>
      </c>
      <c r="H71" t="s">
        <v>1618</v>
      </c>
      <c r="I71" t="s">
        <v>3955</v>
      </c>
      <c r="J71" t="s">
        <v>2985</v>
      </c>
      <c r="K71" t="s">
        <v>3956</v>
      </c>
      <c r="L71" t="s">
        <v>3957</v>
      </c>
      <c r="M71" s="3" t="str">
        <f>HYPERLINK(Таблица3[[#This Row],[RelativePath]])</f>
        <v>10 Сушилка навес\E33149364_3_20251125T150950Z.jpg</v>
      </c>
    </row>
    <row r="72" spans="1:13" x14ac:dyDescent="0.25">
      <c r="A72" t="s">
        <v>14</v>
      </c>
      <c r="B72" s="4">
        <v>45986</v>
      </c>
      <c r="C72" s="6">
        <v>0.6305439814814815</v>
      </c>
      <c r="D72" s="2" t="s">
        <v>289</v>
      </c>
      <c r="E72" t="s">
        <v>70</v>
      </c>
      <c r="F72" t="s">
        <v>58</v>
      </c>
      <c r="H72" t="s">
        <v>2936</v>
      </c>
      <c r="I72" t="s">
        <v>3949</v>
      </c>
      <c r="J72" t="s">
        <v>2985</v>
      </c>
      <c r="K72" t="s">
        <v>3950</v>
      </c>
      <c r="L72" t="s">
        <v>3951</v>
      </c>
      <c r="M72" s="3" t="str">
        <f>HYPERLINK(Таблица3[[#This Row],[RelativePath]])</f>
        <v>10 Сушилка навес\E33149364_3_20251125T150759Z.jpg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t="s">
        <v>3934</v>
      </c>
      <c r="J73" t="s">
        <v>2985</v>
      </c>
      <c r="K73" t="s">
        <v>3935</v>
      </c>
      <c r="L73" t="s">
        <v>3936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0.62843749999999998</v>
      </c>
      <c r="D74" s="2" t="s">
        <v>289</v>
      </c>
      <c r="E74" t="s">
        <v>70</v>
      </c>
      <c r="F74" t="s">
        <v>58</v>
      </c>
      <c r="H74" t="s">
        <v>2936</v>
      </c>
      <c r="I74" t="s">
        <v>3931</v>
      </c>
      <c r="J74" t="s">
        <v>2985</v>
      </c>
      <c r="K74" t="s">
        <v>3932</v>
      </c>
      <c r="L74" t="s">
        <v>3933</v>
      </c>
      <c r="M74" s="3" t="str">
        <f>HYPERLINK(Таблица3[[#This Row],[RelativePath]])</f>
        <v>10 Сушилка навес\E33149364_3_20251125T150457Z.jpg</v>
      </c>
    </row>
    <row r="75" spans="1:13" x14ac:dyDescent="0.25">
      <c r="A75" t="s">
        <v>14</v>
      </c>
      <c r="B75" s="4">
        <v>45986</v>
      </c>
      <c r="C75" s="6">
        <v>0.62989583333333332</v>
      </c>
      <c r="D75" s="2" t="s">
        <v>289</v>
      </c>
      <c r="E75" t="s">
        <v>70</v>
      </c>
      <c r="F75" t="s">
        <v>58</v>
      </c>
      <c r="H75" t="s">
        <v>2936</v>
      </c>
      <c r="I75" t="s">
        <v>3940</v>
      </c>
      <c r="J75" t="s">
        <v>2985</v>
      </c>
      <c r="K75" t="s">
        <v>3941</v>
      </c>
      <c r="L75" t="s">
        <v>3942</v>
      </c>
      <c r="M75" s="3" t="str">
        <f>HYPERLINK(Таблица3[[#This Row],[RelativePath]])</f>
        <v>10 Сушилка навес\E33149364_3_20251125T150703Z.jpg</v>
      </c>
    </row>
    <row r="76" spans="1:13" x14ac:dyDescent="0.25">
      <c r="A76" t="s">
        <v>14</v>
      </c>
      <c r="B76" s="4">
        <v>45986</v>
      </c>
      <c r="C76" s="6">
        <v>0.62981481481481483</v>
      </c>
      <c r="D76" s="2" t="s">
        <v>289</v>
      </c>
      <c r="E76" t="s">
        <v>70</v>
      </c>
      <c r="F76" t="s">
        <v>58</v>
      </c>
      <c r="H76" t="s">
        <v>2936</v>
      </c>
      <c r="I76" t="s">
        <v>3937</v>
      </c>
      <c r="J76" t="s">
        <v>2985</v>
      </c>
      <c r="K76" t="s">
        <v>3938</v>
      </c>
      <c r="L76" t="s">
        <v>3939</v>
      </c>
      <c r="M76" s="3" t="str">
        <f>HYPERLINK(Таблица3[[#This Row],[RelativePath]])</f>
        <v>10 Сушилка навес\E33149364_3_20251125T150656Z.jpg</v>
      </c>
    </row>
    <row r="77" spans="1:13" x14ac:dyDescent="0.25">
      <c r="A77" t="s">
        <v>14</v>
      </c>
      <c r="B77" s="4">
        <v>45986</v>
      </c>
      <c r="C77" s="6">
        <v>0.62826388888888884</v>
      </c>
      <c r="D77" s="2" t="s">
        <v>289</v>
      </c>
      <c r="E77" t="s">
        <v>70</v>
      </c>
      <c r="F77" t="s">
        <v>58</v>
      </c>
      <c r="H77" t="s">
        <v>1620</v>
      </c>
      <c r="I77" t="s">
        <v>3928</v>
      </c>
      <c r="J77" t="s">
        <v>2985</v>
      </c>
      <c r="K77" t="s">
        <v>3929</v>
      </c>
      <c r="L77" t="s">
        <v>3930</v>
      </c>
      <c r="M77" s="3" t="str">
        <f>HYPERLINK(Таблица3[[#This Row],[RelativePath]])</f>
        <v>10 Сушилка навес\E33149364_3_20251125T150442Z.jpg</v>
      </c>
    </row>
    <row r="78" spans="1:13" x14ac:dyDescent="0.25">
      <c r="A78" t="s">
        <v>15</v>
      </c>
      <c r="B78" s="4">
        <v>45987</v>
      </c>
      <c r="C78" s="6">
        <v>0.4478125</v>
      </c>
      <c r="D78" s="2" t="s">
        <v>289</v>
      </c>
      <c r="E78" t="s">
        <v>4192</v>
      </c>
      <c r="F78" t="s">
        <v>58</v>
      </c>
      <c r="H78" t="s">
        <v>2936</v>
      </c>
      <c r="I78" t="s">
        <v>4010</v>
      </c>
      <c r="J78" t="s">
        <v>2985</v>
      </c>
      <c r="K78" t="s">
        <v>4011</v>
      </c>
      <c r="L78" t="s">
        <v>4012</v>
      </c>
      <c r="M78" s="3" t="str">
        <f>HYPERLINK(Таблица3[[#This Row],[RelativePath]])</f>
        <v>10 Сушилка навес\E33149364_3_20251126T104451Z.jpg</v>
      </c>
    </row>
    <row r="79" spans="1:13" x14ac:dyDescent="0.25">
      <c r="A79" t="s">
        <v>15</v>
      </c>
      <c r="B79" s="4">
        <v>45987</v>
      </c>
      <c r="C79" s="6">
        <v>0.44372685185185184</v>
      </c>
      <c r="D79" s="2" t="s">
        <v>289</v>
      </c>
      <c r="E79" t="s">
        <v>4192</v>
      </c>
      <c r="F79" t="s">
        <v>58</v>
      </c>
      <c r="I79" t="s">
        <v>3989</v>
      </c>
      <c r="J79" t="s">
        <v>2985</v>
      </c>
      <c r="K79" t="s">
        <v>3990</v>
      </c>
      <c r="L79" t="s">
        <v>3991</v>
      </c>
      <c r="M79" s="3" t="str">
        <f>HYPERLINK(Таблица3[[#This Row],[RelativePath]])</f>
        <v>10 Сушилка навес\E33149364_3_20251126T103858Z.jpg</v>
      </c>
    </row>
    <row r="80" spans="1:13" x14ac:dyDescent="0.25">
      <c r="A80" t="s">
        <v>15</v>
      </c>
      <c r="B80" s="4">
        <v>45987</v>
      </c>
      <c r="C80" s="6">
        <v>0.44473379629629628</v>
      </c>
      <c r="D80" s="2" t="s">
        <v>289</v>
      </c>
      <c r="E80" t="s">
        <v>4192</v>
      </c>
      <c r="F80" t="s">
        <v>58</v>
      </c>
      <c r="H80" t="s">
        <v>2936</v>
      </c>
      <c r="I80" t="s">
        <v>3992</v>
      </c>
      <c r="J80" t="s">
        <v>2985</v>
      </c>
      <c r="K80" t="s">
        <v>3993</v>
      </c>
      <c r="L80" t="s">
        <v>3994</v>
      </c>
      <c r="M80" s="3" t="str">
        <f>HYPERLINK(Таблица3[[#This Row],[RelativePath]])</f>
        <v>10 Сушилка навес\E33149364_3_20251126T104025Z.jpg</v>
      </c>
    </row>
    <row r="81" spans="1:13" x14ac:dyDescent="0.25">
      <c r="A81" t="s">
        <v>15</v>
      </c>
      <c r="B81" s="4">
        <v>45987</v>
      </c>
      <c r="C81" s="6">
        <v>0.44495370370370368</v>
      </c>
      <c r="D81" s="2" t="s">
        <v>289</v>
      </c>
      <c r="E81" t="s">
        <v>4192</v>
      </c>
      <c r="F81" t="s">
        <v>58</v>
      </c>
      <c r="H81" t="s">
        <v>2936</v>
      </c>
      <c r="I81" t="s">
        <v>3995</v>
      </c>
      <c r="J81" t="s">
        <v>2985</v>
      </c>
      <c r="K81" t="s">
        <v>3996</v>
      </c>
      <c r="L81" t="s">
        <v>3997</v>
      </c>
      <c r="M81" s="3" t="str">
        <f>HYPERLINK(Таблица3[[#This Row],[RelativePath]])</f>
        <v>10 Сушилка навес\E33149364_3_20251126T104044Z.jpg</v>
      </c>
    </row>
    <row r="82" spans="1:13" x14ac:dyDescent="0.25">
      <c r="A82" t="s">
        <v>15</v>
      </c>
      <c r="B82" s="4">
        <v>45987</v>
      </c>
      <c r="C82" s="6">
        <v>0.44767361111111109</v>
      </c>
      <c r="D82" s="2" t="s">
        <v>289</v>
      </c>
      <c r="E82" t="s">
        <v>4192</v>
      </c>
      <c r="F82" t="s">
        <v>58</v>
      </c>
      <c r="H82" t="s">
        <v>2936</v>
      </c>
      <c r="I82" t="s">
        <v>4007</v>
      </c>
      <c r="J82" t="s">
        <v>2985</v>
      </c>
      <c r="K82" t="s">
        <v>4008</v>
      </c>
      <c r="L82" t="s">
        <v>4009</v>
      </c>
      <c r="M82" s="3" t="str">
        <f>HYPERLINK(Таблица3[[#This Row],[RelativePath]])</f>
        <v>10 Сушилка навес\E33149364_3_20251126T104439Z.jpg</v>
      </c>
    </row>
    <row r="83" spans="1:13" x14ac:dyDescent="0.25">
      <c r="A83" t="s">
        <v>15</v>
      </c>
      <c r="B83" s="4">
        <v>45987</v>
      </c>
      <c r="C83" s="6">
        <v>0.44226851851851851</v>
      </c>
      <c r="D83" s="2" t="s">
        <v>289</v>
      </c>
      <c r="E83" t="s">
        <v>4192</v>
      </c>
      <c r="F83" t="s">
        <v>58</v>
      </c>
      <c r="H83" t="s">
        <v>2936</v>
      </c>
      <c r="I83" t="s">
        <v>3971</v>
      </c>
      <c r="J83" t="s">
        <v>2985</v>
      </c>
      <c r="K83" t="s">
        <v>3972</v>
      </c>
      <c r="L83" t="s">
        <v>3973</v>
      </c>
      <c r="M83" s="3" t="str">
        <f>HYPERLINK(Таблица3[[#This Row],[RelativePath]])</f>
        <v>10 Сушилка навес\E33149364_3_20251126T103652Z.jpg</v>
      </c>
    </row>
    <row r="84" spans="1:13" x14ac:dyDescent="0.25">
      <c r="A84" t="s">
        <v>15</v>
      </c>
      <c r="B84" s="4">
        <v>45987</v>
      </c>
      <c r="C84" s="6">
        <v>0.4475925925925926</v>
      </c>
      <c r="D84" s="2" t="s">
        <v>289</v>
      </c>
      <c r="E84" t="s">
        <v>4192</v>
      </c>
      <c r="F84" t="s">
        <v>58</v>
      </c>
      <c r="I84" t="s">
        <v>4004</v>
      </c>
      <c r="J84" t="s">
        <v>2985</v>
      </c>
      <c r="K84" t="s">
        <v>4005</v>
      </c>
      <c r="L84" t="s">
        <v>4006</v>
      </c>
      <c r="M84" s="3" t="str">
        <f>HYPERLINK(Таблица3[[#This Row],[RelativePath]])</f>
        <v>10 Сушилка навес\E33149364_3_20251126T104432Z.jpg</v>
      </c>
    </row>
    <row r="85" spans="1:13" x14ac:dyDescent="0.25">
      <c r="A85" t="s">
        <v>15</v>
      </c>
      <c r="B85" s="4">
        <v>45987</v>
      </c>
      <c r="C85" s="6">
        <v>0.44255787037037037</v>
      </c>
      <c r="D85" s="2" t="s">
        <v>289</v>
      </c>
      <c r="E85" t="s">
        <v>4192</v>
      </c>
      <c r="F85" t="s">
        <v>58</v>
      </c>
      <c r="H85" t="s">
        <v>2936</v>
      </c>
      <c r="I85" t="s">
        <v>3977</v>
      </c>
      <c r="J85" t="s">
        <v>2985</v>
      </c>
      <c r="K85" t="s">
        <v>3978</v>
      </c>
      <c r="L85" t="s">
        <v>3979</v>
      </c>
      <c r="M85" s="3" t="str">
        <f>HYPERLINK(Таблица3[[#This Row],[RelativePath]])</f>
        <v>10 Сушилка навес\E33149364_3_20251126T103717Z.jpg</v>
      </c>
    </row>
    <row r="86" spans="1:13" x14ac:dyDescent="0.25">
      <c r="A86" t="s">
        <v>15</v>
      </c>
      <c r="B86" s="4">
        <v>45987</v>
      </c>
      <c r="C86" s="6">
        <v>0.44241898148148145</v>
      </c>
      <c r="D86" s="2" t="s">
        <v>289</v>
      </c>
      <c r="E86" t="s">
        <v>4192</v>
      </c>
      <c r="F86" t="s">
        <v>58</v>
      </c>
      <c r="H86" t="s">
        <v>2936</v>
      </c>
      <c r="I86" t="s">
        <v>3974</v>
      </c>
      <c r="J86" t="s">
        <v>2985</v>
      </c>
      <c r="K86" t="s">
        <v>3975</v>
      </c>
      <c r="L86" t="s">
        <v>3976</v>
      </c>
      <c r="M86" s="3" t="str">
        <f>HYPERLINK(Таблица3[[#This Row],[RelativePath]])</f>
        <v>10 Сушилка навес\E33149364_3_20251126T103705Z.jpg</v>
      </c>
    </row>
    <row r="87" spans="1:13" x14ac:dyDescent="0.25">
      <c r="A87" t="s">
        <v>15</v>
      </c>
      <c r="B87" s="4">
        <v>45987</v>
      </c>
      <c r="C87" s="6">
        <v>0.44216435185185188</v>
      </c>
      <c r="D87" s="2" t="s">
        <v>289</v>
      </c>
      <c r="E87" t="s">
        <v>4192</v>
      </c>
      <c r="F87" t="s">
        <v>58</v>
      </c>
      <c r="H87" t="s">
        <v>2936</v>
      </c>
      <c r="I87" t="s">
        <v>3968</v>
      </c>
      <c r="J87" t="s">
        <v>2985</v>
      </c>
      <c r="K87" t="s">
        <v>3969</v>
      </c>
      <c r="L87" t="s">
        <v>3970</v>
      </c>
      <c r="M87" s="3" t="str">
        <f>HYPERLINK(Таблица3[[#This Row],[RelativePath]])</f>
        <v>10 Сушилка навес\E33149364_3_20251126T103643Z.jpg</v>
      </c>
    </row>
    <row r="88" spans="1:13" x14ac:dyDescent="0.25">
      <c r="A88" t="s">
        <v>15</v>
      </c>
      <c r="B88" s="4">
        <v>45987</v>
      </c>
      <c r="C88" s="6">
        <v>0.44284722222222223</v>
      </c>
      <c r="D88" s="2" t="s">
        <v>289</v>
      </c>
      <c r="E88" t="s">
        <v>4192</v>
      </c>
      <c r="F88" t="s">
        <v>58</v>
      </c>
      <c r="H88" t="s">
        <v>2936</v>
      </c>
      <c r="I88" t="s">
        <v>3983</v>
      </c>
      <c r="J88" t="s">
        <v>2985</v>
      </c>
      <c r="K88" t="s">
        <v>3984</v>
      </c>
      <c r="L88" t="s">
        <v>3985</v>
      </c>
      <c r="M88" s="3" t="str">
        <f>HYPERLINK(Таблица3[[#This Row],[RelativePath]])</f>
        <v>10 Сушилка навес\E33149364_3_20251126T103742Z.jpg</v>
      </c>
    </row>
    <row r="89" spans="1:13" x14ac:dyDescent="0.25">
      <c r="A89" t="s">
        <v>15</v>
      </c>
      <c r="B89" s="4">
        <v>45987</v>
      </c>
      <c r="C89" s="6">
        <v>0.44269675925925928</v>
      </c>
      <c r="D89" s="2" t="s">
        <v>289</v>
      </c>
      <c r="E89" t="s">
        <v>4192</v>
      </c>
      <c r="F89" t="s">
        <v>58</v>
      </c>
      <c r="H89" t="s">
        <v>2936</v>
      </c>
      <c r="I89" t="s">
        <v>3980</v>
      </c>
      <c r="J89" t="s">
        <v>2985</v>
      </c>
      <c r="K89" t="s">
        <v>3981</v>
      </c>
      <c r="L89" t="s">
        <v>3982</v>
      </c>
      <c r="M89" s="3" t="str">
        <f>HYPERLINK(Таблица3[[#This Row],[RelativePath]])</f>
        <v>10 Сушилка навес\E33149364_3_20251126T103729Z.jpg</v>
      </c>
    </row>
    <row r="90" spans="1:13" x14ac:dyDescent="0.25">
      <c r="A90" t="s">
        <v>15</v>
      </c>
      <c r="B90" s="4">
        <v>45987</v>
      </c>
      <c r="C90" s="6">
        <v>0.44207175925925923</v>
      </c>
      <c r="D90" s="2" t="s">
        <v>289</v>
      </c>
      <c r="E90" t="s">
        <v>4192</v>
      </c>
      <c r="F90" t="s">
        <v>58</v>
      </c>
      <c r="H90" t="s">
        <v>1620</v>
      </c>
      <c r="I90" t="s">
        <v>3965</v>
      </c>
      <c r="J90" t="s">
        <v>2985</v>
      </c>
      <c r="K90" t="s">
        <v>3966</v>
      </c>
      <c r="L90" t="s">
        <v>3967</v>
      </c>
      <c r="M90" s="3" t="str">
        <f>HYPERLINK(Таблица3[[#This Row],[RelativePath]])</f>
        <v>10 Сушилка навес\E33149364_3_20251126T103635Z.jpg</v>
      </c>
    </row>
    <row r="91" spans="1:13" x14ac:dyDescent="0.25">
      <c r="A91" t="s">
        <v>15</v>
      </c>
      <c r="B91" s="4">
        <v>45987</v>
      </c>
      <c r="C91" s="6">
        <v>0.45056712962962964</v>
      </c>
      <c r="D91" s="2" t="s">
        <v>289</v>
      </c>
      <c r="E91" t="s">
        <v>4192</v>
      </c>
      <c r="F91" t="s">
        <v>58</v>
      </c>
      <c r="H91" t="s">
        <v>2936</v>
      </c>
      <c r="I91" t="s">
        <v>4013</v>
      </c>
      <c r="J91" t="s">
        <v>2985</v>
      </c>
      <c r="K91" t="s">
        <v>4014</v>
      </c>
      <c r="L91" t="s">
        <v>4015</v>
      </c>
      <c r="M91" s="3" t="str">
        <f>HYPERLINK(Таблица3[[#This Row],[RelativePath]])</f>
        <v>10 Сушилка навес\E33149364_3_20251126T104849Z.jpg</v>
      </c>
    </row>
    <row r="92" spans="1:13" x14ac:dyDescent="0.25">
      <c r="A92" t="s">
        <v>15</v>
      </c>
      <c r="B92" s="4">
        <v>45987</v>
      </c>
      <c r="C92" s="6">
        <v>0.44947916666666665</v>
      </c>
      <c r="D92" s="2" t="s">
        <v>289</v>
      </c>
      <c r="E92" t="s">
        <v>4192</v>
      </c>
      <c r="F92" t="s">
        <v>58</v>
      </c>
      <c r="H92" t="s">
        <v>2936</v>
      </c>
      <c r="I92" t="s">
        <v>4103</v>
      </c>
      <c r="J92" t="s">
        <v>2986</v>
      </c>
      <c r="K92" t="s">
        <v>4104</v>
      </c>
      <c r="L92" t="s">
        <v>4105</v>
      </c>
      <c r="M92" s="3" t="str">
        <f>HYPERLINK(Таблица3[[#This Row],[RelativePath]])</f>
        <v>11 С ангара на базу\E33149364_4_20251126T104715Z.jpg</v>
      </c>
    </row>
    <row r="93" spans="1:13" x14ac:dyDescent="0.25">
      <c r="A93" t="s">
        <v>15</v>
      </c>
      <c r="B93" s="4">
        <v>45987</v>
      </c>
      <c r="C93" s="6">
        <v>0.44723379629629628</v>
      </c>
      <c r="D93" s="2" t="s">
        <v>289</v>
      </c>
      <c r="E93" t="s">
        <v>4192</v>
      </c>
      <c r="F93" t="s">
        <v>58</v>
      </c>
      <c r="I93" t="s">
        <v>4094</v>
      </c>
      <c r="J93" t="s">
        <v>2986</v>
      </c>
      <c r="K93" t="s">
        <v>4095</v>
      </c>
      <c r="L93" t="s">
        <v>4096</v>
      </c>
      <c r="M93" s="3" t="str">
        <f>HYPERLINK(Таблица3[[#This Row],[RelativePath]])</f>
        <v>11 С ангара на базу\E33149364_4_20251126T104401Z.jpg</v>
      </c>
    </row>
    <row r="94" spans="1:13" x14ac:dyDescent="0.25">
      <c r="A94" t="s">
        <v>15</v>
      </c>
      <c r="B94" s="4">
        <v>45987</v>
      </c>
      <c r="C94" s="6">
        <v>0.44848379629629631</v>
      </c>
      <c r="D94" s="2" t="s">
        <v>289</v>
      </c>
      <c r="E94" t="s">
        <v>4192</v>
      </c>
      <c r="F94" t="s">
        <v>58</v>
      </c>
      <c r="H94" t="s">
        <v>2936</v>
      </c>
      <c r="I94" t="s">
        <v>4097</v>
      </c>
      <c r="J94" t="s">
        <v>2986</v>
      </c>
      <c r="K94" t="s">
        <v>4098</v>
      </c>
      <c r="L94" t="s">
        <v>4099</v>
      </c>
      <c r="M94" s="3" t="str">
        <f>HYPERLINK(Таблица3[[#This Row],[RelativePath]])</f>
        <v>11 С ангара на базу\E33149364_4_20251126T104549Z.jpg</v>
      </c>
    </row>
    <row r="95" spans="1:13" x14ac:dyDescent="0.25">
      <c r="A95" t="s">
        <v>15</v>
      </c>
      <c r="B95" s="4">
        <v>45987</v>
      </c>
      <c r="C95" s="6">
        <v>0.44864583333333335</v>
      </c>
      <c r="D95" s="2" t="s">
        <v>289</v>
      </c>
      <c r="E95" t="s">
        <v>4192</v>
      </c>
      <c r="F95" t="s">
        <v>58</v>
      </c>
      <c r="H95" t="s">
        <v>2936</v>
      </c>
      <c r="I95" t="s">
        <v>4100</v>
      </c>
      <c r="J95" t="s">
        <v>2986</v>
      </c>
      <c r="K95" t="s">
        <v>4101</v>
      </c>
      <c r="L95" t="s">
        <v>4102</v>
      </c>
      <c r="M95" s="3" t="str">
        <f>HYPERLINK(Таблица3[[#This Row],[RelativePath]])</f>
        <v>11 С ангара на базу\E33149364_4_20251126T104603Z.jpg</v>
      </c>
    </row>
    <row r="96" spans="1:13" x14ac:dyDescent="0.25">
      <c r="A96" t="s">
        <v>18</v>
      </c>
      <c r="B96" s="4">
        <v>45990</v>
      </c>
      <c r="C96" s="6">
        <v>0.58278935185185188</v>
      </c>
      <c r="D96" s="2" t="s">
        <v>289</v>
      </c>
      <c r="E96" t="s">
        <v>4217</v>
      </c>
      <c r="F96" t="s">
        <v>4211</v>
      </c>
      <c r="H96" t="s">
        <v>2936</v>
      </c>
      <c r="I96" t="s">
        <v>3603</v>
      </c>
      <c r="J96" t="s">
        <v>2984</v>
      </c>
      <c r="K96" t="s">
        <v>3604</v>
      </c>
      <c r="L96" t="s">
        <v>3605</v>
      </c>
      <c r="M96" s="3" t="str">
        <f>HYPERLINK(Таблица3[[#This Row],[RelativePath]])</f>
        <v>7 Площадка 2 бетонщики\K07156189_18_20251129T135913Z.jpg</v>
      </c>
    </row>
    <row r="97" spans="1:13" x14ac:dyDescent="0.25">
      <c r="A97" t="s">
        <v>18</v>
      </c>
      <c r="B97" s="4">
        <v>45990</v>
      </c>
      <c r="C97" s="6">
        <v>0.57168981481481485</v>
      </c>
      <c r="D97" s="2" t="s">
        <v>289</v>
      </c>
      <c r="E97" t="s">
        <v>4217</v>
      </c>
      <c r="F97" t="s">
        <v>4211</v>
      </c>
      <c r="H97" t="s">
        <v>2936</v>
      </c>
      <c r="I97" t="s">
        <v>3585</v>
      </c>
      <c r="J97" t="s">
        <v>2984</v>
      </c>
      <c r="K97" t="s">
        <v>3586</v>
      </c>
      <c r="L97" t="s">
        <v>3587</v>
      </c>
      <c r="M97" s="3" t="str">
        <f>HYPERLINK(Таблица3[[#This Row],[RelativePath]])</f>
        <v>7 Площадка 2 бетонщики\K07156189_18_20251129T134314Z.jpg</v>
      </c>
    </row>
    <row r="98" spans="1:13" x14ac:dyDescent="0.25">
      <c r="A98" t="s">
        <v>18</v>
      </c>
      <c r="B98" s="4">
        <v>45990</v>
      </c>
      <c r="C98" s="6">
        <v>0.57995370370370369</v>
      </c>
      <c r="D98" s="2" t="s">
        <v>289</v>
      </c>
      <c r="E98" t="s">
        <v>4217</v>
      </c>
      <c r="F98" t="s">
        <v>4211</v>
      </c>
      <c r="H98" t="s">
        <v>2936</v>
      </c>
      <c r="I98" t="s">
        <v>3597</v>
      </c>
      <c r="J98" t="s">
        <v>2984</v>
      </c>
      <c r="K98" t="s">
        <v>3598</v>
      </c>
      <c r="L98" t="s">
        <v>3599</v>
      </c>
      <c r="M98" s="3" t="str">
        <f>HYPERLINK(Таблица3[[#This Row],[RelativePath]])</f>
        <v>7 Площадка 2 бетонщики\K07156189_18_20251129T135508Z.jpg</v>
      </c>
    </row>
    <row r="99" spans="1:13" x14ac:dyDescent="0.25">
      <c r="A99" t="s">
        <v>18</v>
      </c>
      <c r="B99" s="4">
        <v>45990</v>
      </c>
      <c r="C99" s="6">
        <v>0.55314814814814817</v>
      </c>
      <c r="D99" s="2" t="s">
        <v>289</v>
      </c>
      <c r="E99" t="s">
        <v>4217</v>
      </c>
      <c r="F99" t="s">
        <v>4211</v>
      </c>
      <c r="H99" t="s">
        <v>2936</v>
      </c>
      <c r="I99" t="s">
        <v>3570</v>
      </c>
      <c r="J99" t="s">
        <v>2984</v>
      </c>
      <c r="K99" t="s">
        <v>3571</v>
      </c>
      <c r="L99" t="s">
        <v>3572</v>
      </c>
      <c r="M99" s="3" t="str">
        <f>HYPERLINK(Таблица3[[#This Row],[RelativePath]])</f>
        <v>7 Площадка 2 бетонщики\K07156189_18_20251129T131632Z.jpg</v>
      </c>
    </row>
    <row r="100" spans="1:13" x14ac:dyDescent="0.25">
      <c r="A100" t="s">
        <v>18</v>
      </c>
      <c r="B100" s="4">
        <v>45990</v>
      </c>
      <c r="C100" s="6">
        <v>0.57275462962962964</v>
      </c>
      <c r="D100" s="2" t="s">
        <v>289</v>
      </c>
      <c r="E100" t="s">
        <v>4217</v>
      </c>
      <c r="F100" t="s">
        <v>4211</v>
      </c>
      <c r="H100" t="s">
        <v>2936</v>
      </c>
      <c r="I100" t="s">
        <v>3588</v>
      </c>
      <c r="J100" t="s">
        <v>2984</v>
      </c>
      <c r="K100" t="s">
        <v>3589</v>
      </c>
      <c r="L100" t="s">
        <v>3590</v>
      </c>
      <c r="M100" s="3" t="str">
        <f>HYPERLINK(Таблица3[[#This Row],[RelativePath]])</f>
        <v>7 Площадка 2 бетонщики\K07156189_18_20251129T134446Z.jpg</v>
      </c>
    </row>
    <row r="101" spans="1:13" x14ac:dyDescent="0.25">
      <c r="A101" t="s">
        <v>18</v>
      </c>
      <c r="B101" s="4">
        <v>45990</v>
      </c>
      <c r="C101" s="6">
        <v>0.57449074074074069</v>
      </c>
      <c r="D101" s="2" t="s">
        <v>289</v>
      </c>
      <c r="E101" t="s">
        <v>4217</v>
      </c>
      <c r="F101" t="s">
        <v>4211</v>
      </c>
      <c r="H101" t="s">
        <v>2936</v>
      </c>
      <c r="I101" t="s">
        <v>3591</v>
      </c>
      <c r="J101" t="s">
        <v>2984</v>
      </c>
      <c r="K101" t="s">
        <v>3592</v>
      </c>
      <c r="L101" t="s">
        <v>3593</v>
      </c>
      <c r="M101" s="3" t="str">
        <f>HYPERLINK(Таблица3[[#This Row],[RelativePath]])</f>
        <v>7 Площадка 2 бетонщики\K07156189_18_20251129T134716Z.jpg</v>
      </c>
    </row>
    <row r="102" spans="1:13" x14ac:dyDescent="0.25">
      <c r="A102" t="s">
        <v>18</v>
      </c>
      <c r="B102" s="4">
        <v>45990</v>
      </c>
      <c r="C102" s="6">
        <v>0.58212962962962966</v>
      </c>
      <c r="D102" s="2" t="s">
        <v>289</v>
      </c>
      <c r="E102" t="s">
        <v>4217</v>
      </c>
      <c r="F102" t="s">
        <v>4211</v>
      </c>
      <c r="H102" t="s">
        <v>2936</v>
      </c>
      <c r="I102" t="s">
        <v>3600</v>
      </c>
      <c r="J102" t="s">
        <v>2984</v>
      </c>
      <c r="K102" t="s">
        <v>3601</v>
      </c>
      <c r="L102" t="s">
        <v>3602</v>
      </c>
      <c r="M102" s="3" t="str">
        <f>HYPERLINK(Таблица3[[#This Row],[RelativePath]])</f>
        <v>7 Площадка 2 бетонщики\K07156189_18_20251129T135816Z.jpg</v>
      </c>
    </row>
    <row r="103" spans="1:13" x14ac:dyDescent="0.25">
      <c r="A103" t="s">
        <v>18</v>
      </c>
      <c r="B103" s="4">
        <v>45990</v>
      </c>
      <c r="C103" s="6">
        <v>0.65773148148148153</v>
      </c>
      <c r="D103" s="2" t="s">
        <v>289</v>
      </c>
      <c r="E103" t="s">
        <v>4211</v>
      </c>
      <c r="H103" t="s">
        <v>2936</v>
      </c>
      <c r="I103" t="s">
        <v>3450</v>
      </c>
      <c r="J103" t="s">
        <v>2983</v>
      </c>
      <c r="K103" t="s">
        <v>3451</v>
      </c>
      <c r="L103" t="s">
        <v>3452</v>
      </c>
      <c r="M103" s="3" t="str">
        <f>HYPERLINK(Таблица3[[#This Row],[RelativePath]])</f>
        <v>6 Площадка 1 общага\826398429_1_20251129T154708Z.jpg</v>
      </c>
    </row>
    <row r="104" spans="1:13" x14ac:dyDescent="0.25">
      <c r="A104" t="s">
        <v>18</v>
      </c>
      <c r="B104" s="4">
        <v>45990</v>
      </c>
      <c r="C104" s="6">
        <v>0.58450231481481485</v>
      </c>
      <c r="D104" s="2" t="s">
        <v>289</v>
      </c>
      <c r="E104" t="s">
        <v>4217</v>
      </c>
      <c r="F104" t="s">
        <v>4211</v>
      </c>
      <c r="H104" t="s">
        <v>2936</v>
      </c>
      <c r="I104" t="s">
        <v>3606</v>
      </c>
      <c r="J104" t="s">
        <v>2984</v>
      </c>
      <c r="K104" t="s">
        <v>3607</v>
      </c>
      <c r="L104" t="s">
        <v>3608</v>
      </c>
      <c r="M104" s="3" t="str">
        <f>HYPERLINK(Таблица3[[#This Row],[RelativePath]])</f>
        <v>7 Площадка 2 бетонщики\K07156189_18_20251129T140141Z.jpg</v>
      </c>
    </row>
    <row r="105" spans="1:13" x14ac:dyDescent="0.25">
      <c r="A105" t="s">
        <v>18</v>
      </c>
      <c r="B105" s="4">
        <v>45990</v>
      </c>
      <c r="C105" s="6">
        <v>0.6917592592592593</v>
      </c>
      <c r="D105" s="2" t="s">
        <v>289</v>
      </c>
      <c r="E105" t="s">
        <v>4195</v>
      </c>
      <c r="F105" t="s">
        <v>4211</v>
      </c>
      <c r="H105" t="s">
        <v>2936</v>
      </c>
      <c r="I105" t="s">
        <v>3707</v>
      </c>
      <c r="J105" t="s">
        <v>2984</v>
      </c>
      <c r="K105" t="s">
        <v>3708</v>
      </c>
      <c r="L105" t="s">
        <v>3709</v>
      </c>
      <c r="M105" s="3" t="str">
        <f>HYPERLINK(Таблица3[[#This Row],[RelativePath]])</f>
        <v>7 Площадка 2 бетонщики\K07156189_18_20251129T163608Z.jpg</v>
      </c>
    </row>
    <row r="106" spans="1:13" x14ac:dyDescent="0.25">
      <c r="A106" t="s">
        <v>18</v>
      </c>
      <c r="B106" s="4">
        <v>45990</v>
      </c>
      <c r="C106" s="6">
        <v>0.57677083333333334</v>
      </c>
      <c r="D106" s="2" t="s">
        <v>289</v>
      </c>
      <c r="E106" t="s">
        <v>4217</v>
      </c>
      <c r="F106" t="s">
        <v>4211</v>
      </c>
      <c r="H106" t="s">
        <v>2936</v>
      </c>
      <c r="I106" t="s">
        <v>3594</v>
      </c>
      <c r="J106" t="s">
        <v>2984</v>
      </c>
      <c r="K106" t="s">
        <v>3595</v>
      </c>
      <c r="L106" t="s">
        <v>3596</v>
      </c>
      <c r="M106" s="3" t="str">
        <f>HYPERLINK(Таблица3[[#This Row],[RelativePath]])</f>
        <v>7 Площадка 2 бетонщики\K07156189_18_20251129T135033Z.jpg</v>
      </c>
    </row>
    <row r="107" spans="1:13" x14ac:dyDescent="0.25">
      <c r="A107" t="s">
        <v>18</v>
      </c>
      <c r="B107" s="4">
        <v>45990</v>
      </c>
      <c r="C107" s="6">
        <v>0.61375000000000002</v>
      </c>
      <c r="D107" s="2" t="s">
        <v>289</v>
      </c>
      <c r="E107" t="s">
        <v>4194</v>
      </c>
      <c r="F107" t="s">
        <v>4211</v>
      </c>
      <c r="I107" t="s">
        <v>3612</v>
      </c>
      <c r="J107" t="s">
        <v>2984</v>
      </c>
      <c r="K107" t="s">
        <v>3613</v>
      </c>
      <c r="L107" t="s">
        <v>3614</v>
      </c>
      <c r="M107" s="3" t="str">
        <f>HYPERLINK(Таблица3[[#This Row],[RelativePath]])</f>
        <v>7 Площадка 2 бетонщики\K07156189_18_20251129T144348Z.jpg</v>
      </c>
    </row>
    <row r="108" spans="1:13" x14ac:dyDescent="0.25">
      <c r="A108" t="s">
        <v>18</v>
      </c>
      <c r="B108" s="4">
        <v>45990</v>
      </c>
      <c r="C108" s="6">
        <v>0.69224537037037037</v>
      </c>
      <c r="D108" s="2" t="s">
        <v>289</v>
      </c>
      <c r="E108" t="s">
        <v>4195</v>
      </c>
      <c r="F108" t="s">
        <v>4211</v>
      </c>
      <c r="H108" t="s">
        <v>2936</v>
      </c>
      <c r="I108" t="s">
        <v>3710</v>
      </c>
      <c r="J108" t="s">
        <v>2984</v>
      </c>
      <c r="K108" t="s">
        <v>3711</v>
      </c>
      <c r="L108" t="s">
        <v>3712</v>
      </c>
      <c r="M108" s="3" t="str">
        <f>HYPERLINK(Таблица3[[#This Row],[RelativePath]])</f>
        <v>7 Площадка 2 бетонщики\K07156189_18_20251129T163650Z.jpg</v>
      </c>
    </row>
    <row r="109" spans="1:13" x14ac:dyDescent="0.25">
      <c r="A109" t="s">
        <v>18</v>
      </c>
      <c r="B109" s="4">
        <v>45990</v>
      </c>
      <c r="C109" s="6">
        <v>0.64961805555555552</v>
      </c>
      <c r="D109" s="2" t="s">
        <v>289</v>
      </c>
      <c r="E109" t="s">
        <v>2927</v>
      </c>
      <c r="F109" t="s">
        <v>53</v>
      </c>
      <c r="G109">
        <v>4</v>
      </c>
      <c r="I109" t="s">
        <v>3375</v>
      </c>
      <c r="J109" t="s">
        <v>2990</v>
      </c>
      <c r="K109" t="s">
        <v>3376</v>
      </c>
      <c r="L109" t="s">
        <v>3377</v>
      </c>
      <c r="M109" s="3" t="str">
        <f>HYPERLINK(Таблица3[[#This Row],[RelativePath]])</f>
        <v>3 Въезд на базу\E33149364_8_20251129T153527Z.jpg</v>
      </c>
    </row>
    <row r="110" spans="1:13" x14ac:dyDescent="0.25">
      <c r="A110" t="s">
        <v>18</v>
      </c>
      <c r="B110" s="4">
        <v>45990</v>
      </c>
      <c r="C110" s="6">
        <v>0.67062500000000003</v>
      </c>
      <c r="D110" s="2" t="s">
        <v>289</v>
      </c>
      <c r="E110" t="s">
        <v>4211</v>
      </c>
      <c r="H110" t="s">
        <v>2936</v>
      </c>
      <c r="I110" t="s">
        <v>3453</v>
      </c>
      <c r="J110" t="s">
        <v>2983</v>
      </c>
      <c r="K110" t="s">
        <v>3454</v>
      </c>
      <c r="L110" t="s">
        <v>3455</v>
      </c>
      <c r="M110" s="3" t="str">
        <f>HYPERLINK(Таблица3[[#This Row],[RelativePath]])</f>
        <v>6 Площадка 1 общага\826398429_1_20251129T160542Z.jpg</v>
      </c>
    </row>
    <row r="111" spans="1:13" x14ac:dyDescent="0.25">
      <c r="A111" t="s">
        <v>18</v>
      </c>
      <c r="B111" s="4">
        <v>45990</v>
      </c>
      <c r="C111" s="6">
        <v>0.68300925925925926</v>
      </c>
      <c r="D111" s="2" t="s">
        <v>289</v>
      </c>
      <c r="E111" t="s">
        <v>4211</v>
      </c>
      <c r="H111" t="s">
        <v>2936</v>
      </c>
      <c r="I111" t="s">
        <v>3459</v>
      </c>
      <c r="J111" t="s">
        <v>2983</v>
      </c>
      <c r="K111" t="s">
        <v>3460</v>
      </c>
      <c r="L111" t="s">
        <v>3461</v>
      </c>
      <c r="M111" s="3" t="str">
        <f>HYPERLINK(Таблица3[[#This Row],[RelativePath]])</f>
        <v>6 Площадка 1 общага\826398429_1_20251129T162332Z.jpg</v>
      </c>
    </row>
    <row r="112" spans="1:13" x14ac:dyDescent="0.25">
      <c r="A112" t="s">
        <v>18</v>
      </c>
      <c r="B112" s="4">
        <v>45990</v>
      </c>
      <c r="C112" s="6">
        <v>0.41766203703703703</v>
      </c>
      <c r="D112" s="2" t="s">
        <v>289</v>
      </c>
      <c r="E112" t="s">
        <v>4211</v>
      </c>
      <c r="I112" t="s">
        <v>3447</v>
      </c>
      <c r="J112" t="s">
        <v>2983</v>
      </c>
      <c r="K112" t="s">
        <v>3448</v>
      </c>
      <c r="L112" t="s">
        <v>3449</v>
      </c>
      <c r="M112" s="3" t="str">
        <f>HYPERLINK(Таблица3[[#This Row],[RelativePath]])</f>
        <v>6 Площадка 1 общага\826398429_1_20251129T100126Z.jpg</v>
      </c>
    </row>
    <row r="113" spans="1:13" x14ac:dyDescent="0.25">
      <c r="A113" t="s">
        <v>18</v>
      </c>
      <c r="B113" s="4">
        <v>45990</v>
      </c>
      <c r="C113" s="6">
        <v>0.5607523148148148</v>
      </c>
      <c r="D113" s="2" t="s">
        <v>289</v>
      </c>
      <c r="E113" t="s">
        <v>4217</v>
      </c>
      <c r="F113" t="s">
        <v>4211</v>
      </c>
      <c r="H113" t="s">
        <v>2936</v>
      </c>
      <c r="I113" t="s">
        <v>3576</v>
      </c>
      <c r="J113" t="s">
        <v>2984</v>
      </c>
      <c r="K113" t="s">
        <v>3577</v>
      </c>
      <c r="L113" t="s">
        <v>3578</v>
      </c>
      <c r="M113" s="3" t="str">
        <f>HYPERLINK(Таблица3[[#This Row],[RelativePath]])</f>
        <v>7 Площадка 2 бетонщики\K07156189_18_20251129T132729Z.jpg</v>
      </c>
    </row>
    <row r="114" spans="1:13" x14ac:dyDescent="0.25">
      <c r="A114" t="s">
        <v>18</v>
      </c>
      <c r="B114" s="4">
        <v>45990</v>
      </c>
      <c r="C114" s="6">
        <v>0.56593749999999998</v>
      </c>
      <c r="D114" s="2" t="s">
        <v>289</v>
      </c>
      <c r="E114" t="s">
        <v>4217</v>
      </c>
      <c r="F114" t="s">
        <v>4211</v>
      </c>
      <c r="H114" t="s">
        <v>2936</v>
      </c>
      <c r="I114" t="s">
        <v>3579</v>
      </c>
      <c r="J114" t="s">
        <v>2984</v>
      </c>
      <c r="K114" t="s">
        <v>3580</v>
      </c>
      <c r="L114" t="s">
        <v>3581</v>
      </c>
      <c r="M114" s="3" t="str">
        <f>HYPERLINK(Таблица3[[#This Row],[RelativePath]])</f>
        <v>7 Площадка 2 бетонщики\K07156189_18_20251129T133457Z.jpg</v>
      </c>
    </row>
    <row r="115" spans="1:13" x14ac:dyDescent="0.25">
      <c r="A115" t="s">
        <v>18</v>
      </c>
      <c r="B115" s="4">
        <v>45990</v>
      </c>
      <c r="C115" s="6">
        <v>0.67369212962962965</v>
      </c>
      <c r="D115" s="2" t="s">
        <v>289</v>
      </c>
      <c r="E115" t="s">
        <v>4211</v>
      </c>
      <c r="H115" t="s">
        <v>2936</v>
      </c>
      <c r="I115" t="s">
        <v>3456</v>
      </c>
      <c r="J115" t="s">
        <v>2983</v>
      </c>
      <c r="K115" t="s">
        <v>3457</v>
      </c>
      <c r="L115" t="s">
        <v>3458</v>
      </c>
      <c r="M115" s="3" t="str">
        <f>HYPERLINK(Таблица3[[#This Row],[RelativePath]])</f>
        <v>6 Площадка 1 общага\826398429_1_20251129T161007Z.jpg</v>
      </c>
    </row>
    <row r="116" spans="1:13" x14ac:dyDescent="0.25">
      <c r="A116" t="s">
        <v>18</v>
      </c>
      <c r="B116" s="4">
        <v>45990</v>
      </c>
      <c r="C116" s="6">
        <v>0.55888888888888888</v>
      </c>
      <c r="D116" s="2" t="s">
        <v>289</v>
      </c>
      <c r="E116" t="s">
        <v>4217</v>
      </c>
      <c r="F116" t="s">
        <v>4211</v>
      </c>
      <c r="H116" t="s">
        <v>2936</v>
      </c>
      <c r="I116" t="s">
        <v>3573</v>
      </c>
      <c r="J116" t="s">
        <v>2984</v>
      </c>
      <c r="K116" t="s">
        <v>3574</v>
      </c>
      <c r="L116" t="s">
        <v>3575</v>
      </c>
      <c r="M116" s="3" t="str">
        <f>HYPERLINK(Таблица3[[#This Row],[RelativePath]])</f>
        <v>7 Площадка 2 бетонщики\K07156189_18_20251129T132448Z.jpg</v>
      </c>
    </row>
    <row r="117" spans="1:13" x14ac:dyDescent="0.25">
      <c r="A117" t="s">
        <v>18</v>
      </c>
      <c r="B117" s="4">
        <v>45990</v>
      </c>
      <c r="C117" s="6">
        <v>0.56846064814814812</v>
      </c>
      <c r="D117" s="2" t="s">
        <v>289</v>
      </c>
      <c r="E117" t="s">
        <v>4217</v>
      </c>
      <c r="F117" t="s">
        <v>4211</v>
      </c>
      <c r="H117" t="s">
        <v>2936</v>
      </c>
      <c r="I117" t="s">
        <v>3582</v>
      </c>
      <c r="J117" t="s">
        <v>2984</v>
      </c>
      <c r="K117" t="s">
        <v>3583</v>
      </c>
      <c r="L117" t="s">
        <v>3584</v>
      </c>
      <c r="M117" s="3" t="str">
        <f>HYPERLINK(Таблица3[[#This Row],[RelativePath]])</f>
        <v>7 Площадка 2 бетонщики\K07156189_18_20251129T133835Z.jpg</v>
      </c>
    </row>
    <row r="118" spans="1:13" x14ac:dyDescent="0.25">
      <c r="A118" t="s">
        <v>18</v>
      </c>
      <c r="B118" s="4">
        <v>45990</v>
      </c>
      <c r="C118" s="6">
        <v>0.55248842592592595</v>
      </c>
      <c r="D118" s="2" t="s">
        <v>289</v>
      </c>
      <c r="E118" t="s">
        <v>4217</v>
      </c>
      <c r="F118" t="s">
        <v>4211</v>
      </c>
      <c r="I118" t="s">
        <v>3567</v>
      </c>
      <c r="J118" t="s">
        <v>2984</v>
      </c>
      <c r="K118" t="s">
        <v>3568</v>
      </c>
      <c r="L118" t="s">
        <v>3569</v>
      </c>
      <c r="M118" s="3" t="str">
        <f>HYPERLINK(Таблица3[[#This Row],[RelativePath]])</f>
        <v>7 Площадка 2 бетонщики\K07156189_18_20251129T131535Z.jpg</v>
      </c>
    </row>
    <row r="119" spans="1:13" x14ac:dyDescent="0.25">
      <c r="A119" t="s">
        <v>18</v>
      </c>
      <c r="B119" s="4">
        <v>45990</v>
      </c>
      <c r="C119" s="6">
        <v>0.64195601851851847</v>
      </c>
      <c r="D119" s="2" t="s">
        <v>289</v>
      </c>
      <c r="E119" t="s">
        <v>4194</v>
      </c>
      <c r="F119" t="s">
        <v>4211</v>
      </c>
      <c r="H119" t="s">
        <v>2936</v>
      </c>
      <c r="I119" t="s">
        <v>3642</v>
      </c>
      <c r="J119" t="s">
        <v>2984</v>
      </c>
      <c r="K119" t="s">
        <v>3643</v>
      </c>
      <c r="L119" t="s">
        <v>3644</v>
      </c>
      <c r="M119" s="3" t="str">
        <f>HYPERLINK(Таблица3[[#This Row],[RelativePath]])</f>
        <v>7 Площадка 2 бетонщики\K07156189_18_20251129T152425Z.jpg</v>
      </c>
    </row>
    <row r="120" spans="1:13" x14ac:dyDescent="0.25">
      <c r="A120" t="s">
        <v>18</v>
      </c>
      <c r="B120" s="4">
        <v>45990</v>
      </c>
      <c r="C120" s="6">
        <v>0.63914351851851847</v>
      </c>
      <c r="D120" s="2" t="s">
        <v>289</v>
      </c>
      <c r="E120" t="s">
        <v>4194</v>
      </c>
      <c r="F120" t="s">
        <v>4211</v>
      </c>
      <c r="H120" t="s">
        <v>2936</v>
      </c>
      <c r="I120" t="s">
        <v>3639</v>
      </c>
      <c r="J120" t="s">
        <v>2984</v>
      </c>
      <c r="K120" t="s">
        <v>3640</v>
      </c>
      <c r="L120" t="s">
        <v>3641</v>
      </c>
      <c r="M120" s="3" t="str">
        <f>HYPERLINK(Таблица3[[#This Row],[RelativePath]])</f>
        <v>7 Площадка 2 бетонщики\K07156189_18_20251129T152022Z.jpg</v>
      </c>
    </row>
    <row r="121" spans="1:13" x14ac:dyDescent="0.25">
      <c r="A121" t="s">
        <v>18</v>
      </c>
      <c r="B121" s="4">
        <v>45990</v>
      </c>
      <c r="C121" s="6">
        <v>0.63736111111111116</v>
      </c>
      <c r="D121" s="2" t="s">
        <v>289</v>
      </c>
      <c r="E121" t="s">
        <v>4194</v>
      </c>
      <c r="F121" t="s">
        <v>4211</v>
      </c>
      <c r="H121" t="s">
        <v>2936</v>
      </c>
      <c r="I121" t="s">
        <v>3636</v>
      </c>
      <c r="J121" t="s">
        <v>2984</v>
      </c>
      <c r="K121" t="s">
        <v>3637</v>
      </c>
      <c r="L121" t="s">
        <v>3638</v>
      </c>
      <c r="M121" s="3" t="str">
        <f>HYPERLINK(Таблица3[[#This Row],[RelativePath]])</f>
        <v>7 Площадка 2 бетонщики\K07156189_18_20251129T151748Z.jpg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4195</v>
      </c>
      <c r="F122" t="s">
        <v>4211</v>
      </c>
      <c r="H122" t="s">
        <v>2936</v>
      </c>
      <c r="I122" t="s">
        <v>3704</v>
      </c>
      <c r="J122" t="s">
        <v>2984</v>
      </c>
      <c r="K122" t="s">
        <v>3705</v>
      </c>
      <c r="L122" t="s">
        <v>3706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0.61982638888888886</v>
      </c>
      <c r="D123" s="2" t="s">
        <v>289</v>
      </c>
      <c r="E123" t="s">
        <v>4194</v>
      </c>
      <c r="F123" t="s">
        <v>4211</v>
      </c>
      <c r="H123" t="s">
        <v>2936</v>
      </c>
      <c r="I123" t="s">
        <v>3618</v>
      </c>
      <c r="J123" t="s">
        <v>2984</v>
      </c>
      <c r="K123" t="s">
        <v>3619</v>
      </c>
      <c r="L123" t="s">
        <v>3620</v>
      </c>
      <c r="M123" s="3" t="str">
        <f>HYPERLINK(Таблица3[[#This Row],[RelativePath]])</f>
        <v>7 Площадка 2 бетонщики\K07156189_18_20251129T145233Z.jpg</v>
      </c>
    </row>
    <row r="124" spans="1:13" x14ac:dyDescent="0.25">
      <c r="A124" t="s">
        <v>18</v>
      </c>
      <c r="B124" s="4">
        <v>45990</v>
      </c>
      <c r="C124" s="6">
        <v>0.65543981481481484</v>
      </c>
      <c r="D124" s="2" t="s">
        <v>289</v>
      </c>
      <c r="E124" t="s">
        <v>4195</v>
      </c>
      <c r="F124" t="s">
        <v>4211</v>
      </c>
      <c r="H124" t="s">
        <v>2936</v>
      </c>
      <c r="I124" t="s">
        <v>3656</v>
      </c>
      <c r="J124" t="s">
        <v>2984</v>
      </c>
      <c r="K124" t="s">
        <v>3657</v>
      </c>
      <c r="L124" t="s">
        <v>3658</v>
      </c>
      <c r="M124" s="3" t="str">
        <f>HYPERLINK(Таблица3[[#This Row],[RelativePath]])</f>
        <v>7 Площадка 2 бетонщики\K07156189_18_20251129T154350Z.jpg</v>
      </c>
    </row>
    <row r="125" spans="1:13" x14ac:dyDescent="0.25">
      <c r="A125" t="s">
        <v>18</v>
      </c>
      <c r="B125" s="4">
        <v>45990</v>
      </c>
      <c r="C125" s="6">
        <v>0.65312499999999996</v>
      </c>
      <c r="D125" s="2" t="s">
        <v>289</v>
      </c>
      <c r="E125" t="s">
        <v>4195</v>
      </c>
      <c r="F125" t="s">
        <v>4211</v>
      </c>
      <c r="I125" t="s">
        <v>3653</v>
      </c>
      <c r="J125" t="s">
        <v>2984</v>
      </c>
      <c r="K125" t="s">
        <v>3654</v>
      </c>
      <c r="L125" t="s">
        <v>3655</v>
      </c>
      <c r="M125" s="3" t="str">
        <f>HYPERLINK(Таблица3[[#This Row],[RelativePath]])</f>
        <v>7 Площадка 2 бетонщики\K07156189_18_20251129T154030Z.jpg</v>
      </c>
    </row>
    <row r="126" spans="1:13" x14ac:dyDescent="0.25">
      <c r="A126" t="s">
        <v>18</v>
      </c>
      <c r="B126" s="4">
        <v>45990</v>
      </c>
      <c r="C126" s="6">
        <v>0.67155092592592591</v>
      </c>
      <c r="D126" s="2" t="s">
        <v>289</v>
      </c>
      <c r="E126" t="s">
        <v>4195</v>
      </c>
      <c r="F126" t="s">
        <v>4211</v>
      </c>
      <c r="H126" t="s">
        <v>2936</v>
      </c>
      <c r="I126" t="s">
        <v>3677</v>
      </c>
      <c r="J126" t="s">
        <v>2984</v>
      </c>
      <c r="K126" t="s">
        <v>3678</v>
      </c>
      <c r="L126" t="s">
        <v>3679</v>
      </c>
      <c r="M126" s="3" t="str">
        <f>HYPERLINK(Таблица3[[#This Row],[RelativePath]])</f>
        <v>7 Площадка 2 бетонщики\K07156189_18_20251129T160702Z.jpg</v>
      </c>
    </row>
    <row r="127" spans="1:13" x14ac:dyDescent="0.25">
      <c r="A127" t="s">
        <v>18</v>
      </c>
      <c r="B127" s="4">
        <v>45990</v>
      </c>
      <c r="C127" s="6">
        <v>0.6338773148148148</v>
      </c>
      <c r="D127" s="2" t="s">
        <v>289</v>
      </c>
      <c r="E127" t="s">
        <v>4194</v>
      </c>
      <c r="F127" t="s">
        <v>4211</v>
      </c>
      <c r="H127" t="s">
        <v>2936</v>
      </c>
      <c r="I127" t="s">
        <v>3633</v>
      </c>
      <c r="J127" t="s">
        <v>2984</v>
      </c>
      <c r="K127" t="s">
        <v>3634</v>
      </c>
      <c r="L127" t="s">
        <v>3635</v>
      </c>
      <c r="M127" s="3" t="str">
        <f>HYPERLINK(Таблица3[[#This Row],[RelativePath]])</f>
        <v>7 Площадка 2 бетонщики\K07156189_18_20251129T151247Z.jpg</v>
      </c>
    </row>
    <row r="128" spans="1:13" x14ac:dyDescent="0.25">
      <c r="A128" t="s">
        <v>18</v>
      </c>
      <c r="B128" s="4">
        <v>45990</v>
      </c>
      <c r="C128" s="6">
        <v>0.6216666666666667</v>
      </c>
      <c r="D128" s="2" t="s">
        <v>289</v>
      </c>
      <c r="E128" t="s">
        <v>4194</v>
      </c>
      <c r="F128" t="s">
        <v>4211</v>
      </c>
      <c r="H128" t="s">
        <v>2936</v>
      </c>
      <c r="I128" t="s">
        <v>3621</v>
      </c>
      <c r="J128" t="s">
        <v>2984</v>
      </c>
      <c r="K128" t="s">
        <v>3622</v>
      </c>
      <c r="L128" t="s">
        <v>3623</v>
      </c>
      <c r="M128" s="3" t="str">
        <f>HYPERLINK(Таблица3[[#This Row],[RelativePath]])</f>
        <v>7 Площадка 2 бетонщики\K07156189_18_20251129T145512Z.jpg</v>
      </c>
    </row>
    <row r="129" spans="1:13" x14ac:dyDescent="0.25">
      <c r="A129" t="s">
        <v>18</v>
      </c>
      <c r="B129" s="4">
        <v>45990</v>
      </c>
      <c r="C129" s="6">
        <v>0.64386574074074077</v>
      </c>
      <c r="D129" s="2" t="s">
        <v>289</v>
      </c>
      <c r="E129" t="s">
        <v>4194</v>
      </c>
      <c r="F129" t="s">
        <v>87</v>
      </c>
      <c r="I129" t="s">
        <v>3645</v>
      </c>
      <c r="J129" t="s">
        <v>2984</v>
      </c>
      <c r="K129" t="s">
        <v>3646</v>
      </c>
      <c r="L129" t="s">
        <v>3647</v>
      </c>
      <c r="M129" s="3" t="str">
        <f>HYPERLINK(Таблица3[[#This Row],[RelativePath]])</f>
        <v>7 Площадка 2 бетонщики\K07156189_18_20251129T152710Z.jpg</v>
      </c>
    </row>
    <row r="130" spans="1:13" x14ac:dyDescent="0.25">
      <c r="A130" t="s">
        <v>18</v>
      </c>
      <c r="B130" s="4">
        <v>45990</v>
      </c>
      <c r="C130" s="6">
        <v>0.67753472222222222</v>
      </c>
      <c r="D130" s="2" t="s">
        <v>289</v>
      </c>
      <c r="E130" t="s">
        <v>4195</v>
      </c>
      <c r="F130" t="s">
        <v>4211</v>
      </c>
      <c r="H130" t="s">
        <v>2936</v>
      </c>
      <c r="I130" t="s">
        <v>3689</v>
      </c>
      <c r="J130" t="s">
        <v>2984</v>
      </c>
      <c r="K130" t="s">
        <v>3690</v>
      </c>
      <c r="L130" t="s">
        <v>3691</v>
      </c>
      <c r="M130" s="3" t="str">
        <f>HYPERLINK(Таблица3[[#This Row],[RelativePath]])</f>
        <v>7 Площадка 2 бетонщики\K07156189_18_20251129T161539Z.jpg</v>
      </c>
    </row>
    <row r="131" spans="1:13" x14ac:dyDescent="0.25">
      <c r="A131" t="s">
        <v>18</v>
      </c>
      <c r="B131" s="4">
        <v>45990</v>
      </c>
      <c r="C131" s="6">
        <v>0.62604166666666672</v>
      </c>
      <c r="D131" s="2" t="s">
        <v>289</v>
      </c>
      <c r="E131" t="s">
        <v>4194</v>
      </c>
      <c r="F131" t="s">
        <v>4211</v>
      </c>
      <c r="H131" t="s">
        <v>2936</v>
      </c>
      <c r="I131" t="s">
        <v>3627</v>
      </c>
      <c r="J131" t="s">
        <v>2984</v>
      </c>
      <c r="K131" t="s">
        <v>3628</v>
      </c>
      <c r="L131" t="s">
        <v>3629</v>
      </c>
      <c r="M131" s="3" t="str">
        <f>HYPERLINK(Таблица3[[#This Row],[RelativePath]])</f>
        <v>7 Площадка 2 бетонщики\K07156189_18_20251129T150130Z.jpg</v>
      </c>
    </row>
    <row r="132" spans="1:13" x14ac:dyDescent="0.25">
      <c r="A132" t="s">
        <v>18</v>
      </c>
      <c r="B132" s="4">
        <v>45990</v>
      </c>
      <c r="C132" s="6">
        <v>0.63124999999999998</v>
      </c>
      <c r="D132" s="2" t="s">
        <v>289</v>
      </c>
      <c r="E132" t="s">
        <v>4194</v>
      </c>
      <c r="F132" t="s">
        <v>4211</v>
      </c>
      <c r="H132" t="s">
        <v>2936</v>
      </c>
      <c r="I132" t="s">
        <v>3630</v>
      </c>
      <c r="J132" t="s">
        <v>2984</v>
      </c>
      <c r="K132" t="s">
        <v>3631</v>
      </c>
      <c r="L132" t="s">
        <v>3632</v>
      </c>
      <c r="M132" s="3" t="str">
        <f>HYPERLINK(Таблица3[[#This Row],[RelativePath]])</f>
        <v>7 Площадка 2 бетонщики\K07156189_18_20251129T150900Z.jpg</v>
      </c>
    </row>
    <row r="133" spans="1:13" x14ac:dyDescent="0.25">
      <c r="A133" t="s">
        <v>18</v>
      </c>
      <c r="B133" s="4">
        <v>45990</v>
      </c>
      <c r="C133" s="6">
        <v>0.61790509259259263</v>
      </c>
      <c r="D133" s="2" t="s">
        <v>289</v>
      </c>
      <c r="E133" t="s">
        <v>4194</v>
      </c>
      <c r="F133" t="s">
        <v>4211</v>
      </c>
      <c r="H133" t="s">
        <v>2936</v>
      </c>
      <c r="I133" t="s">
        <v>3615</v>
      </c>
      <c r="J133" t="s">
        <v>2984</v>
      </c>
      <c r="K133" t="s">
        <v>3616</v>
      </c>
      <c r="L133" t="s">
        <v>3617</v>
      </c>
      <c r="M133" s="3" t="str">
        <f>HYPERLINK(Таблица3[[#This Row],[RelativePath]])</f>
        <v>7 Площадка 2 бетонщики\K07156189_18_20251129T144947Z.jpg</v>
      </c>
    </row>
    <row r="134" spans="1:13" x14ac:dyDescent="0.25">
      <c r="A134" t="s">
        <v>18</v>
      </c>
      <c r="B134" s="4">
        <v>45990</v>
      </c>
      <c r="C134" s="6">
        <v>0.62410879629629634</v>
      </c>
      <c r="D134" s="2" t="s">
        <v>289</v>
      </c>
      <c r="E134" t="s">
        <v>4194</v>
      </c>
      <c r="F134" t="s">
        <v>4211</v>
      </c>
      <c r="H134" t="s">
        <v>2936</v>
      </c>
      <c r="I134" t="s">
        <v>3624</v>
      </c>
      <c r="J134" t="s">
        <v>2984</v>
      </c>
      <c r="K134" t="s">
        <v>3625</v>
      </c>
      <c r="L134" t="s">
        <v>3626</v>
      </c>
      <c r="M134" s="3" t="str">
        <f>HYPERLINK(Таблица3[[#This Row],[RelativePath]])</f>
        <v>7 Площадка 2 бетонщики\K07156189_18_20251129T145843Z.jpg</v>
      </c>
    </row>
    <row r="135" spans="1:13" x14ac:dyDescent="0.25">
      <c r="A135" t="s">
        <v>18</v>
      </c>
      <c r="B135" s="4">
        <v>45990</v>
      </c>
      <c r="C135" s="6">
        <v>0.65699074074074071</v>
      </c>
      <c r="D135" s="2" t="s">
        <v>289</v>
      </c>
      <c r="E135" t="s">
        <v>4195</v>
      </c>
      <c r="F135" t="s">
        <v>4211</v>
      </c>
      <c r="H135" t="s">
        <v>2936</v>
      </c>
      <c r="I135" t="s">
        <v>3659</v>
      </c>
      <c r="J135" t="s">
        <v>2984</v>
      </c>
      <c r="K135" t="s">
        <v>3660</v>
      </c>
      <c r="L135" t="s">
        <v>3661</v>
      </c>
      <c r="M135" s="3" t="str">
        <f>HYPERLINK(Таблица3[[#This Row],[RelativePath]])</f>
        <v>7 Площадка 2 бетонщики\K07156189_18_20251129T154604Z.jpg</v>
      </c>
    </row>
    <row r="136" spans="1:13" x14ac:dyDescent="0.25">
      <c r="A136" t="s">
        <v>18</v>
      </c>
      <c r="B136" s="4">
        <v>45990</v>
      </c>
      <c r="C136" s="6">
        <v>0.67405092592592597</v>
      </c>
      <c r="D136" s="2" t="s">
        <v>289</v>
      </c>
      <c r="E136" t="s">
        <v>4195</v>
      </c>
      <c r="F136" t="s">
        <v>4211</v>
      </c>
      <c r="H136" t="s">
        <v>2936</v>
      </c>
      <c r="I136" t="s">
        <v>3680</v>
      </c>
      <c r="J136" t="s">
        <v>2984</v>
      </c>
      <c r="K136" t="s">
        <v>3681</v>
      </c>
      <c r="L136" t="s">
        <v>3682</v>
      </c>
      <c r="M136" s="3" t="str">
        <f>HYPERLINK(Таблица3[[#This Row],[RelativePath]])</f>
        <v>7 Площадка 2 бетонщики\K07156189_18_20251129T161038Z.jpg</v>
      </c>
    </row>
    <row r="137" spans="1:13" x14ac:dyDescent="0.25">
      <c r="A137" t="s">
        <v>18</v>
      </c>
      <c r="B137" s="4">
        <v>45990</v>
      </c>
      <c r="C137" s="6">
        <v>0.67623842592592598</v>
      </c>
      <c r="D137" s="2" t="s">
        <v>289</v>
      </c>
      <c r="E137" t="s">
        <v>4195</v>
      </c>
      <c r="F137" t="s">
        <v>4211</v>
      </c>
      <c r="H137" t="s">
        <v>2936</v>
      </c>
      <c r="I137" t="s">
        <v>3686</v>
      </c>
      <c r="J137" t="s">
        <v>2984</v>
      </c>
      <c r="K137" t="s">
        <v>3687</v>
      </c>
      <c r="L137" t="s">
        <v>3688</v>
      </c>
      <c r="M137" s="3" t="str">
        <f>HYPERLINK(Таблица3[[#This Row],[RelativePath]])</f>
        <v>7 Площадка 2 бетонщики\K07156189_18_20251129T161347Z.jpg</v>
      </c>
    </row>
    <row r="138" spans="1:13" x14ac:dyDescent="0.25">
      <c r="A138" t="s">
        <v>18</v>
      </c>
      <c r="B138" s="4">
        <v>45990</v>
      </c>
      <c r="C138" s="6">
        <v>0.67570601851851853</v>
      </c>
      <c r="D138" s="2" t="s">
        <v>289</v>
      </c>
      <c r="E138" t="s">
        <v>4195</v>
      </c>
      <c r="F138" t="s">
        <v>4211</v>
      </c>
      <c r="H138" t="s">
        <v>2936</v>
      </c>
      <c r="I138" t="s">
        <v>3683</v>
      </c>
      <c r="J138" t="s">
        <v>2984</v>
      </c>
      <c r="K138" t="s">
        <v>3684</v>
      </c>
      <c r="L138" t="s">
        <v>3685</v>
      </c>
      <c r="M138" s="3" t="str">
        <f>HYPERLINK(Таблица3[[#This Row],[RelativePath]])</f>
        <v>7 Площадка 2 бетонщики\K07156189_18_20251129T161301Z.jpg</v>
      </c>
    </row>
    <row r="139" spans="1:13" x14ac:dyDescent="0.25">
      <c r="A139" t="s">
        <v>18</v>
      </c>
      <c r="B139" s="4">
        <v>45990</v>
      </c>
      <c r="C139" s="6">
        <v>0.68625000000000003</v>
      </c>
      <c r="D139" s="2" t="s">
        <v>289</v>
      </c>
      <c r="E139" t="s">
        <v>4195</v>
      </c>
      <c r="F139" t="s">
        <v>4211</v>
      </c>
      <c r="H139" t="s">
        <v>2936</v>
      </c>
      <c r="I139" t="s">
        <v>3701</v>
      </c>
      <c r="J139" t="s">
        <v>2984</v>
      </c>
      <c r="K139" t="s">
        <v>3702</v>
      </c>
      <c r="L139" t="s">
        <v>3703</v>
      </c>
      <c r="M139" s="3" t="str">
        <f>HYPERLINK(Таблица3[[#This Row],[RelativePath]])</f>
        <v>7 Площадка 2 бетонщики\K07156189_18_20251129T162812Z.jpg</v>
      </c>
    </row>
    <row r="140" spans="1:13" x14ac:dyDescent="0.25">
      <c r="A140" t="s">
        <v>18</v>
      </c>
      <c r="B140" s="4">
        <v>45990</v>
      </c>
      <c r="C140" s="6">
        <v>0.68329861111111112</v>
      </c>
      <c r="D140" s="2" t="s">
        <v>289</v>
      </c>
      <c r="E140" t="s">
        <v>4195</v>
      </c>
      <c r="F140" t="s">
        <v>4211</v>
      </c>
      <c r="H140" t="s">
        <v>2936</v>
      </c>
      <c r="I140" t="s">
        <v>3695</v>
      </c>
      <c r="J140" t="s">
        <v>2984</v>
      </c>
      <c r="K140" t="s">
        <v>3696</v>
      </c>
      <c r="L140" t="s">
        <v>3697</v>
      </c>
      <c r="M140" s="3" t="str">
        <f>HYPERLINK(Таблица3[[#This Row],[RelativePath]])</f>
        <v>7 Площадка 2 бетонщики\K07156189_18_20251129T162357Z.jpg</v>
      </c>
    </row>
    <row r="141" spans="1:13" x14ac:dyDescent="0.25">
      <c r="A141" t="s">
        <v>18</v>
      </c>
      <c r="B141" s="4">
        <v>45990</v>
      </c>
      <c r="C141" s="6">
        <v>0.68038194444444444</v>
      </c>
      <c r="D141" s="2" t="s">
        <v>289</v>
      </c>
      <c r="E141" t="s">
        <v>4195</v>
      </c>
      <c r="F141" t="s">
        <v>4211</v>
      </c>
      <c r="H141" t="s">
        <v>2936</v>
      </c>
      <c r="I141" t="s">
        <v>3692</v>
      </c>
      <c r="J141" t="s">
        <v>2984</v>
      </c>
      <c r="K141" t="s">
        <v>3693</v>
      </c>
      <c r="L141" t="s">
        <v>3694</v>
      </c>
      <c r="M141" s="3" t="str">
        <f>HYPERLINK(Таблица3[[#This Row],[RelativePath]])</f>
        <v>7 Площадка 2 бетонщики\K07156189_18_20251129T161945Z.jpg</v>
      </c>
    </row>
    <row r="142" spans="1:13" x14ac:dyDescent="0.25">
      <c r="A142" t="s">
        <v>18</v>
      </c>
      <c r="B142" s="4">
        <v>45990</v>
      </c>
      <c r="C142" s="6">
        <v>0.68376157407407412</v>
      </c>
      <c r="D142" s="2" t="s">
        <v>289</v>
      </c>
      <c r="E142" t="s">
        <v>4195</v>
      </c>
      <c r="F142" t="s">
        <v>4211</v>
      </c>
      <c r="H142" t="s">
        <v>2936</v>
      </c>
      <c r="I142" t="s">
        <v>3698</v>
      </c>
      <c r="J142" t="s">
        <v>2984</v>
      </c>
      <c r="K142" t="s">
        <v>3699</v>
      </c>
      <c r="L142" t="s">
        <v>3700</v>
      </c>
      <c r="M142" s="3" t="str">
        <f>HYPERLINK(Таблица3[[#This Row],[RelativePath]])</f>
        <v>7 Площадка 2 бетонщики\K07156189_18_20251129T162437Z.jpg</v>
      </c>
    </row>
    <row r="143" spans="1:13" x14ac:dyDescent="0.25">
      <c r="A143" t="s">
        <v>18</v>
      </c>
      <c r="B143" s="4">
        <v>45990</v>
      </c>
      <c r="C143" s="6">
        <v>0.69054398148148144</v>
      </c>
      <c r="D143" s="2" t="s">
        <v>289</v>
      </c>
      <c r="E143" t="s">
        <v>4211</v>
      </c>
      <c r="H143" t="s">
        <v>2936</v>
      </c>
      <c r="I143" t="s">
        <v>3462</v>
      </c>
      <c r="J143" t="s">
        <v>2983</v>
      </c>
      <c r="K143" t="s">
        <v>3463</v>
      </c>
      <c r="L143" t="s">
        <v>3464</v>
      </c>
      <c r="M143" s="3" t="str">
        <f>HYPERLINK(Таблица3[[#This Row],[RelativePath]])</f>
        <v>6 Площадка 1 общага\826398429_1_20251129T163423Z.jpg</v>
      </c>
    </row>
    <row r="144" spans="1:13" x14ac:dyDescent="0.25">
      <c r="A144" t="s">
        <v>18</v>
      </c>
      <c r="B144" s="4">
        <v>45990</v>
      </c>
      <c r="C144" s="6">
        <v>0.66106481481481483</v>
      </c>
      <c r="D144" s="2" t="s">
        <v>289</v>
      </c>
      <c r="E144" t="s">
        <v>4195</v>
      </c>
      <c r="F144" t="s">
        <v>4211</v>
      </c>
      <c r="H144" t="s">
        <v>2936</v>
      </c>
      <c r="I144" t="s">
        <v>3665</v>
      </c>
      <c r="J144" t="s">
        <v>2984</v>
      </c>
      <c r="K144" t="s">
        <v>3666</v>
      </c>
      <c r="L144" t="s">
        <v>3667</v>
      </c>
      <c r="M144" s="3" t="str">
        <f>HYPERLINK(Таблица3[[#This Row],[RelativePath]])</f>
        <v>7 Площадка 2 бетонщики\K07156189_18_20251129T155156Z.jpg</v>
      </c>
    </row>
    <row r="145" spans="1:13" x14ac:dyDescent="0.25">
      <c r="A145" t="s">
        <v>18</v>
      </c>
      <c r="B145" s="4">
        <v>45990</v>
      </c>
      <c r="C145" s="6">
        <v>0.65927083333333336</v>
      </c>
      <c r="D145" s="2" t="s">
        <v>289</v>
      </c>
      <c r="E145" t="s">
        <v>4195</v>
      </c>
      <c r="F145" t="s">
        <v>4211</v>
      </c>
      <c r="H145" t="s">
        <v>2936</v>
      </c>
      <c r="I145" t="s">
        <v>3662</v>
      </c>
      <c r="J145" t="s">
        <v>2984</v>
      </c>
      <c r="K145" t="s">
        <v>3663</v>
      </c>
      <c r="L145" t="s">
        <v>3664</v>
      </c>
      <c r="M145" s="3" t="str">
        <f>HYPERLINK(Таблица3[[#This Row],[RelativePath]])</f>
        <v>7 Площадка 2 бетонщики\K07156189_18_20251129T154921Z.jpg</v>
      </c>
    </row>
    <row r="146" spans="1:13" x14ac:dyDescent="0.25">
      <c r="A146" t="s">
        <v>18</v>
      </c>
      <c r="B146" s="4">
        <v>45990</v>
      </c>
      <c r="C146" s="6">
        <v>0.66378472222222218</v>
      </c>
      <c r="D146" s="2" t="s">
        <v>289</v>
      </c>
      <c r="E146" t="s">
        <v>4195</v>
      </c>
      <c r="F146" t="s">
        <v>4211</v>
      </c>
      <c r="H146" t="s">
        <v>2936</v>
      </c>
      <c r="I146" t="s">
        <v>3668</v>
      </c>
      <c r="J146" t="s">
        <v>2984</v>
      </c>
      <c r="K146" t="s">
        <v>3669</v>
      </c>
      <c r="L146" t="s">
        <v>3670</v>
      </c>
      <c r="M146" s="3" t="str">
        <f>HYPERLINK(Таблица3[[#This Row],[RelativePath]])</f>
        <v>7 Площадка 2 бетонщики\K07156189_18_20251129T155551Z.jpg</v>
      </c>
    </row>
    <row r="147" spans="1:13" x14ac:dyDescent="0.25">
      <c r="A147" t="s">
        <v>18</v>
      </c>
      <c r="B147" s="4">
        <v>45990</v>
      </c>
      <c r="C147" s="6">
        <v>0.66971064814814818</v>
      </c>
      <c r="D147" s="2" t="s">
        <v>289</v>
      </c>
      <c r="E147" t="s">
        <v>4195</v>
      </c>
      <c r="F147" t="s">
        <v>4211</v>
      </c>
      <c r="H147" t="s">
        <v>2936</v>
      </c>
      <c r="I147" t="s">
        <v>3674</v>
      </c>
      <c r="J147" t="s">
        <v>2984</v>
      </c>
      <c r="K147" t="s">
        <v>3675</v>
      </c>
      <c r="L147" t="s">
        <v>3676</v>
      </c>
      <c r="M147" s="3" t="str">
        <f>HYPERLINK(Таблица3[[#This Row],[RelativePath]])</f>
        <v>7 Площадка 2 бетонщики\K07156189_18_20251129T160423Z.jpg</v>
      </c>
    </row>
    <row r="148" spans="1:13" x14ac:dyDescent="0.25">
      <c r="A148" t="s">
        <v>18</v>
      </c>
      <c r="B148" s="4">
        <v>45990</v>
      </c>
      <c r="C148" s="6">
        <v>0.66733796296296299</v>
      </c>
      <c r="D148" s="2" t="s">
        <v>289</v>
      </c>
      <c r="E148" t="s">
        <v>4195</v>
      </c>
      <c r="F148" t="s">
        <v>4211</v>
      </c>
      <c r="H148" t="s">
        <v>2936</v>
      </c>
      <c r="I148" t="s">
        <v>3671</v>
      </c>
      <c r="J148" t="s">
        <v>2984</v>
      </c>
      <c r="K148" t="s">
        <v>3672</v>
      </c>
      <c r="L148" t="s">
        <v>3673</v>
      </c>
      <c r="M148" s="3" t="str">
        <f>HYPERLINK(Таблица3[[#This Row],[RelativePath]])</f>
        <v>7 Площадка 2 бетонщики\K07156189_18_20251129T160058Z.jpg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5093</v>
      </c>
      <c r="H149" t="s">
        <v>5094</v>
      </c>
      <c r="I149" t="s">
        <v>4459</v>
      </c>
      <c r="J149" t="s">
        <v>2991</v>
      </c>
      <c r="K149" t="s">
        <v>4460</v>
      </c>
      <c r="L149" t="s">
        <v>4461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0.38062499999999999</v>
      </c>
      <c r="D150" s="2" t="s">
        <v>289</v>
      </c>
      <c r="E150" t="s">
        <v>70</v>
      </c>
      <c r="F150" t="s">
        <v>5093</v>
      </c>
      <c r="H150" t="s">
        <v>2936</v>
      </c>
      <c r="I150" t="s">
        <v>4474</v>
      </c>
      <c r="J150" t="s">
        <v>2991</v>
      </c>
      <c r="K150" t="s">
        <v>4475</v>
      </c>
      <c r="L150" t="s">
        <v>4476</v>
      </c>
      <c r="M150" s="3" t="str">
        <f>HYPERLINK(Таблица3[[#This Row],[RelativePath]])</f>
        <v>4 Крыльцо офиса\K07156189_21_20251204T090806Z.jpg</v>
      </c>
    </row>
    <row r="151" spans="1:13" x14ac:dyDescent="0.25">
      <c r="A151" t="s">
        <v>16</v>
      </c>
      <c r="B151" s="4">
        <v>45995</v>
      </c>
      <c r="C151" s="6">
        <v>0.38299768518518518</v>
      </c>
      <c r="D151" s="2" t="s">
        <v>289</v>
      </c>
      <c r="E151" t="s">
        <v>70</v>
      </c>
      <c r="F151" t="s">
        <v>5093</v>
      </c>
      <c r="H151" t="s">
        <v>5096</v>
      </c>
      <c r="I151" t="s">
        <v>4477</v>
      </c>
      <c r="J151" t="s">
        <v>2991</v>
      </c>
      <c r="K151" t="s">
        <v>4478</v>
      </c>
      <c r="L151" t="s">
        <v>4479</v>
      </c>
      <c r="M151" s="3" t="str">
        <f>HYPERLINK(Таблица3[[#This Row],[RelativePath]])</f>
        <v>4 Крыльцо офиса\K07156189_21_20251204T091131Z.jpg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5093</v>
      </c>
      <c r="H152" t="s">
        <v>2936</v>
      </c>
      <c r="I152" t="s">
        <v>4471</v>
      </c>
      <c r="J152" t="s">
        <v>2991</v>
      </c>
      <c r="K152" t="s">
        <v>4472</v>
      </c>
      <c r="L152" t="s">
        <v>4473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0.5186574074074074</v>
      </c>
      <c r="D153" s="2" t="s">
        <v>289</v>
      </c>
      <c r="E153" t="s">
        <v>2927</v>
      </c>
      <c r="F153" t="s">
        <v>53</v>
      </c>
      <c r="G153">
        <v>3</v>
      </c>
      <c r="I153" t="s">
        <v>5086</v>
      </c>
      <c r="J153" t="s">
        <v>2990</v>
      </c>
      <c r="K153" t="s">
        <v>5087</v>
      </c>
      <c r="L153" t="s">
        <v>5088</v>
      </c>
      <c r="M153" s="3" t="str">
        <f>HYPERLINK(Таблица3[[#This Row],[RelativePath]])</f>
        <v>3 Въезд на базу\E33149364_8_20251204T122652Z.jpg</v>
      </c>
    </row>
    <row r="154" spans="1:13" x14ac:dyDescent="0.25">
      <c r="A154" t="s">
        <v>16</v>
      </c>
      <c r="B154" s="4">
        <v>45995</v>
      </c>
      <c r="C154" s="6">
        <v>0.38034722222222223</v>
      </c>
      <c r="D154" s="2" t="s">
        <v>289</v>
      </c>
      <c r="E154" t="s">
        <v>70</v>
      </c>
      <c r="F154" t="s">
        <v>5093</v>
      </c>
      <c r="H154" t="s">
        <v>5095</v>
      </c>
      <c r="I154" t="s">
        <v>4468</v>
      </c>
      <c r="J154" t="s">
        <v>2991</v>
      </c>
      <c r="K154" t="s">
        <v>4469</v>
      </c>
      <c r="L154" t="s">
        <v>4470</v>
      </c>
      <c r="M154" s="3" t="str">
        <f>HYPERLINK(Таблица3[[#This Row],[RelativePath]])</f>
        <v>4 Крыльцо офиса\K07156189_21_20251204T090742Z.jpg</v>
      </c>
    </row>
    <row r="155" spans="1:13" x14ac:dyDescent="0.25">
      <c r="A155" t="s">
        <v>22</v>
      </c>
      <c r="B155" s="4">
        <v>45998</v>
      </c>
      <c r="C155" s="6">
        <v>0.61756944444444439</v>
      </c>
      <c r="D155" s="2" t="s">
        <v>289</v>
      </c>
      <c r="E155" t="s">
        <v>5263</v>
      </c>
      <c r="F155" t="s">
        <v>5093</v>
      </c>
      <c r="I155" t="s">
        <v>5151</v>
      </c>
      <c r="J155" t="s">
        <v>2982</v>
      </c>
      <c r="K155" t="s">
        <v>5152</v>
      </c>
      <c r="L155" t="s">
        <v>5153</v>
      </c>
      <c r="M155" s="3" t="str">
        <f>HYPERLINK(Таблица3[[#This Row],[RelativePath]])</f>
        <v>5 Крыльцо общага\K07156189_22_20251207T144918Z.jpg</v>
      </c>
    </row>
    <row r="156" spans="1:13" x14ac:dyDescent="0.25">
      <c r="A156" t="s">
        <v>22</v>
      </c>
      <c r="B156" s="4">
        <v>45998</v>
      </c>
      <c r="C156" s="6">
        <v>0.62070601851851848</v>
      </c>
      <c r="D156" s="2" t="s">
        <v>289</v>
      </c>
      <c r="E156" t="s">
        <v>5263</v>
      </c>
      <c r="F156" t="s">
        <v>5093</v>
      </c>
      <c r="H156" t="s">
        <v>2936</v>
      </c>
      <c r="I156" t="s">
        <v>5154</v>
      </c>
      <c r="J156" t="s">
        <v>2982</v>
      </c>
      <c r="K156" t="s">
        <v>5155</v>
      </c>
      <c r="L156" t="s">
        <v>5156</v>
      </c>
      <c r="M156" s="3" t="str">
        <f>HYPERLINK(Таблица3[[#This Row],[RelativePath]])</f>
        <v>5 Крыльцо общага\K07156189_22_20251207T145349Z.jpg</v>
      </c>
    </row>
    <row r="157" spans="1:13" x14ac:dyDescent="0.25">
      <c r="A157" t="s">
        <v>22</v>
      </c>
      <c r="B157" s="4">
        <v>45998</v>
      </c>
      <c r="C157" s="6">
        <v>0.62306712962962962</v>
      </c>
      <c r="D157" s="2" t="s">
        <v>289</v>
      </c>
      <c r="E157" t="s">
        <v>5263</v>
      </c>
      <c r="F157" t="s">
        <v>5093</v>
      </c>
      <c r="H157" t="s">
        <v>2936</v>
      </c>
      <c r="I157" t="s">
        <v>5157</v>
      </c>
      <c r="J157" t="s">
        <v>2982</v>
      </c>
      <c r="K157" t="s">
        <v>5158</v>
      </c>
      <c r="L157" t="s">
        <v>5159</v>
      </c>
      <c r="M157" s="3" t="str">
        <f>HYPERLINK(Таблица3[[#This Row],[RelativePath]])</f>
        <v>5 Крыльцо общага\K07156189_22_20251207T145713Z.jpg</v>
      </c>
    </row>
    <row r="158" spans="1:13" x14ac:dyDescent="0.25">
      <c r="A158" t="s">
        <v>22</v>
      </c>
      <c r="B158" s="4">
        <v>45998</v>
      </c>
      <c r="C158" s="6">
        <v>0.62668981481481478</v>
      </c>
      <c r="D158" s="2" t="s">
        <v>289</v>
      </c>
      <c r="E158" t="s">
        <v>5263</v>
      </c>
      <c r="F158" t="s">
        <v>5093</v>
      </c>
      <c r="H158" t="s">
        <v>2936</v>
      </c>
      <c r="I158" t="s">
        <v>5160</v>
      </c>
      <c r="J158" t="s">
        <v>2982</v>
      </c>
      <c r="K158" t="s">
        <v>5161</v>
      </c>
      <c r="L158" t="s">
        <v>5162</v>
      </c>
      <c r="M158" s="3" t="str">
        <f>HYPERLINK(Таблица3[[#This Row],[RelativePath]])</f>
        <v>5 Крыльцо общага\K07156189_22_20251207T150226Z.jpg</v>
      </c>
    </row>
    <row r="159" spans="1:13" x14ac:dyDescent="0.25">
      <c r="A159" t="s">
        <v>22</v>
      </c>
      <c r="B159" s="4">
        <v>45998</v>
      </c>
      <c r="C159" s="6">
        <v>0.62921296296296292</v>
      </c>
      <c r="D159" s="2" t="s">
        <v>289</v>
      </c>
      <c r="E159" t="s">
        <v>5263</v>
      </c>
      <c r="F159" t="s">
        <v>5093</v>
      </c>
      <c r="H159" t="s">
        <v>2936</v>
      </c>
      <c r="I159" t="s">
        <v>5163</v>
      </c>
      <c r="J159" t="s">
        <v>2982</v>
      </c>
      <c r="K159" t="s">
        <v>5164</v>
      </c>
      <c r="L159" t="s">
        <v>5165</v>
      </c>
      <c r="M159" s="3" t="str">
        <f>HYPERLINK(Таблица3[[#This Row],[RelativePath]])</f>
        <v>5 Крыльцо общага\K07156189_22_20251207T150604Z.jpg</v>
      </c>
    </row>
    <row r="160" spans="1:13" x14ac:dyDescent="0.25">
      <c r="A160" t="s">
        <v>22</v>
      </c>
      <c r="B160" s="4">
        <v>45998</v>
      </c>
      <c r="C160" s="6">
        <v>0.63689814814814816</v>
      </c>
      <c r="D160" s="2" t="s">
        <v>289</v>
      </c>
      <c r="E160" t="s">
        <v>5263</v>
      </c>
      <c r="F160" t="s">
        <v>5093</v>
      </c>
      <c r="H160" t="s">
        <v>2936</v>
      </c>
      <c r="I160" t="s">
        <v>5166</v>
      </c>
      <c r="J160" t="s">
        <v>2982</v>
      </c>
      <c r="K160" t="s">
        <v>5167</v>
      </c>
      <c r="L160" t="s">
        <v>5168</v>
      </c>
      <c r="M160" s="3" t="str">
        <f>HYPERLINK(Таблица3[[#This Row],[RelativePath]])</f>
        <v>5 Крыльцо общага\K07156189_22_20251207T151708Z.jpg</v>
      </c>
    </row>
    <row r="161" spans="1:13" x14ac:dyDescent="0.25">
      <c r="A161" t="s">
        <v>22</v>
      </c>
      <c r="B161" s="4">
        <v>45998</v>
      </c>
      <c r="C161" s="6">
        <v>0.60039351851851852</v>
      </c>
      <c r="D161" s="2" t="s">
        <v>289</v>
      </c>
      <c r="E161" t="s">
        <v>5263</v>
      </c>
      <c r="F161" t="s">
        <v>4233</v>
      </c>
      <c r="I161" t="s">
        <v>5187</v>
      </c>
      <c r="J161" t="s">
        <v>2985</v>
      </c>
      <c r="K161" t="s">
        <v>5188</v>
      </c>
      <c r="L161" t="s">
        <v>5189</v>
      </c>
      <c r="M161" s="3" t="str">
        <f>HYPERLINK(Таблица3[[#This Row],[RelativePath]])</f>
        <v>10 Сушилка навес\E33149364_3_20251207T142434Z.jpg</v>
      </c>
    </row>
    <row r="162" spans="1:13" x14ac:dyDescent="0.25">
      <c r="A162" t="s">
        <v>22</v>
      </c>
      <c r="B162" s="4">
        <v>45998</v>
      </c>
      <c r="C162" s="6">
        <v>0.60648148148148151</v>
      </c>
      <c r="D162" s="2" t="s">
        <v>289</v>
      </c>
      <c r="E162" t="s">
        <v>5263</v>
      </c>
      <c r="F162" t="s">
        <v>4233</v>
      </c>
      <c r="H162" t="s">
        <v>2936</v>
      </c>
      <c r="I162" t="s">
        <v>5190</v>
      </c>
      <c r="J162" t="s">
        <v>2985</v>
      </c>
      <c r="K162" t="s">
        <v>5191</v>
      </c>
      <c r="L162" t="s">
        <v>5192</v>
      </c>
      <c r="M162" s="3" t="str">
        <f>HYPERLINK(Таблица3[[#This Row],[RelativePath]])</f>
        <v>10 Сушилка навес\E33149364_3_20251207T143320Z.jpg</v>
      </c>
    </row>
    <row r="163" spans="1:13" x14ac:dyDescent="0.25">
      <c r="A163" t="s">
        <v>18</v>
      </c>
      <c r="B163" s="4">
        <v>46004</v>
      </c>
      <c r="C163" s="6">
        <v>0.39997685185185183</v>
      </c>
      <c r="D163" s="2" t="s">
        <v>289</v>
      </c>
      <c r="E163" t="s">
        <v>6167</v>
      </c>
      <c r="F163" t="s">
        <v>6188</v>
      </c>
      <c r="H163" t="s">
        <v>2936</v>
      </c>
      <c r="I163" t="s">
        <v>6128</v>
      </c>
      <c r="J163" t="s">
        <v>5633</v>
      </c>
      <c r="K163" t="s">
        <v>6129</v>
      </c>
      <c r="L163" t="s">
        <v>6130</v>
      </c>
      <c r="M163" s="3" t="str">
        <f>HYPERLINK(Таблица3[[#This Row],[RelativePath]])</f>
        <v>11 С ангара на базу\E33149364_4_20251213T093558Z.jpg</v>
      </c>
    </row>
    <row r="164" spans="1:13" x14ac:dyDescent="0.25">
      <c r="A164" t="s">
        <v>18</v>
      </c>
      <c r="B164" s="4">
        <v>46004</v>
      </c>
      <c r="C164" s="6">
        <v>0.39961805555555557</v>
      </c>
      <c r="D164" s="2" t="s">
        <v>289</v>
      </c>
      <c r="E164" t="s">
        <v>6167</v>
      </c>
      <c r="F164" t="s">
        <v>6188</v>
      </c>
      <c r="H164" t="s">
        <v>2936</v>
      </c>
      <c r="I164" t="s">
        <v>6125</v>
      </c>
      <c r="J164" t="s">
        <v>5633</v>
      </c>
      <c r="K164" t="s">
        <v>6126</v>
      </c>
      <c r="L164" t="s">
        <v>6127</v>
      </c>
      <c r="M164" s="3" t="str">
        <f>HYPERLINK(Таблица3[[#This Row],[RelativePath]])</f>
        <v>11 С ангара на базу\E33149364_4_20251213T093527Z.jpg</v>
      </c>
    </row>
    <row r="165" spans="1:13" x14ac:dyDescent="0.25">
      <c r="A165" t="s">
        <v>18</v>
      </c>
      <c r="B165" s="4">
        <v>46004</v>
      </c>
      <c r="C165" s="6">
        <v>0.40229166666666666</v>
      </c>
      <c r="D165" s="2" t="s">
        <v>289</v>
      </c>
      <c r="E165" t="s">
        <v>6167</v>
      </c>
      <c r="F165" t="s">
        <v>6188</v>
      </c>
      <c r="H165" t="s">
        <v>2936</v>
      </c>
      <c r="I165" t="s">
        <v>6134</v>
      </c>
      <c r="J165" t="s">
        <v>5633</v>
      </c>
      <c r="K165" t="s">
        <v>6135</v>
      </c>
      <c r="L165" t="s">
        <v>6136</v>
      </c>
      <c r="M165" s="3" t="str">
        <f>HYPERLINK(Таблица3[[#This Row],[RelativePath]])</f>
        <v>11 С ангара на базу\E33149364_4_20251213T093918Z.jpg</v>
      </c>
    </row>
    <row r="166" spans="1:13" x14ac:dyDescent="0.25">
      <c r="A166" t="s">
        <v>18</v>
      </c>
      <c r="B166" s="4">
        <v>46004</v>
      </c>
      <c r="C166" s="6">
        <v>0.40167824074074077</v>
      </c>
      <c r="D166" s="2" t="s">
        <v>289</v>
      </c>
      <c r="E166" t="s">
        <v>6167</v>
      </c>
      <c r="F166" t="s">
        <v>6188</v>
      </c>
      <c r="H166" t="s">
        <v>2936</v>
      </c>
      <c r="I166" t="s">
        <v>6131</v>
      </c>
      <c r="J166" t="s">
        <v>5633</v>
      </c>
      <c r="K166" t="s">
        <v>6132</v>
      </c>
      <c r="L166" t="s">
        <v>6133</v>
      </c>
      <c r="M166" s="3" t="str">
        <f>HYPERLINK(Таблица3[[#This Row],[RelativePath]])</f>
        <v>11 С ангара на базу\E33149364_4_20251213T093825Z.jpg</v>
      </c>
    </row>
    <row r="167" spans="1:13" x14ac:dyDescent="0.25">
      <c r="A167" t="s">
        <v>18</v>
      </c>
      <c r="B167" s="4">
        <v>46004</v>
      </c>
      <c r="C167" s="6">
        <v>0.39643518518518517</v>
      </c>
      <c r="D167" s="2" t="s">
        <v>289</v>
      </c>
      <c r="E167" t="s">
        <v>6167</v>
      </c>
      <c r="F167" t="s">
        <v>6188</v>
      </c>
      <c r="H167" t="s">
        <v>2936</v>
      </c>
      <c r="I167" t="s">
        <v>6116</v>
      </c>
      <c r="J167" t="s">
        <v>5633</v>
      </c>
      <c r="K167" t="s">
        <v>6117</v>
      </c>
      <c r="L167" t="s">
        <v>6118</v>
      </c>
      <c r="M167" s="3" t="str">
        <f>HYPERLINK(Таблица3[[#This Row],[RelativePath]])</f>
        <v>11 С ангара на базу\E33149364_4_20251213T093052Z.jpg</v>
      </c>
    </row>
    <row r="168" spans="1:13" x14ac:dyDescent="0.25">
      <c r="A168" t="s">
        <v>18</v>
      </c>
      <c r="B168" s="4">
        <v>46004</v>
      </c>
      <c r="C168" s="6">
        <v>0.39291666666666669</v>
      </c>
      <c r="D168" s="2" t="s">
        <v>289</v>
      </c>
      <c r="E168" t="s">
        <v>6167</v>
      </c>
      <c r="F168" t="s">
        <v>6188</v>
      </c>
      <c r="H168" t="s">
        <v>2936</v>
      </c>
      <c r="I168" t="s">
        <v>6113</v>
      </c>
      <c r="J168" t="s">
        <v>5633</v>
      </c>
      <c r="K168" t="s">
        <v>6114</v>
      </c>
      <c r="L168" t="s">
        <v>6115</v>
      </c>
      <c r="M168" s="3" t="str">
        <f>HYPERLINK(Таблица3[[#This Row],[RelativePath]])</f>
        <v>11 С ангара на базу\E33149364_4_20251213T092548Z.jpg</v>
      </c>
    </row>
    <row r="169" spans="1:13" x14ac:dyDescent="0.25">
      <c r="A169" t="s">
        <v>18</v>
      </c>
      <c r="B169" s="4">
        <v>46004</v>
      </c>
      <c r="C169" s="6">
        <v>0.3972222222222222</v>
      </c>
      <c r="D169" s="2" t="s">
        <v>289</v>
      </c>
      <c r="E169" t="s">
        <v>6167</v>
      </c>
      <c r="F169" t="s">
        <v>6188</v>
      </c>
      <c r="H169" t="s">
        <v>2936</v>
      </c>
      <c r="I169" t="s">
        <v>6122</v>
      </c>
      <c r="J169" t="s">
        <v>5633</v>
      </c>
      <c r="K169" t="s">
        <v>6123</v>
      </c>
      <c r="L169" t="s">
        <v>6124</v>
      </c>
      <c r="M169" s="3" t="str">
        <f>HYPERLINK(Таблица3[[#This Row],[RelativePath]])</f>
        <v>11 С ангара на базу\E33149364_4_20251213T093200Z.jpg</v>
      </c>
    </row>
    <row r="170" spans="1:13" x14ac:dyDescent="0.25">
      <c r="A170" t="s">
        <v>18</v>
      </c>
      <c r="B170" s="4">
        <v>46004</v>
      </c>
      <c r="C170" s="6">
        <v>0.39685185185185184</v>
      </c>
      <c r="D170" s="2" t="s">
        <v>289</v>
      </c>
      <c r="E170" t="s">
        <v>6167</v>
      </c>
      <c r="F170" t="s">
        <v>6188</v>
      </c>
      <c r="H170" t="s">
        <v>2936</v>
      </c>
      <c r="I170" t="s">
        <v>6119</v>
      </c>
      <c r="J170" t="s">
        <v>5633</v>
      </c>
      <c r="K170" t="s">
        <v>6120</v>
      </c>
      <c r="L170" t="s">
        <v>6121</v>
      </c>
      <c r="M170" s="3" t="str">
        <f>HYPERLINK(Таблица3[[#This Row],[RelativePath]])</f>
        <v>11 С ангара на базу\E33149364_4_20251213T093128Z.jpg</v>
      </c>
    </row>
    <row r="171" spans="1:13" x14ac:dyDescent="0.25">
      <c r="A171" t="s">
        <v>13</v>
      </c>
      <c r="B171" s="4">
        <v>46006</v>
      </c>
      <c r="C171" s="6">
        <v>0.51274305555555555</v>
      </c>
      <c r="D171" s="2" t="s">
        <v>289</v>
      </c>
      <c r="E171" t="s">
        <v>70</v>
      </c>
      <c r="F171" t="s">
        <v>6340</v>
      </c>
      <c r="I171" t="s">
        <v>6310</v>
      </c>
      <c r="J171" t="s">
        <v>6309</v>
      </c>
      <c r="K171" t="s">
        <v>6311</v>
      </c>
      <c r="L171" t="s">
        <v>6312</v>
      </c>
      <c r="M171" s="3" t="str">
        <f>HYPERLINK(Таблица3[[#This Row],[RelativePath]])</f>
        <v>4 Крыльцо офиса\K07156189_21_20251215T121821Z.jpg</v>
      </c>
    </row>
    <row r="172" spans="1:13" x14ac:dyDescent="0.25">
      <c r="A172" t="s">
        <v>13</v>
      </c>
      <c r="B172" s="4">
        <v>46006</v>
      </c>
      <c r="C172" s="6">
        <v>0.46620370370370373</v>
      </c>
      <c r="D172" s="2" t="s">
        <v>289</v>
      </c>
      <c r="E172" t="s">
        <v>6329</v>
      </c>
      <c r="F172" t="s">
        <v>58</v>
      </c>
      <c r="H172" t="s">
        <v>1620</v>
      </c>
      <c r="I172" t="s">
        <v>6404</v>
      </c>
      <c r="J172" t="s">
        <v>6392</v>
      </c>
      <c r="K172" t="s">
        <v>6405</v>
      </c>
      <c r="L172" t="s">
        <v>6406</v>
      </c>
      <c r="M172" s="3" t="str">
        <f>HYPERLINK(Таблица3[[#This Row],[RelativePath]])</f>
        <v>10 Сушилка навес\E33149364_3_20251215T111120Z.jpg</v>
      </c>
    </row>
    <row r="173" spans="1:13" x14ac:dyDescent="0.25">
      <c r="A173" t="s">
        <v>13</v>
      </c>
      <c r="B173" s="4">
        <v>46006</v>
      </c>
      <c r="C173" s="6">
        <v>0.46644675925925927</v>
      </c>
      <c r="D173" s="2" t="s">
        <v>289</v>
      </c>
      <c r="E173" t="s">
        <v>6329</v>
      </c>
      <c r="F173" t="s">
        <v>58</v>
      </c>
      <c r="H173" t="s">
        <v>2936</v>
      </c>
      <c r="I173" t="s">
        <v>6407</v>
      </c>
      <c r="J173" t="s">
        <v>6392</v>
      </c>
      <c r="K173" t="s">
        <v>6408</v>
      </c>
      <c r="L173" t="s">
        <v>6409</v>
      </c>
      <c r="M173" s="3" t="str">
        <f>HYPERLINK(Таблица3[[#This Row],[RelativePath]])</f>
        <v>10 Сушилка навес\E33149364_3_20251215T111141Z.jpg</v>
      </c>
    </row>
    <row r="174" spans="1:13" x14ac:dyDescent="0.25">
      <c r="A174" t="s">
        <v>13</v>
      </c>
      <c r="B174" s="4">
        <v>46006</v>
      </c>
      <c r="C174" s="6">
        <v>0.46650462962962963</v>
      </c>
      <c r="D174" s="2" t="s">
        <v>289</v>
      </c>
      <c r="E174" t="s">
        <v>6329</v>
      </c>
      <c r="F174" t="s">
        <v>58</v>
      </c>
      <c r="H174" t="s">
        <v>2936</v>
      </c>
      <c r="I174" t="s">
        <v>6410</v>
      </c>
      <c r="J174" t="s">
        <v>6392</v>
      </c>
      <c r="K174" t="s">
        <v>6411</v>
      </c>
      <c r="L174" t="s">
        <v>6412</v>
      </c>
      <c r="M174" s="3" t="str">
        <f>HYPERLINK(Таблица3[[#This Row],[RelativePath]])</f>
        <v>10 Сушилка навес\E33149364_3_20251215T111146Z.jpg</v>
      </c>
    </row>
    <row r="175" spans="1:13" x14ac:dyDescent="0.25">
      <c r="A175" t="s">
        <v>13</v>
      </c>
      <c r="B175" s="4">
        <v>46006</v>
      </c>
      <c r="C175" s="6">
        <v>0.46740740740740738</v>
      </c>
      <c r="D175" s="2" t="s">
        <v>289</v>
      </c>
      <c r="E175" t="s">
        <v>6329</v>
      </c>
      <c r="F175" t="s">
        <v>58</v>
      </c>
      <c r="H175" t="s">
        <v>2936</v>
      </c>
      <c r="I175" t="s">
        <v>6413</v>
      </c>
      <c r="J175" t="s">
        <v>6392</v>
      </c>
      <c r="K175" t="s">
        <v>6414</v>
      </c>
      <c r="L175" t="s">
        <v>6415</v>
      </c>
      <c r="M175" s="3" t="str">
        <f>HYPERLINK(Таблица3[[#This Row],[RelativePath]])</f>
        <v>10 Сушилка навес\E33149364_3_20251215T111304Z.jpg</v>
      </c>
    </row>
    <row r="176" spans="1:13" x14ac:dyDescent="0.25">
      <c r="A176" t="s">
        <v>13</v>
      </c>
      <c r="B176" s="4">
        <v>46006</v>
      </c>
      <c r="C176" s="6">
        <v>0.46766203703703701</v>
      </c>
      <c r="D176" s="2" t="s">
        <v>289</v>
      </c>
      <c r="E176" t="s">
        <v>6329</v>
      </c>
      <c r="F176" t="s">
        <v>58</v>
      </c>
      <c r="H176" t="s">
        <v>2936</v>
      </c>
      <c r="I176" t="s">
        <v>6416</v>
      </c>
      <c r="J176" t="s">
        <v>6392</v>
      </c>
      <c r="K176" t="s">
        <v>6417</v>
      </c>
      <c r="L176" t="s">
        <v>6418</v>
      </c>
      <c r="M176" s="3" t="str">
        <f>HYPERLINK(Таблица3[[#This Row],[RelativePath]])</f>
        <v>10 Сушилка навес\E33149364_3_20251215T111326Z.jpg</v>
      </c>
    </row>
    <row r="177" spans="1:13" x14ac:dyDescent="0.25">
      <c r="A177" t="s">
        <v>13</v>
      </c>
      <c r="B177" s="4">
        <v>46006</v>
      </c>
      <c r="C177" s="6">
        <v>0.46770833333333334</v>
      </c>
      <c r="D177" s="2" t="s">
        <v>289</v>
      </c>
      <c r="E177" t="s">
        <v>6329</v>
      </c>
      <c r="F177" t="s">
        <v>58</v>
      </c>
      <c r="H177" t="s">
        <v>2936</v>
      </c>
      <c r="I177" t="s">
        <v>6419</v>
      </c>
      <c r="J177" t="s">
        <v>6392</v>
      </c>
      <c r="K177" t="s">
        <v>6420</v>
      </c>
      <c r="L177" t="s">
        <v>6421</v>
      </c>
      <c r="M177" s="3" t="str">
        <f>HYPERLINK(Таблица3[[#This Row],[RelativePath]])</f>
        <v>10 Сушилка навес\E33149364_3_20251215T111330Z.jpg</v>
      </c>
    </row>
    <row r="178" spans="1:13" x14ac:dyDescent="0.25">
      <c r="A178" t="s">
        <v>13</v>
      </c>
      <c r="B178" s="4">
        <v>46006</v>
      </c>
      <c r="C178" s="6">
        <v>0.46807870370370369</v>
      </c>
      <c r="D178" s="2" t="s">
        <v>289</v>
      </c>
      <c r="E178" t="s">
        <v>6329</v>
      </c>
      <c r="F178" t="s">
        <v>58</v>
      </c>
      <c r="H178" t="s">
        <v>2936</v>
      </c>
      <c r="I178" t="s">
        <v>6422</v>
      </c>
      <c r="J178" t="s">
        <v>6392</v>
      </c>
      <c r="K178" t="s">
        <v>6423</v>
      </c>
      <c r="L178" t="s">
        <v>6424</v>
      </c>
      <c r="M178" s="3" t="str">
        <f>HYPERLINK(Таблица3[[#This Row],[RelativePath]])</f>
        <v>10 Сушилка навес\E33149364_3_20251215T111402Z.jpg</v>
      </c>
    </row>
    <row r="179" spans="1:13" x14ac:dyDescent="0.25">
      <c r="A179" t="s">
        <v>13</v>
      </c>
      <c r="B179" s="4">
        <v>46006</v>
      </c>
      <c r="C179" s="6">
        <v>0.46834490740740742</v>
      </c>
      <c r="D179" s="2" t="s">
        <v>289</v>
      </c>
      <c r="E179" t="s">
        <v>6329</v>
      </c>
      <c r="F179" t="s">
        <v>58</v>
      </c>
      <c r="H179" t="s">
        <v>2936</v>
      </c>
      <c r="I179" t="s">
        <v>6425</v>
      </c>
      <c r="J179" t="s">
        <v>6392</v>
      </c>
      <c r="K179" t="s">
        <v>6426</v>
      </c>
      <c r="L179" t="s">
        <v>6427</v>
      </c>
      <c r="M179" s="3" t="str">
        <f>HYPERLINK(Таблица3[[#This Row],[RelativePath]])</f>
        <v>10 Сушилка навес\E33149364_3_20251215T111425Z.jpg</v>
      </c>
    </row>
    <row r="180" spans="1:13" x14ac:dyDescent="0.25">
      <c r="A180" t="s">
        <v>13</v>
      </c>
      <c r="B180" s="4">
        <v>46006</v>
      </c>
      <c r="C180" s="6">
        <v>0.4692013888888889</v>
      </c>
      <c r="D180" s="2" t="s">
        <v>289</v>
      </c>
      <c r="E180" t="s">
        <v>6329</v>
      </c>
      <c r="F180" t="s">
        <v>58</v>
      </c>
      <c r="H180" t="s">
        <v>2936</v>
      </c>
      <c r="I180" t="s">
        <v>6428</v>
      </c>
      <c r="J180" t="s">
        <v>6392</v>
      </c>
      <c r="K180" t="s">
        <v>6429</v>
      </c>
      <c r="L180" t="s">
        <v>6430</v>
      </c>
      <c r="M180" s="3" t="str">
        <f>HYPERLINK(Таблица3[[#This Row],[RelativePath]])</f>
        <v>10 Сушилка навес\E33149364_3_20251215T111539Z.jpg</v>
      </c>
    </row>
    <row r="181" spans="1:13" x14ac:dyDescent="0.25">
      <c r="A181" t="s">
        <v>13</v>
      </c>
      <c r="B181" s="4">
        <v>46006</v>
      </c>
      <c r="C181" s="6">
        <v>0.46927083333333336</v>
      </c>
      <c r="D181" s="2" t="s">
        <v>289</v>
      </c>
      <c r="E181" t="s">
        <v>6329</v>
      </c>
      <c r="F181" t="s">
        <v>58</v>
      </c>
      <c r="H181" t="s">
        <v>2936</v>
      </c>
      <c r="I181" t="s">
        <v>6431</v>
      </c>
      <c r="J181" t="s">
        <v>6392</v>
      </c>
      <c r="K181" t="s">
        <v>6432</v>
      </c>
      <c r="L181" t="s">
        <v>6433</v>
      </c>
      <c r="M181" s="3" t="str">
        <f>HYPERLINK(Таблица3[[#This Row],[RelativePath]])</f>
        <v>10 Сушилка навес\E33149364_3_20251215T111545Z.jpg</v>
      </c>
    </row>
    <row r="182" spans="1:13" x14ac:dyDescent="0.25">
      <c r="A182" t="s">
        <v>13</v>
      </c>
      <c r="B182" s="4">
        <v>46006</v>
      </c>
      <c r="C182" s="6">
        <v>0.47002314814814816</v>
      </c>
      <c r="D182" s="2" t="s">
        <v>289</v>
      </c>
      <c r="E182" t="s">
        <v>6329</v>
      </c>
      <c r="F182" t="s">
        <v>58</v>
      </c>
      <c r="H182" t="s">
        <v>2936</v>
      </c>
      <c r="I182" t="s">
        <v>6434</v>
      </c>
      <c r="J182" t="s">
        <v>6392</v>
      </c>
      <c r="K182" t="s">
        <v>6435</v>
      </c>
      <c r="L182" t="s">
        <v>6436</v>
      </c>
      <c r="M182" s="3" t="str">
        <f>HYPERLINK(Таблица3[[#This Row],[RelativePath]])</f>
        <v>10 Сушилка навес\E33149364_3_20251215T111650Z.jpg</v>
      </c>
    </row>
    <row r="183" spans="1:13" x14ac:dyDescent="0.25">
      <c r="A183" t="s">
        <v>13</v>
      </c>
      <c r="B183" s="4">
        <v>46006</v>
      </c>
      <c r="C183" s="6">
        <v>0.47033564814814816</v>
      </c>
      <c r="D183" s="2" t="s">
        <v>289</v>
      </c>
      <c r="E183" t="s">
        <v>6329</v>
      </c>
      <c r="F183" t="s">
        <v>58</v>
      </c>
      <c r="H183" t="s">
        <v>2936</v>
      </c>
      <c r="I183" t="s">
        <v>6437</v>
      </c>
      <c r="J183" t="s">
        <v>6392</v>
      </c>
      <c r="K183" t="s">
        <v>6438</v>
      </c>
      <c r="L183" t="s">
        <v>6439</v>
      </c>
      <c r="M183" s="3" t="str">
        <f>HYPERLINK(Таблица3[[#This Row],[RelativePath]])</f>
        <v>10 Сушилка навес\E33149364_3_20251215T111717Z.jpg</v>
      </c>
    </row>
    <row r="184" spans="1:13" x14ac:dyDescent="0.25">
      <c r="A184" t="s">
        <v>13</v>
      </c>
      <c r="B184" s="4">
        <v>46006</v>
      </c>
      <c r="C184" s="6">
        <v>0.47047453703703701</v>
      </c>
      <c r="D184" s="2" t="s">
        <v>289</v>
      </c>
      <c r="E184" t="s">
        <v>6329</v>
      </c>
      <c r="F184" t="s">
        <v>58</v>
      </c>
      <c r="H184" t="s">
        <v>2936</v>
      </c>
      <c r="I184" t="s">
        <v>6440</v>
      </c>
      <c r="J184" t="s">
        <v>6392</v>
      </c>
      <c r="K184" t="s">
        <v>6441</v>
      </c>
      <c r="L184" t="s">
        <v>6442</v>
      </c>
      <c r="M184" s="3" t="str">
        <f>HYPERLINK(Таблица3[[#This Row],[RelativePath]])</f>
        <v>10 Сушилка навес\E33149364_3_20251215T111729Z.jpg</v>
      </c>
    </row>
    <row r="185" spans="1:13" x14ac:dyDescent="0.25">
      <c r="A185" t="s">
        <v>13</v>
      </c>
      <c r="B185" s="4">
        <v>46006</v>
      </c>
      <c r="C185" s="6">
        <v>0.47162037037037036</v>
      </c>
      <c r="D185" s="2" t="s">
        <v>289</v>
      </c>
      <c r="E185" t="s">
        <v>6329</v>
      </c>
      <c r="F185" t="s">
        <v>58</v>
      </c>
      <c r="H185" t="s">
        <v>2936</v>
      </c>
      <c r="I185" t="s">
        <v>6443</v>
      </c>
      <c r="J185" t="s">
        <v>6392</v>
      </c>
      <c r="K185" t="s">
        <v>6444</v>
      </c>
      <c r="L185" t="s">
        <v>6445</v>
      </c>
      <c r="M185" s="3" t="str">
        <f>HYPERLINK(Таблица3[[#This Row],[RelativePath]])</f>
        <v>10 Сушилка навес\E33149364_3_20251215T111908Z.jpg</v>
      </c>
    </row>
    <row r="186" spans="1:13" x14ac:dyDescent="0.25">
      <c r="A186" t="s">
        <v>13</v>
      </c>
      <c r="B186" s="4">
        <v>46006</v>
      </c>
      <c r="C186" s="6">
        <v>0.47537037037037039</v>
      </c>
      <c r="D186" s="2" t="s">
        <v>289</v>
      </c>
      <c r="E186" t="s">
        <v>6329</v>
      </c>
      <c r="F186" t="s">
        <v>58</v>
      </c>
      <c r="H186" t="s">
        <v>6526</v>
      </c>
      <c r="I186" t="s">
        <v>6446</v>
      </c>
      <c r="J186" t="s">
        <v>6392</v>
      </c>
      <c r="K186" t="s">
        <v>6447</v>
      </c>
      <c r="L186" t="s">
        <v>6448</v>
      </c>
      <c r="M186" s="3" t="str">
        <f>HYPERLINK(Таблица3[[#This Row],[RelativePath]])</f>
        <v>10 Сушилка навес\E33149364_3_20251215T112432Z.jpg</v>
      </c>
    </row>
    <row r="187" spans="1:13" x14ac:dyDescent="0.25">
      <c r="A187" t="s">
        <v>13</v>
      </c>
      <c r="B187" s="4">
        <v>46006</v>
      </c>
      <c r="C187" s="6">
        <v>0.47547453703703701</v>
      </c>
      <c r="D187" s="2" t="s">
        <v>289</v>
      </c>
      <c r="E187" t="s">
        <v>6329</v>
      </c>
      <c r="F187" t="s">
        <v>58</v>
      </c>
      <c r="H187" t="s">
        <v>2936</v>
      </c>
      <c r="I187" t="s">
        <v>6449</v>
      </c>
      <c r="J187" t="s">
        <v>6392</v>
      </c>
      <c r="K187" t="s">
        <v>6450</v>
      </c>
      <c r="L187" t="s">
        <v>6451</v>
      </c>
      <c r="M187" s="3" t="str">
        <f>HYPERLINK(Таблица3[[#This Row],[RelativePath]])</f>
        <v>10 Сушилка навес\E33149364_3_20251215T112441Z.jpg</v>
      </c>
    </row>
    <row r="188" spans="1:13" x14ac:dyDescent="0.25">
      <c r="A188" t="s">
        <v>13</v>
      </c>
      <c r="B188" s="4">
        <v>46006</v>
      </c>
      <c r="C188" s="6">
        <v>0.47672453703703704</v>
      </c>
      <c r="D188" s="2" t="s">
        <v>289</v>
      </c>
      <c r="E188" t="s">
        <v>6329</v>
      </c>
      <c r="F188" t="s">
        <v>58</v>
      </c>
      <c r="H188" t="s">
        <v>2936</v>
      </c>
      <c r="I188" t="s">
        <v>6452</v>
      </c>
      <c r="J188" t="s">
        <v>6392</v>
      </c>
      <c r="K188" t="s">
        <v>6453</v>
      </c>
      <c r="L188" t="s">
        <v>6454</v>
      </c>
      <c r="M188" s="3" t="str">
        <f>HYPERLINK(Таблица3[[#This Row],[RelativePath]])</f>
        <v>10 Сушилка навес\E33149364_3_20251215T112629Z.jpg</v>
      </c>
    </row>
    <row r="189" spans="1:13" x14ac:dyDescent="0.25">
      <c r="A189" t="s">
        <v>13</v>
      </c>
      <c r="B189" s="4">
        <v>46006</v>
      </c>
      <c r="C189" s="6">
        <v>0.47729166666666667</v>
      </c>
      <c r="D189" s="2" t="s">
        <v>289</v>
      </c>
      <c r="E189" t="s">
        <v>6329</v>
      </c>
      <c r="F189" t="s">
        <v>58</v>
      </c>
      <c r="H189" t="s">
        <v>2936</v>
      </c>
      <c r="I189" t="s">
        <v>6455</v>
      </c>
      <c r="J189" t="s">
        <v>6392</v>
      </c>
      <c r="K189" t="s">
        <v>6456</v>
      </c>
      <c r="L189" t="s">
        <v>6457</v>
      </c>
      <c r="M189" s="3" t="str">
        <f>HYPERLINK(Таблица3[[#This Row],[RelativePath]])</f>
        <v>10 Сушилка навес\E33149364_3_20251215T112718Z.jpg</v>
      </c>
    </row>
    <row r="190" spans="1:13" x14ac:dyDescent="0.25">
      <c r="A190" t="s">
        <v>13</v>
      </c>
      <c r="B190" s="4">
        <v>46006</v>
      </c>
      <c r="C190" s="6">
        <v>0.47780092592592593</v>
      </c>
      <c r="D190" s="2" t="s">
        <v>289</v>
      </c>
      <c r="E190" t="s">
        <v>6329</v>
      </c>
      <c r="F190" t="s">
        <v>58</v>
      </c>
      <c r="H190" t="s">
        <v>1620</v>
      </c>
      <c r="I190" t="s">
        <v>6458</v>
      </c>
      <c r="J190" t="s">
        <v>6392</v>
      </c>
      <c r="K190" t="s">
        <v>6459</v>
      </c>
      <c r="L190" t="s">
        <v>6460</v>
      </c>
      <c r="M190" s="3" t="str">
        <f>HYPERLINK(Таблица3[[#This Row],[RelativePath]])</f>
        <v>10 Сушилка навес\E33149364_3_20251215T112802Z.jpg</v>
      </c>
    </row>
    <row r="191" spans="1:13" x14ac:dyDescent="0.25">
      <c r="A191" t="s">
        <v>13</v>
      </c>
      <c r="B191" s="4">
        <v>46006</v>
      </c>
      <c r="C191" s="6">
        <v>0.47806712962962961</v>
      </c>
      <c r="D191" s="2" t="s">
        <v>289</v>
      </c>
      <c r="E191" t="s">
        <v>6329</v>
      </c>
      <c r="F191" t="s">
        <v>58</v>
      </c>
      <c r="H191" t="s">
        <v>2936</v>
      </c>
      <c r="I191" t="s">
        <v>6461</v>
      </c>
      <c r="J191" t="s">
        <v>6392</v>
      </c>
      <c r="K191" t="s">
        <v>6462</v>
      </c>
      <c r="L191" t="s">
        <v>6463</v>
      </c>
      <c r="M191" s="3" t="str">
        <f>HYPERLINK(Таблица3[[#This Row],[RelativePath]])</f>
        <v>10 Сушилка навес\E33149364_3_20251215T112825Z.jpg</v>
      </c>
    </row>
    <row r="192" spans="1:13" x14ac:dyDescent="0.25">
      <c r="A192" t="s">
        <v>13</v>
      </c>
      <c r="B192" s="4">
        <v>46006</v>
      </c>
      <c r="C192" s="6">
        <v>0.4783101851851852</v>
      </c>
      <c r="D192" s="2" t="s">
        <v>289</v>
      </c>
      <c r="E192" t="s">
        <v>6329</v>
      </c>
      <c r="F192" t="s">
        <v>58</v>
      </c>
      <c r="H192" t="s">
        <v>2936</v>
      </c>
      <c r="I192" t="s">
        <v>6464</v>
      </c>
      <c r="J192" t="s">
        <v>6392</v>
      </c>
      <c r="K192" t="s">
        <v>6465</v>
      </c>
      <c r="L192" t="s">
        <v>6466</v>
      </c>
      <c r="M192" s="3" t="str">
        <f>HYPERLINK(Таблица3[[#This Row],[RelativePath]])</f>
        <v>10 Сушилка навес\E33149364_3_20251215T112846Z.jpg</v>
      </c>
    </row>
    <row r="193" spans="1:13" x14ac:dyDescent="0.25">
      <c r="A193" t="s">
        <v>13</v>
      </c>
      <c r="B193" s="4">
        <v>46006</v>
      </c>
      <c r="C193" s="6">
        <v>0.47834490740740743</v>
      </c>
      <c r="D193" s="2" t="s">
        <v>289</v>
      </c>
      <c r="E193" t="s">
        <v>6329</v>
      </c>
      <c r="F193" t="s">
        <v>58</v>
      </c>
      <c r="H193" t="s">
        <v>2936</v>
      </c>
      <c r="I193" t="s">
        <v>6467</v>
      </c>
      <c r="J193" t="s">
        <v>6392</v>
      </c>
      <c r="K193" t="s">
        <v>6468</v>
      </c>
      <c r="L193" t="s">
        <v>6469</v>
      </c>
      <c r="M193" s="3" t="str">
        <f>HYPERLINK(Таблица3[[#This Row],[RelativePath]])</f>
        <v>10 Сушилка навес\E33149364_3_20251215T112849Z.jpg</v>
      </c>
    </row>
    <row r="194" spans="1:13" x14ac:dyDescent="0.25">
      <c r="A194" t="s">
        <v>13</v>
      </c>
      <c r="B194" s="4">
        <v>46006</v>
      </c>
      <c r="C194" s="6">
        <v>0.61089120370370376</v>
      </c>
      <c r="D194" s="2" t="s">
        <v>289</v>
      </c>
      <c r="E194" t="s">
        <v>6527</v>
      </c>
      <c r="F194" t="s">
        <v>1099</v>
      </c>
      <c r="G194">
        <v>2</v>
      </c>
      <c r="I194" t="s">
        <v>6479</v>
      </c>
      <c r="J194" t="s">
        <v>6392</v>
      </c>
      <c r="K194" t="s">
        <v>6480</v>
      </c>
      <c r="L194" t="s">
        <v>6481</v>
      </c>
      <c r="M194" s="3" t="str">
        <f>HYPERLINK(Таблица3[[#This Row],[RelativePath]])</f>
        <v>10 Сушилка навес\E33149364_3_20251215T143941Z.jpg</v>
      </c>
    </row>
    <row r="195" spans="1:13" x14ac:dyDescent="0.25">
      <c r="A195" t="s">
        <v>13</v>
      </c>
      <c r="B195" s="4">
        <v>46006</v>
      </c>
      <c r="C195" s="6">
        <v>0.62061342592592594</v>
      </c>
      <c r="D195" s="2" t="s">
        <v>289</v>
      </c>
      <c r="E195" t="s">
        <v>5480</v>
      </c>
      <c r="F195" t="s">
        <v>528</v>
      </c>
      <c r="I195" t="s">
        <v>6515</v>
      </c>
      <c r="J195" t="s">
        <v>2988</v>
      </c>
      <c r="K195" t="s">
        <v>6516</v>
      </c>
      <c r="L195" t="s">
        <v>6517</v>
      </c>
      <c r="M195" s="3" t="str">
        <f>HYPERLINK(Таблица3[[#This Row],[RelativePath]])</f>
        <v>13 Склад хол\K07156189_23_20251215T145341Z.jpg</v>
      </c>
    </row>
    <row r="196" spans="1:13" x14ac:dyDescent="0.25">
      <c r="A196" t="s">
        <v>13</v>
      </c>
      <c r="B196" s="4">
        <v>46006</v>
      </c>
      <c r="C196" s="6">
        <v>0.62665509259259256</v>
      </c>
      <c r="D196" s="2" t="s">
        <v>289</v>
      </c>
      <c r="E196" t="s">
        <v>5480</v>
      </c>
      <c r="F196" t="s">
        <v>528</v>
      </c>
      <c r="I196" t="s">
        <v>6518</v>
      </c>
      <c r="J196" t="s">
        <v>2988</v>
      </c>
      <c r="K196" t="s">
        <v>6519</v>
      </c>
      <c r="L196" t="s">
        <v>6520</v>
      </c>
      <c r="M196" s="3" t="str">
        <f>HYPERLINK(Таблица3[[#This Row],[RelativePath]])</f>
        <v>13 Склад хол\K07156189_23_20251215T150223Z.jpg</v>
      </c>
    </row>
    <row r="197" spans="1:13" x14ac:dyDescent="0.25">
      <c r="A197" t="s">
        <v>13</v>
      </c>
      <c r="B197" s="4">
        <v>46006</v>
      </c>
      <c r="C197" s="6">
        <v>0.63099537037037035</v>
      </c>
      <c r="D197" s="2" t="s">
        <v>289</v>
      </c>
      <c r="E197" t="s">
        <v>5480</v>
      </c>
      <c r="F197" t="s">
        <v>1621</v>
      </c>
      <c r="I197" t="s">
        <v>6521</v>
      </c>
      <c r="J197" t="s">
        <v>2988</v>
      </c>
      <c r="K197" t="s">
        <v>6522</v>
      </c>
      <c r="L197" t="s">
        <v>6523</v>
      </c>
      <c r="M197" s="3" t="str">
        <f>HYPERLINK(Таблица3[[#This Row],[RelativePath]])</f>
        <v>13 Склад хол\K07156189_23_20251215T150838Z.jpg</v>
      </c>
    </row>
    <row r="198" spans="1:13" x14ac:dyDescent="0.25">
      <c r="A198" t="s">
        <v>14</v>
      </c>
      <c r="B198" s="4">
        <v>46007</v>
      </c>
      <c r="C198" s="6">
        <v>0.45142361111111112</v>
      </c>
      <c r="D198" s="2" t="s">
        <v>289</v>
      </c>
      <c r="E198" t="s">
        <v>6656</v>
      </c>
      <c r="F198" t="s">
        <v>6657</v>
      </c>
      <c r="I198" t="s">
        <v>6548</v>
      </c>
      <c r="J198" t="s">
        <v>6309</v>
      </c>
      <c r="K198" t="s">
        <v>6549</v>
      </c>
      <c r="L198" t="s">
        <v>6550</v>
      </c>
      <c r="M198" s="3" t="str">
        <f>HYPERLINK(Таблица3[[#This Row],[RelativePath]])</f>
        <v>4 Крыльцо офиса\K07156189_21_20251216T105003Z.jpg</v>
      </c>
    </row>
    <row r="199" spans="1:13" x14ac:dyDescent="0.25">
      <c r="A199" t="s">
        <v>15</v>
      </c>
      <c r="B199" s="4">
        <v>46008</v>
      </c>
      <c r="C199" s="6">
        <v>0.67952546296296301</v>
      </c>
      <c r="D199" s="2" t="s">
        <v>289</v>
      </c>
      <c r="E199" t="s">
        <v>5480</v>
      </c>
      <c r="F199" t="s">
        <v>528</v>
      </c>
      <c r="I199" t="s">
        <v>6829</v>
      </c>
      <c r="J199" t="s">
        <v>2988</v>
      </c>
      <c r="K199" t="s">
        <v>6830</v>
      </c>
      <c r="L199" t="s">
        <v>6831</v>
      </c>
      <c r="M199" s="3" t="str">
        <f>HYPERLINK(Таблица3[[#This Row],[RelativePath]])</f>
        <v>13 Склад хол\K07156189_23_20251217T161831Z.jpg</v>
      </c>
    </row>
    <row r="200" spans="1:13" x14ac:dyDescent="0.25">
      <c r="A200" t="s">
        <v>15</v>
      </c>
      <c r="B200" s="4">
        <v>46008</v>
      </c>
      <c r="C200" s="6">
        <v>0.68071759259259257</v>
      </c>
      <c r="D200" s="2" t="s">
        <v>289</v>
      </c>
      <c r="E200" t="s">
        <v>5480</v>
      </c>
      <c r="F200" t="s">
        <v>528</v>
      </c>
      <c r="H200" t="s">
        <v>2936</v>
      </c>
      <c r="I200" t="s">
        <v>6832</v>
      </c>
      <c r="J200" t="s">
        <v>2988</v>
      </c>
      <c r="K200" t="s">
        <v>6833</v>
      </c>
      <c r="L200" t="s">
        <v>6834</v>
      </c>
      <c r="M200" s="3" t="str">
        <f>HYPERLINK(Таблица3[[#This Row],[RelativePath]])</f>
        <v>13 Склад хол\K07156189_23_20251217T162014Z.jpg</v>
      </c>
    </row>
    <row r="201" spans="1:13" x14ac:dyDescent="0.25">
      <c r="A201" t="s">
        <v>15</v>
      </c>
      <c r="B201" s="4">
        <v>46008</v>
      </c>
      <c r="C201" s="6">
        <v>0.68444444444444441</v>
      </c>
      <c r="D201" s="2" t="s">
        <v>289</v>
      </c>
      <c r="E201" t="s">
        <v>5480</v>
      </c>
      <c r="F201" t="s">
        <v>528</v>
      </c>
      <c r="I201" t="s">
        <v>6838</v>
      </c>
      <c r="J201" t="s">
        <v>2988</v>
      </c>
      <c r="K201" t="s">
        <v>6839</v>
      </c>
      <c r="L201" t="s">
        <v>6840</v>
      </c>
      <c r="M201" s="3" t="str">
        <f>HYPERLINK(Таблица3[[#This Row],[RelativePath]])</f>
        <v>13 Склад хол\K07156189_23_20251217T162536Z.jpg</v>
      </c>
    </row>
    <row r="202" spans="1:13" x14ac:dyDescent="0.25">
      <c r="A202" t="s">
        <v>16</v>
      </c>
      <c r="B202" s="4">
        <v>46016</v>
      </c>
      <c r="C202" s="6">
        <v>0.50189814814814815</v>
      </c>
      <c r="D202" s="2" t="s">
        <v>289</v>
      </c>
      <c r="E202" t="s">
        <v>70</v>
      </c>
      <c r="F202" t="s">
        <v>58</v>
      </c>
      <c r="H202" t="s">
        <v>2936</v>
      </c>
      <c r="I202" t="s">
        <v>7511</v>
      </c>
      <c r="J202" t="s">
        <v>6392</v>
      </c>
      <c r="K202" t="s">
        <v>7512</v>
      </c>
      <c r="L202" t="s">
        <v>7513</v>
      </c>
      <c r="M202" s="3" t="str">
        <f>HYPERLINK(Таблица3[[#This Row],[RelativePath]])</f>
        <v>10 Сушилка навес\E33149364_3_20251225T120244Z.jpg</v>
      </c>
    </row>
    <row r="203" spans="1:13" x14ac:dyDescent="0.25">
      <c r="A203" t="s">
        <v>16</v>
      </c>
      <c r="B203" s="4">
        <v>46016</v>
      </c>
      <c r="C203" s="6">
        <v>0.50423611111111111</v>
      </c>
      <c r="D203" s="2" t="s">
        <v>289</v>
      </c>
      <c r="E203" t="s">
        <v>70</v>
      </c>
      <c r="F203" t="s">
        <v>58</v>
      </c>
      <c r="H203" t="s">
        <v>2936</v>
      </c>
      <c r="I203" t="s">
        <v>7514</v>
      </c>
      <c r="J203" t="s">
        <v>6392</v>
      </c>
      <c r="K203" t="s">
        <v>7515</v>
      </c>
      <c r="L203" t="s">
        <v>7516</v>
      </c>
      <c r="M203" s="3" t="str">
        <f>HYPERLINK(Таблица3[[#This Row],[RelativePath]])</f>
        <v>10 Сушилка навес\E33149364_3_20251225T120606Z.jpg</v>
      </c>
    </row>
    <row r="204" spans="1:13" x14ac:dyDescent="0.25">
      <c r="A204" t="s">
        <v>16</v>
      </c>
      <c r="B204" s="4">
        <v>46016</v>
      </c>
      <c r="C204" s="6">
        <v>0.50168981481481478</v>
      </c>
      <c r="D204" s="2" t="s">
        <v>289</v>
      </c>
      <c r="E204" t="s">
        <v>70</v>
      </c>
      <c r="F204" t="s">
        <v>58</v>
      </c>
      <c r="H204" t="s">
        <v>2936</v>
      </c>
      <c r="I204" t="s">
        <v>7508</v>
      </c>
      <c r="J204" t="s">
        <v>6392</v>
      </c>
      <c r="K204" t="s">
        <v>7509</v>
      </c>
      <c r="L204" t="s">
        <v>7510</v>
      </c>
      <c r="M204" s="3" t="str">
        <f>HYPERLINK(Таблица3[[#This Row],[RelativePath]])</f>
        <v>10 Сушилка навес\E33149364_3_20251225T120226Z.jpg</v>
      </c>
    </row>
    <row r="205" spans="1:13" x14ac:dyDescent="0.25">
      <c r="A205" t="s">
        <v>16</v>
      </c>
      <c r="B205" s="4">
        <v>46016</v>
      </c>
      <c r="C205" s="6">
        <v>0.50045138888888885</v>
      </c>
      <c r="D205" s="2" t="s">
        <v>289</v>
      </c>
      <c r="E205" t="s">
        <v>70</v>
      </c>
      <c r="F205" t="s">
        <v>58</v>
      </c>
      <c r="H205" t="s">
        <v>1618</v>
      </c>
      <c r="I205" t="s">
        <v>7502</v>
      </c>
      <c r="J205" t="s">
        <v>6392</v>
      </c>
      <c r="K205" t="s">
        <v>7503</v>
      </c>
      <c r="L205" t="s">
        <v>7504</v>
      </c>
      <c r="M205" s="3" t="str">
        <f>HYPERLINK(Таблица3[[#This Row],[RelativePath]])</f>
        <v>10 Сушилка навес\E33149364_3_20251225T120039Z.jpg</v>
      </c>
    </row>
    <row r="206" spans="1:13" x14ac:dyDescent="0.25">
      <c r="A206" t="s">
        <v>16</v>
      </c>
      <c r="B206" s="4">
        <v>46016</v>
      </c>
      <c r="C206" s="6">
        <v>0.50079861111111112</v>
      </c>
      <c r="D206" s="2" t="s">
        <v>289</v>
      </c>
      <c r="E206" t="s">
        <v>70</v>
      </c>
      <c r="F206" t="s">
        <v>58</v>
      </c>
      <c r="H206" t="s">
        <v>2936</v>
      </c>
      <c r="I206" t="s">
        <v>7505</v>
      </c>
      <c r="J206" t="s">
        <v>6392</v>
      </c>
      <c r="K206" t="s">
        <v>7506</v>
      </c>
      <c r="L206" t="s">
        <v>7507</v>
      </c>
      <c r="M206" s="3" t="str">
        <f>HYPERLINK(Таблица3[[#This Row],[RelativePath]])</f>
        <v>10 Сушилка навес\E33149364_3_20251225T120109Z.jpg</v>
      </c>
    </row>
    <row r="207" spans="1:13" x14ac:dyDescent="0.25">
      <c r="A207" t="s">
        <v>17</v>
      </c>
      <c r="B207" s="4">
        <v>46017</v>
      </c>
      <c r="C207" s="6">
        <v>0.40768518518518521</v>
      </c>
      <c r="D207" s="2" t="s">
        <v>289</v>
      </c>
      <c r="E207" t="s">
        <v>2927</v>
      </c>
      <c r="F207" t="s">
        <v>7169</v>
      </c>
      <c r="H207" t="s">
        <v>2936</v>
      </c>
      <c r="I207" t="s">
        <v>7825</v>
      </c>
      <c r="J207" t="s">
        <v>2990</v>
      </c>
      <c r="K207" t="s">
        <v>7826</v>
      </c>
      <c r="L207" t="s">
        <v>7827</v>
      </c>
      <c r="M207" s="3" t="str">
        <f>HYPERLINK(Таблица3[[#This Row],[RelativePath]])</f>
        <v>3 Въезд на базу\E33149364_8_20251226T094704Z.jpg</v>
      </c>
    </row>
    <row r="208" spans="1:13" x14ac:dyDescent="0.25">
      <c r="A208" t="s">
        <v>17</v>
      </c>
      <c r="B208" s="4">
        <v>46017</v>
      </c>
      <c r="C208" s="6">
        <v>0.40766203703703702</v>
      </c>
      <c r="D208" s="2" t="s">
        <v>289</v>
      </c>
      <c r="E208" t="s">
        <v>2927</v>
      </c>
      <c r="F208" t="s">
        <v>7169</v>
      </c>
      <c r="H208" t="s">
        <v>2936</v>
      </c>
      <c r="I208" t="s">
        <v>7822</v>
      </c>
      <c r="J208" t="s">
        <v>2990</v>
      </c>
      <c r="K208" t="s">
        <v>7823</v>
      </c>
      <c r="L208" t="s">
        <v>7824</v>
      </c>
      <c r="M208" s="3" t="str">
        <f>HYPERLINK(Таблица3[[#This Row],[RelativePath]])</f>
        <v>3 Въезд на базу\E33149364_8_20251226T094702Z.jpg</v>
      </c>
    </row>
    <row r="209" spans="1:13" x14ac:dyDescent="0.25">
      <c r="A209" t="s">
        <v>17</v>
      </c>
      <c r="B209" s="4">
        <v>46017</v>
      </c>
      <c r="C209" s="6">
        <v>0.40710648148148149</v>
      </c>
      <c r="D209" s="2" t="s">
        <v>289</v>
      </c>
      <c r="E209" t="s">
        <v>2927</v>
      </c>
      <c r="F209" t="s">
        <v>7169</v>
      </c>
      <c r="I209" t="s">
        <v>7819</v>
      </c>
      <c r="J209" t="s">
        <v>2990</v>
      </c>
      <c r="K209" t="s">
        <v>7820</v>
      </c>
      <c r="L209" t="s">
        <v>7821</v>
      </c>
      <c r="M209" s="3" t="str">
        <f>HYPERLINK(Таблица3[[#This Row],[RelativePath]])</f>
        <v>3 Въезд на базу\E33149364_8_20251226T094614Z.jpg</v>
      </c>
    </row>
    <row r="210" spans="1:13" x14ac:dyDescent="0.25">
      <c r="A210" t="s">
        <v>13</v>
      </c>
      <c r="B210" s="4">
        <v>46020</v>
      </c>
      <c r="C210" s="6">
        <v>0.64688657407407413</v>
      </c>
      <c r="D210" s="2" t="s">
        <v>289</v>
      </c>
      <c r="E210" t="s">
        <v>8352</v>
      </c>
      <c r="F210" t="s">
        <v>1621</v>
      </c>
      <c r="I210" t="s">
        <v>8228</v>
      </c>
      <c r="J210" t="s">
        <v>6392</v>
      </c>
      <c r="K210" t="s">
        <v>8229</v>
      </c>
      <c r="L210" t="s">
        <v>8230</v>
      </c>
      <c r="M210" s="3" t="str">
        <f>HYPERLINK(Таблица3[[#This Row],[RelativePath]])</f>
        <v>10 Сушилка навес\E33149364_3_20251229T153131Z.jpg</v>
      </c>
    </row>
  </sheetData>
  <phoneticPr fontId="2" type="noConversion"/>
  <conditionalFormatting sqref="E211:E232 D2:E210">
    <cfRule type="containsText" dxfId="150" priority="7" operator="containsText" text="Выезд с территории">
      <formula>NOT(ISERROR(SEARCH("Выезд с территории",D2)))</formula>
    </cfRule>
  </conditionalFormatting>
  <conditionalFormatting sqref="D2:D210">
    <cfRule type="containsText" dxfId="149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0">
    <cfRule type="containsText" dxfId="148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32">
    <cfRule type="containsText" dxfId="147" priority="2" operator="containsText" text="Газель базы">
      <formula>NOT(ISERROR(SEARCH("Газель базы",E2)))</formula>
    </cfRule>
    <cfRule type="containsText" dxfId="146" priority="3" operator="containsText" text="Погрузчик базы">
      <formula>NOT(ISERROR(SEARCH("Погрузчик базы",E2)))</formula>
    </cfRule>
  </conditionalFormatting>
  <conditionalFormatting sqref="E2:E232">
    <cfRule type="containsText" dxfId="145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371"/>
  <sheetViews>
    <sheetView topLeftCell="A354" zoomScale="80" zoomScaleNormal="80" workbookViewId="0">
      <selection activeCell="E348" sqref="E348"/>
    </sheetView>
  </sheetViews>
  <sheetFormatPr defaultRowHeight="15" x14ac:dyDescent="0.25"/>
  <cols>
    <col min="1" max="1" width="10.140625" bestFit="1" customWidth="1"/>
    <col min="2" max="2" width="10.85546875" style="4" bestFit="1" customWidth="1"/>
    <col min="3" max="3" width="8.7109375" style="6" bestFit="1" customWidth="1"/>
    <col min="4" max="4" width="46.28515625" style="2" bestFit="1" customWidth="1"/>
    <col min="5" max="5" width="56.7109375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14</v>
      </c>
      <c r="B2" s="4">
        <v>45972</v>
      </c>
      <c r="C2" s="6">
        <v>0.4105787037037037</v>
      </c>
      <c r="D2" s="7" t="s">
        <v>466</v>
      </c>
      <c r="E2" t="s">
        <v>67</v>
      </c>
      <c r="F2" t="s">
        <v>468</v>
      </c>
      <c r="I2" t="s">
        <v>382</v>
      </c>
      <c r="J2" t="s">
        <v>334</v>
      </c>
      <c r="K2" t="s">
        <v>383</v>
      </c>
      <c r="L2" t="s">
        <v>384</v>
      </c>
      <c r="M2" s="3" t="str">
        <f>HYPERLINK(СторонТрансп[[#This Row],[RelativePath]])</f>
        <v>5 Крыльцо общага\K07156189_22_20251111T095114Z.jpg</v>
      </c>
    </row>
    <row r="3" spans="1:13" x14ac:dyDescent="0.25">
      <c r="A3" t="s">
        <v>14</v>
      </c>
      <c r="B3" s="4">
        <v>45972</v>
      </c>
      <c r="C3" s="6">
        <v>0.39787037037037037</v>
      </c>
      <c r="D3" s="7" t="s">
        <v>466</v>
      </c>
      <c r="E3" t="s">
        <v>67</v>
      </c>
      <c r="F3" t="s">
        <v>468</v>
      </c>
      <c r="I3" t="s">
        <v>367</v>
      </c>
      <c r="J3" t="s">
        <v>334</v>
      </c>
      <c r="K3" t="s">
        <v>368</v>
      </c>
      <c r="L3" t="s">
        <v>369</v>
      </c>
      <c r="M3" s="3" t="str">
        <f>HYPERLINK(СторонТрансп[[#This Row],[RelativePath]])</f>
        <v>5 Крыльцо общага\K07156189_22_20251111T093256Z.jpg</v>
      </c>
    </row>
    <row r="4" spans="1:13" x14ac:dyDescent="0.25">
      <c r="A4" t="s">
        <v>14</v>
      </c>
      <c r="B4" s="4">
        <v>45972</v>
      </c>
      <c r="C4" s="6">
        <v>0.40370370370370373</v>
      </c>
      <c r="D4" s="7" t="s">
        <v>466</v>
      </c>
      <c r="E4" t="s">
        <v>67</v>
      </c>
      <c r="F4" t="s">
        <v>468</v>
      </c>
      <c r="I4" t="s">
        <v>370</v>
      </c>
      <c r="J4" t="s">
        <v>334</v>
      </c>
      <c r="K4" t="s">
        <v>371</v>
      </c>
      <c r="L4" t="s">
        <v>372</v>
      </c>
      <c r="M4" s="3" t="str">
        <f>HYPERLINK(СторонТрансп[[#This Row],[RelativePath]])</f>
        <v>5 Крыльцо общага\K07156189_22_20251111T094120Z.jpg</v>
      </c>
    </row>
    <row r="5" spans="1:13" x14ac:dyDescent="0.25">
      <c r="A5" t="s">
        <v>14</v>
      </c>
      <c r="B5" s="4">
        <v>45972</v>
      </c>
      <c r="C5" s="6">
        <v>0.40597222222222223</v>
      </c>
      <c r="D5" s="7" t="s">
        <v>466</v>
      </c>
      <c r="E5" t="s">
        <v>67</v>
      </c>
      <c r="F5" t="s">
        <v>468</v>
      </c>
      <c r="I5" t="s">
        <v>376</v>
      </c>
      <c r="J5" t="s">
        <v>334</v>
      </c>
      <c r="K5" t="s">
        <v>377</v>
      </c>
      <c r="L5" t="s">
        <v>378</v>
      </c>
      <c r="M5" s="3" t="str">
        <f>HYPERLINK(СторонТрансп[[#This Row],[RelativePath]])</f>
        <v>5 Крыльцо общага\K07156189_22_20251111T094436Z.jpg</v>
      </c>
    </row>
    <row r="6" spans="1:13" x14ac:dyDescent="0.25">
      <c r="A6" t="s">
        <v>14</v>
      </c>
      <c r="B6" s="4">
        <v>45972</v>
      </c>
      <c r="C6" s="6">
        <v>0.40881944444444446</v>
      </c>
      <c r="D6" s="7" t="s">
        <v>466</v>
      </c>
      <c r="E6" t="s">
        <v>67</v>
      </c>
      <c r="F6" t="s">
        <v>468</v>
      </c>
      <c r="I6" t="s">
        <v>379</v>
      </c>
      <c r="J6" t="s">
        <v>334</v>
      </c>
      <c r="K6" t="s">
        <v>380</v>
      </c>
      <c r="L6" t="s">
        <v>381</v>
      </c>
      <c r="M6" s="3" t="str">
        <f>HYPERLINK(СторонТрансп[[#This Row],[RelativePath]])</f>
        <v>5 Крыльцо общага\K07156189_22_20251111T094842Z.jpg</v>
      </c>
    </row>
    <row r="7" spans="1:13" x14ac:dyDescent="0.25">
      <c r="A7" t="s">
        <v>14</v>
      </c>
      <c r="B7" s="4">
        <v>45972</v>
      </c>
      <c r="C7" s="6">
        <v>0.42736111111111114</v>
      </c>
      <c r="D7" s="7" t="s">
        <v>466</v>
      </c>
      <c r="E7" t="s">
        <v>67</v>
      </c>
      <c r="F7" t="s">
        <v>468</v>
      </c>
      <c r="I7" t="s">
        <v>397</v>
      </c>
      <c r="J7" t="s">
        <v>334</v>
      </c>
      <c r="K7" t="s">
        <v>398</v>
      </c>
      <c r="L7" t="s">
        <v>399</v>
      </c>
      <c r="M7" s="3" t="str">
        <f>HYPERLINK(СторонТрансп[[#This Row],[RelativePath]])</f>
        <v>5 Крыльцо общага\K07156189_22_20251111T101524Z.jpg</v>
      </c>
    </row>
    <row r="8" spans="1:13" x14ac:dyDescent="0.25">
      <c r="A8" t="s">
        <v>14</v>
      </c>
      <c r="B8" s="4">
        <v>45972</v>
      </c>
      <c r="C8" s="6">
        <v>0.41136574074074073</v>
      </c>
      <c r="D8" s="7" t="s">
        <v>466</v>
      </c>
      <c r="E8" t="s">
        <v>67</v>
      </c>
      <c r="F8" t="s">
        <v>468</v>
      </c>
      <c r="I8" t="s">
        <v>385</v>
      </c>
      <c r="J8" t="s">
        <v>334</v>
      </c>
      <c r="K8" t="s">
        <v>386</v>
      </c>
      <c r="L8" t="s">
        <v>387</v>
      </c>
      <c r="M8" s="3" t="str">
        <f>HYPERLINK(СторонТрансп[[#This Row],[RelativePath]])</f>
        <v>5 Крыльцо общага\K07156189_22_20251111T095222Z.jpg</v>
      </c>
    </row>
    <row r="9" spans="1:13" x14ac:dyDescent="0.25">
      <c r="A9" t="s">
        <v>14</v>
      </c>
      <c r="B9" s="4">
        <v>45972</v>
      </c>
      <c r="C9" s="6">
        <v>0.41312500000000002</v>
      </c>
      <c r="D9" s="7" t="s">
        <v>466</v>
      </c>
      <c r="E9" t="s">
        <v>67</v>
      </c>
      <c r="F9" t="s">
        <v>468</v>
      </c>
      <c r="I9" t="s">
        <v>388</v>
      </c>
      <c r="J9" t="s">
        <v>334</v>
      </c>
      <c r="K9" t="s">
        <v>389</v>
      </c>
      <c r="L9" t="s">
        <v>390</v>
      </c>
      <c r="M9" s="3" t="str">
        <f>HYPERLINK(СторонТрансп[[#This Row],[RelativePath]])</f>
        <v>5 Крыльцо общага\K07156189_22_20251111T095454Z.jpg</v>
      </c>
    </row>
    <row r="10" spans="1:13" x14ac:dyDescent="0.25">
      <c r="A10" t="s">
        <v>14</v>
      </c>
      <c r="B10" s="4">
        <v>45972</v>
      </c>
      <c r="C10" s="6">
        <v>0.40377314814814813</v>
      </c>
      <c r="D10" s="7" t="s">
        <v>466</v>
      </c>
      <c r="E10" t="s">
        <v>67</v>
      </c>
      <c r="F10" t="s">
        <v>468</v>
      </c>
      <c r="I10" t="s">
        <v>373</v>
      </c>
      <c r="J10" t="s">
        <v>334</v>
      </c>
      <c r="K10" t="s">
        <v>374</v>
      </c>
      <c r="L10" t="s">
        <v>375</v>
      </c>
      <c r="M10" s="3" t="str">
        <f>HYPERLINK(СторонТрансп[[#This Row],[RelativePath]])</f>
        <v>5 Крыльцо общага\K07156189_22_20251111T094126Z.jpg</v>
      </c>
    </row>
    <row r="11" spans="1:13" x14ac:dyDescent="0.25">
      <c r="A11" t="s">
        <v>14</v>
      </c>
      <c r="B11" s="4">
        <v>45972</v>
      </c>
      <c r="C11" s="6">
        <v>0.41627314814814814</v>
      </c>
      <c r="D11" s="7" t="s">
        <v>466</v>
      </c>
      <c r="E11" t="s">
        <v>67</v>
      </c>
      <c r="F11" t="s">
        <v>468</v>
      </c>
      <c r="I11" t="s">
        <v>391</v>
      </c>
      <c r="J11" t="s">
        <v>334</v>
      </c>
      <c r="K11" t="s">
        <v>392</v>
      </c>
      <c r="L11" t="s">
        <v>393</v>
      </c>
      <c r="M11" s="3" t="str">
        <f>HYPERLINK(СторонТрансп[[#This Row],[RelativePath]])</f>
        <v>5 Крыльцо общага\K07156189_22_20251111T095926Z.jpg</v>
      </c>
    </row>
    <row r="12" spans="1:13" x14ac:dyDescent="0.25">
      <c r="A12" t="s">
        <v>14</v>
      </c>
      <c r="B12" s="4">
        <v>45972</v>
      </c>
      <c r="C12" s="6">
        <v>0.4226273148148148</v>
      </c>
      <c r="D12" s="7" t="s">
        <v>466</v>
      </c>
      <c r="E12" t="s">
        <v>67</v>
      </c>
      <c r="F12" t="s">
        <v>468</v>
      </c>
      <c r="I12" t="s">
        <v>394</v>
      </c>
      <c r="J12" t="s">
        <v>334</v>
      </c>
      <c r="K12" t="s">
        <v>395</v>
      </c>
      <c r="L12" t="s">
        <v>396</v>
      </c>
      <c r="M12" s="3" t="str">
        <f>HYPERLINK(СторонТрансп[[#This Row],[RelativePath]])</f>
        <v>5 Крыльцо общага\K07156189_22_20251111T100835Z.jpg</v>
      </c>
    </row>
    <row r="13" spans="1:13" x14ac:dyDescent="0.25">
      <c r="A13" t="s">
        <v>14</v>
      </c>
      <c r="B13" s="4">
        <v>45972</v>
      </c>
      <c r="C13" s="6">
        <v>0.42944444444444446</v>
      </c>
      <c r="D13" s="7" t="s">
        <v>466</v>
      </c>
      <c r="E13" t="s">
        <v>67</v>
      </c>
      <c r="F13" t="s">
        <v>468</v>
      </c>
      <c r="I13" t="s">
        <v>400</v>
      </c>
      <c r="J13" t="s">
        <v>334</v>
      </c>
      <c r="K13" t="s">
        <v>401</v>
      </c>
      <c r="L13" t="s">
        <v>402</v>
      </c>
      <c r="M13" s="3" t="str">
        <f>HYPERLINK(СторонТрансп[[#This Row],[RelativePath]])</f>
        <v>5 Крыльцо общага\K07156189_22_20251111T101824Z.jpg</v>
      </c>
    </row>
    <row r="14" spans="1:13" x14ac:dyDescent="0.25">
      <c r="A14" t="s">
        <v>14</v>
      </c>
      <c r="B14" s="4">
        <v>45972</v>
      </c>
      <c r="C14" s="6">
        <v>0.4316550925925926</v>
      </c>
      <c r="D14" s="7" t="s">
        <v>466</v>
      </c>
      <c r="E14" t="s">
        <v>67</v>
      </c>
      <c r="F14" t="s">
        <v>468</v>
      </c>
      <c r="I14" t="s">
        <v>403</v>
      </c>
      <c r="J14" t="s">
        <v>334</v>
      </c>
      <c r="K14" t="s">
        <v>404</v>
      </c>
      <c r="L14" t="s">
        <v>405</v>
      </c>
      <c r="M14" s="3" t="str">
        <f>HYPERLINK(СторонТрансп[[#This Row],[RelativePath]])</f>
        <v>5 Крыльцо общага\K07156189_22_20251111T102135Z.jpg</v>
      </c>
    </row>
    <row r="15" spans="1:13" x14ac:dyDescent="0.25">
      <c r="A15" t="s">
        <v>14</v>
      </c>
      <c r="B15" s="4">
        <v>45972</v>
      </c>
      <c r="C15" s="6">
        <v>0.43408564814814815</v>
      </c>
      <c r="D15" s="7" t="s">
        <v>466</v>
      </c>
      <c r="E15" t="s">
        <v>67</v>
      </c>
      <c r="F15" t="s">
        <v>468</v>
      </c>
      <c r="I15" t="s">
        <v>406</v>
      </c>
      <c r="J15" t="s">
        <v>334</v>
      </c>
      <c r="K15" t="s">
        <v>407</v>
      </c>
      <c r="L15" t="s">
        <v>408</v>
      </c>
      <c r="M15" s="3" t="str">
        <f>HYPERLINK(СторонТрансп[[#This Row],[RelativePath]])</f>
        <v>5 Крыльцо общага\K07156189_22_20251111T102505Z.jpg</v>
      </c>
    </row>
    <row r="16" spans="1:13" x14ac:dyDescent="0.25">
      <c r="A16" t="s">
        <v>14</v>
      </c>
      <c r="B16" s="4">
        <v>45972</v>
      </c>
      <c r="C16" s="6">
        <v>0.43606481481481479</v>
      </c>
      <c r="D16" s="7" t="s">
        <v>466</v>
      </c>
      <c r="E16" t="s">
        <v>67</v>
      </c>
      <c r="F16" t="s">
        <v>469</v>
      </c>
      <c r="H16" t="s">
        <v>470</v>
      </c>
      <c r="I16" t="s">
        <v>409</v>
      </c>
      <c r="J16" t="s">
        <v>334</v>
      </c>
      <c r="K16" t="s">
        <v>410</v>
      </c>
      <c r="L16" t="s">
        <v>411</v>
      </c>
      <c r="M16" s="3" t="str">
        <f>HYPERLINK(СторонТрансп[[#This Row],[RelativePath]])</f>
        <v>5 Крыльцо общага\K07156189_22_20251111T102756Z.jpg</v>
      </c>
    </row>
    <row r="17" spans="1:13" x14ac:dyDescent="0.25">
      <c r="A17" t="s">
        <v>14</v>
      </c>
      <c r="B17" s="4">
        <v>45972</v>
      </c>
      <c r="C17" s="6">
        <v>0.46743055555555557</v>
      </c>
      <c r="D17" s="7" t="s">
        <v>466</v>
      </c>
      <c r="E17" t="s">
        <v>63</v>
      </c>
      <c r="F17" t="s">
        <v>58</v>
      </c>
      <c r="H17" t="s">
        <v>1620</v>
      </c>
      <c r="I17" t="s">
        <v>1456</v>
      </c>
      <c r="J17" t="s">
        <v>1308</v>
      </c>
      <c r="K17" t="s">
        <v>1457</v>
      </c>
      <c r="L17" t="s">
        <v>1458</v>
      </c>
      <c r="M17" s="3" t="str">
        <f>HYPERLINK(СторонТрансп[[#This Row],[RelativePath]])</f>
        <v>10 Сушилка навес\E33149364_3_20251111T111306Z.jpg</v>
      </c>
    </row>
    <row r="18" spans="1:13" x14ac:dyDescent="0.25">
      <c r="A18" t="s">
        <v>14</v>
      </c>
      <c r="B18" s="4">
        <v>45972</v>
      </c>
      <c r="C18" s="6">
        <v>0.47805555555555557</v>
      </c>
      <c r="D18" s="7" t="s">
        <v>1616</v>
      </c>
      <c r="E18" t="s">
        <v>63</v>
      </c>
      <c r="F18" t="s">
        <v>58</v>
      </c>
      <c r="H18" t="s">
        <v>1620</v>
      </c>
      <c r="I18" t="s">
        <v>1459</v>
      </c>
      <c r="J18" t="s">
        <v>1308</v>
      </c>
      <c r="K18" t="s">
        <v>1460</v>
      </c>
      <c r="L18" t="s">
        <v>1461</v>
      </c>
      <c r="M18" s="3" t="str">
        <f>HYPERLINK(СторонТрансп[[#This Row],[RelativePath]])</f>
        <v>10 Сушилка навес\E33149364_3_20251111T112824Z.jpg</v>
      </c>
    </row>
    <row r="19" spans="1:13" x14ac:dyDescent="0.25">
      <c r="A19" t="s">
        <v>14</v>
      </c>
      <c r="B19" s="4">
        <v>45972</v>
      </c>
      <c r="C19" s="6">
        <v>0.48200231481481481</v>
      </c>
      <c r="D19" s="7" t="s">
        <v>1616</v>
      </c>
      <c r="E19" t="s">
        <v>63</v>
      </c>
      <c r="F19" t="s">
        <v>58</v>
      </c>
      <c r="H19" t="s">
        <v>1620</v>
      </c>
      <c r="I19" t="s">
        <v>1462</v>
      </c>
      <c r="J19" t="s">
        <v>1308</v>
      </c>
      <c r="K19" t="s">
        <v>1463</v>
      </c>
      <c r="L19" t="s">
        <v>1464</v>
      </c>
      <c r="M19" s="3" t="str">
        <f>HYPERLINK(СторонТрансп[[#This Row],[RelativePath]])</f>
        <v>10 Сушилка навес\E33149364_3_20251111T113405Z.jpg</v>
      </c>
    </row>
    <row r="20" spans="1:13" x14ac:dyDescent="0.25">
      <c r="A20" t="s">
        <v>15</v>
      </c>
      <c r="B20" s="4">
        <v>45987</v>
      </c>
      <c r="C20" s="6">
        <v>0.4478125</v>
      </c>
      <c r="D20" s="7" t="s">
        <v>289</v>
      </c>
      <c r="E20" t="s">
        <v>4192</v>
      </c>
      <c r="F20" t="s">
        <v>58</v>
      </c>
      <c r="H20" t="s">
        <v>2936</v>
      </c>
      <c r="I20" t="s">
        <v>4010</v>
      </c>
      <c r="J20" t="s">
        <v>2985</v>
      </c>
      <c r="K20" t="s">
        <v>4011</v>
      </c>
      <c r="L20" t="s">
        <v>4012</v>
      </c>
      <c r="M20" s="3" t="str">
        <f>HYPERLINK(СторонТрансп[[#This Row],[RelativePath]])</f>
        <v>10 Сушилка навес\E33149364_3_20251126T104451Z.jpg</v>
      </c>
    </row>
    <row r="21" spans="1:13" x14ac:dyDescent="0.25">
      <c r="A21" t="s">
        <v>15</v>
      </c>
      <c r="B21" s="4">
        <v>45987</v>
      </c>
      <c r="C21" s="6">
        <v>0.44372685185185184</v>
      </c>
      <c r="D21" s="7" t="s">
        <v>289</v>
      </c>
      <c r="E21" t="s">
        <v>4192</v>
      </c>
      <c r="F21" t="s">
        <v>58</v>
      </c>
      <c r="I21" t="s">
        <v>3989</v>
      </c>
      <c r="J21" t="s">
        <v>2985</v>
      </c>
      <c r="K21" t="s">
        <v>3990</v>
      </c>
      <c r="L21" t="s">
        <v>3991</v>
      </c>
      <c r="M21" s="3" t="str">
        <f>HYPERLINK(СторонТрансп[[#This Row],[RelativePath]])</f>
        <v>10 Сушилка навес\E33149364_3_20251126T103858Z.jpg</v>
      </c>
    </row>
    <row r="22" spans="1:13" x14ac:dyDescent="0.25">
      <c r="A22" t="s">
        <v>15</v>
      </c>
      <c r="B22" s="4">
        <v>45987</v>
      </c>
      <c r="C22" s="6">
        <v>0.44473379629629628</v>
      </c>
      <c r="D22" s="7" t="s">
        <v>289</v>
      </c>
      <c r="E22" t="s">
        <v>4192</v>
      </c>
      <c r="F22" t="s">
        <v>58</v>
      </c>
      <c r="H22" t="s">
        <v>2936</v>
      </c>
      <c r="I22" t="s">
        <v>3992</v>
      </c>
      <c r="J22" t="s">
        <v>2985</v>
      </c>
      <c r="K22" t="s">
        <v>3993</v>
      </c>
      <c r="L22" t="s">
        <v>3994</v>
      </c>
      <c r="M22" s="3" t="str">
        <f>HYPERLINK(СторонТрансп[[#This Row],[RelativePath]])</f>
        <v>10 Сушилка навес\E33149364_3_20251126T104025Z.jpg</v>
      </c>
    </row>
    <row r="23" spans="1:13" x14ac:dyDescent="0.25">
      <c r="A23" t="s">
        <v>15</v>
      </c>
      <c r="B23" s="4">
        <v>45987</v>
      </c>
      <c r="C23" s="6">
        <v>0.44495370370370368</v>
      </c>
      <c r="D23" s="7" t="s">
        <v>289</v>
      </c>
      <c r="E23" t="s">
        <v>4192</v>
      </c>
      <c r="F23" t="s">
        <v>58</v>
      </c>
      <c r="H23" t="s">
        <v>2936</v>
      </c>
      <c r="I23" t="s">
        <v>3995</v>
      </c>
      <c r="J23" t="s">
        <v>2985</v>
      </c>
      <c r="K23" t="s">
        <v>3996</v>
      </c>
      <c r="L23" t="s">
        <v>3997</v>
      </c>
      <c r="M23" s="3" t="str">
        <f>HYPERLINK(СторонТрансп[[#This Row],[RelativePath]])</f>
        <v>10 Сушилка навес\E33149364_3_20251126T104044Z.jpg</v>
      </c>
    </row>
    <row r="24" spans="1:13" x14ac:dyDescent="0.25">
      <c r="A24" t="s">
        <v>15</v>
      </c>
      <c r="B24" s="4">
        <v>45987</v>
      </c>
      <c r="C24" s="6">
        <v>0.44767361111111109</v>
      </c>
      <c r="D24" s="7" t="s">
        <v>289</v>
      </c>
      <c r="E24" t="s">
        <v>4192</v>
      </c>
      <c r="F24" t="s">
        <v>58</v>
      </c>
      <c r="H24" t="s">
        <v>2936</v>
      </c>
      <c r="I24" t="s">
        <v>4007</v>
      </c>
      <c r="J24" t="s">
        <v>2985</v>
      </c>
      <c r="K24" t="s">
        <v>4008</v>
      </c>
      <c r="L24" t="s">
        <v>4009</v>
      </c>
      <c r="M24" s="3" t="str">
        <f>HYPERLINK(СторонТрансп[[#This Row],[RelativePath]])</f>
        <v>10 Сушилка навес\E33149364_3_20251126T104439Z.jpg</v>
      </c>
    </row>
    <row r="25" spans="1:13" x14ac:dyDescent="0.25">
      <c r="A25" t="s">
        <v>15</v>
      </c>
      <c r="B25" s="4">
        <v>45987</v>
      </c>
      <c r="C25" s="6">
        <v>0.44226851851851851</v>
      </c>
      <c r="D25" s="7" t="s">
        <v>289</v>
      </c>
      <c r="E25" t="s">
        <v>4192</v>
      </c>
      <c r="F25" t="s">
        <v>58</v>
      </c>
      <c r="H25" t="s">
        <v>2936</v>
      </c>
      <c r="I25" t="s">
        <v>3971</v>
      </c>
      <c r="J25" t="s">
        <v>2985</v>
      </c>
      <c r="K25" t="s">
        <v>3972</v>
      </c>
      <c r="L25" t="s">
        <v>3973</v>
      </c>
      <c r="M25" s="3" t="str">
        <f>HYPERLINK(СторонТрансп[[#This Row],[RelativePath]])</f>
        <v>10 Сушилка навес\E33149364_3_20251126T103652Z.jpg</v>
      </c>
    </row>
    <row r="26" spans="1:13" x14ac:dyDescent="0.25">
      <c r="A26" t="s">
        <v>15</v>
      </c>
      <c r="B26" s="4">
        <v>45987</v>
      </c>
      <c r="C26" s="6">
        <v>0.4475925925925926</v>
      </c>
      <c r="D26" s="7" t="s">
        <v>289</v>
      </c>
      <c r="E26" t="s">
        <v>4192</v>
      </c>
      <c r="F26" t="s">
        <v>58</v>
      </c>
      <c r="I26" t="s">
        <v>4004</v>
      </c>
      <c r="J26" t="s">
        <v>2985</v>
      </c>
      <c r="K26" t="s">
        <v>4005</v>
      </c>
      <c r="L26" t="s">
        <v>4006</v>
      </c>
      <c r="M26" s="3" t="str">
        <f>HYPERLINK(СторонТрансп[[#This Row],[RelativePath]])</f>
        <v>10 Сушилка навес\E33149364_3_20251126T104432Z.jpg</v>
      </c>
    </row>
    <row r="27" spans="1:13" x14ac:dyDescent="0.25">
      <c r="A27" t="s">
        <v>15</v>
      </c>
      <c r="B27" s="4">
        <v>45987</v>
      </c>
      <c r="C27" s="6">
        <v>0.44255787037037037</v>
      </c>
      <c r="D27" s="7" t="s">
        <v>289</v>
      </c>
      <c r="E27" t="s">
        <v>4192</v>
      </c>
      <c r="F27" t="s">
        <v>58</v>
      </c>
      <c r="H27" t="s">
        <v>2936</v>
      </c>
      <c r="I27" t="s">
        <v>3977</v>
      </c>
      <c r="J27" t="s">
        <v>2985</v>
      </c>
      <c r="K27" t="s">
        <v>3978</v>
      </c>
      <c r="L27" t="s">
        <v>3979</v>
      </c>
      <c r="M27" s="3" t="str">
        <f>HYPERLINK(СторонТрансп[[#This Row],[RelativePath]])</f>
        <v>10 Сушилка навес\E33149364_3_20251126T103717Z.jpg</v>
      </c>
    </row>
    <row r="28" spans="1:13" x14ac:dyDescent="0.25">
      <c r="A28" t="s">
        <v>15</v>
      </c>
      <c r="B28" s="4">
        <v>45987</v>
      </c>
      <c r="C28" s="6">
        <v>0.44241898148148145</v>
      </c>
      <c r="D28" s="7" t="s">
        <v>289</v>
      </c>
      <c r="E28" t="s">
        <v>4192</v>
      </c>
      <c r="F28" t="s">
        <v>58</v>
      </c>
      <c r="H28" t="s">
        <v>2936</v>
      </c>
      <c r="I28" t="s">
        <v>3974</v>
      </c>
      <c r="J28" t="s">
        <v>2985</v>
      </c>
      <c r="K28" t="s">
        <v>3975</v>
      </c>
      <c r="L28" t="s">
        <v>3976</v>
      </c>
      <c r="M28" s="3" t="str">
        <f>HYPERLINK(СторонТрансп[[#This Row],[RelativePath]])</f>
        <v>10 Сушилка навес\E33149364_3_20251126T103705Z.jpg</v>
      </c>
    </row>
    <row r="29" spans="1:13" x14ac:dyDescent="0.25">
      <c r="A29" t="s">
        <v>15</v>
      </c>
      <c r="B29" s="4">
        <v>45987</v>
      </c>
      <c r="C29" s="6">
        <v>0.44216435185185188</v>
      </c>
      <c r="D29" s="7" t="s">
        <v>289</v>
      </c>
      <c r="E29" t="s">
        <v>4192</v>
      </c>
      <c r="F29" t="s">
        <v>58</v>
      </c>
      <c r="H29" t="s">
        <v>2936</v>
      </c>
      <c r="I29" t="s">
        <v>3968</v>
      </c>
      <c r="J29" t="s">
        <v>2985</v>
      </c>
      <c r="K29" t="s">
        <v>3969</v>
      </c>
      <c r="L29" t="s">
        <v>3970</v>
      </c>
      <c r="M29" s="3" t="str">
        <f>HYPERLINK(СторонТрансп[[#This Row],[RelativePath]])</f>
        <v>10 Сушилка навес\E33149364_3_20251126T103643Z.jpg</v>
      </c>
    </row>
    <row r="30" spans="1:13" x14ac:dyDescent="0.25">
      <c r="A30" t="s">
        <v>15</v>
      </c>
      <c r="B30" s="4">
        <v>45987</v>
      </c>
      <c r="C30" s="6">
        <v>0.44284722222222223</v>
      </c>
      <c r="D30" s="7" t="s">
        <v>289</v>
      </c>
      <c r="E30" t="s">
        <v>4192</v>
      </c>
      <c r="F30" t="s">
        <v>58</v>
      </c>
      <c r="H30" t="s">
        <v>2936</v>
      </c>
      <c r="I30" t="s">
        <v>3983</v>
      </c>
      <c r="J30" t="s">
        <v>2985</v>
      </c>
      <c r="K30" t="s">
        <v>3984</v>
      </c>
      <c r="L30" t="s">
        <v>3985</v>
      </c>
      <c r="M30" s="3" t="str">
        <f>HYPERLINK(СторонТрансп[[#This Row],[RelativePath]])</f>
        <v>10 Сушилка навес\E33149364_3_20251126T103742Z.jpg</v>
      </c>
    </row>
    <row r="31" spans="1:13" x14ac:dyDescent="0.25">
      <c r="A31" t="s">
        <v>15</v>
      </c>
      <c r="B31" s="4">
        <v>45987</v>
      </c>
      <c r="C31" s="6">
        <v>0.44269675925925928</v>
      </c>
      <c r="D31" s="7" t="s">
        <v>289</v>
      </c>
      <c r="E31" t="s">
        <v>4192</v>
      </c>
      <c r="F31" t="s">
        <v>58</v>
      </c>
      <c r="H31" t="s">
        <v>2936</v>
      </c>
      <c r="I31" t="s">
        <v>3980</v>
      </c>
      <c r="J31" t="s">
        <v>2985</v>
      </c>
      <c r="K31" t="s">
        <v>3981</v>
      </c>
      <c r="L31" t="s">
        <v>3982</v>
      </c>
      <c r="M31" s="3" t="str">
        <f>HYPERLINK(СторонТрансп[[#This Row],[RelativePath]])</f>
        <v>10 Сушилка навес\E33149364_3_20251126T103729Z.jpg</v>
      </c>
    </row>
    <row r="32" spans="1:13" x14ac:dyDescent="0.25">
      <c r="A32" t="s">
        <v>15</v>
      </c>
      <c r="B32" s="4">
        <v>45987</v>
      </c>
      <c r="C32" s="6">
        <v>0.44207175925925923</v>
      </c>
      <c r="D32" s="7" t="s">
        <v>289</v>
      </c>
      <c r="E32" t="s">
        <v>4192</v>
      </c>
      <c r="F32" t="s">
        <v>58</v>
      </c>
      <c r="H32" t="s">
        <v>1620</v>
      </c>
      <c r="I32" t="s">
        <v>3965</v>
      </c>
      <c r="J32" t="s">
        <v>2985</v>
      </c>
      <c r="K32" t="s">
        <v>3966</v>
      </c>
      <c r="L32" t="s">
        <v>3967</v>
      </c>
      <c r="M32" s="3" t="str">
        <f>HYPERLINK(СторонТрансп[[#This Row],[RelativePath]])</f>
        <v>10 Сушилка навес\E33149364_3_20251126T103635Z.jpg</v>
      </c>
    </row>
    <row r="33" spans="1:13" x14ac:dyDescent="0.25">
      <c r="A33" t="s">
        <v>15</v>
      </c>
      <c r="B33" s="4">
        <v>45987</v>
      </c>
      <c r="C33" s="6">
        <v>0.45056712962962964</v>
      </c>
      <c r="D33" s="7" t="s">
        <v>289</v>
      </c>
      <c r="E33" t="s">
        <v>4192</v>
      </c>
      <c r="F33" t="s">
        <v>58</v>
      </c>
      <c r="H33" t="s">
        <v>2936</v>
      </c>
      <c r="I33" t="s">
        <v>4013</v>
      </c>
      <c r="J33" t="s">
        <v>2985</v>
      </c>
      <c r="K33" t="s">
        <v>4014</v>
      </c>
      <c r="L33" t="s">
        <v>4015</v>
      </c>
      <c r="M33" s="3" t="str">
        <f>HYPERLINK(СторонТрансп[[#This Row],[RelativePath]])</f>
        <v>10 Сушилка навес\E33149364_3_20251126T104849Z.jpg</v>
      </c>
    </row>
    <row r="34" spans="1:13" x14ac:dyDescent="0.25">
      <c r="A34" t="s">
        <v>15</v>
      </c>
      <c r="B34" s="4">
        <v>45987</v>
      </c>
      <c r="C34" s="6">
        <v>0.44947916666666665</v>
      </c>
      <c r="D34" s="7" t="s">
        <v>289</v>
      </c>
      <c r="E34" t="s">
        <v>4192</v>
      </c>
      <c r="F34" t="s">
        <v>58</v>
      </c>
      <c r="H34" t="s">
        <v>2936</v>
      </c>
      <c r="I34" t="s">
        <v>4103</v>
      </c>
      <c r="J34" t="s">
        <v>2986</v>
      </c>
      <c r="K34" t="s">
        <v>4104</v>
      </c>
      <c r="L34" t="s">
        <v>4105</v>
      </c>
      <c r="M34" s="3" t="str">
        <f>HYPERLINK(СторонТрансп[[#This Row],[RelativePath]])</f>
        <v>11 С ангара на базу\E33149364_4_20251126T104715Z.jpg</v>
      </c>
    </row>
    <row r="35" spans="1:13" x14ac:dyDescent="0.25">
      <c r="A35" t="s">
        <v>15</v>
      </c>
      <c r="B35" s="4">
        <v>45987</v>
      </c>
      <c r="C35" s="6">
        <v>0.44723379629629628</v>
      </c>
      <c r="D35" s="7" t="s">
        <v>289</v>
      </c>
      <c r="E35" t="s">
        <v>4192</v>
      </c>
      <c r="F35" t="s">
        <v>58</v>
      </c>
      <c r="I35" t="s">
        <v>4094</v>
      </c>
      <c r="J35" t="s">
        <v>2986</v>
      </c>
      <c r="K35" t="s">
        <v>4095</v>
      </c>
      <c r="L35" t="s">
        <v>4096</v>
      </c>
      <c r="M35" s="3" t="str">
        <f>HYPERLINK(СторонТрансп[[#This Row],[RelativePath]])</f>
        <v>11 С ангара на базу\E33149364_4_20251126T104401Z.jpg</v>
      </c>
    </row>
    <row r="36" spans="1:13" x14ac:dyDescent="0.25">
      <c r="A36" t="s">
        <v>15</v>
      </c>
      <c r="B36" s="4">
        <v>45987</v>
      </c>
      <c r="C36" s="6">
        <v>0.44848379629629631</v>
      </c>
      <c r="D36" s="7" t="s">
        <v>289</v>
      </c>
      <c r="E36" t="s">
        <v>4192</v>
      </c>
      <c r="F36" t="s">
        <v>58</v>
      </c>
      <c r="H36" t="s">
        <v>2936</v>
      </c>
      <c r="I36" t="s">
        <v>4097</v>
      </c>
      <c r="J36" t="s">
        <v>2986</v>
      </c>
      <c r="K36" t="s">
        <v>4098</v>
      </c>
      <c r="L36" t="s">
        <v>4099</v>
      </c>
      <c r="M36" s="3" t="str">
        <f>HYPERLINK(СторонТрансп[[#This Row],[RelativePath]])</f>
        <v>11 С ангара на базу\E33149364_4_20251126T104549Z.jpg</v>
      </c>
    </row>
    <row r="37" spans="1:13" x14ac:dyDescent="0.25">
      <c r="A37" t="s">
        <v>15</v>
      </c>
      <c r="B37" s="4">
        <v>45987</v>
      </c>
      <c r="C37" s="6">
        <v>0.44864583333333335</v>
      </c>
      <c r="D37" s="7" t="s">
        <v>289</v>
      </c>
      <c r="E37" t="s">
        <v>4192</v>
      </c>
      <c r="F37" t="s">
        <v>58</v>
      </c>
      <c r="H37" t="s">
        <v>2936</v>
      </c>
      <c r="I37" t="s">
        <v>4100</v>
      </c>
      <c r="J37" t="s">
        <v>2986</v>
      </c>
      <c r="K37" t="s">
        <v>4101</v>
      </c>
      <c r="L37" t="s">
        <v>4102</v>
      </c>
      <c r="M37" s="3" t="str">
        <f>HYPERLINK(СторонТрансп[[#This Row],[RelativePath]])</f>
        <v>11 С ангара на базу\E33149364_4_20251126T104603Z.jpg</v>
      </c>
    </row>
    <row r="38" spans="1:13" x14ac:dyDescent="0.25">
      <c r="A38" t="s">
        <v>18</v>
      </c>
      <c r="B38" s="4">
        <v>45990</v>
      </c>
      <c r="C38" s="6">
        <v>0.58278935185185188</v>
      </c>
      <c r="D38" s="7" t="s">
        <v>289</v>
      </c>
      <c r="E38" t="s">
        <v>4217</v>
      </c>
      <c r="F38" t="s">
        <v>4211</v>
      </c>
      <c r="H38" t="s">
        <v>2936</v>
      </c>
      <c r="I38" t="s">
        <v>3603</v>
      </c>
      <c r="J38" t="s">
        <v>2984</v>
      </c>
      <c r="K38" t="s">
        <v>3604</v>
      </c>
      <c r="L38" t="s">
        <v>3605</v>
      </c>
      <c r="M38" s="3" t="str">
        <f>HYPERLINK(СторонТрансп[[#This Row],[RelativePath]])</f>
        <v>7 Площадка 2 бетонщики\K07156189_18_20251129T135913Z.jpg</v>
      </c>
    </row>
    <row r="39" spans="1:13" x14ac:dyDescent="0.25">
      <c r="A39" t="s">
        <v>18</v>
      </c>
      <c r="B39" s="4">
        <v>45990</v>
      </c>
      <c r="C39" s="6">
        <v>0.57168981481481485</v>
      </c>
      <c r="D39" s="7" t="s">
        <v>289</v>
      </c>
      <c r="E39" t="s">
        <v>4217</v>
      </c>
      <c r="F39" t="s">
        <v>4211</v>
      </c>
      <c r="H39" t="s">
        <v>2936</v>
      </c>
      <c r="I39" t="s">
        <v>3585</v>
      </c>
      <c r="J39" t="s">
        <v>2984</v>
      </c>
      <c r="K39" t="s">
        <v>3586</v>
      </c>
      <c r="L39" t="s">
        <v>3587</v>
      </c>
      <c r="M39" s="3" t="str">
        <f>HYPERLINK(СторонТрансп[[#This Row],[RelativePath]])</f>
        <v>7 Площадка 2 бетонщики\K07156189_18_20251129T134314Z.jpg</v>
      </c>
    </row>
    <row r="40" spans="1:13" x14ac:dyDescent="0.25">
      <c r="A40" t="s">
        <v>18</v>
      </c>
      <c r="B40" s="4">
        <v>45990</v>
      </c>
      <c r="C40" s="6">
        <v>0.57995370370370369</v>
      </c>
      <c r="D40" s="7" t="s">
        <v>289</v>
      </c>
      <c r="E40" t="s">
        <v>4217</v>
      </c>
      <c r="F40" t="s">
        <v>4211</v>
      </c>
      <c r="H40" t="s">
        <v>2936</v>
      </c>
      <c r="I40" t="s">
        <v>3597</v>
      </c>
      <c r="J40" t="s">
        <v>2984</v>
      </c>
      <c r="K40" t="s">
        <v>3598</v>
      </c>
      <c r="L40" t="s">
        <v>3599</v>
      </c>
      <c r="M40" s="3" t="str">
        <f>HYPERLINK(СторонТрансп[[#This Row],[RelativePath]])</f>
        <v>7 Площадка 2 бетонщики\K07156189_18_20251129T135508Z.jpg</v>
      </c>
    </row>
    <row r="41" spans="1:13" x14ac:dyDescent="0.25">
      <c r="A41" t="s">
        <v>18</v>
      </c>
      <c r="B41" s="4">
        <v>45990</v>
      </c>
      <c r="C41" s="6">
        <v>0.55314814814814817</v>
      </c>
      <c r="D41" s="7" t="s">
        <v>289</v>
      </c>
      <c r="E41" t="s">
        <v>4217</v>
      </c>
      <c r="F41" t="s">
        <v>4211</v>
      </c>
      <c r="H41" t="s">
        <v>2936</v>
      </c>
      <c r="I41" t="s">
        <v>3570</v>
      </c>
      <c r="J41" t="s">
        <v>2984</v>
      </c>
      <c r="K41" t="s">
        <v>3571</v>
      </c>
      <c r="L41" t="s">
        <v>3572</v>
      </c>
      <c r="M41" s="3" t="str">
        <f>HYPERLINK(СторонТрансп[[#This Row],[RelativePath]])</f>
        <v>7 Площадка 2 бетонщики\K07156189_18_20251129T131632Z.jpg</v>
      </c>
    </row>
    <row r="42" spans="1:13" x14ac:dyDescent="0.25">
      <c r="A42" t="s">
        <v>18</v>
      </c>
      <c r="B42" s="4">
        <v>45990</v>
      </c>
      <c r="C42" s="6">
        <v>0.57275462962962964</v>
      </c>
      <c r="D42" s="7" t="s">
        <v>289</v>
      </c>
      <c r="E42" t="s">
        <v>4217</v>
      </c>
      <c r="F42" t="s">
        <v>4211</v>
      </c>
      <c r="H42" t="s">
        <v>2936</v>
      </c>
      <c r="I42" t="s">
        <v>3588</v>
      </c>
      <c r="J42" t="s">
        <v>2984</v>
      </c>
      <c r="K42" t="s">
        <v>3589</v>
      </c>
      <c r="L42" t="s">
        <v>3590</v>
      </c>
      <c r="M42" s="3" t="str">
        <f>HYPERLINK(СторонТрансп[[#This Row],[RelativePath]])</f>
        <v>7 Площадка 2 бетонщики\K07156189_18_20251129T134446Z.jpg</v>
      </c>
    </row>
    <row r="43" spans="1:13" x14ac:dyDescent="0.25">
      <c r="A43" t="s">
        <v>18</v>
      </c>
      <c r="B43" s="4">
        <v>45990</v>
      </c>
      <c r="C43" s="6">
        <v>0.57449074074074069</v>
      </c>
      <c r="D43" s="7" t="s">
        <v>289</v>
      </c>
      <c r="E43" t="s">
        <v>4217</v>
      </c>
      <c r="F43" t="s">
        <v>4211</v>
      </c>
      <c r="H43" t="s">
        <v>2936</v>
      </c>
      <c r="I43" t="s">
        <v>3591</v>
      </c>
      <c r="J43" t="s">
        <v>2984</v>
      </c>
      <c r="K43" t="s">
        <v>3592</v>
      </c>
      <c r="L43" t="s">
        <v>3593</v>
      </c>
      <c r="M43" s="3" t="str">
        <f>HYPERLINK(СторонТрансп[[#This Row],[RelativePath]])</f>
        <v>7 Площадка 2 бетонщики\K07156189_18_20251129T134716Z.jpg</v>
      </c>
    </row>
    <row r="44" spans="1:13" x14ac:dyDescent="0.25">
      <c r="A44" t="s">
        <v>18</v>
      </c>
      <c r="B44" s="4">
        <v>45990</v>
      </c>
      <c r="C44" s="6">
        <v>0.58212962962962966</v>
      </c>
      <c r="D44" s="7" t="s">
        <v>289</v>
      </c>
      <c r="E44" t="s">
        <v>4217</v>
      </c>
      <c r="F44" t="s">
        <v>4211</v>
      </c>
      <c r="H44" t="s">
        <v>2936</v>
      </c>
      <c r="I44" t="s">
        <v>3600</v>
      </c>
      <c r="J44" t="s">
        <v>2984</v>
      </c>
      <c r="K44" t="s">
        <v>3601</v>
      </c>
      <c r="L44" t="s">
        <v>3602</v>
      </c>
      <c r="M44" s="3" t="str">
        <f>HYPERLINK(СторонТрансп[[#This Row],[RelativePath]])</f>
        <v>7 Площадка 2 бетонщики\K07156189_18_20251129T135816Z.jpg</v>
      </c>
    </row>
    <row r="45" spans="1:13" x14ac:dyDescent="0.25">
      <c r="A45" t="s">
        <v>18</v>
      </c>
      <c r="B45" s="4">
        <v>45990</v>
      </c>
      <c r="C45" s="6">
        <v>0.58450231481481485</v>
      </c>
      <c r="D45" s="7" t="s">
        <v>289</v>
      </c>
      <c r="E45" t="s">
        <v>4217</v>
      </c>
      <c r="F45" t="s">
        <v>4211</v>
      </c>
      <c r="H45" t="s">
        <v>2936</v>
      </c>
      <c r="I45" t="s">
        <v>3606</v>
      </c>
      <c r="J45" t="s">
        <v>2984</v>
      </c>
      <c r="K45" t="s">
        <v>3607</v>
      </c>
      <c r="L45" t="s">
        <v>3608</v>
      </c>
      <c r="M45" s="3" t="str">
        <f>HYPERLINK(СторонТрансп[[#This Row],[RelativePath]])</f>
        <v>7 Площадка 2 бетонщики\K07156189_18_20251129T140141Z.jpg</v>
      </c>
    </row>
    <row r="46" spans="1:13" x14ac:dyDescent="0.25">
      <c r="A46" t="s">
        <v>18</v>
      </c>
      <c r="B46" s="4">
        <v>45990</v>
      </c>
      <c r="C46" s="6">
        <v>0.6917592592592593</v>
      </c>
      <c r="D46" s="7" t="s">
        <v>289</v>
      </c>
      <c r="E46" t="s">
        <v>4195</v>
      </c>
      <c r="F46" t="s">
        <v>4211</v>
      </c>
      <c r="H46" t="s">
        <v>2936</v>
      </c>
      <c r="I46" t="s">
        <v>3707</v>
      </c>
      <c r="J46" t="s">
        <v>2984</v>
      </c>
      <c r="K46" t="s">
        <v>3708</v>
      </c>
      <c r="L46" t="s">
        <v>3709</v>
      </c>
      <c r="M46" s="3" t="str">
        <f>HYPERLINK(СторонТрансп[[#This Row],[RelativePath]])</f>
        <v>7 Площадка 2 бетонщики\K07156189_18_20251129T163608Z.jpg</v>
      </c>
    </row>
    <row r="47" spans="1:13" x14ac:dyDescent="0.25">
      <c r="A47" t="s">
        <v>18</v>
      </c>
      <c r="B47" s="4">
        <v>45990</v>
      </c>
      <c r="C47" s="6">
        <v>0.57677083333333334</v>
      </c>
      <c r="D47" s="7" t="s">
        <v>289</v>
      </c>
      <c r="E47" t="s">
        <v>4217</v>
      </c>
      <c r="F47" t="s">
        <v>4211</v>
      </c>
      <c r="H47" t="s">
        <v>2936</v>
      </c>
      <c r="I47" t="s">
        <v>3594</v>
      </c>
      <c r="J47" t="s">
        <v>2984</v>
      </c>
      <c r="K47" t="s">
        <v>3595</v>
      </c>
      <c r="L47" t="s">
        <v>3596</v>
      </c>
      <c r="M47" s="3" t="str">
        <f>HYPERLINK(СторонТрансп[[#This Row],[RelativePath]])</f>
        <v>7 Площадка 2 бетонщики\K07156189_18_20251129T135033Z.jpg</v>
      </c>
    </row>
    <row r="48" spans="1:13" x14ac:dyDescent="0.25">
      <c r="A48" t="s">
        <v>18</v>
      </c>
      <c r="B48" s="4">
        <v>45990</v>
      </c>
      <c r="C48" s="6">
        <v>0.61375000000000002</v>
      </c>
      <c r="D48" s="7" t="s">
        <v>289</v>
      </c>
      <c r="E48" t="s">
        <v>4194</v>
      </c>
      <c r="F48" t="s">
        <v>4211</v>
      </c>
      <c r="I48" t="s">
        <v>3612</v>
      </c>
      <c r="J48" t="s">
        <v>2984</v>
      </c>
      <c r="K48" t="s">
        <v>3613</v>
      </c>
      <c r="L48" t="s">
        <v>3614</v>
      </c>
      <c r="M48" s="3" t="str">
        <f>HYPERLINK(СторонТрансп[[#This Row],[RelativePath]])</f>
        <v>7 Площадка 2 бетонщики\K07156189_18_20251129T144348Z.jpg</v>
      </c>
    </row>
    <row r="49" spans="1:13" x14ac:dyDescent="0.25">
      <c r="A49" t="s">
        <v>18</v>
      </c>
      <c r="B49" s="4">
        <v>45990</v>
      </c>
      <c r="C49" s="6">
        <v>0.69224537037037037</v>
      </c>
      <c r="D49" s="7" t="s">
        <v>289</v>
      </c>
      <c r="E49" t="s">
        <v>4195</v>
      </c>
      <c r="F49" t="s">
        <v>4211</v>
      </c>
      <c r="H49" t="s">
        <v>2936</v>
      </c>
      <c r="I49" t="s">
        <v>3710</v>
      </c>
      <c r="J49" t="s">
        <v>2984</v>
      </c>
      <c r="K49" t="s">
        <v>3711</v>
      </c>
      <c r="L49" t="s">
        <v>3712</v>
      </c>
      <c r="M49" s="3" t="str">
        <f>HYPERLINK(СторонТрансп[[#This Row],[RelativePath]])</f>
        <v>7 Площадка 2 бетонщики\K07156189_18_20251129T163650Z.jpg</v>
      </c>
    </row>
    <row r="50" spans="1:13" x14ac:dyDescent="0.25">
      <c r="A50" t="s">
        <v>18</v>
      </c>
      <c r="B50" s="4">
        <v>45990</v>
      </c>
      <c r="C50" s="6">
        <v>0.5607523148148148</v>
      </c>
      <c r="D50" s="7" t="s">
        <v>289</v>
      </c>
      <c r="E50" t="s">
        <v>4217</v>
      </c>
      <c r="F50" t="s">
        <v>4211</v>
      </c>
      <c r="H50" t="s">
        <v>2936</v>
      </c>
      <c r="I50" t="s">
        <v>3576</v>
      </c>
      <c r="J50" t="s">
        <v>2984</v>
      </c>
      <c r="K50" t="s">
        <v>3577</v>
      </c>
      <c r="L50" t="s">
        <v>3578</v>
      </c>
      <c r="M50" s="3" t="str">
        <f>HYPERLINK(СторонТрансп[[#This Row],[RelativePath]])</f>
        <v>7 Площадка 2 бетонщики\K07156189_18_20251129T132729Z.jpg</v>
      </c>
    </row>
    <row r="51" spans="1:13" x14ac:dyDescent="0.25">
      <c r="A51" t="s">
        <v>18</v>
      </c>
      <c r="B51" s="4">
        <v>45990</v>
      </c>
      <c r="C51" s="6">
        <v>0.56593749999999998</v>
      </c>
      <c r="D51" s="7" t="s">
        <v>289</v>
      </c>
      <c r="E51" t="s">
        <v>4217</v>
      </c>
      <c r="F51" t="s">
        <v>4211</v>
      </c>
      <c r="H51" t="s">
        <v>2936</v>
      </c>
      <c r="I51" t="s">
        <v>3579</v>
      </c>
      <c r="J51" t="s">
        <v>2984</v>
      </c>
      <c r="K51" t="s">
        <v>3580</v>
      </c>
      <c r="L51" t="s">
        <v>3581</v>
      </c>
      <c r="M51" s="3" t="str">
        <f>HYPERLINK(СторонТрансп[[#This Row],[RelativePath]])</f>
        <v>7 Площадка 2 бетонщики\K07156189_18_20251129T133457Z.jpg</v>
      </c>
    </row>
    <row r="52" spans="1:13" x14ac:dyDescent="0.25">
      <c r="A52" t="s">
        <v>18</v>
      </c>
      <c r="B52" s="4">
        <v>45990</v>
      </c>
      <c r="C52" s="6">
        <v>0.55888888888888888</v>
      </c>
      <c r="D52" s="7" t="s">
        <v>289</v>
      </c>
      <c r="E52" t="s">
        <v>4217</v>
      </c>
      <c r="F52" t="s">
        <v>4211</v>
      </c>
      <c r="H52" t="s">
        <v>2936</v>
      </c>
      <c r="I52" t="s">
        <v>3573</v>
      </c>
      <c r="J52" t="s">
        <v>2984</v>
      </c>
      <c r="K52" t="s">
        <v>3574</v>
      </c>
      <c r="L52" t="s">
        <v>3575</v>
      </c>
      <c r="M52" s="3" t="str">
        <f>HYPERLINK(СторонТрансп[[#This Row],[RelativePath]])</f>
        <v>7 Площадка 2 бетонщики\K07156189_18_20251129T132448Z.jpg</v>
      </c>
    </row>
    <row r="53" spans="1:13" x14ac:dyDescent="0.25">
      <c r="A53" t="s">
        <v>18</v>
      </c>
      <c r="B53" s="4">
        <v>45990</v>
      </c>
      <c r="C53" s="6">
        <v>0.56846064814814812</v>
      </c>
      <c r="D53" s="7" t="s">
        <v>289</v>
      </c>
      <c r="E53" t="s">
        <v>4217</v>
      </c>
      <c r="F53" t="s">
        <v>4211</v>
      </c>
      <c r="H53" t="s">
        <v>2936</v>
      </c>
      <c r="I53" t="s">
        <v>3582</v>
      </c>
      <c r="J53" t="s">
        <v>2984</v>
      </c>
      <c r="K53" t="s">
        <v>3583</v>
      </c>
      <c r="L53" t="s">
        <v>3584</v>
      </c>
      <c r="M53" s="3" t="str">
        <f>HYPERLINK(СторонТрансп[[#This Row],[RelativePath]])</f>
        <v>7 Площадка 2 бетонщики\K07156189_18_20251129T133835Z.jpg</v>
      </c>
    </row>
    <row r="54" spans="1:13" x14ac:dyDescent="0.25">
      <c r="A54" t="s">
        <v>18</v>
      </c>
      <c r="B54" s="4">
        <v>45990</v>
      </c>
      <c r="C54" s="6">
        <v>0.55248842592592595</v>
      </c>
      <c r="D54" s="7" t="s">
        <v>289</v>
      </c>
      <c r="E54" t="s">
        <v>4217</v>
      </c>
      <c r="F54" t="s">
        <v>4211</v>
      </c>
      <c r="I54" t="s">
        <v>3567</v>
      </c>
      <c r="J54" t="s">
        <v>2984</v>
      </c>
      <c r="K54" t="s">
        <v>3568</v>
      </c>
      <c r="L54" t="s">
        <v>3569</v>
      </c>
      <c r="M54" s="3" t="str">
        <f>HYPERLINK(СторонТрансп[[#This Row],[RelativePath]])</f>
        <v>7 Площадка 2 бетонщики\K07156189_18_20251129T131535Z.jpg</v>
      </c>
    </row>
    <row r="55" spans="1:13" x14ac:dyDescent="0.25">
      <c r="A55" t="s">
        <v>18</v>
      </c>
      <c r="B55" s="4">
        <v>45990</v>
      </c>
      <c r="C55" s="6">
        <v>0.64195601851851847</v>
      </c>
      <c r="D55" s="7" t="s">
        <v>289</v>
      </c>
      <c r="E55" t="s">
        <v>4194</v>
      </c>
      <c r="F55" t="s">
        <v>4211</v>
      </c>
      <c r="H55" t="s">
        <v>2936</v>
      </c>
      <c r="I55" t="s">
        <v>3642</v>
      </c>
      <c r="J55" t="s">
        <v>2984</v>
      </c>
      <c r="K55" t="s">
        <v>3643</v>
      </c>
      <c r="L55" t="s">
        <v>3644</v>
      </c>
      <c r="M55" s="3" t="str">
        <f>HYPERLINK(СторонТрансп[[#This Row],[RelativePath]])</f>
        <v>7 Площадка 2 бетонщики\K07156189_18_20251129T152425Z.jpg</v>
      </c>
    </row>
    <row r="56" spans="1:13" x14ac:dyDescent="0.25">
      <c r="A56" t="s">
        <v>18</v>
      </c>
      <c r="B56" s="4">
        <v>45990</v>
      </c>
      <c r="C56" s="6">
        <v>0.63914351851851847</v>
      </c>
      <c r="D56" s="7" t="s">
        <v>289</v>
      </c>
      <c r="E56" t="s">
        <v>4194</v>
      </c>
      <c r="F56" t="s">
        <v>4211</v>
      </c>
      <c r="H56" t="s">
        <v>2936</v>
      </c>
      <c r="I56" t="s">
        <v>3639</v>
      </c>
      <c r="J56" t="s">
        <v>2984</v>
      </c>
      <c r="K56" t="s">
        <v>3640</v>
      </c>
      <c r="L56" t="s">
        <v>3641</v>
      </c>
      <c r="M56" s="3" t="str">
        <f>HYPERLINK(СторонТрансп[[#This Row],[RelativePath]])</f>
        <v>7 Площадка 2 бетонщики\K07156189_18_20251129T152022Z.jpg</v>
      </c>
    </row>
    <row r="57" spans="1:13" x14ac:dyDescent="0.25">
      <c r="A57" t="s">
        <v>18</v>
      </c>
      <c r="B57" s="4">
        <v>45990</v>
      </c>
      <c r="C57" s="6">
        <v>0.63736111111111116</v>
      </c>
      <c r="D57" s="7" t="s">
        <v>289</v>
      </c>
      <c r="E57" t="s">
        <v>4194</v>
      </c>
      <c r="F57" t="s">
        <v>4211</v>
      </c>
      <c r="H57" t="s">
        <v>2936</v>
      </c>
      <c r="I57" t="s">
        <v>3636</v>
      </c>
      <c r="J57" t="s">
        <v>2984</v>
      </c>
      <c r="K57" t="s">
        <v>3637</v>
      </c>
      <c r="L57" t="s">
        <v>3638</v>
      </c>
      <c r="M57" s="3" t="str">
        <f>HYPERLINK(СторонТрансп[[#This Row],[RelativePath]])</f>
        <v>7 Площадка 2 бетонщики\K07156189_18_20251129T151748Z.jpg</v>
      </c>
    </row>
    <row r="58" spans="1:13" x14ac:dyDescent="0.25">
      <c r="A58" t="s">
        <v>18</v>
      </c>
      <c r="B58" s="4">
        <v>45990</v>
      </c>
      <c r="C58" s="6">
        <v>0.68951388888888887</v>
      </c>
      <c r="D58" s="7" t="s">
        <v>289</v>
      </c>
      <c r="E58" t="s">
        <v>4195</v>
      </c>
      <c r="F58" t="s">
        <v>4211</v>
      </c>
      <c r="H58" t="s">
        <v>2936</v>
      </c>
      <c r="I58" t="s">
        <v>3704</v>
      </c>
      <c r="J58" t="s">
        <v>2984</v>
      </c>
      <c r="K58" t="s">
        <v>3705</v>
      </c>
      <c r="L58" t="s">
        <v>3706</v>
      </c>
      <c r="M58" s="3" t="str">
        <f>HYPERLINK(СторонТрансп[[#This Row],[RelativePath]])</f>
        <v>7 Площадка 2 бетонщики\K07156189_18_20251129T163254Z.jpg</v>
      </c>
    </row>
    <row r="59" spans="1:13" x14ac:dyDescent="0.25">
      <c r="A59" t="s">
        <v>18</v>
      </c>
      <c r="B59" s="4">
        <v>45990</v>
      </c>
      <c r="C59" s="6">
        <v>0.61982638888888886</v>
      </c>
      <c r="D59" s="7" t="s">
        <v>289</v>
      </c>
      <c r="E59" t="s">
        <v>4194</v>
      </c>
      <c r="F59" t="s">
        <v>4211</v>
      </c>
      <c r="H59" t="s">
        <v>2936</v>
      </c>
      <c r="I59" t="s">
        <v>3618</v>
      </c>
      <c r="J59" t="s">
        <v>2984</v>
      </c>
      <c r="K59" t="s">
        <v>3619</v>
      </c>
      <c r="L59" t="s">
        <v>3620</v>
      </c>
      <c r="M59" s="3" t="str">
        <f>HYPERLINK(СторонТрансп[[#This Row],[RelativePath]])</f>
        <v>7 Площадка 2 бетонщики\K07156189_18_20251129T145233Z.jpg</v>
      </c>
    </row>
    <row r="60" spans="1:13" x14ac:dyDescent="0.25">
      <c r="A60" t="s">
        <v>18</v>
      </c>
      <c r="B60" s="4">
        <v>45990</v>
      </c>
      <c r="C60" s="6">
        <v>0.65543981481481484</v>
      </c>
      <c r="D60" s="7" t="s">
        <v>289</v>
      </c>
      <c r="E60" t="s">
        <v>4195</v>
      </c>
      <c r="F60" t="s">
        <v>4211</v>
      </c>
      <c r="H60" t="s">
        <v>2936</v>
      </c>
      <c r="I60" t="s">
        <v>3656</v>
      </c>
      <c r="J60" t="s">
        <v>2984</v>
      </c>
      <c r="K60" t="s">
        <v>3657</v>
      </c>
      <c r="L60" t="s">
        <v>3658</v>
      </c>
      <c r="M60" s="3" t="str">
        <f>HYPERLINK(СторонТрансп[[#This Row],[RelativePath]])</f>
        <v>7 Площадка 2 бетонщики\K07156189_18_20251129T154350Z.jpg</v>
      </c>
    </row>
    <row r="61" spans="1:13" x14ac:dyDescent="0.25">
      <c r="A61" t="s">
        <v>18</v>
      </c>
      <c r="B61" s="4">
        <v>45990</v>
      </c>
      <c r="C61" s="6">
        <v>0.65312499999999996</v>
      </c>
      <c r="D61" s="7" t="s">
        <v>289</v>
      </c>
      <c r="E61" t="s">
        <v>4195</v>
      </c>
      <c r="F61" t="s">
        <v>4211</v>
      </c>
      <c r="I61" t="s">
        <v>3653</v>
      </c>
      <c r="J61" t="s">
        <v>2984</v>
      </c>
      <c r="K61" t="s">
        <v>3654</v>
      </c>
      <c r="L61" t="s">
        <v>3655</v>
      </c>
      <c r="M61" s="3" t="str">
        <f>HYPERLINK(СторонТрансп[[#This Row],[RelativePath]])</f>
        <v>7 Площадка 2 бетонщики\K07156189_18_20251129T154030Z.jpg</v>
      </c>
    </row>
    <row r="62" spans="1:13" x14ac:dyDescent="0.25">
      <c r="A62" t="s">
        <v>18</v>
      </c>
      <c r="B62" s="4">
        <v>45990</v>
      </c>
      <c r="C62" s="6">
        <v>0.67155092592592591</v>
      </c>
      <c r="D62" s="7" t="s">
        <v>289</v>
      </c>
      <c r="E62" t="s">
        <v>4195</v>
      </c>
      <c r="F62" t="s">
        <v>4211</v>
      </c>
      <c r="H62" t="s">
        <v>2936</v>
      </c>
      <c r="I62" t="s">
        <v>3677</v>
      </c>
      <c r="J62" t="s">
        <v>2984</v>
      </c>
      <c r="K62" t="s">
        <v>3678</v>
      </c>
      <c r="L62" t="s">
        <v>3679</v>
      </c>
      <c r="M62" s="3" t="str">
        <f>HYPERLINK(СторонТрансп[[#This Row],[RelativePath]])</f>
        <v>7 Площадка 2 бетонщики\K07156189_18_20251129T160702Z.jpg</v>
      </c>
    </row>
    <row r="63" spans="1:13" x14ac:dyDescent="0.25">
      <c r="A63" t="s">
        <v>18</v>
      </c>
      <c r="B63" s="4">
        <v>45990</v>
      </c>
      <c r="C63" s="6">
        <v>0.6338773148148148</v>
      </c>
      <c r="D63" s="7" t="s">
        <v>289</v>
      </c>
      <c r="E63" t="s">
        <v>4194</v>
      </c>
      <c r="F63" t="s">
        <v>4211</v>
      </c>
      <c r="H63" t="s">
        <v>2936</v>
      </c>
      <c r="I63" t="s">
        <v>3633</v>
      </c>
      <c r="J63" t="s">
        <v>2984</v>
      </c>
      <c r="K63" t="s">
        <v>3634</v>
      </c>
      <c r="L63" t="s">
        <v>3635</v>
      </c>
      <c r="M63" s="3" t="str">
        <f>HYPERLINK(СторонТрансп[[#This Row],[RelativePath]])</f>
        <v>7 Площадка 2 бетонщики\K07156189_18_20251129T151247Z.jpg</v>
      </c>
    </row>
    <row r="64" spans="1:13" x14ac:dyDescent="0.25">
      <c r="A64" t="s">
        <v>18</v>
      </c>
      <c r="B64" s="4">
        <v>45990</v>
      </c>
      <c r="C64" s="6">
        <v>0.6216666666666667</v>
      </c>
      <c r="D64" s="7" t="s">
        <v>289</v>
      </c>
      <c r="E64" t="s">
        <v>4194</v>
      </c>
      <c r="F64" t="s">
        <v>4211</v>
      </c>
      <c r="H64" t="s">
        <v>2936</v>
      </c>
      <c r="I64" t="s">
        <v>3621</v>
      </c>
      <c r="J64" t="s">
        <v>2984</v>
      </c>
      <c r="K64" t="s">
        <v>3622</v>
      </c>
      <c r="L64" t="s">
        <v>3623</v>
      </c>
      <c r="M64" s="3" t="str">
        <f>HYPERLINK(СторонТрансп[[#This Row],[RelativePath]])</f>
        <v>7 Площадка 2 бетонщики\K07156189_18_20251129T145512Z.jpg</v>
      </c>
    </row>
    <row r="65" spans="1:13" x14ac:dyDescent="0.25">
      <c r="A65" t="s">
        <v>18</v>
      </c>
      <c r="B65" s="4">
        <v>45990</v>
      </c>
      <c r="C65" s="6">
        <v>0.64386574074074077</v>
      </c>
      <c r="D65" s="7" t="s">
        <v>289</v>
      </c>
      <c r="E65" t="s">
        <v>4194</v>
      </c>
      <c r="F65" t="s">
        <v>87</v>
      </c>
      <c r="I65" t="s">
        <v>3645</v>
      </c>
      <c r="J65" t="s">
        <v>2984</v>
      </c>
      <c r="K65" t="s">
        <v>3646</v>
      </c>
      <c r="L65" t="s">
        <v>3647</v>
      </c>
      <c r="M65" s="3" t="str">
        <f>HYPERLINK(СторонТрансп[[#This Row],[RelativePath]])</f>
        <v>7 Площадка 2 бетонщики\K07156189_18_20251129T152710Z.jpg</v>
      </c>
    </row>
    <row r="66" spans="1:13" x14ac:dyDescent="0.25">
      <c r="A66" t="s">
        <v>18</v>
      </c>
      <c r="B66" s="4">
        <v>45990</v>
      </c>
      <c r="C66" s="6">
        <v>0.67753472222222222</v>
      </c>
      <c r="D66" s="7" t="s">
        <v>289</v>
      </c>
      <c r="E66" t="s">
        <v>4195</v>
      </c>
      <c r="F66" t="s">
        <v>4211</v>
      </c>
      <c r="H66" t="s">
        <v>2936</v>
      </c>
      <c r="I66" t="s">
        <v>3689</v>
      </c>
      <c r="J66" t="s">
        <v>2984</v>
      </c>
      <c r="K66" t="s">
        <v>3690</v>
      </c>
      <c r="L66" t="s">
        <v>3691</v>
      </c>
      <c r="M66" s="3" t="str">
        <f>HYPERLINK(СторонТрансп[[#This Row],[RelativePath]])</f>
        <v>7 Площадка 2 бетонщики\K07156189_18_20251129T161539Z.jpg</v>
      </c>
    </row>
    <row r="67" spans="1:13" x14ac:dyDescent="0.25">
      <c r="A67" t="s">
        <v>18</v>
      </c>
      <c r="B67" s="4">
        <v>45990</v>
      </c>
      <c r="C67" s="6">
        <v>0.62604166666666672</v>
      </c>
      <c r="D67" s="7" t="s">
        <v>289</v>
      </c>
      <c r="E67" t="s">
        <v>4194</v>
      </c>
      <c r="F67" t="s">
        <v>4211</v>
      </c>
      <c r="H67" t="s">
        <v>2936</v>
      </c>
      <c r="I67" t="s">
        <v>3627</v>
      </c>
      <c r="J67" t="s">
        <v>2984</v>
      </c>
      <c r="K67" t="s">
        <v>3628</v>
      </c>
      <c r="L67" t="s">
        <v>3629</v>
      </c>
      <c r="M67" s="3" t="str">
        <f>HYPERLINK(СторонТрансп[[#This Row],[RelativePath]])</f>
        <v>7 Площадка 2 бетонщики\K07156189_18_20251129T150130Z.jpg</v>
      </c>
    </row>
    <row r="68" spans="1:13" x14ac:dyDescent="0.25">
      <c r="A68" t="s">
        <v>18</v>
      </c>
      <c r="B68" s="4">
        <v>45990</v>
      </c>
      <c r="C68" s="6">
        <v>0.63124999999999998</v>
      </c>
      <c r="D68" s="7" t="s">
        <v>289</v>
      </c>
      <c r="E68" t="s">
        <v>4194</v>
      </c>
      <c r="F68" t="s">
        <v>4211</v>
      </c>
      <c r="H68" t="s">
        <v>2936</v>
      </c>
      <c r="I68" t="s">
        <v>3630</v>
      </c>
      <c r="J68" t="s">
        <v>2984</v>
      </c>
      <c r="K68" t="s">
        <v>3631</v>
      </c>
      <c r="L68" t="s">
        <v>3632</v>
      </c>
      <c r="M68" s="3" t="str">
        <f>HYPERLINK(СторонТрансп[[#This Row],[RelativePath]])</f>
        <v>7 Площадка 2 бетонщики\K07156189_18_20251129T150900Z.jpg</v>
      </c>
    </row>
    <row r="69" spans="1:13" x14ac:dyDescent="0.25">
      <c r="A69" t="s">
        <v>18</v>
      </c>
      <c r="B69" s="4">
        <v>45990</v>
      </c>
      <c r="C69" s="6">
        <v>0.61790509259259263</v>
      </c>
      <c r="D69" s="7" t="s">
        <v>289</v>
      </c>
      <c r="E69" t="s">
        <v>4194</v>
      </c>
      <c r="F69" t="s">
        <v>4211</v>
      </c>
      <c r="H69" t="s">
        <v>2936</v>
      </c>
      <c r="I69" t="s">
        <v>3615</v>
      </c>
      <c r="J69" t="s">
        <v>2984</v>
      </c>
      <c r="K69" t="s">
        <v>3616</v>
      </c>
      <c r="L69" t="s">
        <v>3617</v>
      </c>
      <c r="M69" s="3" t="str">
        <f>HYPERLINK(СторонТрансп[[#This Row],[RelativePath]])</f>
        <v>7 Площадка 2 бетонщики\K07156189_18_20251129T144947Z.jpg</v>
      </c>
    </row>
    <row r="70" spans="1:13" x14ac:dyDescent="0.25">
      <c r="A70" t="s">
        <v>18</v>
      </c>
      <c r="B70" s="4">
        <v>45990</v>
      </c>
      <c r="C70" s="6">
        <v>0.62410879629629634</v>
      </c>
      <c r="D70" s="7" t="s">
        <v>289</v>
      </c>
      <c r="E70" t="s">
        <v>4194</v>
      </c>
      <c r="F70" t="s">
        <v>4211</v>
      </c>
      <c r="H70" t="s">
        <v>2936</v>
      </c>
      <c r="I70" t="s">
        <v>3624</v>
      </c>
      <c r="J70" t="s">
        <v>2984</v>
      </c>
      <c r="K70" t="s">
        <v>3625</v>
      </c>
      <c r="L70" t="s">
        <v>3626</v>
      </c>
      <c r="M70" s="3" t="str">
        <f>HYPERLINK(СторонТрансп[[#This Row],[RelativePath]])</f>
        <v>7 Площадка 2 бетонщики\K07156189_18_20251129T145843Z.jpg</v>
      </c>
    </row>
    <row r="71" spans="1:13" x14ac:dyDescent="0.25">
      <c r="A71" t="s">
        <v>18</v>
      </c>
      <c r="B71" s="4">
        <v>45990</v>
      </c>
      <c r="C71" s="6">
        <v>0.65699074074074071</v>
      </c>
      <c r="D71" s="7" t="s">
        <v>289</v>
      </c>
      <c r="E71" t="s">
        <v>4195</v>
      </c>
      <c r="F71" t="s">
        <v>4211</v>
      </c>
      <c r="H71" t="s">
        <v>2936</v>
      </c>
      <c r="I71" t="s">
        <v>3659</v>
      </c>
      <c r="J71" t="s">
        <v>2984</v>
      </c>
      <c r="K71" t="s">
        <v>3660</v>
      </c>
      <c r="L71" t="s">
        <v>3661</v>
      </c>
      <c r="M71" s="3" t="str">
        <f>HYPERLINK(СторонТрансп[[#This Row],[RelativePath]])</f>
        <v>7 Площадка 2 бетонщики\K07156189_18_20251129T154604Z.jpg</v>
      </c>
    </row>
    <row r="72" spans="1:13" x14ac:dyDescent="0.25">
      <c r="A72" t="s">
        <v>18</v>
      </c>
      <c r="B72" s="4">
        <v>45990</v>
      </c>
      <c r="C72" s="6">
        <v>0.67405092592592597</v>
      </c>
      <c r="D72" s="7" t="s">
        <v>289</v>
      </c>
      <c r="E72" t="s">
        <v>4195</v>
      </c>
      <c r="F72" t="s">
        <v>4211</v>
      </c>
      <c r="H72" t="s">
        <v>2936</v>
      </c>
      <c r="I72" t="s">
        <v>3680</v>
      </c>
      <c r="J72" t="s">
        <v>2984</v>
      </c>
      <c r="K72" t="s">
        <v>3681</v>
      </c>
      <c r="L72" t="s">
        <v>3682</v>
      </c>
      <c r="M72" s="3" t="str">
        <f>HYPERLINK(СторонТрансп[[#This Row],[RelativePath]])</f>
        <v>7 Площадка 2 бетонщики\K07156189_18_20251129T161038Z.jpg</v>
      </c>
    </row>
    <row r="73" spans="1:13" x14ac:dyDescent="0.25">
      <c r="A73" t="s">
        <v>18</v>
      </c>
      <c r="B73" s="4">
        <v>45990</v>
      </c>
      <c r="C73" s="6">
        <v>0.67623842592592598</v>
      </c>
      <c r="D73" s="7" t="s">
        <v>289</v>
      </c>
      <c r="E73" t="s">
        <v>4195</v>
      </c>
      <c r="F73" t="s">
        <v>4211</v>
      </c>
      <c r="H73" t="s">
        <v>2936</v>
      </c>
      <c r="I73" t="s">
        <v>3686</v>
      </c>
      <c r="J73" t="s">
        <v>2984</v>
      </c>
      <c r="K73" t="s">
        <v>3687</v>
      </c>
      <c r="L73" t="s">
        <v>3688</v>
      </c>
      <c r="M73" s="3" t="str">
        <f>HYPERLINK(СторонТрансп[[#This Row],[RelativePath]])</f>
        <v>7 Площадка 2 бетонщики\K07156189_18_20251129T161347Z.jpg</v>
      </c>
    </row>
    <row r="74" spans="1:13" x14ac:dyDescent="0.25">
      <c r="A74" t="s">
        <v>18</v>
      </c>
      <c r="B74" s="4">
        <v>45990</v>
      </c>
      <c r="C74" s="6">
        <v>0.67570601851851853</v>
      </c>
      <c r="D74" s="7" t="s">
        <v>289</v>
      </c>
      <c r="E74" t="s">
        <v>4195</v>
      </c>
      <c r="F74" t="s">
        <v>4211</v>
      </c>
      <c r="H74" t="s">
        <v>2936</v>
      </c>
      <c r="I74" t="s">
        <v>3683</v>
      </c>
      <c r="J74" t="s">
        <v>2984</v>
      </c>
      <c r="K74" t="s">
        <v>3684</v>
      </c>
      <c r="L74" t="s">
        <v>3685</v>
      </c>
      <c r="M74" s="3" t="str">
        <f>HYPERLINK(СторонТрансп[[#This Row],[RelativePath]])</f>
        <v>7 Площадка 2 бетонщики\K07156189_18_20251129T161301Z.jpg</v>
      </c>
    </row>
    <row r="75" spans="1:13" x14ac:dyDescent="0.25">
      <c r="A75" t="s">
        <v>18</v>
      </c>
      <c r="B75" s="4">
        <v>45990</v>
      </c>
      <c r="C75" s="6">
        <v>0.68625000000000003</v>
      </c>
      <c r="D75" s="7" t="s">
        <v>289</v>
      </c>
      <c r="E75" t="s">
        <v>4195</v>
      </c>
      <c r="F75" t="s">
        <v>4211</v>
      </c>
      <c r="H75" t="s">
        <v>2936</v>
      </c>
      <c r="I75" t="s">
        <v>3701</v>
      </c>
      <c r="J75" t="s">
        <v>2984</v>
      </c>
      <c r="K75" t="s">
        <v>3702</v>
      </c>
      <c r="L75" t="s">
        <v>3703</v>
      </c>
      <c r="M75" s="3" t="str">
        <f>HYPERLINK(СторонТрансп[[#This Row],[RelativePath]])</f>
        <v>7 Площадка 2 бетонщики\K07156189_18_20251129T162812Z.jpg</v>
      </c>
    </row>
    <row r="76" spans="1:13" x14ac:dyDescent="0.25">
      <c r="A76" t="s">
        <v>18</v>
      </c>
      <c r="B76" s="4">
        <v>45990</v>
      </c>
      <c r="C76" s="6">
        <v>0.68329861111111112</v>
      </c>
      <c r="D76" s="7" t="s">
        <v>289</v>
      </c>
      <c r="E76" t="s">
        <v>4195</v>
      </c>
      <c r="F76" t="s">
        <v>4211</v>
      </c>
      <c r="H76" t="s">
        <v>2936</v>
      </c>
      <c r="I76" t="s">
        <v>3695</v>
      </c>
      <c r="J76" t="s">
        <v>2984</v>
      </c>
      <c r="K76" t="s">
        <v>3696</v>
      </c>
      <c r="L76" t="s">
        <v>3697</v>
      </c>
      <c r="M76" s="3" t="str">
        <f>HYPERLINK(СторонТрансп[[#This Row],[RelativePath]])</f>
        <v>7 Площадка 2 бетонщики\K07156189_18_20251129T162357Z.jpg</v>
      </c>
    </row>
    <row r="77" spans="1:13" x14ac:dyDescent="0.25">
      <c r="A77" t="s">
        <v>18</v>
      </c>
      <c r="B77" s="4">
        <v>45990</v>
      </c>
      <c r="C77" s="6">
        <v>0.68038194444444444</v>
      </c>
      <c r="D77" s="7" t="s">
        <v>289</v>
      </c>
      <c r="E77" t="s">
        <v>4195</v>
      </c>
      <c r="F77" t="s">
        <v>4211</v>
      </c>
      <c r="H77" t="s">
        <v>2936</v>
      </c>
      <c r="I77" t="s">
        <v>3692</v>
      </c>
      <c r="J77" t="s">
        <v>2984</v>
      </c>
      <c r="K77" t="s">
        <v>3693</v>
      </c>
      <c r="L77" t="s">
        <v>3694</v>
      </c>
      <c r="M77" s="3" t="str">
        <f>HYPERLINK(СторонТрансп[[#This Row],[RelativePath]])</f>
        <v>7 Площадка 2 бетонщики\K07156189_18_20251129T161945Z.jpg</v>
      </c>
    </row>
    <row r="78" spans="1:13" x14ac:dyDescent="0.25">
      <c r="A78" t="s">
        <v>18</v>
      </c>
      <c r="B78" s="4">
        <v>45990</v>
      </c>
      <c r="C78" s="6">
        <v>0.68376157407407412</v>
      </c>
      <c r="D78" s="7" t="s">
        <v>289</v>
      </c>
      <c r="E78" t="s">
        <v>4195</v>
      </c>
      <c r="F78" t="s">
        <v>4211</v>
      </c>
      <c r="H78" t="s">
        <v>2936</v>
      </c>
      <c r="I78" t="s">
        <v>3698</v>
      </c>
      <c r="J78" t="s">
        <v>2984</v>
      </c>
      <c r="K78" t="s">
        <v>3699</v>
      </c>
      <c r="L78" t="s">
        <v>3700</v>
      </c>
      <c r="M78" s="3" t="str">
        <f>HYPERLINK(СторонТрансп[[#This Row],[RelativePath]])</f>
        <v>7 Площадка 2 бетонщики\K07156189_18_20251129T162437Z.jpg</v>
      </c>
    </row>
    <row r="79" spans="1:13" x14ac:dyDescent="0.25">
      <c r="A79" t="s">
        <v>18</v>
      </c>
      <c r="B79" s="4">
        <v>45990</v>
      </c>
      <c r="C79" s="6">
        <v>0.66106481481481483</v>
      </c>
      <c r="D79" s="7" t="s">
        <v>289</v>
      </c>
      <c r="E79" t="s">
        <v>4195</v>
      </c>
      <c r="F79" t="s">
        <v>4211</v>
      </c>
      <c r="H79" t="s">
        <v>2936</v>
      </c>
      <c r="I79" t="s">
        <v>3665</v>
      </c>
      <c r="J79" t="s">
        <v>2984</v>
      </c>
      <c r="K79" t="s">
        <v>3666</v>
      </c>
      <c r="L79" t="s">
        <v>3667</v>
      </c>
      <c r="M79" s="3" t="str">
        <f>HYPERLINK(СторонТрансп[[#This Row],[RelativePath]])</f>
        <v>7 Площадка 2 бетонщики\K07156189_18_20251129T155156Z.jpg</v>
      </c>
    </row>
    <row r="80" spans="1:13" x14ac:dyDescent="0.25">
      <c r="A80" t="s">
        <v>18</v>
      </c>
      <c r="B80" s="4">
        <v>45990</v>
      </c>
      <c r="C80" s="6">
        <v>0.65927083333333336</v>
      </c>
      <c r="D80" s="7" t="s">
        <v>289</v>
      </c>
      <c r="E80" t="s">
        <v>4195</v>
      </c>
      <c r="F80" t="s">
        <v>4211</v>
      </c>
      <c r="H80" t="s">
        <v>2936</v>
      </c>
      <c r="I80" t="s">
        <v>3662</v>
      </c>
      <c r="J80" t="s">
        <v>2984</v>
      </c>
      <c r="K80" t="s">
        <v>3663</v>
      </c>
      <c r="L80" t="s">
        <v>3664</v>
      </c>
      <c r="M80" s="3" t="str">
        <f>HYPERLINK(СторонТрансп[[#This Row],[RelativePath]])</f>
        <v>7 Площадка 2 бетонщики\K07156189_18_20251129T154921Z.jpg</v>
      </c>
    </row>
    <row r="81" spans="1:13" x14ac:dyDescent="0.25">
      <c r="A81" t="s">
        <v>18</v>
      </c>
      <c r="B81" s="4">
        <v>45990</v>
      </c>
      <c r="C81" s="6">
        <v>0.66378472222222218</v>
      </c>
      <c r="D81" s="7" t="s">
        <v>289</v>
      </c>
      <c r="E81" t="s">
        <v>4195</v>
      </c>
      <c r="F81" t="s">
        <v>4211</v>
      </c>
      <c r="H81" t="s">
        <v>2936</v>
      </c>
      <c r="I81" t="s">
        <v>3668</v>
      </c>
      <c r="J81" t="s">
        <v>2984</v>
      </c>
      <c r="K81" t="s">
        <v>3669</v>
      </c>
      <c r="L81" t="s">
        <v>3670</v>
      </c>
      <c r="M81" s="3" t="str">
        <f>HYPERLINK(СторонТрансп[[#This Row],[RelativePath]])</f>
        <v>7 Площадка 2 бетонщики\K07156189_18_20251129T155551Z.jpg</v>
      </c>
    </row>
    <row r="82" spans="1:13" x14ac:dyDescent="0.25">
      <c r="A82" t="s">
        <v>18</v>
      </c>
      <c r="B82" s="4">
        <v>45990</v>
      </c>
      <c r="C82" s="6">
        <v>0.66971064814814818</v>
      </c>
      <c r="D82" s="7" t="s">
        <v>289</v>
      </c>
      <c r="E82" t="s">
        <v>4195</v>
      </c>
      <c r="F82" t="s">
        <v>4211</v>
      </c>
      <c r="H82" t="s">
        <v>2936</v>
      </c>
      <c r="I82" t="s">
        <v>3674</v>
      </c>
      <c r="J82" t="s">
        <v>2984</v>
      </c>
      <c r="K82" t="s">
        <v>3675</v>
      </c>
      <c r="L82" t="s">
        <v>3676</v>
      </c>
      <c r="M82" s="3" t="str">
        <f>HYPERLINK(СторонТрансп[[#This Row],[RelativePath]])</f>
        <v>7 Площадка 2 бетонщики\K07156189_18_20251129T160423Z.jpg</v>
      </c>
    </row>
    <row r="83" spans="1:13" x14ac:dyDescent="0.25">
      <c r="A83" t="s">
        <v>18</v>
      </c>
      <c r="B83" s="4">
        <v>45990</v>
      </c>
      <c r="C83" s="6">
        <v>0.66733796296296299</v>
      </c>
      <c r="D83" s="7" t="s">
        <v>289</v>
      </c>
      <c r="E83" t="s">
        <v>4195</v>
      </c>
      <c r="F83" t="s">
        <v>4211</v>
      </c>
      <c r="H83" t="s">
        <v>2936</v>
      </c>
      <c r="I83" t="s">
        <v>3671</v>
      </c>
      <c r="J83" t="s">
        <v>2984</v>
      </c>
      <c r="K83" t="s">
        <v>3672</v>
      </c>
      <c r="L83" t="s">
        <v>3673</v>
      </c>
      <c r="M83" s="3" t="str">
        <f>HYPERLINK(СторонТрансп[[#This Row],[RelativePath]])</f>
        <v>7 Площадка 2 бетонщики\K07156189_18_20251129T160058Z.jpg</v>
      </c>
    </row>
    <row r="84" spans="1:13" x14ac:dyDescent="0.25">
      <c r="A84" t="s">
        <v>22</v>
      </c>
      <c r="B84" s="4">
        <v>45998</v>
      </c>
      <c r="C84" s="6">
        <v>0.61756944444444439</v>
      </c>
      <c r="D84" s="7" t="s">
        <v>289</v>
      </c>
      <c r="E84" t="s">
        <v>5263</v>
      </c>
      <c r="F84" t="s">
        <v>5093</v>
      </c>
      <c r="I84" t="s">
        <v>5151</v>
      </c>
      <c r="J84" t="s">
        <v>2982</v>
      </c>
      <c r="K84" t="s">
        <v>5152</v>
      </c>
      <c r="L84" t="s">
        <v>5153</v>
      </c>
      <c r="M84" s="3" t="str">
        <f>HYPERLINK(СторонТрансп[[#This Row],[RelativePath]])</f>
        <v>5 Крыльцо общага\K07156189_22_20251207T144918Z.jpg</v>
      </c>
    </row>
    <row r="85" spans="1:13" x14ac:dyDescent="0.25">
      <c r="A85" t="s">
        <v>22</v>
      </c>
      <c r="B85" s="4">
        <v>45998</v>
      </c>
      <c r="C85" s="6">
        <v>0.62070601851851848</v>
      </c>
      <c r="D85" s="7" t="s">
        <v>289</v>
      </c>
      <c r="E85" t="s">
        <v>5263</v>
      </c>
      <c r="F85" t="s">
        <v>5093</v>
      </c>
      <c r="H85" t="s">
        <v>2936</v>
      </c>
      <c r="I85" t="s">
        <v>5154</v>
      </c>
      <c r="J85" t="s">
        <v>2982</v>
      </c>
      <c r="K85" t="s">
        <v>5155</v>
      </c>
      <c r="L85" t="s">
        <v>5156</v>
      </c>
      <c r="M85" s="3" t="str">
        <f>HYPERLINK(СторонТрансп[[#This Row],[RelativePath]])</f>
        <v>5 Крыльцо общага\K07156189_22_20251207T145349Z.jpg</v>
      </c>
    </row>
    <row r="86" spans="1:13" x14ac:dyDescent="0.25">
      <c r="A86" t="s">
        <v>22</v>
      </c>
      <c r="B86" s="4">
        <v>45998</v>
      </c>
      <c r="C86" s="6">
        <v>0.62306712962962962</v>
      </c>
      <c r="D86" s="7" t="s">
        <v>289</v>
      </c>
      <c r="E86" t="s">
        <v>5263</v>
      </c>
      <c r="F86" t="s">
        <v>5093</v>
      </c>
      <c r="H86" t="s">
        <v>2936</v>
      </c>
      <c r="I86" t="s">
        <v>5157</v>
      </c>
      <c r="J86" t="s">
        <v>2982</v>
      </c>
      <c r="K86" t="s">
        <v>5158</v>
      </c>
      <c r="L86" t="s">
        <v>5159</v>
      </c>
      <c r="M86" s="3" t="str">
        <f>HYPERLINK(СторонТрансп[[#This Row],[RelativePath]])</f>
        <v>5 Крыльцо общага\K07156189_22_20251207T145713Z.jpg</v>
      </c>
    </row>
    <row r="87" spans="1:13" x14ac:dyDescent="0.25">
      <c r="A87" t="s">
        <v>22</v>
      </c>
      <c r="B87" s="4">
        <v>45998</v>
      </c>
      <c r="C87" s="6">
        <v>0.62668981481481478</v>
      </c>
      <c r="D87" s="7" t="s">
        <v>289</v>
      </c>
      <c r="E87" t="s">
        <v>5263</v>
      </c>
      <c r="F87" t="s">
        <v>5093</v>
      </c>
      <c r="H87" t="s">
        <v>2936</v>
      </c>
      <c r="I87" t="s">
        <v>5160</v>
      </c>
      <c r="J87" t="s">
        <v>2982</v>
      </c>
      <c r="K87" t="s">
        <v>5161</v>
      </c>
      <c r="L87" t="s">
        <v>5162</v>
      </c>
      <c r="M87" s="3" t="str">
        <f>HYPERLINK(СторонТрансп[[#This Row],[RelativePath]])</f>
        <v>5 Крыльцо общага\K07156189_22_20251207T150226Z.jpg</v>
      </c>
    </row>
    <row r="88" spans="1:13" x14ac:dyDescent="0.25">
      <c r="A88" t="s">
        <v>22</v>
      </c>
      <c r="B88" s="4">
        <v>45998</v>
      </c>
      <c r="C88" s="6">
        <v>0.62921296296296292</v>
      </c>
      <c r="D88" s="7" t="s">
        <v>289</v>
      </c>
      <c r="E88" t="s">
        <v>5263</v>
      </c>
      <c r="F88" t="s">
        <v>5093</v>
      </c>
      <c r="H88" t="s">
        <v>2936</v>
      </c>
      <c r="I88" t="s">
        <v>5163</v>
      </c>
      <c r="J88" t="s">
        <v>2982</v>
      </c>
      <c r="K88" t="s">
        <v>5164</v>
      </c>
      <c r="L88" t="s">
        <v>5165</v>
      </c>
      <c r="M88" s="3" t="str">
        <f>HYPERLINK(СторонТрансп[[#This Row],[RelativePath]])</f>
        <v>5 Крыльцо общага\K07156189_22_20251207T150604Z.jpg</v>
      </c>
    </row>
    <row r="89" spans="1:13" x14ac:dyDescent="0.25">
      <c r="A89" t="s">
        <v>22</v>
      </c>
      <c r="B89" s="4">
        <v>45998</v>
      </c>
      <c r="C89" s="6">
        <v>0.63689814814814816</v>
      </c>
      <c r="D89" s="7" t="s">
        <v>289</v>
      </c>
      <c r="E89" t="s">
        <v>5263</v>
      </c>
      <c r="F89" t="s">
        <v>5093</v>
      </c>
      <c r="H89" t="s">
        <v>2936</v>
      </c>
      <c r="I89" t="s">
        <v>5166</v>
      </c>
      <c r="J89" t="s">
        <v>2982</v>
      </c>
      <c r="K89" t="s">
        <v>5167</v>
      </c>
      <c r="L89" t="s">
        <v>5168</v>
      </c>
      <c r="M89" s="3" t="str">
        <f>HYPERLINK(СторонТрансп[[#This Row],[RelativePath]])</f>
        <v>5 Крыльцо общага\K07156189_22_20251207T151708Z.jpg</v>
      </c>
    </row>
    <row r="90" spans="1:13" x14ac:dyDescent="0.25">
      <c r="A90" t="s">
        <v>22</v>
      </c>
      <c r="B90" s="4">
        <v>45998</v>
      </c>
      <c r="C90" s="6">
        <v>0.60039351851851852</v>
      </c>
      <c r="D90" s="7" t="s">
        <v>289</v>
      </c>
      <c r="E90" t="s">
        <v>5263</v>
      </c>
      <c r="F90" t="s">
        <v>4233</v>
      </c>
      <c r="I90" t="s">
        <v>5187</v>
      </c>
      <c r="J90" t="s">
        <v>2985</v>
      </c>
      <c r="K90" t="s">
        <v>5188</v>
      </c>
      <c r="L90" t="s">
        <v>5189</v>
      </c>
      <c r="M90" s="3" t="str">
        <f>HYPERLINK(СторонТрансп[[#This Row],[RelativePath]])</f>
        <v>10 Сушилка навес\E33149364_3_20251207T142434Z.jpg</v>
      </c>
    </row>
    <row r="91" spans="1:13" x14ac:dyDescent="0.25">
      <c r="A91" t="s">
        <v>22</v>
      </c>
      <c r="B91" s="4">
        <v>45998</v>
      </c>
      <c r="C91" s="6">
        <v>0.60648148148148151</v>
      </c>
      <c r="D91" s="7" t="s">
        <v>289</v>
      </c>
      <c r="E91" t="s">
        <v>5263</v>
      </c>
      <c r="F91" t="s">
        <v>4233</v>
      </c>
      <c r="H91" t="s">
        <v>2936</v>
      </c>
      <c r="I91" t="s">
        <v>5190</v>
      </c>
      <c r="J91" t="s">
        <v>2985</v>
      </c>
      <c r="K91" t="s">
        <v>5191</v>
      </c>
      <c r="L91" t="s">
        <v>5192</v>
      </c>
      <c r="M91" s="3" t="str">
        <f>HYPERLINK(СторонТрансп[[#This Row],[RelativePath]])</f>
        <v>10 Сушилка навес\E33149364_3_20251207T143320Z.jpg</v>
      </c>
    </row>
    <row r="92" spans="1:13" x14ac:dyDescent="0.25">
      <c r="A92" t="s">
        <v>18</v>
      </c>
      <c r="B92" s="4">
        <v>46004</v>
      </c>
      <c r="C92" s="6">
        <v>0.39997685185185183</v>
      </c>
      <c r="D92" s="7" t="s">
        <v>289</v>
      </c>
      <c r="E92" t="s">
        <v>6167</v>
      </c>
      <c r="F92" t="s">
        <v>6188</v>
      </c>
      <c r="H92" t="s">
        <v>2936</v>
      </c>
      <c r="I92" t="s">
        <v>6128</v>
      </c>
      <c r="J92" t="s">
        <v>5633</v>
      </c>
      <c r="K92" t="s">
        <v>6129</v>
      </c>
      <c r="L92" t="s">
        <v>6130</v>
      </c>
      <c r="M92" s="3" t="str">
        <f>HYPERLINK(СторонТрансп[[#This Row],[RelativePath]])</f>
        <v>11 С ангара на базу\E33149364_4_20251213T093558Z.jpg</v>
      </c>
    </row>
    <row r="93" spans="1:13" x14ac:dyDescent="0.25">
      <c r="A93" t="s">
        <v>18</v>
      </c>
      <c r="B93" s="4">
        <v>46004</v>
      </c>
      <c r="C93" s="6">
        <v>0.39961805555555557</v>
      </c>
      <c r="D93" s="7" t="s">
        <v>289</v>
      </c>
      <c r="E93" t="s">
        <v>6167</v>
      </c>
      <c r="F93" t="s">
        <v>6188</v>
      </c>
      <c r="H93" t="s">
        <v>2936</v>
      </c>
      <c r="I93" t="s">
        <v>6125</v>
      </c>
      <c r="J93" t="s">
        <v>5633</v>
      </c>
      <c r="K93" t="s">
        <v>6126</v>
      </c>
      <c r="L93" t="s">
        <v>6127</v>
      </c>
      <c r="M93" s="3" t="str">
        <f>HYPERLINK(СторонТрансп[[#This Row],[RelativePath]])</f>
        <v>11 С ангара на базу\E33149364_4_20251213T093527Z.jpg</v>
      </c>
    </row>
    <row r="94" spans="1:13" x14ac:dyDescent="0.25">
      <c r="A94" t="s">
        <v>18</v>
      </c>
      <c r="B94" s="4">
        <v>46004</v>
      </c>
      <c r="C94" s="6">
        <v>0.40229166666666666</v>
      </c>
      <c r="D94" s="7" t="s">
        <v>289</v>
      </c>
      <c r="E94" t="s">
        <v>6167</v>
      </c>
      <c r="F94" t="s">
        <v>6188</v>
      </c>
      <c r="H94" t="s">
        <v>2936</v>
      </c>
      <c r="I94" t="s">
        <v>6134</v>
      </c>
      <c r="J94" t="s">
        <v>5633</v>
      </c>
      <c r="K94" t="s">
        <v>6135</v>
      </c>
      <c r="L94" t="s">
        <v>6136</v>
      </c>
      <c r="M94" s="3" t="str">
        <f>HYPERLINK(СторонТрансп[[#This Row],[RelativePath]])</f>
        <v>11 С ангара на базу\E33149364_4_20251213T093918Z.jpg</v>
      </c>
    </row>
    <row r="95" spans="1:13" x14ac:dyDescent="0.25">
      <c r="A95" t="s">
        <v>18</v>
      </c>
      <c r="B95" s="4">
        <v>46004</v>
      </c>
      <c r="C95" s="6">
        <v>0.40167824074074077</v>
      </c>
      <c r="D95" s="7" t="s">
        <v>289</v>
      </c>
      <c r="E95" t="s">
        <v>6167</v>
      </c>
      <c r="F95" t="s">
        <v>6188</v>
      </c>
      <c r="H95" t="s">
        <v>2936</v>
      </c>
      <c r="I95" t="s">
        <v>6131</v>
      </c>
      <c r="J95" t="s">
        <v>5633</v>
      </c>
      <c r="K95" t="s">
        <v>6132</v>
      </c>
      <c r="L95" t="s">
        <v>6133</v>
      </c>
      <c r="M95" s="3" t="str">
        <f>HYPERLINK(СторонТрансп[[#This Row],[RelativePath]])</f>
        <v>11 С ангара на базу\E33149364_4_20251213T093825Z.jpg</v>
      </c>
    </row>
    <row r="96" spans="1:13" x14ac:dyDescent="0.25">
      <c r="A96" t="s">
        <v>18</v>
      </c>
      <c r="B96" s="4">
        <v>46004</v>
      </c>
      <c r="C96" s="6">
        <v>0.39643518518518517</v>
      </c>
      <c r="D96" s="7" t="s">
        <v>289</v>
      </c>
      <c r="E96" t="s">
        <v>6167</v>
      </c>
      <c r="F96" t="s">
        <v>6188</v>
      </c>
      <c r="H96" t="s">
        <v>2936</v>
      </c>
      <c r="I96" t="s">
        <v>6116</v>
      </c>
      <c r="J96" t="s">
        <v>5633</v>
      </c>
      <c r="K96" t="s">
        <v>6117</v>
      </c>
      <c r="L96" t="s">
        <v>6118</v>
      </c>
      <c r="M96" s="3" t="str">
        <f>HYPERLINK(СторонТрансп[[#This Row],[RelativePath]])</f>
        <v>11 С ангара на базу\E33149364_4_20251213T093052Z.jpg</v>
      </c>
    </row>
    <row r="97" spans="1:13" x14ac:dyDescent="0.25">
      <c r="A97" t="s">
        <v>18</v>
      </c>
      <c r="B97" s="4">
        <v>46004</v>
      </c>
      <c r="C97" s="6">
        <v>0.39291666666666669</v>
      </c>
      <c r="D97" s="7" t="s">
        <v>289</v>
      </c>
      <c r="E97" t="s">
        <v>6167</v>
      </c>
      <c r="F97" t="s">
        <v>6188</v>
      </c>
      <c r="H97" t="s">
        <v>2936</v>
      </c>
      <c r="I97" t="s">
        <v>6113</v>
      </c>
      <c r="J97" t="s">
        <v>5633</v>
      </c>
      <c r="K97" t="s">
        <v>6114</v>
      </c>
      <c r="L97" t="s">
        <v>6115</v>
      </c>
      <c r="M97" s="3" t="str">
        <f>HYPERLINK(СторонТрансп[[#This Row],[RelativePath]])</f>
        <v>11 С ангара на базу\E33149364_4_20251213T092548Z.jpg</v>
      </c>
    </row>
    <row r="98" spans="1:13" x14ac:dyDescent="0.25">
      <c r="A98" t="s">
        <v>18</v>
      </c>
      <c r="B98" s="4">
        <v>46004</v>
      </c>
      <c r="C98" s="6">
        <v>0.3972222222222222</v>
      </c>
      <c r="D98" s="7" t="s">
        <v>289</v>
      </c>
      <c r="E98" t="s">
        <v>6167</v>
      </c>
      <c r="F98" t="s">
        <v>6188</v>
      </c>
      <c r="H98" t="s">
        <v>2936</v>
      </c>
      <c r="I98" t="s">
        <v>6122</v>
      </c>
      <c r="J98" t="s">
        <v>5633</v>
      </c>
      <c r="K98" t="s">
        <v>6123</v>
      </c>
      <c r="L98" t="s">
        <v>6124</v>
      </c>
      <c r="M98" s="3" t="str">
        <f>HYPERLINK(СторонТрансп[[#This Row],[RelativePath]])</f>
        <v>11 С ангара на базу\E33149364_4_20251213T093200Z.jpg</v>
      </c>
    </row>
    <row r="99" spans="1:13" x14ac:dyDescent="0.25">
      <c r="A99" t="s">
        <v>18</v>
      </c>
      <c r="B99" s="4">
        <v>46004</v>
      </c>
      <c r="C99" s="6">
        <v>0.39685185185185184</v>
      </c>
      <c r="D99" s="7" t="s">
        <v>289</v>
      </c>
      <c r="E99" t="s">
        <v>6167</v>
      </c>
      <c r="F99" t="s">
        <v>6188</v>
      </c>
      <c r="H99" t="s">
        <v>2936</v>
      </c>
      <c r="I99" t="s">
        <v>6119</v>
      </c>
      <c r="J99" t="s">
        <v>5633</v>
      </c>
      <c r="K99" t="s">
        <v>6120</v>
      </c>
      <c r="L99" t="s">
        <v>6121</v>
      </c>
      <c r="M99" s="3" t="str">
        <f>HYPERLINK(СторонТрансп[[#This Row],[RelativePath]])</f>
        <v>11 С ангара на базу\E33149364_4_20251213T093128Z.jpg</v>
      </c>
    </row>
    <row r="100" spans="1:13" x14ac:dyDescent="0.25">
      <c r="A100" t="s">
        <v>14</v>
      </c>
      <c r="B100" s="4">
        <v>45972</v>
      </c>
      <c r="C100" s="6">
        <v>0.39128472222222221</v>
      </c>
      <c r="D100" s="7" t="s">
        <v>91</v>
      </c>
      <c r="E100" t="s">
        <v>67</v>
      </c>
      <c r="F100" t="s">
        <v>51</v>
      </c>
      <c r="I100" t="s">
        <v>33</v>
      </c>
      <c r="J100" t="s">
        <v>2981</v>
      </c>
      <c r="K100" t="s">
        <v>3117</v>
      </c>
      <c r="L100" t="s">
        <v>3118</v>
      </c>
      <c r="M100" s="3" t="str">
        <f>HYPERLINK(СторонТрансп[[#This Row],[RelativePath]])</f>
        <v>1 Ангар Склад 2 въезд\E33149364_6_20251111T092327Z.jpg</v>
      </c>
    </row>
    <row r="101" spans="1:13" x14ac:dyDescent="0.25">
      <c r="A101" t="s">
        <v>14</v>
      </c>
      <c r="B101" s="4">
        <v>45972</v>
      </c>
      <c r="C101" s="6">
        <v>0.44765046296296296</v>
      </c>
      <c r="D101" s="7" t="s">
        <v>62</v>
      </c>
      <c r="E101" t="s">
        <v>67</v>
      </c>
      <c r="F101" t="s">
        <v>468</v>
      </c>
      <c r="I101" t="s">
        <v>34</v>
      </c>
      <c r="J101" t="s">
        <v>2981</v>
      </c>
      <c r="K101" t="s">
        <v>3119</v>
      </c>
      <c r="L101" t="s">
        <v>3120</v>
      </c>
      <c r="M101" s="3" t="str">
        <f>HYPERLINK(СторонТрансп[[#This Row],[RelativePath]])</f>
        <v>1 Ангар Склад 2 въезд\E33149364_6_20251111T104437Z.jpg</v>
      </c>
    </row>
    <row r="102" spans="1:13" x14ac:dyDescent="0.25">
      <c r="A102" t="s">
        <v>14</v>
      </c>
      <c r="B102" s="4">
        <v>45972</v>
      </c>
      <c r="C102" s="6">
        <v>0.44944444444444442</v>
      </c>
      <c r="D102" s="7" t="s">
        <v>91</v>
      </c>
      <c r="E102" t="s">
        <v>63</v>
      </c>
      <c r="F102" t="s">
        <v>51</v>
      </c>
      <c r="I102" t="s">
        <v>35</v>
      </c>
      <c r="J102" t="s">
        <v>2981</v>
      </c>
      <c r="K102" t="s">
        <v>3121</v>
      </c>
      <c r="L102" t="s">
        <v>3122</v>
      </c>
      <c r="M102" s="3" t="str">
        <f>HYPERLINK(СторонТрансп[[#This Row],[RelativePath]])</f>
        <v>1 Ангар Склад 2 въезд\E33149364_6_20251111T104712Z.jpg</v>
      </c>
    </row>
    <row r="103" spans="1:13" x14ac:dyDescent="0.25">
      <c r="A103" t="s">
        <v>14</v>
      </c>
      <c r="B103" s="4">
        <v>45972</v>
      </c>
      <c r="C103" s="6">
        <v>0.45118055555555553</v>
      </c>
      <c r="D103" s="7" t="s">
        <v>89</v>
      </c>
      <c r="E103" t="s">
        <v>63</v>
      </c>
      <c r="F103" t="s">
        <v>51</v>
      </c>
      <c r="I103" t="s">
        <v>36</v>
      </c>
      <c r="J103" t="s">
        <v>2981</v>
      </c>
      <c r="K103" t="s">
        <v>3123</v>
      </c>
      <c r="L103" t="s">
        <v>3124</v>
      </c>
      <c r="M103" s="3" t="str">
        <f>HYPERLINK(СторонТрансп[[#This Row],[RelativePath]])</f>
        <v>1 Ангар Склад 2 въезд\E33149364_6_20251111T104942Z.jpg</v>
      </c>
    </row>
    <row r="104" spans="1:13" x14ac:dyDescent="0.25">
      <c r="A104" t="s">
        <v>14</v>
      </c>
      <c r="B104" s="4">
        <v>45972</v>
      </c>
      <c r="C104" s="6">
        <v>0.45136574074074076</v>
      </c>
      <c r="D104" s="7" t="s">
        <v>64</v>
      </c>
      <c r="E104" t="s">
        <v>63</v>
      </c>
      <c r="F104" t="s">
        <v>51</v>
      </c>
      <c r="I104" t="s">
        <v>37</v>
      </c>
      <c r="J104" t="s">
        <v>2981</v>
      </c>
      <c r="K104" t="s">
        <v>3125</v>
      </c>
      <c r="L104" t="s">
        <v>3126</v>
      </c>
      <c r="M104" s="3" t="str">
        <f>HYPERLINK(СторонТрансп[[#This Row],[RelativePath]])</f>
        <v>1 Ангар Склад 2 въезд\E33149364_6_20251111T104958Z.jpg</v>
      </c>
    </row>
    <row r="105" spans="1:13" x14ac:dyDescent="0.25">
      <c r="A105" t="s">
        <v>14</v>
      </c>
      <c r="B105" s="4">
        <v>45972</v>
      </c>
      <c r="C105" s="6">
        <v>0.48476851851851854</v>
      </c>
      <c r="D105" s="7" t="s">
        <v>62</v>
      </c>
      <c r="E105" t="s">
        <v>63</v>
      </c>
      <c r="F105" t="s">
        <v>58</v>
      </c>
      <c r="I105" t="s">
        <v>38</v>
      </c>
      <c r="J105" t="s">
        <v>2981</v>
      </c>
      <c r="K105" t="s">
        <v>3127</v>
      </c>
      <c r="L105" t="s">
        <v>3128</v>
      </c>
      <c r="M105" s="3" t="str">
        <f>HYPERLINK(СторонТрансп[[#This Row],[RelativePath]])</f>
        <v>1 Ангар Склад 2 въезд\E33149364_6_20251111T113804Z.jpg</v>
      </c>
    </row>
    <row r="106" spans="1:13" x14ac:dyDescent="0.25">
      <c r="A106" t="s">
        <v>15</v>
      </c>
      <c r="B106" s="4">
        <v>45973</v>
      </c>
      <c r="C106" s="6">
        <v>0.67682870370370374</v>
      </c>
      <c r="D106" s="7" t="s">
        <v>91</v>
      </c>
      <c r="E106" t="s">
        <v>66</v>
      </c>
      <c r="F106" t="s">
        <v>68</v>
      </c>
      <c r="I106" t="s">
        <v>41</v>
      </c>
      <c r="J106" t="s">
        <v>2981</v>
      </c>
      <c r="K106" t="s">
        <v>3133</v>
      </c>
      <c r="L106" t="s">
        <v>3134</v>
      </c>
      <c r="M106" s="3" t="str">
        <f>HYPERLINK(СторонТрансп[[#This Row],[RelativePath]])</f>
        <v>1 Ангар Склад 2 въезд\E33149364_6_20251112T161438Z.jpg</v>
      </c>
    </row>
    <row r="107" spans="1:13" x14ac:dyDescent="0.25">
      <c r="A107" t="s">
        <v>15</v>
      </c>
      <c r="B107" s="4">
        <v>45973</v>
      </c>
      <c r="C107" s="6">
        <v>0.71020833333333333</v>
      </c>
      <c r="D107" s="7" t="s">
        <v>62</v>
      </c>
      <c r="E107" t="s">
        <v>66</v>
      </c>
      <c r="F107" t="s">
        <v>69</v>
      </c>
      <c r="I107" t="s">
        <v>42</v>
      </c>
      <c r="J107" t="s">
        <v>2981</v>
      </c>
      <c r="K107" t="s">
        <v>3135</v>
      </c>
      <c r="L107" t="s">
        <v>3136</v>
      </c>
      <c r="M107" s="3" t="str">
        <f>HYPERLINK(СторонТрансп[[#This Row],[RelativePath]])</f>
        <v>1 Ангар Склад 2 въезд\E33149364_6_20251112T170242Z.jpg</v>
      </c>
    </row>
    <row r="108" spans="1:13" x14ac:dyDescent="0.25">
      <c r="A108" t="s">
        <v>17</v>
      </c>
      <c r="B108" s="4">
        <v>45975</v>
      </c>
      <c r="C108" s="6">
        <v>0.53960648148148149</v>
      </c>
      <c r="D108" s="7" t="s">
        <v>89</v>
      </c>
      <c r="E108" t="s">
        <v>66</v>
      </c>
      <c r="F108" t="s">
        <v>88</v>
      </c>
      <c r="G108">
        <v>1</v>
      </c>
      <c r="I108" t="s">
        <v>75</v>
      </c>
      <c r="J108" t="s">
        <v>2981</v>
      </c>
      <c r="K108" t="s">
        <v>3159</v>
      </c>
      <c r="L108" t="s">
        <v>3160</v>
      </c>
      <c r="M108" s="3" t="str">
        <f>HYPERLINK(СторонТрансп[[#This Row],[RelativePath]])</f>
        <v>1 Ангар Склад 2 въезд\E33149364_6_20251114T125702Z.jpg</v>
      </c>
    </row>
    <row r="109" spans="1:13" x14ac:dyDescent="0.25">
      <c r="A109" t="s">
        <v>17</v>
      </c>
      <c r="B109" s="4">
        <v>45975</v>
      </c>
      <c r="C109" s="6">
        <v>0.54204861111111113</v>
      </c>
      <c r="D109" s="7" t="s">
        <v>62</v>
      </c>
      <c r="E109" t="s">
        <v>66</v>
      </c>
      <c r="F109" t="s">
        <v>51</v>
      </c>
      <c r="I109" t="s">
        <v>77</v>
      </c>
      <c r="J109" t="s">
        <v>2981</v>
      </c>
      <c r="K109" t="s">
        <v>3163</v>
      </c>
      <c r="L109" t="s">
        <v>3164</v>
      </c>
      <c r="M109" s="3" t="str">
        <f>HYPERLINK(СторонТрансп[[#This Row],[RelativePath]])</f>
        <v>1 Ангар Склад 2 въезд\E33149364_6_20251114T130033Z.jpg</v>
      </c>
    </row>
    <row r="110" spans="1:13" x14ac:dyDescent="0.25">
      <c r="A110" t="s">
        <v>17</v>
      </c>
      <c r="B110" s="4">
        <v>45975</v>
      </c>
      <c r="C110" s="6">
        <v>0.55090277777777774</v>
      </c>
      <c r="D110" s="7" t="s">
        <v>89</v>
      </c>
      <c r="E110" t="s">
        <v>66</v>
      </c>
      <c r="F110" t="s">
        <v>88</v>
      </c>
      <c r="G110">
        <v>1</v>
      </c>
      <c r="I110" t="s">
        <v>78</v>
      </c>
      <c r="J110" t="s">
        <v>2981</v>
      </c>
      <c r="K110" t="s">
        <v>3165</v>
      </c>
      <c r="L110" t="s">
        <v>3166</v>
      </c>
      <c r="M110" s="3" t="str">
        <f>HYPERLINK(СторонТрансп[[#This Row],[RelativePath]])</f>
        <v>1 Ангар Склад 2 въезд\E33149364_6_20251114T131318Z.jpg</v>
      </c>
    </row>
    <row r="111" spans="1:13" x14ac:dyDescent="0.25">
      <c r="A111" t="s">
        <v>17</v>
      </c>
      <c r="B111" s="4">
        <v>45975</v>
      </c>
      <c r="C111" s="6">
        <v>0.55299768518518522</v>
      </c>
      <c r="D111" s="7" t="s">
        <v>62</v>
      </c>
      <c r="E111" t="s">
        <v>66</v>
      </c>
      <c r="F111" t="s">
        <v>51</v>
      </c>
      <c r="I111" t="s">
        <v>79</v>
      </c>
      <c r="J111" t="s">
        <v>2981</v>
      </c>
      <c r="K111" t="s">
        <v>3167</v>
      </c>
      <c r="L111" t="s">
        <v>3168</v>
      </c>
      <c r="M111" s="3" t="str">
        <f>HYPERLINK(СторонТрансп[[#This Row],[RelativePath]])</f>
        <v>1 Ангар Склад 2 въезд\E33149364_6_20251114T131619Z.jpg</v>
      </c>
    </row>
    <row r="112" spans="1:13" x14ac:dyDescent="0.25">
      <c r="A112" t="s">
        <v>17</v>
      </c>
      <c r="B112" s="4">
        <v>45975</v>
      </c>
      <c r="C112" s="6">
        <v>0.56123842592592588</v>
      </c>
      <c r="D112" s="7" t="s">
        <v>89</v>
      </c>
      <c r="E112" t="s">
        <v>66</v>
      </c>
      <c r="F112" t="s">
        <v>88</v>
      </c>
      <c r="G112">
        <v>1</v>
      </c>
      <c r="I112" t="s">
        <v>80</v>
      </c>
      <c r="J112" t="s">
        <v>2981</v>
      </c>
      <c r="K112" t="s">
        <v>3169</v>
      </c>
      <c r="L112" t="s">
        <v>3170</v>
      </c>
      <c r="M112" s="3" t="str">
        <f>HYPERLINK(СторонТрансп[[#This Row],[RelativePath]])</f>
        <v>1 Ангар Склад 2 въезд\E33149364_6_20251114T132811Z.jpg</v>
      </c>
    </row>
    <row r="113" spans="1:13" x14ac:dyDescent="0.25">
      <c r="A113" t="s">
        <v>17</v>
      </c>
      <c r="B113" s="4">
        <v>45975</v>
      </c>
      <c r="C113" s="6">
        <v>0.56293981481481481</v>
      </c>
      <c r="D113" s="7" t="s">
        <v>62</v>
      </c>
      <c r="E113" t="s">
        <v>66</v>
      </c>
      <c r="F113" t="s">
        <v>51</v>
      </c>
      <c r="I113" t="s">
        <v>81</v>
      </c>
      <c r="J113" t="s">
        <v>2981</v>
      </c>
      <c r="K113" t="s">
        <v>3171</v>
      </c>
      <c r="L113" t="s">
        <v>3172</v>
      </c>
      <c r="M113" s="3" t="str">
        <f>HYPERLINK(СторонТрансп[[#This Row],[RelativePath]])</f>
        <v>1 Ангар Склад 2 въезд\E33149364_6_20251114T133038Z.jpg</v>
      </c>
    </row>
    <row r="114" spans="1:13" x14ac:dyDescent="0.25">
      <c r="A114" t="s">
        <v>17</v>
      </c>
      <c r="B114" s="4">
        <v>45975</v>
      </c>
      <c r="C114" s="6">
        <v>0.57114583333333335</v>
      </c>
      <c r="D114" s="7" t="s">
        <v>89</v>
      </c>
      <c r="E114" t="s">
        <v>66</v>
      </c>
      <c r="F114" t="s">
        <v>88</v>
      </c>
      <c r="G114">
        <v>1</v>
      </c>
      <c r="I114" t="s">
        <v>82</v>
      </c>
      <c r="J114" t="s">
        <v>2981</v>
      </c>
      <c r="K114" t="s">
        <v>3173</v>
      </c>
      <c r="L114" t="s">
        <v>3174</v>
      </c>
      <c r="M114" s="3" t="str">
        <f>HYPERLINK(СторонТрансп[[#This Row],[RelativePath]])</f>
        <v>1 Ангар Склад 2 въезд\E33149364_6_20251114T134227Z.jpg</v>
      </c>
    </row>
    <row r="115" spans="1:13" x14ac:dyDescent="0.25">
      <c r="A115" t="s">
        <v>17</v>
      </c>
      <c r="B115" s="4">
        <v>45975</v>
      </c>
      <c r="C115" s="6">
        <v>0.57406250000000003</v>
      </c>
      <c r="D115" s="7" t="s">
        <v>62</v>
      </c>
      <c r="E115" t="s">
        <v>66</v>
      </c>
      <c r="F115" t="s">
        <v>51</v>
      </c>
      <c r="I115" t="s">
        <v>83</v>
      </c>
      <c r="J115" t="s">
        <v>2981</v>
      </c>
      <c r="K115" t="s">
        <v>3175</v>
      </c>
      <c r="L115" t="s">
        <v>3176</v>
      </c>
      <c r="M115" s="3" t="str">
        <f>HYPERLINK(СторонТрансп[[#This Row],[RelativePath]])</f>
        <v>1 Ангар Склад 2 въезд\E33149364_6_20251114T134639Z.jpg</v>
      </c>
    </row>
    <row r="116" spans="1:13" x14ac:dyDescent="0.25">
      <c r="A116" t="s">
        <v>18</v>
      </c>
      <c r="B116" s="4">
        <v>45976</v>
      </c>
      <c r="C116" s="6">
        <v>0.46813657407407405</v>
      </c>
      <c r="D116" s="7" t="s">
        <v>91</v>
      </c>
      <c r="E116" t="s">
        <v>2001</v>
      </c>
      <c r="I116" t="s">
        <v>1110</v>
      </c>
      <c r="J116" t="s">
        <v>2981</v>
      </c>
      <c r="K116" t="s">
        <v>3183</v>
      </c>
      <c r="L116" t="s">
        <v>3184</v>
      </c>
      <c r="M116" s="3" t="str">
        <f>HYPERLINK(СторонТрансп[[#This Row],[RelativePath]])</f>
        <v>1 Ангар Склад 2 въезд\E33149364_6_20251115T111407Z.jpg</v>
      </c>
    </row>
    <row r="117" spans="1:13" x14ac:dyDescent="0.25">
      <c r="A117" t="s">
        <v>18</v>
      </c>
      <c r="B117" s="4">
        <v>45976</v>
      </c>
      <c r="C117" s="6">
        <v>0.49760416666666668</v>
      </c>
      <c r="D117" s="7" t="s">
        <v>62</v>
      </c>
      <c r="E117" t="s">
        <v>2001</v>
      </c>
      <c r="I117" t="s">
        <v>1111</v>
      </c>
      <c r="J117" t="s">
        <v>2981</v>
      </c>
      <c r="K117" t="s">
        <v>3185</v>
      </c>
      <c r="L117" t="s">
        <v>3186</v>
      </c>
      <c r="M117" s="3" t="str">
        <f>HYPERLINK(СторонТрансп[[#This Row],[RelativePath]])</f>
        <v>1 Ангар Склад 2 въезд\E33149364_6_20251115T115633Z.jpg</v>
      </c>
    </row>
    <row r="118" spans="1:13" x14ac:dyDescent="0.25">
      <c r="A118" t="s">
        <v>15</v>
      </c>
      <c r="B118" s="4">
        <v>45987</v>
      </c>
      <c r="C118" s="6">
        <v>0.43335648148148148</v>
      </c>
      <c r="D118" s="7" t="s">
        <v>4190</v>
      </c>
      <c r="E118" t="s">
        <v>4192</v>
      </c>
      <c r="F118" t="s">
        <v>51</v>
      </c>
      <c r="I118" t="s">
        <v>3225</v>
      </c>
      <c r="J118" t="s">
        <v>2981</v>
      </c>
      <c r="K118" t="s">
        <v>3226</v>
      </c>
      <c r="L118" t="s">
        <v>3227</v>
      </c>
      <c r="M118" s="3" t="str">
        <f>HYPERLINK(СторонТрансп[[#This Row],[RelativePath]])</f>
        <v>1 Ангар Склад 2 въезд\E33149364_6_20251126T102402Z.jpg</v>
      </c>
    </row>
    <row r="119" spans="1:13" x14ac:dyDescent="0.25">
      <c r="A119" t="s">
        <v>15</v>
      </c>
      <c r="B119" s="4">
        <v>45987</v>
      </c>
      <c r="C119" s="6">
        <v>0.45240740740740742</v>
      </c>
      <c r="D119" s="7" t="s">
        <v>85</v>
      </c>
      <c r="E119" t="s">
        <v>4192</v>
      </c>
      <c r="F119" t="s">
        <v>58</v>
      </c>
      <c r="I119" t="s">
        <v>3228</v>
      </c>
      <c r="J119" t="s">
        <v>2981</v>
      </c>
      <c r="K119" t="s">
        <v>3229</v>
      </c>
      <c r="L119" t="s">
        <v>3230</v>
      </c>
      <c r="M119" s="3" t="str">
        <f>HYPERLINK(СторонТрансп[[#This Row],[RelativePath]])</f>
        <v>1 Ангар Склад 2 въезд\E33149364_6_20251126T105128Z.jpg</v>
      </c>
    </row>
    <row r="120" spans="1:13" x14ac:dyDescent="0.25">
      <c r="A120" t="s">
        <v>15</v>
      </c>
      <c r="B120" s="4">
        <v>45987</v>
      </c>
      <c r="C120" s="6">
        <v>0.45245370370370369</v>
      </c>
      <c r="D120" s="7" t="s">
        <v>91</v>
      </c>
      <c r="E120" t="s">
        <v>4192</v>
      </c>
      <c r="F120" t="s">
        <v>58</v>
      </c>
      <c r="I120" t="s">
        <v>3231</v>
      </c>
      <c r="J120" t="s">
        <v>2981</v>
      </c>
      <c r="K120" t="s">
        <v>3232</v>
      </c>
      <c r="L120" t="s">
        <v>3233</v>
      </c>
      <c r="M120" s="3" t="str">
        <f>HYPERLINK(СторонТрансп[[#This Row],[RelativePath]])</f>
        <v>1 Ангар Склад 2 въезд\E33149364_6_20251126T105132Z.jpg</v>
      </c>
    </row>
    <row r="121" spans="1:13" x14ac:dyDescent="0.25">
      <c r="A121" t="s">
        <v>15</v>
      </c>
      <c r="B121" s="4">
        <v>45987</v>
      </c>
      <c r="C121" s="6">
        <v>0.45469907407407406</v>
      </c>
      <c r="D121" s="7" t="s">
        <v>62</v>
      </c>
      <c r="E121" t="s">
        <v>4192</v>
      </c>
      <c r="F121" t="s">
        <v>58</v>
      </c>
      <c r="I121" t="s">
        <v>3234</v>
      </c>
      <c r="J121" t="s">
        <v>2981</v>
      </c>
      <c r="K121" t="s">
        <v>3235</v>
      </c>
      <c r="L121" t="s">
        <v>3236</v>
      </c>
      <c r="M121" s="3" t="str">
        <f>HYPERLINK(СторонТрансп[[#This Row],[RelativePath]])</f>
        <v>1 Ангар Склад 2 въезд\E33149364_6_20251126T105446Z.jpg</v>
      </c>
    </row>
    <row r="122" spans="1:13" x14ac:dyDescent="0.25">
      <c r="A122" t="s">
        <v>17</v>
      </c>
      <c r="B122" s="4">
        <v>45989</v>
      </c>
      <c r="C122" s="6">
        <v>0.45510416666666664</v>
      </c>
      <c r="D122" s="7" t="s">
        <v>64</v>
      </c>
      <c r="E122" t="s">
        <v>4193</v>
      </c>
      <c r="I122" t="s">
        <v>3243</v>
      </c>
      <c r="J122" t="s">
        <v>2981</v>
      </c>
      <c r="K122" t="s">
        <v>3244</v>
      </c>
      <c r="L122" t="s">
        <v>3245</v>
      </c>
      <c r="M122" s="3" t="str">
        <f>HYPERLINK(СторонТрансп[[#This Row],[RelativePath]])</f>
        <v>1 Ангар Склад 2 въезд\E33149364_6_20251128T105521Z.jpg</v>
      </c>
    </row>
    <row r="123" spans="1:13" x14ac:dyDescent="0.25">
      <c r="A123" t="s">
        <v>17</v>
      </c>
      <c r="B123" s="4">
        <v>45989</v>
      </c>
      <c r="C123" s="6">
        <v>0.50700231481481484</v>
      </c>
      <c r="D123" s="7" t="s">
        <v>85</v>
      </c>
      <c r="E123" t="s">
        <v>4193</v>
      </c>
      <c r="I123" t="s">
        <v>3246</v>
      </c>
      <c r="J123" t="s">
        <v>2981</v>
      </c>
      <c r="K123" t="s">
        <v>3247</v>
      </c>
      <c r="L123" t="s">
        <v>3248</v>
      </c>
      <c r="M123" s="3" t="str">
        <f>HYPERLINK(СторонТрансп[[#This Row],[RelativePath]])</f>
        <v>1 Ангар Склад 2 въезд\E33149364_6_20251128T121005Z.jpg</v>
      </c>
    </row>
    <row r="124" spans="1:13" x14ac:dyDescent="0.25">
      <c r="A124" t="s">
        <v>18</v>
      </c>
      <c r="B124" s="4">
        <v>45990</v>
      </c>
      <c r="C124" s="6">
        <v>0.53762731481481485</v>
      </c>
      <c r="D124" s="7" t="s">
        <v>91</v>
      </c>
      <c r="E124" t="s">
        <v>4194</v>
      </c>
      <c r="F124" t="s">
        <v>51</v>
      </c>
      <c r="I124" t="s">
        <v>3249</v>
      </c>
      <c r="J124" t="s">
        <v>2981</v>
      </c>
      <c r="K124" t="s">
        <v>3250</v>
      </c>
      <c r="L124" t="s">
        <v>3251</v>
      </c>
      <c r="M124" s="3" t="str">
        <f>HYPERLINK(СторонТрансп[[#This Row],[RelativePath]])</f>
        <v>1 Ангар Склад 2 въезд\E33149364_6_20251129T125411Z.jpg</v>
      </c>
    </row>
    <row r="125" spans="1:13" x14ac:dyDescent="0.25">
      <c r="A125" t="s">
        <v>18</v>
      </c>
      <c r="B125" s="4">
        <v>45990</v>
      </c>
      <c r="C125" s="6">
        <v>0.64861111111111114</v>
      </c>
      <c r="D125" s="7" t="s">
        <v>91</v>
      </c>
      <c r="E125" t="s">
        <v>4195</v>
      </c>
      <c r="F125" t="s">
        <v>51</v>
      </c>
      <c r="I125" t="s">
        <v>3252</v>
      </c>
      <c r="J125" t="s">
        <v>2981</v>
      </c>
      <c r="K125" t="s">
        <v>3253</v>
      </c>
      <c r="L125" t="s">
        <v>3254</v>
      </c>
      <c r="M125" s="3" t="str">
        <f>HYPERLINK(СторонТрансп[[#This Row],[RelativePath]])</f>
        <v>1 Ангар Склад 2 въезд\E33149364_6_20251129T153400Z.jpg</v>
      </c>
    </row>
    <row r="126" spans="1:13" x14ac:dyDescent="0.25">
      <c r="A126" t="s">
        <v>18</v>
      </c>
      <c r="B126" s="4">
        <v>45990</v>
      </c>
      <c r="C126" s="6">
        <v>0.70343750000000005</v>
      </c>
      <c r="D126" s="7" t="s">
        <v>91</v>
      </c>
      <c r="E126" t="s">
        <v>4194</v>
      </c>
      <c r="F126" t="s">
        <v>4196</v>
      </c>
      <c r="H126" t="s">
        <v>4197</v>
      </c>
      <c r="I126" t="s">
        <v>3255</v>
      </c>
      <c r="J126" t="s">
        <v>2981</v>
      </c>
      <c r="K126" t="s">
        <v>3256</v>
      </c>
      <c r="L126" t="s">
        <v>3257</v>
      </c>
      <c r="M126" s="3" t="str">
        <f>HYPERLINK(СторонТрансп[[#This Row],[RelativePath]])</f>
        <v>1 Ангар Склад 2 въезд\E33149364_6_20251129T165257Z.jpg</v>
      </c>
    </row>
    <row r="127" spans="1:13" x14ac:dyDescent="0.25">
      <c r="A127" t="s">
        <v>18</v>
      </c>
      <c r="B127" s="4">
        <v>45990</v>
      </c>
      <c r="C127" s="6">
        <v>0.73475694444444439</v>
      </c>
      <c r="D127" s="7" t="s">
        <v>62</v>
      </c>
      <c r="E127" t="s">
        <v>4194</v>
      </c>
      <c r="F127" t="s">
        <v>4196</v>
      </c>
      <c r="I127" t="s">
        <v>3258</v>
      </c>
      <c r="J127" t="s">
        <v>2981</v>
      </c>
      <c r="K127" t="s">
        <v>3259</v>
      </c>
      <c r="L127" t="s">
        <v>3260</v>
      </c>
      <c r="M127" s="3" t="str">
        <f>HYPERLINK(СторонТрансп[[#This Row],[RelativePath]])</f>
        <v>1 Ангар Склад 2 въезд\E33149364_6_20251129T173803Z.jpg</v>
      </c>
    </row>
    <row r="128" spans="1:13" x14ac:dyDescent="0.25">
      <c r="A128" t="s">
        <v>13</v>
      </c>
      <c r="B128" s="4">
        <v>45992</v>
      </c>
      <c r="C128" s="6">
        <v>0.86784722222222221</v>
      </c>
      <c r="D128" s="7" t="s">
        <v>91</v>
      </c>
      <c r="E128" t="s">
        <v>4194</v>
      </c>
      <c r="F128" t="s">
        <v>1609</v>
      </c>
      <c r="H128" t="s">
        <v>5074</v>
      </c>
      <c r="I128" t="s">
        <v>4402</v>
      </c>
      <c r="J128" t="s">
        <v>2981</v>
      </c>
      <c r="K128" t="s">
        <v>4403</v>
      </c>
      <c r="L128" t="s">
        <v>4404</v>
      </c>
      <c r="M128" s="3" t="str">
        <f>HYPERLINK(СторонТрансп[[#This Row],[RelativePath]])</f>
        <v>1 Ангар Склад 2 въезд\E33149364_6_20251201T204942Z.jpg</v>
      </c>
    </row>
    <row r="129" spans="1:13" x14ac:dyDescent="0.25">
      <c r="A129" t="s">
        <v>13</v>
      </c>
      <c r="B129" s="4">
        <v>45992</v>
      </c>
      <c r="C129" s="6">
        <v>0.87302083333333336</v>
      </c>
      <c r="D129" s="7" t="s">
        <v>62</v>
      </c>
      <c r="E129" t="s">
        <v>4194</v>
      </c>
      <c r="F129" t="s">
        <v>51</v>
      </c>
      <c r="H129" t="s">
        <v>5075</v>
      </c>
      <c r="I129" t="s">
        <v>4405</v>
      </c>
      <c r="J129" t="s">
        <v>2981</v>
      </c>
      <c r="K129" t="s">
        <v>4406</v>
      </c>
      <c r="L129" t="s">
        <v>4407</v>
      </c>
      <c r="M129" s="3" t="str">
        <f>HYPERLINK(СторонТрансп[[#This Row],[RelativePath]])</f>
        <v>1 Ангар Склад 2 въезд\E33149364_6_20251201T205709Z.jpg</v>
      </c>
    </row>
    <row r="130" spans="1:13" x14ac:dyDescent="0.25">
      <c r="A130" t="s">
        <v>22</v>
      </c>
      <c r="B130" s="4">
        <v>45998</v>
      </c>
      <c r="C130" s="6">
        <v>0.57973379629629629</v>
      </c>
      <c r="D130" s="7" t="s">
        <v>91</v>
      </c>
      <c r="E130" t="s">
        <v>5259</v>
      </c>
      <c r="F130" t="s">
        <v>51</v>
      </c>
      <c r="I130" t="s">
        <v>5144</v>
      </c>
      <c r="J130" t="s">
        <v>2981</v>
      </c>
      <c r="K130" t="s">
        <v>5300</v>
      </c>
      <c r="L130" t="s">
        <v>5145</v>
      </c>
      <c r="M130" s="3" t="str">
        <f>HYPERLINK(СторонТрансп[[#This Row],[RelativePath]])</f>
        <v>1 Ангар Склад 2 въезд\E33149364_6_20251207T135449Z.jpg</v>
      </c>
    </row>
    <row r="131" spans="1:13" x14ac:dyDescent="0.25">
      <c r="A131" t="s">
        <v>22</v>
      </c>
      <c r="B131" s="4">
        <v>45998</v>
      </c>
      <c r="C131" s="6">
        <v>0.67327546296296292</v>
      </c>
      <c r="D131" s="7" t="s">
        <v>62</v>
      </c>
      <c r="E131" t="s">
        <v>5259</v>
      </c>
      <c r="F131" t="s">
        <v>5260</v>
      </c>
      <c r="H131" t="s">
        <v>5261</v>
      </c>
      <c r="I131" t="s">
        <v>5146</v>
      </c>
      <c r="J131" t="s">
        <v>2981</v>
      </c>
      <c r="K131" t="s">
        <v>5301</v>
      </c>
      <c r="L131" t="s">
        <v>5147</v>
      </c>
      <c r="M131" s="3" t="str">
        <f>HYPERLINK(СторонТрансп[[#This Row],[RelativePath]])</f>
        <v>1 Ангар Склад 2 въезд\E33149364_6_20251207T160931Z.jpg</v>
      </c>
    </row>
    <row r="132" spans="1:13" x14ac:dyDescent="0.25">
      <c r="A132" t="s">
        <v>13</v>
      </c>
      <c r="B132" s="4">
        <v>45999</v>
      </c>
      <c r="C132" s="6">
        <v>0.59879629629629627</v>
      </c>
      <c r="D132" s="7" t="s">
        <v>64</v>
      </c>
      <c r="E132" t="s">
        <v>4193</v>
      </c>
      <c r="F132" t="s">
        <v>5076</v>
      </c>
      <c r="I132" t="s">
        <v>5272</v>
      </c>
      <c r="J132" t="s">
        <v>2981</v>
      </c>
      <c r="K132" t="s">
        <v>5302</v>
      </c>
      <c r="L132" t="s">
        <v>5273</v>
      </c>
      <c r="M132" s="3" t="str">
        <f>HYPERLINK(СторонТрансп[[#This Row],[RelativePath]])</f>
        <v>1 Ангар Склад 2 въезд\E33149364_6_20251208T142216Z.jpg</v>
      </c>
    </row>
    <row r="133" spans="1:13" x14ac:dyDescent="0.25">
      <c r="A133" t="s">
        <v>13</v>
      </c>
      <c r="B133" s="4">
        <v>45999</v>
      </c>
      <c r="C133" s="6">
        <v>0.66584490740740743</v>
      </c>
      <c r="D133" s="7" t="s">
        <v>85</v>
      </c>
      <c r="E133" t="s">
        <v>4193</v>
      </c>
      <c r="F133" t="s">
        <v>5076</v>
      </c>
      <c r="I133" t="s">
        <v>5274</v>
      </c>
      <c r="J133" t="s">
        <v>2981</v>
      </c>
      <c r="K133" t="s">
        <v>5303</v>
      </c>
      <c r="L133" t="s">
        <v>5275</v>
      </c>
      <c r="M133" s="3" t="str">
        <f>HYPERLINK(СторонТрансп[[#This Row],[RelativePath]])</f>
        <v>1 Ангар Склад 2 въезд\E33149364_6_20251208T155849Z.jpg</v>
      </c>
    </row>
    <row r="134" spans="1:13" x14ac:dyDescent="0.25">
      <c r="A134" t="s">
        <v>14</v>
      </c>
      <c r="B134" s="4">
        <v>46000</v>
      </c>
      <c r="C134" s="6">
        <v>0.42645833333333333</v>
      </c>
      <c r="D134" s="7" t="s">
        <v>64</v>
      </c>
      <c r="E134" t="s">
        <v>4193</v>
      </c>
      <c r="F134" t="s">
        <v>5076</v>
      </c>
      <c r="I134" t="s">
        <v>5481</v>
      </c>
      <c r="J134" t="s">
        <v>2981</v>
      </c>
      <c r="K134" t="s">
        <v>5482</v>
      </c>
      <c r="L134" t="s">
        <v>5483</v>
      </c>
      <c r="M134" s="3" t="str">
        <f>HYPERLINK(СторонТрансп[[#This Row],[RelativePath]])</f>
        <v>1 Ангар Склад 2 въезд\E33149364_6_20251209T101406Z.jpg</v>
      </c>
    </row>
    <row r="135" spans="1:13" x14ac:dyDescent="0.25">
      <c r="A135" t="s">
        <v>14</v>
      </c>
      <c r="B135" s="4">
        <v>46000</v>
      </c>
      <c r="C135" s="6">
        <v>0.47930555555555554</v>
      </c>
      <c r="D135" s="7" t="s">
        <v>85</v>
      </c>
      <c r="E135" t="s">
        <v>4193</v>
      </c>
      <c r="F135" t="s">
        <v>5076</v>
      </c>
      <c r="I135" t="s">
        <v>5484</v>
      </c>
      <c r="J135" t="s">
        <v>2981</v>
      </c>
      <c r="K135" t="s">
        <v>5485</v>
      </c>
      <c r="L135" t="s">
        <v>5486</v>
      </c>
      <c r="M135" s="3" t="str">
        <f>HYPERLINK(СторонТрансп[[#This Row],[RelativePath]])</f>
        <v>1 Ангар Склад 2 въезд\E33149364_6_20251209T113012Z.jpg</v>
      </c>
    </row>
    <row r="136" spans="1:13" x14ac:dyDescent="0.25">
      <c r="A136" t="s">
        <v>14</v>
      </c>
      <c r="B136" s="4">
        <v>46000</v>
      </c>
      <c r="C136" s="6">
        <v>0.510625</v>
      </c>
      <c r="D136" s="7" t="s">
        <v>91</v>
      </c>
      <c r="E136" t="s">
        <v>5505</v>
      </c>
      <c r="F136" t="s">
        <v>51</v>
      </c>
      <c r="I136" t="s">
        <v>5487</v>
      </c>
      <c r="J136" t="s">
        <v>2981</v>
      </c>
      <c r="K136" t="s">
        <v>5488</v>
      </c>
      <c r="L136" t="s">
        <v>5489</v>
      </c>
      <c r="M136" s="3" t="str">
        <f>HYPERLINK(СторонТрансп[[#This Row],[RelativePath]])</f>
        <v>1 Ангар Склад 2 въезд\E33149364_6_20251209T121518Z.jpg</v>
      </c>
    </row>
    <row r="137" spans="1:13" x14ac:dyDescent="0.25">
      <c r="A137" t="s">
        <v>14</v>
      </c>
      <c r="B137" s="4">
        <v>46000</v>
      </c>
      <c r="C137" s="6">
        <v>0.51658564814814811</v>
      </c>
      <c r="D137" s="7" t="s">
        <v>3019</v>
      </c>
      <c r="E137" t="s">
        <v>5505</v>
      </c>
      <c r="F137" t="s">
        <v>51</v>
      </c>
      <c r="I137" t="s">
        <v>5490</v>
      </c>
      <c r="J137" t="s">
        <v>2981</v>
      </c>
      <c r="K137" t="s">
        <v>5491</v>
      </c>
      <c r="L137" t="s">
        <v>5492</v>
      </c>
      <c r="M137" s="3" t="str">
        <f>HYPERLINK(СторонТрансп[[#This Row],[RelativePath]])</f>
        <v>1 Ангар Склад 2 въезд\E33149364_6_20251209T122353Z.jpg</v>
      </c>
    </row>
    <row r="138" spans="1:13" x14ac:dyDescent="0.25">
      <c r="A138" t="s">
        <v>14</v>
      </c>
      <c r="B138" s="4">
        <v>46000</v>
      </c>
      <c r="C138" s="6">
        <v>0.6348611111111111</v>
      </c>
      <c r="D138" s="7" t="s">
        <v>64</v>
      </c>
      <c r="E138" t="s">
        <v>4193</v>
      </c>
      <c r="F138" t="s">
        <v>5076</v>
      </c>
      <c r="I138" t="s">
        <v>5493</v>
      </c>
      <c r="J138" t="s">
        <v>2981</v>
      </c>
      <c r="K138" t="s">
        <v>5494</v>
      </c>
      <c r="L138" t="s">
        <v>5495</v>
      </c>
      <c r="M138" s="3" t="str">
        <f>HYPERLINK(СторонТрансп[[#This Row],[RelativePath]])</f>
        <v>1 Ангар Склад 2 въезд\E33149364_6_20251209T151412Z.jpg</v>
      </c>
    </row>
    <row r="139" spans="1:13" x14ac:dyDescent="0.25">
      <c r="A139" t="s">
        <v>14</v>
      </c>
      <c r="B139" s="4">
        <v>46000</v>
      </c>
      <c r="C139" s="6">
        <v>0.69473379629629628</v>
      </c>
      <c r="D139" s="7" t="s">
        <v>85</v>
      </c>
      <c r="E139" t="s">
        <v>4193</v>
      </c>
      <c r="F139" t="s">
        <v>5076</v>
      </c>
      <c r="I139" t="s">
        <v>5496</v>
      </c>
      <c r="J139" t="s">
        <v>2981</v>
      </c>
      <c r="K139" t="s">
        <v>5497</v>
      </c>
      <c r="L139" t="s">
        <v>5498</v>
      </c>
      <c r="M139" s="3" t="str">
        <f>HYPERLINK(СторонТрансп[[#This Row],[RelativePath]])</f>
        <v>1 Ангар Склад 2 въезд\E33149364_6_20251209T164025Z.jpg</v>
      </c>
    </row>
    <row r="140" spans="1:13" x14ac:dyDescent="0.25">
      <c r="A140" t="s">
        <v>15</v>
      </c>
      <c r="B140" s="4">
        <v>46001</v>
      </c>
      <c r="C140" s="6">
        <v>0.53234953703703702</v>
      </c>
      <c r="D140" s="7" t="s">
        <v>64</v>
      </c>
      <c r="E140" t="s">
        <v>4193</v>
      </c>
      <c r="F140" t="s">
        <v>5076</v>
      </c>
      <c r="I140" t="s">
        <v>5499</v>
      </c>
      <c r="J140" t="s">
        <v>2981</v>
      </c>
      <c r="K140" t="s">
        <v>5500</v>
      </c>
      <c r="L140" t="s">
        <v>5501</v>
      </c>
      <c r="M140" s="3" t="str">
        <f>HYPERLINK(СторонТрансп[[#This Row],[RelativePath]])</f>
        <v>1 Ангар Склад 2 въезд\E33149364_6_20251210T124635Z.jpg</v>
      </c>
    </row>
    <row r="141" spans="1:13" x14ac:dyDescent="0.25">
      <c r="A141" t="s">
        <v>15</v>
      </c>
      <c r="B141" s="4">
        <v>46001</v>
      </c>
      <c r="C141" s="6">
        <v>0.63895833333333329</v>
      </c>
      <c r="D141" s="7" t="s">
        <v>85</v>
      </c>
      <c r="E141" t="s">
        <v>4193</v>
      </c>
      <c r="F141" t="s">
        <v>5076</v>
      </c>
      <c r="I141" t="s">
        <v>5502</v>
      </c>
      <c r="J141" t="s">
        <v>2981</v>
      </c>
      <c r="K141" t="s">
        <v>5503</v>
      </c>
      <c r="L141" t="s">
        <v>5504</v>
      </c>
      <c r="M141" s="3" t="str">
        <f>HYPERLINK(СторонТрансп[[#This Row],[RelativePath]])</f>
        <v>1 Ангар Склад 2 въезд\E33149364_6_20251210T152006Z.jpg</v>
      </c>
    </row>
    <row r="142" spans="1:13" x14ac:dyDescent="0.25">
      <c r="A142" t="s">
        <v>18</v>
      </c>
      <c r="B142" s="4">
        <v>46004</v>
      </c>
      <c r="C142" s="6">
        <v>0.41039351851851852</v>
      </c>
      <c r="D142" s="7" t="s">
        <v>62</v>
      </c>
      <c r="E142" t="s">
        <v>6167</v>
      </c>
      <c r="F142" t="s">
        <v>58</v>
      </c>
      <c r="H142" t="s">
        <v>6164</v>
      </c>
      <c r="I142" t="s">
        <v>6023</v>
      </c>
      <c r="J142" t="s">
        <v>2981</v>
      </c>
      <c r="K142" t="s">
        <v>6024</v>
      </c>
      <c r="L142" t="s">
        <v>6025</v>
      </c>
      <c r="M142" s="3" t="str">
        <f>HYPERLINK(СторонТрансп[[#This Row],[RelativePath]])</f>
        <v>1 Ангар Склад 2 въезд\E33149364_6_20251213T095058Z.jpg</v>
      </c>
    </row>
    <row r="143" spans="1:13" x14ac:dyDescent="0.25">
      <c r="A143" t="s">
        <v>18</v>
      </c>
      <c r="B143" s="4">
        <v>46004</v>
      </c>
      <c r="C143" s="6">
        <v>0.52951388888888884</v>
      </c>
      <c r="D143" s="7" t="s">
        <v>91</v>
      </c>
      <c r="E143" t="s">
        <v>6166</v>
      </c>
      <c r="F143" t="s">
        <v>51</v>
      </c>
      <c r="I143" t="s">
        <v>6026</v>
      </c>
      <c r="J143" t="s">
        <v>2981</v>
      </c>
      <c r="K143" t="s">
        <v>6027</v>
      </c>
      <c r="L143" t="s">
        <v>6028</v>
      </c>
      <c r="M143" s="3" t="str">
        <f>HYPERLINK(СторонТрансп[[#This Row],[RelativePath]])</f>
        <v>1 Ангар Склад 2 въезд\E33149364_6_20251213T124230Z.jpg</v>
      </c>
    </row>
    <row r="144" spans="1:13" x14ac:dyDescent="0.25">
      <c r="A144" t="s">
        <v>18</v>
      </c>
      <c r="B144" s="4">
        <v>46004</v>
      </c>
      <c r="C144" s="6">
        <v>0.52979166666666666</v>
      </c>
      <c r="D144" s="7" t="s">
        <v>91</v>
      </c>
      <c r="E144" t="s">
        <v>6165</v>
      </c>
      <c r="F144" t="s">
        <v>51</v>
      </c>
      <c r="I144" t="s">
        <v>6029</v>
      </c>
      <c r="J144" t="s">
        <v>2981</v>
      </c>
      <c r="K144" t="s">
        <v>6030</v>
      </c>
      <c r="L144" t="s">
        <v>6031</v>
      </c>
      <c r="M144" s="3" t="str">
        <f>HYPERLINK(СторонТрансп[[#This Row],[RelativePath]])</f>
        <v>1 Ангар Склад 2 въезд\E33149364_6_20251213T124254Z.jpg</v>
      </c>
    </row>
    <row r="145" spans="1:13" x14ac:dyDescent="0.25">
      <c r="A145" t="s">
        <v>18</v>
      </c>
      <c r="B145" s="4">
        <v>46004</v>
      </c>
      <c r="C145" s="6">
        <v>0.53692129629629626</v>
      </c>
      <c r="D145" s="7" t="s">
        <v>62</v>
      </c>
      <c r="E145" t="s">
        <v>6166</v>
      </c>
      <c r="F145" t="s">
        <v>51</v>
      </c>
      <c r="I145" t="s">
        <v>6032</v>
      </c>
      <c r="J145" t="s">
        <v>2981</v>
      </c>
      <c r="K145" t="s">
        <v>6033</v>
      </c>
      <c r="L145" t="s">
        <v>6034</v>
      </c>
      <c r="M145" s="3" t="str">
        <f>HYPERLINK(СторонТрансп[[#This Row],[RelativePath]])</f>
        <v>1 Ангар Склад 2 въезд\E33149364_6_20251213T125310Z.jpg</v>
      </c>
    </row>
    <row r="146" spans="1:13" x14ac:dyDescent="0.25">
      <c r="A146" t="s">
        <v>18</v>
      </c>
      <c r="B146" s="4">
        <v>46004</v>
      </c>
      <c r="C146" s="6">
        <v>0.53726851851851853</v>
      </c>
      <c r="D146" s="7" t="s">
        <v>3019</v>
      </c>
      <c r="E146" t="s">
        <v>6165</v>
      </c>
      <c r="F146" t="s">
        <v>51</v>
      </c>
      <c r="I146" t="s">
        <v>6035</v>
      </c>
      <c r="J146" t="s">
        <v>2981</v>
      </c>
      <c r="K146" t="s">
        <v>6036</v>
      </c>
      <c r="L146" t="s">
        <v>6037</v>
      </c>
      <c r="M146" s="3" t="str">
        <f>HYPERLINK(СторонТрансп[[#This Row],[RelativePath]])</f>
        <v>1 Ангар Склад 2 въезд\E33149364_6_20251213T125340Z.jpg</v>
      </c>
    </row>
    <row r="147" spans="1:13" x14ac:dyDescent="0.25">
      <c r="A147" t="s">
        <v>18</v>
      </c>
      <c r="B147" s="4">
        <v>46004</v>
      </c>
      <c r="C147" s="6">
        <v>0.53954861111111108</v>
      </c>
      <c r="D147" s="7" t="s">
        <v>91</v>
      </c>
      <c r="E147" t="s">
        <v>6167</v>
      </c>
      <c r="F147" t="s">
        <v>58</v>
      </c>
      <c r="I147" t="s">
        <v>6038</v>
      </c>
      <c r="J147" t="s">
        <v>2981</v>
      </c>
      <c r="K147" t="s">
        <v>6039</v>
      </c>
      <c r="L147" t="s">
        <v>6040</v>
      </c>
      <c r="M147" s="3" t="str">
        <f>HYPERLINK(СторонТрансп[[#This Row],[RelativePath]])</f>
        <v>1 Ангар Склад 2 въезд\E33149364_6_20251213T125657Z.jpg</v>
      </c>
    </row>
    <row r="148" spans="1:13" x14ac:dyDescent="0.25">
      <c r="A148" t="s">
        <v>18</v>
      </c>
      <c r="B148" s="4">
        <v>46004</v>
      </c>
      <c r="C148" s="6">
        <v>0.56135416666666671</v>
      </c>
      <c r="D148" s="7" t="s">
        <v>62</v>
      </c>
      <c r="E148" t="s">
        <v>6167</v>
      </c>
      <c r="F148" t="s">
        <v>6168</v>
      </c>
      <c r="H148" t="s">
        <v>6169</v>
      </c>
      <c r="I148" t="s">
        <v>6041</v>
      </c>
      <c r="J148" t="s">
        <v>2981</v>
      </c>
      <c r="K148" t="s">
        <v>6042</v>
      </c>
      <c r="L148" t="s">
        <v>6043</v>
      </c>
      <c r="M148" s="3" t="str">
        <f>HYPERLINK(СторонТрансп[[#This Row],[RelativePath]])</f>
        <v>1 Ангар Склад 2 въезд\E33149364_6_20251213T132821Z.jpg</v>
      </c>
    </row>
    <row r="149" spans="1:13" x14ac:dyDescent="0.25">
      <c r="A149" t="s">
        <v>13</v>
      </c>
      <c r="B149" s="4">
        <v>46006</v>
      </c>
      <c r="C149" s="6">
        <v>0.43730324074074073</v>
      </c>
      <c r="D149" s="7" t="s">
        <v>64</v>
      </c>
      <c r="E149" t="s">
        <v>4193</v>
      </c>
      <c r="F149" t="s">
        <v>5076</v>
      </c>
      <c r="I149" t="s">
        <v>6263</v>
      </c>
      <c r="J149" t="s">
        <v>2981</v>
      </c>
      <c r="K149" t="s">
        <v>6264</v>
      </c>
      <c r="L149" t="s">
        <v>6265</v>
      </c>
      <c r="M149" s="3" t="str">
        <f>HYPERLINK(СторонТрансп[[#This Row],[RelativePath]])</f>
        <v>1 Ангар Склад 2 въезд\E33149364_6_20251215T102943Z.jpg</v>
      </c>
    </row>
    <row r="150" spans="1:13" x14ac:dyDescent="0.25">
      <c r="A150" t="s">
        <v>13</v>
      </c>
      <c r="B150" s="4">
        <v>46006</v>
      </c>
      <c r="C150" s="6">
        <v>0.54327546296296292</v>
      </c>
      <c r="D150" s="7" t="s">
        <v>85</v>
      </c>
      <c r="E150" t="s">
        <v>4193</v>
      </c>
      <c r="F150" t="s">
        <v>5076</v>
      </c>
      <c r="I150" t="s">
        <v>6278</v>
      </c>
      <c r="J150" t="s">
        <v>2981</v>
      </c>
      <c r="K150" t="s">
        <v>6279</v>
      </c>
      <c r="L150" t="s">
        <v>6280</v>
      </c>
      <c r="M150" s="3" t="str">
        <f>HYPERLINK(СторонТрансп[[#This Row],[RelativePath]])</f>
        <v>1 Ангар Склад 2 въезд\E33149364_6_20251215T130219Z.jpg</v>
      </c>
    </row>
    <row r="151" spans="1:13" x14ac:dyDescent="0.25">
      <c r="A151" t="s">
        <v>14</v>
      </c>
      <c r="B151" s="4">
        <v>46007</v>
      </c>
      <c r="C151" s="6">
        <v>0.49627314814814816</v>
      </c>
      <c r="D151" s="7" t="s">
        <v>64</v>
      </c>
      <c r="E151" t="s">
        <v>4193</v>
      </c>
      <c r="F151" t="s">
        <v>5076</v>
      </c>
      <c r="I151" t="s">
        <v>6539</v>
      </c>
      <c r="J151" t="s">
        <v>2981</v>
      </c>
      <c r="K151" t="s">
        <v>6540</v>
      </c>
      <c r="L151" t="s">
        <v>6541</v>
      </c>
      <c r="M151" s="3" t="str">
        <f>HYPERLINK(СторонТрансп[[#This Row],[RelativePath]])</f>
        <v>1 Ангар Склад 2 въезд\E33149364_6_20251216T115438Z.jpg</v>
      </c>
    </row>
    <row r="152" spans="1:13" x14ac:dyDescent="0.25">
      <c r="A152" t="s">
        <v>14</v>
      </c>
      <c r="B152" s="4">
        <v>46007</v>
      </c>
      <c r="C152" s="6">
        <v>0.58416666666666661</v>
      </c>
      <c r="D152" s="7" t="s">
        <v>85</v>
      </c>
      <c r="E152" t="s">
        <v>4193</v>
      </c>
      <c r="F152" t="s">
        <v>5076</v>
      </c>
      <c r="I152" t="s">
        <v>6542</v>
      </c>
      <c r="J152" t="s">
        <v>2981</v>
      </c>
      <c r="K152" t="s">
        <v>6543</v>
      </c>
      <c r="L152" t="s">
        <v>6544</v>
      </c>
      <c r="M152" s="3" t="str">
        <f>HYPERLINK(СторонТрансп[[#This Row],[RelativePath]])</f>
        <v>1 Ангар Склад 2 въезд\E33149364_6_20251216T140112Z.jpg</v>
      </c>
    </row>
    <row r="153" spans="1:13" x14ac:dyDescent="0.25">
      <c r="A153" t="s">
        <v>16</v>
      </c>
      <c r="B153" s="4">
        <v>46009</v>
      </c>
      <c r="C153" s="6">
        <v>0.51199074074074069</v>
      </c>
      <c r="D153" s="7" t="s">
        <v>64</v>
      </c>
      <c r="E153" t="s">
        <v>4193</v>
      </c>
      <c r="F153" t="s">
        <v>5076</v>
      </c>
      <c r="I153" t="s">
        <v>6667</v>
      </c>
      <c r="J153" t="s">
        <v>2981</v>
      </c>
      <c r="K153" t="s">
        <v>6668</v>
      </c>
      <c r="L153" t="s">
        <v>6669</v>
      </c>
      <c r="M153" s="3" t="str">
        <f>HYPERLINK(СторонТрансп[[#This Row],[RelativePath]])</f>
        <v>1 Ангар Склад 2 въезд\E33149364_6_20251218T121716Z.jpg</v>
      </c>
    </row>
    <row r="154" spans="1:13" x14ac:dyDescent="0.25">
      <c r="A154" t="s">
        <v>16</v>
      </c>
      <c r="B154" s="4">
        <v>46009</v>
      </c>
      <c r="C154" s="6">
        <v>0.61517361111111113</v>
      </c>
      <c r="D154" s="7" t="s">
        <v>85</v>
      </c>
      <c r="E154" t="s">
        <v>4193</v>
      </c>
      <c r="F154" t="s">
        <v>5076</v>
      </c>
      <c r="I154" t="s">
        <v>6679</v>
      </c>
      <c r="J154" t="s">
        <v>2981</v>
      </c>
      <c r="K154" t="s">
        <v>6680</v>
      </c>
      <c r="L154" t="s">
        <v>6681</v>
      </c>
      <c r="M154" s="3" t="str">
        <f>HYPERLINK(СторонТрансп[[#This Row],[RelativePath]])</f>
        <v>1 Ангар Склад 2 въезд\E33149364_6_20251218T144551Z.jpg</v>
      </c>
    </row>
    <row r="155" spans="1:13" x14ac:dyDescent="0.25">
      <c r="A155" t="s">
        <v>13</v>
      </c>
      <c r="B155" s="4">
        <v>46013</v>
      </c>
      <c r="C155" s="6">
        <v>0.46493055555555557</v>
      </c>
      <c r="D155" s="7" t="s">
        <v>64</v>
      </c>
      <c r="E155" t="s">
        <v>4193</v>
      </c>
      <c r="F155" t="s">
        <v>5076</v>
      </c>
      <c r="I155" t="s">
        <v>7242</v>
      </c>
      <c r="J155" t="s">
        <v>2981</v>
      </c>
      <c r="K155" t="s">
        <v>7243</v>
      </c>
      <c r="L155" t="s">
        <v>7244</v>
      </c>
      <c r="M155" s="3" t="str">
        <f>HYPERLINK(СторонТрансп[[#This Row],[RelativePath]])</f>
        <v>1 Ангар Склад 2 въезд\E33149364_6_20251222T110930Z.jpg</v>
      </c>
    </row>
    <row r="156" spans="1:13" x14ac:dyDescent="0.25">
      <c r="A156" t="s">
        <v>13</v>
      </c>
      <c r="B156" s="4">
        <v>46013</v>
      </c>
      <c r="C156" s="6">
        <v>0.55439814814814814</v>
      </c>
      <c r="D156" s="7" t="s">
        <v>85</v>
      </c>
      <c r="E156" t="s">
        <v>4193</v>
      </c>
      <c r="F156" t="s">
        <v>5076</v>
      </c>
      <c r="I156" t="s">
        <v>7245</v>
      </c>
      <c r="J156" t="s">
        <v>2981</v>
      </c>
      <c r="K156" t="s">
        <v>7246</v>
      </c>
      <c r="L156" t="s">
        <v>7247</v>
      </c>
      <c r="M156" s="3" t="str">
        <f>HYPERLINK(СторонТрансп[[#This Row],[RelativePath]])</f>
        <v>1 Ангар Склад 2 въезд\E33149364_6_20251222T131820Z.jpg</v>
      </c>
    </row>
    <row r="157" spans="1:13" x14ac:dyDescent="0.25">
      <c r="A157" t="s">
        <v>16</v>
      </c>
      <c r="B157" s="4">
        <v>46016</v>
      </c>
      <c r="C157" s="6">
        <v>0.51089120370370367</v>
      </c>
      <c r="D157" s="7" t="s">
        <v>91</v>
      </c>
      <c r="E157" t="s">
        <v>4193</v>
      </c>
      <c r="F157" t="s">
        <v>51</v>
      </c>
      <c r="I157" t="s">
        <v>7430</v>
      </c>
      <c r="J157" t="s">
        <v>2981</v>
      </c>
      <c r="K157" t="s">
        <v>7431</v>
      </c>
      <c r="L157" t="s">
        <v>7432</v>
      </c>
      <c r="M157" s="3" t="str">
        <f>HYPERLINK(СторонТрансп[[#This Row],[RelativePath]])</f>
        <v>1 Ангар Склад 2 въезд\E33149364_6_20251225T121541Z.jpg</v>
      </c>
    </row>
    <row r="158" spans="1:13" x14ac:dyDescent="0.25">
      <c r="A158" t="s">
        <v>16</v>
      </c>
      <c r="B158" s="4">
        <v>46016</v>
      </c>
      <c r="C158" s="6">
        <v>0.62315972222222227</v>
      </c>
      <c r="D158" s="7" t="s">
        <v>62</v>
      </c>
      <c r="E158" t="s">
        <v>4193</v>
      </c>
      <c r="F158" t="s">
        <v>4240</v>
      </c>
      <c r="I158" t="s">
        <v>7436</v>
      </c>
      <c r="J158" t="s">
        <v>2981</v>
      </c>
      <c r="K158" t="s">
        <v>7437</v>
      </c>
      <c r="L158" t="s">
        <v>7438</v>
      </c>
      <c r="M158" s="3" t="str">
        <f>HYPERLINK(СторонТрансп[[#This Row],[RelativePath]])</f>
        <v>1 Ангар Склад 2 въезд\E33149364_6_20251225T145721Z.jpg</v>
      </c>
    </row>
    <row r="159" spans="1:13" x14ac:dyDescent="0.25">
      <c r="A159" t="s">
        <v>17</v>
      </c>
      <c r="B159" s="4">
        <v>46017</v>
      </c>
      <c r="C159" s="6">
        <v>0.41902777777777778</v>
      </c>
      <c r="D159" s="7" t="s">
        <v>91</v>
      </c>
      <c r="E159" t="s">
        <v>4193</v>
      </c>
      <c r="F159" t="s">
        <v>5076</v>
      </c>
      <c r="I159" t="s">
        <v>7723</v>
      </c>
      <c r="J159" t="s">
        <v>2981</v>
      </c>
      <c r="K159" t="s">
        <v>7724</v>
      </c>
      <c r="L159" t="s">
        <v>7725</v>
      </c>
      <c r="M159" s="3" t="str">
        <f>HYPERLINK(СторонТрансп[[#This Row],[RelativePath]])</f>
        <v>1 Ангар Склад 2 въезд\E33149364_6_20251226T100324Z.jpg</v>
      </c>
    </row>
    <row r="160" spans="1:13" x14ac:dyDescent="0.25">
      <c r="A160" t="s">
        <v>17</v>
      </c>
      <c r="B160" s="4">
        <v>46017</v>
      </c>
      <c r="C160" s="6">
        <v>0.49219907407407409</v>
      </c>
      <c r="D160" s="7" t="s">
        <v>62</v>
      </c>
      <c r="E160" t="s">
        <v>4193</v>
      </c>
      <c r="F160" t="s">
        <v>5076</v>
      </c>
      <c r="I160" t="s">
        <v>7726</v>
      </c>
      <c r="J160" t="s">
        <v>2981</v>
      </c>
      <c r="K160" t="s">
        <v>7727</v>
      </c>
      <c r="L160" t="s">
        <v>7728</v>
      </c>
      <c r="M160" s="3" t="str">
        <f>HYPERLINK(СторонТрансп[[#This Row],[RelativePath]])</f>
        <v>1 Ангар Склад 2 въезд\E33149364_6_20251226T114846Z.jpg</v>
      </c>
    </row>
    <row r="161" spans="1:13" x14ac:dyDescent="0.25">
      <c r="A161" t="s">
        <v>18</v>
      </c>
      <c r="B161" s="4">
        <v>46018</v>
      </c>
      <c r="C161" s="6">
        <v>0.43266203703703704</v>
      </c>
      <c r="D161" s="7" t="s">
        <v>64</v>
      </c>
      <c r="E161" t="s">
        <v>4193</v>
      </c>
      <c r="F161" t="s">
        <v>5076</v>
      </c>
      <c r="I161" t="s">
        <v>7890</v>
      </c>
      <c r="J161" t="s">
        <v>2981</v>
      </c>
      <c r="K161" t="s">
        <v>7891</v>
      </c>
      <c r="L161" t="s">
        <v>7892</v>
      </c>
      <c r="M161" s="3" t="str">
        <f>HYPERLINK(СторонТрансп[[#This Row],[RelativePath]])</f>
        <v>1 Ангар Склад 2 въезд\E33149364_6_20251227T102302Z.jpg</v>
      </c>
    </row>
    <row r="162" spans="1:13" x14ac:dyDescent="0.25">
      <c r="A162" t="s">
        <v>18</v>
      </c>
      <c r="B162" s="4">
        <v>46018</v>
      </c>
      <c r="C162" s="6">
        <v>0.58099537037037041</v>
      </c>
      <c r="D162" s="7" t="s">
        <v>85</v>
      </c>
      <c r="E162" t="s">
        <v>4193</v>
      </c>
      <c r="F162" t="s">
        <v>5076</v>
      </c>
      <c r="I162" t="s">
        <v>7893</v>
      </c>
      <c r="J162" t="s">
        <v>2981</v>
      </c>
      <c r="K162" t="s">
        <v>7894</v>
      </c>
      <c r="L162" t="s">
        <v>7895</v>
      </c>
      <c r="M162" s="3" t="str">
        <f>HYPERLINK(СторонТрансп[[#This Row],[RelativePath]])</f>
        <v>1 Ангар Склад 2 въезд\E33149364_6_20251227T135638Z.jpg</v>
      </c>
    </row>
    <row r="163" spans="1:13" x14ac:dyDescent="0.25">
      <c r="A163" t="s">
        <v>22</v>
      </c>
      <c r="B163" s="4">
        <v>46019</v>
      </c>
      <c r="C163" s="6">
        <v>0.50267361111111108</v>
      </c>
      <c r="D163" s="7" t="s">
        <v>91</v>
      </c>
      <c r="E163" t="s">
        <v>4193</v>
      </c>
      <c r="F163" t="s">
        <v>5076</v>
      </c>
      <c r="I163" t="s">
        <v>7902</v>
      </c>
      <c r="J163" t="s">
        <v>2981</v>
      </c>
      <c r="K163" t="s">
        <v>7903</v>
      </c>
      <c r="L163" t="s">
        <v>7904</v>
      </c>
      <c r="M163" s="3" t="str">
        <f>HYPERLINK(СторонТрансп[[#This Row],[RelativePath]])</f>
        <v>1 Ангар Склад 2 въезд\E33149364_6_20251228T120351Z.jpg</v>
      </c>
    </row>
    <row r="164" spans="1:13" x14ac:dyDescent="0.25">
      <c r="A164" t="s">
        <v>22</v>
      </c>
      <c r="B164" s="4">
        <v>46019</v>
      </c>
      <c r="C164" s="6">
        <v>0.50665509259259256</v>
      </c>
      <c r="D164" s="7" t="s">
        <v>62</v>
      </c>
      <c r="E164" t="s">
        <v>4193</v>
      </c>
      <c r="F164" t="s">
        <v>5076</v>
      </c>
      <c r="I164" t="s">
        <v>7905</v>
      </c>
      <c r="J164" t="s">
        <v>2981</v>
      </c>
      <c r="K164" t="s">
        <v>7906</v>
      </c>
      <c r="L164" t="s">
        <v>7907</v>
      </c>
      <c r="M164" s="3" t="str">
        <f>HYPERLINK(СторонТрансп[[#This Row],[RelativePath]])</f>
        <v>1 Ангар Склад 2 въезд\E33149364_6_20251228T120935Z.jpg</v>
      </c>
    </row>
    <row r="165" spans="1:13" x14ac:dyDescent="0.25">
      <c r="A165" t="s">
        <v>22</v>
      </c>
      <c r="B165" s="4">
        <v>46019</v>
      </c>
      <c r="C165" s="6">
        <v>0.50677083333333328</v>
      </c>
      <c r="D165" s="7" t="s">
        <v>8040</v>
      </c>
      <c r="E165" t="s">
        <v>4193</v>
      </c>
      <c r="F165" t="s">
        <v>5076</v>
      </c>
      <c r="I165" t="s">
        <v>7908</v>
      </c>
      <c r="J165" t="s">
        <v>2981</v>
      </c>
      <c r="K165" t="s">
        <v>7909</v>
      </c>
      <c r="L165" t="s">
        <v>7910</v>
      </c>
      <c r="M165" s="3" t="str">
        <f>HYPERLINK(СторонТрансп[[#This Row],[RelativePath]])</f>
        <v>1 Ангар Склад 2 въезд\E33149364_6_20251228T120945Z.jpg</v>
      </c>
    </row>
    <row r="166" spans="1:13" x14ac:dyDescent="0.25">
      <c r="A166" t="s">
        <v>22</v>
      </c>
      <c r="B166" s="4">
        <v>46019</v>
      </c>
      <c r="C166" s="6">
        <v>0.50702546296296291</v>
      </c>
      <c r="D166" s="7" t="s">
        <v>64</v>
      </c>
      <c r="E166" t="s">
        <v>4193</v>
      </c>
      <c r="F166" t="s">
        <v>5076</v>
      </c>
      <c r="I166" t="s">
        <v>7911</v>
      </c>
      <c r="J166" t="s">
        <v>2981</v>
      </c>
      <c r="K166" t="s">
        <v>7912</v>
      </c>
      <c r="L166" t="s">
        <v>7913</v>
      </c>
      <c r="M166" s="3" t="str">
        <f>HYPERLINK(СторонТрансп[[#This Row],[RelativePath]])</f>
        <v>1 Ангар Склад 2 въезд\E33149364_6_20251228T121007Z.jpg</v>
      </c>
    </row>
    <row r="167" spans="1:13" x14ac:dyDescent="0.25">
      <c r="A167" t="s">
        <v>22</v>
      </c>
      <c r="B167" s="4">
        <v>46019</v>
      </c>
      <c r="C167" s="6">
        <v>0.64039351851851856</v>
      </c>
      <c r="D167" s="7" t="s">
        <v>85</v>
      </c>
      <c r="E167" t="s">
        <v>4193</v>
      </c>
      <c r="F167" t="s">
        <v>5076</v>
      </c>
      <c r="I167" t="s">
        <v>7917</v>
      </c>
      <c r="J167" t="s">
        <v>2981</v>
      </c>
      <c r="K167" t="s">
        <v>7918</v>
      </c>
      <c r="L167" t="s">
        <v>7919</v>
      </c>
      <c r="M167" s="3" t="str">
        <f>HYPERLINK(СторонТрансп[[#This Row],[RelativePath]])</f>
        <v>1 Ангар Склад 2 въезд\E33149364_6_20251228T152210Z.jpg</v>
      </c>
    </row>
    <row r="168" spans="1:13" x14ac:dyDescent="0.25">
      <c r="A168" t="s">
        <v>14</v>
      </c>
      <c r="B168" s="4">
        <v>45972</v>
      </c>
      <c r="C168" s="6">
        <v>0.45701388888888889</v>
      </c>
      <c r="D168" s="7" t="s">
        <v>159</v>
      </c>
      <c r="E168" t="s">
        <v>63</v>
      </c>
      <c r="F168" t="s">
        <v>51</v>
      </c>
      <c r="I168" t="s">
        <v>112</v>
      </c>
      <c r="J168" t="s">
        <v>2989</v>
      </c>
      <c r="K168" t="s">
        <v>146</v>
      </c>
      <c r="L168" t="s">
        <v>113</v>
      </c>
      <c r="M168" s="3" t="str">
        <f>HYPERLINK(СторонТрансп[[#This Row],[RelativePath]])</f>
        <v>2 Пилорама поката\E33149364_7_20251111T105806Z.jpg</v>
      </c>
    </row>
    <row r="169" spans="1:13" x14ac:dyDescent="0.25">
      <c r="A169" t="s">
        <v>15</v>
      </c>
      <c r="B169" s="4">
        <v>45987</v>
      </c>
      <c r="C169" s="6">
        <v>0.43495370370370373</v>
      </c>
      <c r="D169" s="7" t="s">
        <v>4198</v>
      </c>
      <c r="E169" t="s">
        <v>4192</v>
      </c>
      <c r="F169" t="s">
        <v>51</v>
      </c>
      <c r="I169" t="s">
        <v>3261</v>
      </c>
      <c r="J169" t="s">
        <v>2989</v>
      </c>
      <c r="K169" t="s">
        <v>3262</v>
      </c>
      <c r="L169" t="s">
        <v>3263</v>
      </c>
      <c r="M169" s="3" t="str">
        <f>HYPERLINK(СторонТрансп[[#This Row],[RelativePath]])</f>
        <v>2 Пилорама поката\E33149364_7_20251126T102620Z.jpg</v>
      </c>
    </row>
    <row r="170" spans="1:13" x14ac:dyDescent="0.25">
      <c r="A170" t="s">
        <v>17</v>
      </c>
      <c r="B170" s="4">
        <v>45989</v>
      </c>
      <c r="C170" s="6">
        <v>0.45557870370370368</v>
      </c>
      <c r="D170" s="7" t="s">
        <v>4202</v>
      </c>
      <c r="E170" t="s">
        <v>4193</v>
      </c>
      <c r="F170" t="s">
        <v>51</v>
      </c>
      <c r="I170" t="s">
        <v>3321</v>
      </c>
      <c r="J170" t="s">
        <v>2989</v>
      </c>
      <c r="K170" t="s">
        <v>3322</v>
      </c>
      <c r="L170" t="s">
        <v>3323</v>
      </c>
      <c r="M170" s="3" t="str">
        <f>HYPERLINK(СторонТрансп[[#This Row],[RelativePath]])</f>
        <v>2 Пилорама поката\E33149364_7_20251128T105602Z.jpg</v>
      </c>
    </row>
    <row r="171" spans="1:13" x14ac:dyDescent="0.25">
      <c r="A171" t="s">
        <v>17</v>
      </c>
      <c r="B171" s="4">
        <v>45989</v>
      </c>
      <c r="C171" s="6">
        <v>0.45584490740740741</v>
      </c>
      <c r="D171" s="7" t="s">
        <v>4202</v>
      </c>
      <c r="E171" t="s">
        <v>4193</v>
      </c>
      <c r="F171" t="s">
        <v>51</v>
      </c>
      <c r="H171" t="s">
        <v>2936</v>
      </c>
      <c r="I171" t="s">
        <v>3324</v>
      </c>
      <c r="J171" t="s">
        <v>2989</v>
      </c>
      <c r="K171" t="s">
        <v>3325</v>
      </c>
      <c r="L171" t="s">
        <v>3326</v>
      </c>
      <c r="M171" s="3" t="str">
        <f>HYPERLINK(СторонТрансп[[#This Row],[RelativePath]])</f>
        <v>2 Пилорама поката\E33149364_7_20251128T105625Z.jpg</v>
      </c>
    </row>
    <row r="172" spans="1:13" x14ac:dyDescent="0.25">
      <c r="A172" t="s">
        <v>17</v>
      </c>
      <c r="B172" s="4">
        <v>45989</v>
      </c>
      <c r="C172" s="6">
        <v>0.49850694444444443</v>
      </c>
      <c r="D172" s="7" t="s">
        <v>4202</v>
      </c>
      <c r="E172" t="s">
        <v>4193</v>
      </c>
      <c r="F172" t="s">
        <v>51</v>
      </c>
      <c r="H172" t="s">
        <v>2936</v>
      </c>
      <c r="I172" t="s">
        <v>3327</v>
      </c>
      <c r="J172" t="s">
        <v>2989</v>
      </c>
      <c r="K172" t="s">
        <v>3328</v>
      </c>
      <c r="L172" t="s">
        <v>3329</v>
      </c>
      <c r="M172" s="3" t="str">
        <f>HYPERLINK(СторонТрансп[[#This Row],[RelativePath]])</f>
        <v>2 Пилорама поката\E33149364_7_20251128T115751Z.jpg</v>
      </c>
    </row>
    <row r="173" spans="1:13" x14ac:dyDescent="0.25">
      <c r="A173" t="s">
        <v>17</v>
      </c>
      <c r="B173" s="4">
        <v>45989</v>
      </c>
      <c r="C173" s="6">
        <v>0.50651620370370365</v>
      </c>
      <c r="D173" s="7" t="s">
        <v>4201</v>
      </c>
      <c r="E173" t="s">
        <v>4193</v>
      </c>
      <c r="I173" t="s">
        <v>3330</v>
      </c>
      <c r="J173" t="s">
        <v>2989</v>
      </c>
      <c r="K173" t="s">
        <v>3331</v>
      </c>
      <c r="L173" t="s">
        <v>3332</v>
      </c>
      <c r="M173" s="3" t="str">
        <f>HYPERLINK(СторонТрансп[[#This Row],[RelativePath]])</f>
        <v>2 Пилорама поката\E33149364_7_20251128T120923Z.jpg</v>
      </c>
    </row>
    <row r="174" spans="1:13" x14ac:dyDescent="0.25">
      <c r="A174" t="s">
        <v>13</v>
      </c>
      <c r="B174" s="4">
        <v>45999</v>
      </c>
      <c r="C174" s="6">
        <v>0.59916666666666663</v>
      </c>
      <c r="D174" s="7" t="s">
        <v>4</v>
      </c>
      <c r="E174" t="s">
        <v>4193</v>
      </c>
      <c r="F174" t="s">
        <v>5076</v>
      </c>
      <c r="I174" t="s">
        <v>5282</v>
      </c>
      <c r="J174" t="s">
        <v>2989</v>
      </c>
      <c r="K174" t="s">
        <v>5283</v>
      </c>
      <c r="L174" t="s">
        <v>5284</v>
      </c>
      <c r="M174" s="3" t="str">
        <f>HYPERLINK(СторонТрансп[[#This Row],[RelativePath]])</f>
        <v>2 Пилорама поката\E33149364_7_20251208T142248Z.jpg</v>
      </c>
    </row>
    <row r="175" spans="1:13" x14ac:dyDescent="0.25">
      <c r="A175" t="s">
        <v>13</v>
      </c>
      <c r="B175" s="4">
        <v>45999</v>
      </c>
      <c r="C175" s="6">
        <v>0.6244791666666667</v>
      </c>
      <c r="D175" s="7" t="s">
        <v>4</v>
      </c>
      <c r="E175" t="s">
        <v>4193</v>
      </c>
      <c r="F175" t="s">
        <v>5076</v>
      </c>
      <c r="H175" t="s">
        <v>5474</v>
      </c>
      <c r="I175" t="s">
        <v>5269</v>
      </c>
      <c r="J175" t="s">
        <v>2989</v>
      </c>
      <c r="K175" t="s">
        <v>5270</v>
      </c>
      <c r="L175" t="s">
        <v>5271</v>
      </c>
      <c r="M175" s="3" t="str">
        <f>HYPERLINK(СторонТрансп[[#This Row],[RelativePath]])</f>
        <v>2 Пилорама поката\E33149364_7_20251208T145915Z.jpg</v>
      </c>
    </row>
    <row r="176" spans="1:13" x14ac:dyDescent="0.25">
      <c r="A176" t="s">
        <v>13</v>
      </c>
      <c r="B176" s="4">
        <v>45999</v>
      </c>
      <c r="C176" s="6">
        <v>0.66174768518518523</v>
      </c>
      <c r="D176" s="7" t="s">
        <v>4</v>
      </c>
      <c r="E176" t="s">
        <v>5475</v>
      </c>
      <c r="F176" t="s">
        <v>5076</v>
      </c>
      <c r="H176" t="s">
        <v>5474</v>
      </c>
      <c r="I176" t="s">
        <v>5291</v>
      </c>
      <c r="J176" t="s">
        <v>2989</v>
      </c>
      <c r="K176" t="s">
        <v>5292</v>
      </c>
      <c r="L176" t="s">
        <v>5293</v>
      </c>
      <c r="M176" s="3" t="str">
        <f>HYPERLINK(СторонТрансп[[#This Row],[RelativePath]])</f>
        <v>2 Пилорама поката\E33149364_7_20251208T155255Z.jpg</v>
      </c>
    </row>
    <row r="177" spans="1:13" x14ac:dyDescent="0.25">
      <c r="A177" t="s">
        <v>14</v>
      </c>
      <c r="B177" s="4">
        <v>46000</v>
      </c>
      <c r="C177" s="6">
        <v>0.43395833333333333</v>
      </c>
      <c r="D177" s="7" t="s">
        <v>1606</v>
      </c>
      <c r="E177" t="s">
        <v>4193</v>
      </c>
      <c r="F177" t="s">
        <v>5076</v>
      </c>
      <c r="I177" t="s">
        <v>5509</v>
      </c>
      <c r="J177" t="s">
        <v>2989</v>
      </c>
      <c r="K177" t="s">
        <v>5510</v>
      </c>
      <c r="L177" t="s">
        <v>5511</v>
      </c>
      <c r="M177" s="3" t="str">
        <f>HYPERLINK(СторонТрансп[[#This Row],[RelativePath]])</f>
        <v>2 Пилорама поката\E33149364_7_20251209T102454Z.jpg</v>
      </c>
    </row>
    <row r="178" spans="1:13" x14ac:dyDescent="0.25">
      <c r="A178" t="s">
        <v>14</v>
      </c>
      <c r="B178" s="4">
        <v>46000</v>
      </c>
      <c r="C178" s="6">
        <v>0.43410879629629628</v>
      </c>
      <c r="D178" s="7" t="s">
        <v>6171</v>
      </c>
      <c r="E178" t="s">
        <v>4193</v>
      </c>
      <c r="F178" t="s">
        <v>5076</v>
      </c>
      <c r="H178" t="s">
        <v>5474</v>
      </c>
      <c r="I178" t="s">
        <v>5512</v>
      </c>
      <c r="J178" t="s">
        <v>2989</v>
      </c>
      <c r="K178" t="s">
        <v>5513</v>
      </c>
      <c r="L178" t="s">
        <v>5514</v>
      </c>
      <c r="M178" s="3" t="str">
        <f>HYPERLINK(СторонТрансп[[#This Row],[RelativePath]])</f>
        <v>2 Пилорама поката\E33149364_7_20251209T102507Z.jpg</v>
      </c>
    </row>
    <row r="179" spans="1:13" x14ac:dyDescent="0.25">
      <c r="A179" t="s">
        <v>14</v>
      </c>
      <c r="B179" s="4">
        <v>46000</v>
      </c>
      <c r="C179" s="6">
        <v>0.63540509259259259</v>
      </c>
      <c r="D179" s="7" t="s">
        <v>1606</v>
      </c>
      <c r="E179" t="s">
        <v>4193</v>
      </c>
      <c r="F179" t="s">
        <v>5076</v>
      </c>
      <c r="I179" t="s">
        <v>5515</v>
      </c>
      <c r="J179" t="s">
        <v>2989</v>
      </c>
      <c r="K179" t="s">
        <v>5516</v>
      </c>
      <c r="L179" t="s">
        <v>5517</v>
      </c>
      <c r="M179" s="3" t="str">
        <f>HYPERLINK(СторонТрансп[[#This Row],[RelativePath]])</f>
        <v>2 Пилорама поката\E33149364_7_20251209T151459Z.jpg</v>
      </c>
    </row>
    <row r="180" spans="1:13" x14ac:dyDescent="0.25">
      <c r="A180" t="s">
        <v>14</v>
      </c>
      <c r="B180" s="4">
        <v>46000</v>
      </c>
      <c r="C180" s="6">
        <v>0.6868171296296296</v>
      </c>
      <c r="D180" s="7" t="s">
        <v>6171</v>
      </c>
      <c r="E180" t="s">
        <v>4193</v>
      </c>
      <c r="F180" t="s">
        <v>5076</v>
      </c>
      <c r="H180" t="s">
        <v>5474</v>
      </c>
      <c r="I180" t="s">
        <v>5518</v>
      </c>
      <c r="J180" t="s">
        <v>2989</v>
      </c>
      <c r="K180" t="s">
        <v>5519</v>
      </c>
      <c r="L180" t="s">
        <v>5520</v>
      </c>
      <c r="M180" s="3" t="str">
        <f>HYPERLINK(СторонТрансп[[#This Row],[RelativePath]])</f>
        <v>2 Пилорама поката\E33149364_7_20251209T162901Z.jpg</v>
      </c>
    </row>
    <row r="181" spans="1:13" x14ac:dyDescent="0.25">
      <c r="A181" t="s">
        <v>15</v>
      </c>
      <c r="B181" s="4">
        <v>46001</v>
      </c>
      <c r="C181" s="6">
        <v>0.53289351851851852</v>
      </c>
      <c r="D181" s="7" t="s">
        <v>1606</v>
      </c>
      <c r="E181" t="s">
        <v>4193</v>
      </c>
      <c r="F181" t="s">
        <v>5076</v>
      </c>
      <c r="I181" t="s">
        <v>5533</v>
      </c>
      <c r="J181" t="s">
        <v>2989</v>
      </c>
      <c r="K181" t="s">
        <v>5534</v>
      </c>
      <c r="L181" t="s">
        <v>5535</v>
      </c>
      <c r="M181" s="3" t="str">
        <f>HYPERLINK(СторонТрансп[[#This Row],[RelativePath]])</f>
        <v>2 Пилорама поката\E33149364_7_20251210T124722Z.jpg</v>
      </c>
    </row>
    <row r="182" spans="1:13" x14ac:dyDescent="0.25">
      <c r="A182" t="s">
        <v>15</v>
      </c>
      <c r="B182" s="4">
        <v>46001</v>
      </c>
      <c r="C182" s="6">
        <v>0.57746527777777779</v>
      </c>
      <c r="D182" s="7" t="s">
        <v>6171</v>
      </c>
      <c r="E182" t="s">
        <v>4193</v>
      </c>
      <c r="F182" t="s">
        <v>5076</v>
      </c>
      <c r="H182" t="s">
        <v>5474</v>
      </c>
      <c r="I182" t="s">
        <v>5536</v>
      </c>
      <c r="J182" t="s">
        <v>2989</v>
      </c>
      <c r="K182" t="s">
        <v>5537</v>
      </c>
      <c r="L182" t="s">
        <v>5538</v>
      </c>
      <c r="M182" s="3" t="str">
        <f>HYPERLINK(СторонТрансп[[#This Row],[RelativePath]])</f>
        <v>2 Пилорама поката\E33149364_7_20251210T135133Z.jpg</v>
      </c>
    </row>
    <row r="183" spans="1:13" x14ac:dyDescent="0.25">
      <c r="A183" t="s">
        <v>13</v>
      </c>
      <c r="B183" s="4">
        <v>46006</v>
      </c>
      <c r="C183" s="6">
        <v>0.4377199074074074</v>
      </c>
      <c r="D183" s="7" t="s">
        <v>1606</v>
      </c>
      <c r="E183" t="s">
        <v>4193</v>
      </c>
      <c r="F183" t="s">
        <v>5076</v>
      </c>
      <c r="I183" t="s">
        <v>6290</v>
      </c>
      <c r="J183" t="s">
        <v>2989</v>
      </c>
      <c r="K183" t="s">
        <v>6291</v>
      </c>
      <c r="L183" t="s">
        <v>6292</v>
      </c>
      <c r="M183" s="3" t="str">
        <f>HYPERLINK(СторонТрансп[[#This Row],[RelativePath]])</f>
        <v>2 Пилорама поката\E33149364_7_20251215T103019Z.jpg</v>
      </c>
    </row>
    <row r="184" spans="1:13" x14ac:dyDescent="0.25">
      <c r="A184" t="s">
        <v>13</v>
      </c>
      <c r="B184" s="4">
        <v>46006</v>
      </c>
      <c r="C184" s="6">
        <v>0.44763888888888886</v>
      </c>
      <c r="D184" s="7" t="s">
        <v>6171</v>
      </c>
      <c r="E184" t="s">
        <v>4193</v>
      </c>
      <c r="F184" t="s">
        <v>5076</v>
      </c>
      <c r="H184" t="s">
        <v>5474</v>
      </c>
      <c r="I184" t="s">
        <v>6293</v>
      </c>
      <c r="J184" t="s">
        <v>2989</v>
      </c>
      <c r="K184" t="s">
        <v>6294</v>
      </c>
      <c r="L184" t="s">
        <v>6295</v>
      </c>
      <c r="M184" s="3" t="str">
        <f>HYPERLINK(СторонТрансп[[#This Row],[RelativePath]])</f>
        <v>2 Пилорама поката\E33149364_7_20251215T104436Z.jpg</v>
      </c>
    </row>
    <row r="185" spans="1:13" x14ac:dyDescent="0.25">
      <c r="A185" t="s">
        <v>13</v>
      </c>
      <c r="B185" s="4">
        <v>46006</v>
      </c>
      <c r="C185" s="6">
        <v>0.54278935185185184</v>
      </c>
      <c r="D185" s="7" t="s">
        <v>650</v>
      </c>
      <c r="E185" t="s">
        <v>4193</v>
      </c>
      <c r="F185" t="s">
        <v>5076</v>
      </c>
      <c r="I185" t="s">
        <v>6297</v>
      </c>
      <c r="J185" t="s">
        <v>2989</v>
      </c>
      <c r="K185" t="s">
        <v>6298</v>
      </c>
      <c r="L185" t="s">
        <v>6299</v>
      </c>
      <c r="M185" s="3" t="str">
        <f>HYPERLINK(СторонТрансп[[#This Row],[RelativePath]])</f>
        <v>2 Пилорама поката\E33149364_7_20251215T130137Z.jpg</v>
      </c>
    </row>
    <row r="186" spans="1:13" x14ac:dyDescent="0.25">
      <c r="A186" t="s">
        <v>14</v>
      </c>
      <c r="B186" s="4">
        <v>46007</v>
      </c>
      <c r="C186" s="6">
        <v>0.49843749999999998</v>
      </c>
      <c r="D186" s="7" t="s">
        <v>6171</v>
      </c>
      <c r="E186" t="s">
        <v>4193</v>
      </c>
      <c r="F186" t="s">
        <v>5076</v>
      </c>
      <c r="H186" t="s">
        <v>5474</v>
      </c>
      <c r="I186" t="s">
        <v>6551</v>
      </c>
      <c r="J186" t="s">
        <v>2989</v>
      </c>
      <c r="K186" t="s">
        <v>6552</v>
      </c>
      <c r="L186" t="s">
        <v>6553</v>
      </c>
      <c r="M186" s="3" t="str">
        <f>HYPERLINK(СторонТрансп[[#This Row],[RelativePath]])</f>
        <v>2 Пилорама поката\E33149364_7_20251216T115745Z.jpg</v>
      </c>
    </row>
    <row r="187" spans="1:13" x14ac:dyDescent="0.25">
      <c r="A187" t="s">
        <v>14</v>
      </c>
      <c r="B187" s="4">
        <v>46007</v>
      </c>
      <c r="C187" s="6">
        <v>0.58371527777777776</v>
      </c>
      <c r="D187" s="7" t="s">
        <v>650</v>
      </c>
      <c r="E187" t="s">
        <v>4193</v>
      </c>
      <c r="F187" t="s">
        <v>5076</v>
      </c>
      <c r="I187" t="s">
        <v>6554</v>
      </c>
      <c r="J187" t="s">
        <v>2989</v>
      </c>
      <c r="K187" t="s">
        <v>6555</v>
      </c>
      <c r="L187" t="s">
        <v>6556</v>
      </c>
      <c r="M187" s="3" t="str">
        <f>HYPERLINK(СторонТрансп[[#This Row],[RelativePath]])</f>
        <v>2 Пилорама поката\E33149364_7_20251216T140033Z.jpg</v>
      </c>
    </row>
    <row r="188" spans="1:13" x14ac:dyDescent="0.25">
      <c r="A188" t="s">
        <v>16</v>
      </c>
      <c r="B188" s="4">
        <v>46009</v>
      </c>
      <c r="C188" s="6">
        <v>0.51219907407407406</v>
      </c>
      <c r="D188" s="7" t="s">
        <v>1606</v>
      </c>
      <c r="E188" t="s">
        <v>4193</v>
      </c>
      <c r="F188" t="s">
        <v>5076</v>
      </c>
      <c r="I188" t="s">
        <v>6694</v>
      </c>
      <c r="J188" t="s">
        <v>2989</v>
      </c>
      <c r="K188" t="s">
        <v>6695</v>
      </c>
      <c r="L188" t="s">
        <v>6696</v>
      </c>
      <c r="M188" s="3" t="str">
        <f>HYPERLINK(СторонТрансп[[#This Row],[RelativePath]])</f>
        <v>2 Пилорама поката\E33149364_7_20251218T121734Z.jpg</v>
      </c>
    </row>
    <row r="189" spans="1:13" x14ac:dyDescent="0.25">
      <c r="A189" t="s">
        <v>16</v>
      </c>
      <c r="B189" s="4">
        <v>46009</v>
      </c>
      <c r="C189" s="6">
        <v>0.51600694444444439</v>
      </c>
      <c r="D189" s="7" t="s">
        <v>6171</v>
      </c>
      <c r="E189" t="s">
        <v>4193</v>
      </c>
      <c r="F189" t="s">
        <v>5076</v>
      </c>
      <c r="H189" t="s">
        <v>5474</v>
      </c>
      <c r="I189" t="s">
        <v>6697</v>
      </c>
      <c r="J189" t="s">
        <v>2989</v>
      </c>
      <c r="K189" t="s">
        <v>6698</v>
      </c>
      <c r="L189" t="s">
        <v>6699</v>
      </c>
      <c r="M189" s="3" t="str">
        <f>HYPERLINK(СторонТрансп[[#This Row],[RelativePath]])</f>
        <v>2 Пилорама поката\E33149364_7_20251218T122303Z.jpg</v>
      </c>
    </row>
    <row r="190" spans="1:13" x14ac:dyDescent="0.25">
      <c r="A190" t="s">
        <v>16</v>
      </c>
      <c r="B190" s="4">
        <v>46009</v>
      </c>
      <c r="C190" s="6">
        <v>0.61460648148148145</v>
      </c>
      <c r="D190" s="7" t="s">
        <v>650</v>
      </c>
      <c r="E190" t="s">
        <v>4193</v>
      </c>
      <c r="F190" t="s">
        <v>5076</v>
      </c>
      <c r="I190" t="s">
        <v>6700</v>
      </c>
      <c r="J190" t="s">
        <v>2989</v>
      </c>
      <c r="K190" t="s">
        <v>6701</v>
      </c>
      <c r="L190" t="s">
        <v>6702</v>
      </c>
      <c r="M190" s="3" t="str">
        <f>HYPERLINK(СторонТрансп[[#This Row],[RelativePath]])</f>
        <v>2 Пилорама поката\E33149364_7_20251218T144502Z.jpg</v>
      </c>
    </row>
    <row r="191" spans="1:13" x14ac:dyDescent="0.25">
      <c r="A191" t="s">
        <v>13</v>
      </c>
      <c r="B191" s="4">
        <v>46013</v>
      </c>
      <c r="C191" s="6">
        <v>0.46530092592592592</v>
      </c>
      <c r="D191" s="7" t="s">
        <v>1606</v>
      </c>
      <c r="E191" t="s">
        <v>4193</v>
      </c>
      <c r="F191" t="s">
        <v>5076</v>
      </c>
      <c r="I191" t="s">
        <v>7218</v>
      </c>
      <c r="J191" t="s">
        <v>2989</v>
      </c>
      <c r="K191" t="s">
        <v>7219</v>
      </c>
      <c r="L191" t="s">
        <v>7220</v>
      </c>
      <c r="M191" s="3" t="str">
        <f>HYPERLINK(СторонТрансп[[#This Row],[RelativePath]])</f>
        <v>2 Пилорама поката\E33149364_7_20251222T111002Z.jpg</v>
      </c>
    </row>
    <row r="192" spans="1:13" x14ac:dyDescent="0.25">
      <c r="A192" t="s">
        <v>13</v>
      </c>
      <c r="B192" s="4">
        <v>46013</v>
      </c>
      <c r="C192" s="6">
        <v>0.54984953703703698</v>
      </c>
      <c r="D192" s="7" t="s">
        <v>650</v>
      </c>
      <c r="E192" t="s">
        <v>4193</v>
      </c>
      <c r="F192" t="s">
        <v>5076</v>
      </c>
      <c r="I192" t="s">
        <v>7221</v>
      </c>
      <c r="J192" t="s">
        <v>2989</v>
      </c>
      <c r="K192" t="s">
        <v>7222</v>
      </c>
      <c r="L192" t="s">
        <v>7223</v>
      </c>
      <c r="M192" s="3" t="str">
        <f>HYPERLINK(СторонТрансп[[#This Row],[RelativePath]])</f>
        <v>2 Пилорама поката\E33149364_7_20251222T131147Z.jpg</v>
      </c>
    </row>
    <row r="193" spans="1:13" x14ac:dyDescent="0.25">
      <c r="A193" t="s">
        <v>18</v>
      </c>
      <c r="B193" s="4">
        <v>46018</v>
      </c>
      <c r="C193" s="6">
        <v>0.43297453703703703</v>
      </c>
      <c r="D193" s="7" t="s">
        <v>1606</v>
      </c>
      <c r="E193" t="s">
        <v>4193</v>
      </c>
      <c r="F193" t="s">
        <v>5076</v>
      </c>
      <c r="I193" t="s">
        <v>7872</v>
      </c>
      <c r="J193" t="s">
        <v>2989</v>
      </c>
      <c r="K193" t="s">
        <v>7873</v>
      </c>
      <c r="L193" t="s">
        <v>7874</v>
      </c>
      <c r="M193" s="3" t="str">
        <f>HYPERLINK(СторонТрансп[[#This Row],[RelativePath]])</f>
        <v>2 Пилорама поката\E33149364_7_20251227T102329Z.jpg</v>
      </c>
    </row>
    <row r="194" spans="1:13" x14ac:dyDescent="0.25">
      <c r="A194" t="s">
        <v>18</v>
      </c>
      <c r="B194" s="4">
        <v>46018</v>
      </c>
      <c r="C194" s="6">
        <v>0.44199074074074074</v>
      </c>
      <c r="D194" s="7" t="s">
        <v>6171</v>
      </c>
      <c r="E194" t="s">
        <v>4193</v>
      </c>
      <c r="F194" t="s">
        <v>5076</v>
      </c>
      <c r="H194" t="s">
        <v>5474</v>
      </c>
      <c r="I194" t="s">
        <v>7875</v>
      </c>
      <c r="J194" t="s">
        <v>2989</v>
      </c>
      <c r="K194" t="s">
        <v>7876</v>
      </c>
      <c r="L194" t="s">
        <v>7877</v>
      </c>
      <c r="M194" s="3" t="str">
        <f>HYPERLINK(СторонТрансп[[#This Row],[RelativePath]])</f>
        <v>2 Пилорама поката\E33149364_7_20251227T103628Z.jpg</v>
      </c>
    </row>
    <row r="195" spans="1:13" x14ac:dyDescent="0.25">
      <c r="A195" t="s">
        <v>18</v>
      </c>
      <c r="B195" s="4">
        <v>46018</v>
      </c>
      <c r="C195" s="6">
        <v>0.5803356481481482</v>
      </c>
      <c r="D195" s="7" t="s">
        <v>650</v>
      </c>
      <c r="E195" t="s">
        <v>4193</v>
      </c>
      <c r="F195" t="s">
        <v>5076</v>
      </c>
      <c r="I195" t="s">
        <v>7878</v>
      </c>
      <c r="J195" t="s">
        <v>2989</v>
      </c>
      <c r="K195" t="s">
        <v>7879</v>
      </c>
      <c r="L195" t="s">
        <v>7880</v>
      </c>
      <c r="M195" s="3" t="str">
        <f>HYPERLINK(СторонТрансп[[#This Row],[RelativePath]])</f>
        <v>2 Пилорама поката\E33149364_7_20251227T135541Z.jpg</v>
      </c>
    </row>
    <row r="196" spans="1:13" x14ac:dyDescent="0.25">
      <c r="A196" t="s">
        <v>22</v>
      </c>
      <c r="B196" s="4">
        <v>46019</v>
      </c>
      <c r="C196" s="6">
        <v>0.59177083333333336</v>
      </c>
      <c r="D196" s="7" t="s">
        <v>1606</v>
      </c>
      <c r="E196" t="s">
        <v>4193</v>
      </c>
      <c r="F196" t="s">
        <v>5076</v>
      </c>
      <c r="I196" t="s">
        <v>7884</v>
      </c>
      <c r="J196" t="s">
        <v>2989</v>
      </c>
      <c r="K196" t="s">
        <v>7885</v>
      </c>
      <c r="L196" t="s">
        <v>7886</v>
      </c>
      <c r="M196" s="3" t="str">
        <f>HYPERLINK(СторонТрансп[[#This Row],[RelativePath]])</f>
        <v>2 Пилорама поката\E33149364_7_20251228T141209Z.jpg</v>
      </c>
    </row>
    <row r="197" spans="1:13" x14ac:dyDescent="0.25">
      <c r="A197" t="s">
        <v>22</v>
      </c>
      <c r="B197" s="4">
        <v>46019</v>
      </c>
      <c r="C197" s="6">
        <v>0.64005787037037032</v>
      </c>
      <c r="D197" s="7" t="s">
        <v>650</v>
      </c>
      <c r="E197" t="s">
        <v>4193</v>
      </c>
      <c r="F197" t="s">
        <v>5076</v>
      </c>
      <c r="I197" t="s">
        <v>7887</v>
      </c>
      <c r="J197" t="s">
        <v>2989</v>
      </c>
      <c r="K197" t="s">
        <v>7888</v>
      </c>
      <c r="L197" t="s">
        <v>7889</v>
      </c>
      <c r="M197" s="3" t="str">
        <f>HYPERLINK(СторонТрансп[[#This Row],[RelativePath]])</f>
        <v>2 Пилорама поката\E33149364_7_20251228T152141Z.jpg</v>
      </c>
    </row>
    <row r="198" spans="1:13" x14ac:dyDescent="0.25">
      <c r="A198" t="s">
        <v>15</v>
      </c>
      <c r="B198" s="4">
        <v>45973</v>
      </c>
      <c r="C198" s="6">
        <v>0.6857523148148148</v>
      </c>
      <c r="D198" s="7" t="s">
        <v>289</v>
      </c>
      <c r="E198" t="s">
        <v>66</v>
      </c>
      <c r="F198" t="s">
        <v>288</v>
      </c>
      <c r="I198" t="s">
        <v>249</v>
      </c>
      <c r="J198" t="s">
        <v>2990</v>
      </c>
      <c r="K198" t="s">
        <v>250</v>
      </c>
      <c r="L198" t="s">
        <v>251</v>
      </c>
      <c r="M198" s="3" t="str">
        <f>HYPERLINK(СторонТрансп[[#This Row],[RelativePath]])</f>
        <v>3 Въезд на базу\E33149364_8_20251112T162729Z.jpg</v>
      </c>
    </row>
    <row r="199" spans="1:13" x14ac:dyDescent="0.25">
      <c r="A199" t="s">
        <v>17</v>
      </c>
      <c r="B199" s="4">
        <v>45975</v>
      </c>
      <c r="C199" s="6">
        <v>0.5526388888888889</v>
      </c>
      <c r="D199" s="7" t="s">
        <v>290</v>
      </c>
      <c r="E199" t="s">
        <v>66</v>
      </c>
      <c r="F199" t="s">
        <v>88</v>
      </c>
      <c r="I199" t="s">
        <v>279</v>
      </c>
      <c r="J199" t="s">
        <v>2990</v>
      </c>
      <c r="K199" t="s">
        <v>280</v>
      </c>
      <c r="L199" t="s">
        <v>281</v>
      </c>
      <c r="M199" s="3" t="str">
        <f>HYPERLINK(СторонТрансп[[#This Row],[RelativePath]])</f>
        <v>3 Въезд на базу\E33149364_8_20251114T131548Z.jpg</v>
      </c>
    </row>
    <row r="200" spans="1:13" x14ac:dyDescent="0.25">
      <c r="A200" t="s">
        <v>15</v>
      </c>
      <c r="B200" s="4">
        <v>45987</v>
      </c>
      <c r="C200" s="6">
        <v>0.45251157407407405</v>
      </c>
      <c r="D200" s="7" t="s">
        <v>4</v>
      </c>
      <c r="E200" t="s">
        <v>4192</v>
      </c>
      <c r="F200" t="s">
        <v>58</v>
      </c>
      <c r="I200" t="s">
        <v>3354</v>
      </c>
      <c r="J200" t="s">
        <v>2990</v>
      </c>
      <c r="K200" t="s">
        <v>3355</v>
      </c>
      <c r="L200" t="s">
        <v>3356</v>
      </c>
      <c r="M200" s="3" t="str">
        <f>HYPERLINK(СторонТрансп[[#This Row],[RelativePath]])</f>
        <v>3 Въезд на базу\E33149364_8_20251126T105137Z.jpg</v>
      </c>
    </row>
    <row r="201" spans="1:13" x14ac:dyDescent="0.25">
      <c r="A201" t="s">
        <v>18</v>
      </c>
      <c r="B201" s="4">
        <v>45990</v>
      </c>
      <c r="C201" s="6">
        <v>0.71567129629629633</v>
      </c>
      <c r="D201" s="7" t="s">
        <v>4</v>
      </c>
      <c r="E201" t="s">
        <v>4194</v>
      </c>
      <c r="F201" t="s">
        <v>4196</v>
      </c>
      <c r="I201" t="s">
        <v>3378</v>
      </c>
      <c r="J201" t="s">
        <v>2990</v>
      </c>
      <c r="K201" t="s">
        <v>3379</v>
      </c>
      <c r="L201" t="s">
        <v>3380</v>
      </c>
      <c r="M201" s="3" t="str">
        <f>HYPERLINK(СторонТрансп[[#This Row],[RelativePath]])</f>
        <v>3 Въезд на базу\E33149364_8_20251129T171034Z.jpg</v>
      </c>
    </row>
    <row r="202" spans="1:13" x14ac:dyDescent="0.25">
      <c r="A202" t="s">
        <v>13</v>
      </c>
      <c r="B202" s="4">
        <v>45992</v>
      </c>
      <c r="C202" s="6">
        <v>0.86937500000000001</v>
      </c>
      <c r="D202" s="7" t="s">
        <v>4</v>
      </c>
      <c r="E202" t="s">
        <v>4194</v>
      </c>
      <c r="H202" t="s">
        <v>5089</v>
      </c>
      <c r="I202" t="s">
        <v>4561</v>
      </c>
      <c r="J202" t="s">
        <v>2990</v>
      </c>
      <c r="K202" t="s">
        <v>4562</v>
      </c>
      <c r="L202" t="s">
        <v>4563</v>
      </c>
      <c r="M202" s="3" t="str">
        <f>HYPERLINK(СторонТрансп[[#This Row],[RelativePath]])</f>
        <v>3 Въезд на базу\E33149364_8_20251201T205154Z.jpg</v>
      </c>
    </row>
    <row r="203" spans="1:13" x14ac:dyDescent="0.25">
      <c r="A203" t="s">
        <v>22</v>
      </c>
      <c r="B203" s="4">
        <v>45998</v>
      </c>
      <c r="C203" s="6">
        <v>0.6731597222222222</v>
      </c>
      <c r="D203" s="7" t="s">
        <v>4</v>
      </c>
      <c r="E203" t="s">
        <v>5262</v>
      </c>
      <c r="F203" t="s">
        <v>1609</v>
      </c>
      <c r="I203" t="s">
        <v>5141</v>
      </c>
      <c r="J203" t="s">
        <v>2990</v>
      </c>
      <c r="K203" t="s">
        <v>5142</v>
      </c>
      <c r="L203" t="s">
        <v>5143</v>
      </c>
      <c r="M203" s="3" t="str">
        <f>HYPERLINK(СторонТрансп[[#This Row],[RelativePath]])</f>
        <v>3 Въезд на базу\E33149364_8_20251207T160921Z.jpg</v>
      </c>
    </row>
    <row r="204" spans="1:13" x14ac:dyDescent="0.25">
      <c r="A204" t="s">
        <v>18</v>
      </c>
      <c r="B204" s="4">
        <v>45976</v>
      </c>
      <c r="C204" s="6">
        <v>0.46825231481481483</v>
      </c>
      <c r="D204" s="7" t="s">
        <v>1606</v>
      </c>
      <c r="E204" t="s">
        <v>2001</v>
      </c>
      <c r="I204" t="s">
        <v>1253</v>
      </c>
      <c r="J204" t="s">
        <v>2991</v>
      </c>
      <c r="K204" t="s">
        <v>1254</v>
      </c>
      <c r="L204" t="s">
        <v>1255</v>
      </c>
      <c r="M204" s="3" t="str">
        <f>HYPERLINK(СторонТрансп[[#This Row],[RelativePath]])</f>
        <v>4 Крыльцо офиса\K07156189_21_20251115T111417Z.jpg</v>
      </c>
    </row>
    <row r="205" spans="1:13" x14ac:dyDescent="0.25">
      <c r="A205" t="s">
        <v>18</v>
      </c>
      <c r="B205" s="4">
        <v>45976</v>
      </c>
      <c r="C205" s="6">
        <v>0.49733796296296295</v>
      </c>
      <c r="D205" s="7" t="s">
        <v>650</v>
      </c>
      <c r="E205" t="s">
        <v>2001</v>
      </c>
      <c r="I205" t="s">
        <v>1256</v>
      </c>
      <c r="J205" t="s">
        <v>2991</v>
      </c>
      <c r="K205" t="s">
        <v>1257</v>
      </c>
      <c r="L205" t="s">
        <v>1258</v>
      </c>
      <c r="M205" s="3" t="str">
        <f>HYPERLINK(СторонТрансп[[#This Row],[RelativePath]])</f>
        <v>4 Крыльцо офиса\K07156189_21_20251115T115610Z.jpg</v>
      </c>
    </row>
    <row r="206" spans="1:13" x14ac:dyDescent="0.25">
      <c r="A206" t="s">
        <v>18</v>
      </c>
      <c r="B206" s="4">
        <v>45990</v>
      </c>
      <c r="C206" s="6">
        <v>0.71454861111111112</v>
      </c>
      <c r="D206" s="7" t="s">
        <v>4</v>
      </c>
      <c r="E206" t="s">
        <v>4194</v>
      </c>
      <c r="F206" t="s">
        <v>4196</v>
      </c>
      <c r="H206" t="s">
        <v>4205</v>
      </c>
      <c r="I206" t="s">
        <v>3402</v>
      </c>
      <c r="J206" t="s">
        <v>2991</v>
      </c>
      <c r="K206" t="s">
        <v>3403</v>
      </c>
      <c r="L206" t="s">
        <v>3404</v>
      </c>
      <c r="M206" s="3" t="str">
        <f>HYPERLINK(СторонТрансп[[#This Row],[RelativePath]])</f>
        <v>4 Крыльцо офиса\K07156189_21_20251129T170857Z.jpg</v>
      </c>
    </row>
    <row r="207" spans="1:13" x14ac:dyDescent="0.25">
      <c r="A207" t="s">
        <v>13</v>
      </c>
      <c r="B207" s="4">
        <v>45992</v>
      </c>
      <c r="C207" s="6">
        <v>0.86984953703703705</v>
      </c>
      <c r="D207" s="7" t="s">
        <v>290</v>
      </c>
      <c r="E207" t="s">
        <v>4194</v>
      </c>
      <c r="F207" t="s">
        <v>5093</v>
      </c>
      <c r="I207" t="s">
        <v>4450</v>
      </c>
      <c r="J207" t="s">
        <v>2991</v>
      </c>
      <c r="K207" t="s">
        <v>4451</v>
      </c>
      <c r="L207" t="s">
        <v>4452</v>
      </c>
      <c r="M207" s="3" t="str">
        <f>HYPERLINK(СторонТрансп[[#This Row],[RelativePath]])</f>
        <v>4 Крыльцо офиса\K07156189_21_20251201T205235Z.jpg</v>
      </c>
    </row>
    <row r="208" spans="1:13" x14ac:dyDescent="0.25">
      <c r="A208" t="s">
        <v>13</v>
      </c>
      <c r="B208" s="4">
        <v>45992</v>
      </c>
      <c r="C208" s="6">
        <v>0.87006944444444445</v>
      </c>
      <c r="D208" s="7" t="s">
        <v>290</v>
      </c>
      <c r="E208" t="s">
        <v>4194</v>
      </c>
      <c r="F208" t="s">
        <v>5093</v>
      </c>
      <c r="I208" t="s">
        <v>4453</v>
      </c>
      <c r="J208" t="s">
        <v>2991</v>
      </c>
      <c r="K208" t="s">
        <v>4454</v>
      </c>
      <c r="L208" t="s">
        <v>4455</v>
      </c>
      <c r="M208" s="3" t="str">
        <f>HYPERLINK(СторонТрансп[[#This Row],[RelativePath]])</f>
        <v>4 Крыльцо офиса\K07156189_21_20251201T205254Z.jpg</v>
      </c>
    </row>
    <row r="209" spans="1:13" x14ac:dyDescent="0.25">
      <c r="A209" t="s">
        <v>13</v>
      </c>
      <c r="B209" s="4">
        <v>45992</v>
      </c>
      <c r="C209" s="6">
        <v>0.87283564814814818</v>
      </c>
      <c r="D209" s="7" t="s">
        <v>650</v>
      </c>
      <c r="E209" t="s">
        <v>4194</v>
      </c>
      <c r="I209" t="s">
        <v>4456</v>
      </c>
      <c r="J209" t="s">
        <v>2991</v>
      </c>
      <c r="K209" t="s">
        <v>4457</v>
      </c>
      <c r="L209" t="s">
        <v>4458</v>
      </c>
      <c r="M209" s="3" t="str">
        <f>HYPERLINK(СторонТрансп[[#This Row],[RelativePath]])</f>
        <v>4 Крыльцо офиса\K07156189_21_20251201T205653Z.jpg</v>
      </c>
    </row>
    <row r="210" spans="1:13" x14ac:dyDescent="0.25">
      <c r="A210" t="s">
        <v>14</v>
      </c>
      <c r="B210" s="4">
        <v>46000</v>
      </c>
      <c r="C210" s="6">
        <v>0.51223379629629628</v>
      </c>
      <c r="D210" s="7" t="s">
        <v>290</v>
      </c>
      <c r="E210" t="s">
        <v>5505</v>
      </c>
      <c r="F210" t="s">
        <v>6173</v>
      </c>
      <c r="I210" t="s">
        <v>5696</v>
      </c>
      <c r="J210" t="s">
        <v>2991</v>
      </c>
      <c r="K210" t="s">
        <v>5697</v>
      </c>
      <c r="L210" t="s">
        <v>5698</v>
      </c>
      <c r="M210" s="3" t="str">
        <f>HYPERLINK(СторонТрансп[[#This Row],[RelativePath]])</f>
        <v>4 Крыльцо офиса\K07156189_21_20251209T121737Z.jpg</v>
      </c>
    </row>
    <row r="211" spans="1:13" x14ac:dyDescent="0.25">
      <c r="A211" t="s">
        <v>14</v>
      </c>
      <c r="B211" s="4">
        <v>46000</v>
      </c>
      <c r="C211" s="6">
        <v>0.51232638888888893</v>
      </c>
      <c r="D211" s="7" t="s">
        <v>290</v>
      </c>
      <c r="E211" t="s">
        <v>5505</v>
      </c>
      <c r="F211" t="s">
        <v>6173</v>
      </c>
      <c r="H211" t="s">
        <v>2936</v>
      </c>
      <c r="I211" t="s">
        <v>5699</v>
      </c>
      <c r="J211" t="s">
        <v>2991</v>
      </c>
      <c r="K211" t="s">
        <v>5700</v>
      </c>
      <c r="L211" t="s">
        <v>5701</v>
      </c>
      <c r="M211" s="3" t="str">
        <f>HYPERLINK(СторонТрансп[[#This Row],[RelativePath]])</f>
        <v>4 Крыльцо офиса\K07156189_21_20251209T121745Z.jpg</v>
      </c>
    </row>
    <row r="212" spans="1:13" x14ac:dyDescent="0.25">
      <c r="A212" t="s">
        <v>14</v>
      </c>
      <c r="B212" s="4">
        <v>46000</v>
      </c>
      <c r="C212" s="6">
        <v>0.51336805555555554</v>
      </c>
      <c r="D212" s="7" t="s">
        <v>290</v>
      </c>
      <c r="E212" t="s">
        <v>5505</v>
      </c>
      <c r="F212" t="s">
        <v>6173</v>
      </c>
      <c r="H212" t="s">
        <v>2936</v>
      </c>
      <c r="I212" t="s">
        <v>5702</v>
      </c>
      <c r="J212" t="s">
        <v>2991</v>
      </c>
      <c r="K212" t="s">
        <v>5703</v>
      </c>
      <c r="L212" t="s">
        <v>5704</v>
      </c>
      <c r="M212" s="3" t="str">
        <f>HYPERLINK(СторонТрансп[[#This Row],[RelativePath]])</f>
        <v>4 Крыльцо офиса\K07156189_21_20251209T121915Z.jpg</v>
      </c>
    </row>
    <row r="213" spans="1:13" x14ac:dyDescent="0.25">
      <c r="A213" t="s">
        <v>18</v>
      </c>
      <c r="B213" s="4">
        <v>46004</v>
      </c>
      <c r="C213" s="6">
        <v>0.40708333333333335</v>
      </c>
      <c r="D213" s="7" t="s">
        <v>4</v>
      </c>
      <c r="E213" t="s">
        <v>6167</v>
      </c>
      <c r="F213" t="s">
        <v>58</v>
      </c>
      <c r="I213" t="s">
        <v>6044</v>
      </c>
      <c r="J213" t="s">
        <v>2991</v>
      </c>
      <c r="K213" t="s">
        <v>6045</v>
      </c>
      <c r="L213" t="s">
        <v>6046</v>
      </c>
      <c r="M213" s="3" t="str">
        <f>HYPERLINK(СторонТрансп[[#This Row],[RelativePath]])</f>
        <v>4 Крыльцо офиса\K07156189_21_20251213T094612Z.jpg</v>
      </c>
    </row>
    <row r="214" spans="1:13" x14ac:dyDescent="0.25">
      <c r="A214" t="s">
        <v>18</v>
      </c>
      <c r="B214" s="4">
        <v>46004</v>
      </c>
      <c r="C214" s="6">
        <v>0.40886574074074072</v>
      </c>
      <c r="D214" s="7" t="s">
        <v>4</v>
      </c>
      <c r="E214" t="s">
        <v>6167</v>
      </c>
      <c r="F214" t="s">
        <v>58</v>
      </c>
      <c r="H214" t="s">
        <v>4205</v>
      </c>
      <c r="I214" t="s">
        <v>6047</v>
      </c>
      <c r="J214" t="s">
        <v>2991</v>
      </c>
      <c r="K214" t="s">
        <v>6048</v>
      </c>
      <c r="L214" t="s">
        <v>6049</v>
      </c>
      <c r="M214" s="3" t="str">
        <f>HYPERLINK(СторонТрансп[[#This Row],[RelativePath]])</f>
        <v>4 Крыльцо офиса\K07156189_21_20251213T094846Z.jpg</v>
      </c>
    </row>
    <row r="215" spans="1:13" x14ac:dyDescent="0.25">
      <c r="A215" t="s">
        <v>18</v>
      </c>
      <c r="B215" s="4">
        <v>46004</v>
      </c>
      <c r="C215" s="6">
        <v>0.52965277777777775</v>
      </c>
      <c r="D215" s="7" t="s">
        <v>1606</v>
      </c>
      <c r="E215" t="s">
        <v>6166</v>
      </c>
      <c r="F215" t="s">
        <v>51</v>
      </c>
      <c r="I215" t="s">
        <v>6050</v>
      </c>
      <c r="J215" t="s">
        <v>2991</v>
      </c>
      <c r="K215" t="s">
        <v>6051</v>
      </c>
      <c r="L215" t="s">
        <v>6052</v>
      </c>
      <c r="M215" s="3" t="str">
        <f>HYPERLINK(СторонТрансп[[#This Row],[RelativePath]])</f>
        <v>4 Крыльцо офиса\K07156189_21_20251213T124242Z.jpg</v>
      </c>
    </row>
    <row r="216" spans="1:13" x14ac:dyDescent="0.25">
      <c r="A216" t="s">
        <v>18</v>
      </c>
      <c r="B216" s="4">
        <v>46004</v>
      </c>
      <c r="C216" s="6">
        <v>0.52991898148148153</v>
      </c>
      <c r="D216" s="7" t="s">
        <v>1606</v>
      </c>
      <c r="E216" t="s">
        <v>6165</v>
      </c>
      <c r="F216" t="s">
        <v>51</v>
      </c>
      <c r="I216" t="s">
        <v>6053</v>
      </c>
      <c r="J216" t="s">
        <v>2991</v>
      </c>
      <c r="K216" t="s">
        <v>6054</v>
      </c>
      <c r="L216" t="s">
        <v>6055</v>
      </c>
      <c r="M216" s="3" t="str">
        <f>HYPERLINK(СторонТрансп[[#This Row],[RelativePath]])</f>
        <v>4 Крыльцо офиса\K07156189_21_20251213T124305Z.jpg</v>
      </c>
    </row>
    <row r="217" spans="1:13" x14ac:dyDescent="0.25">
      <c r="A217" t="s">
        <v>18</v>
      </c>
      <c r="B217" s="4">
        <v>46004</v>
      </c>
      <c r="C217" s="6">
        <v>0.53687499999999999</v>
      </c>
      <c r="D217" s="7" t="s">
        <v>650</v>
      </c>
      <c r="E217" t="s">
        <v>6166</v>
      </c>
      <c r="F217" t="s">
        <v>51</v>
      </c>
      <c r="I217" t="s">
        <v>6056</v>
      </c>
      <c r="J217" t="s">
        <v>2991</v>
      </c>
      <c r="K217" t="s">
        <v>6057</v>
      </c>
      <c r="L217" t="s">
        <v>6058</v>
      </c>
      <c r="M217" s="3" t="str">
        <f>HYPERLINK(СторонТрансп[[#This Row],[RelativePath]])</f>
        <v>4 Крыльцо офиса\K07156189_21_20251213T125306Z.jpg</v>
      </c>
    </row>
    <row r="218" spans="1:13" x14ac:dyDescent="0.25">
      <c r="A218" t="s">
        <v>18</v>
      </c>
      <c r="B218" s="4">
        <v>46004</v>
      </c>
      <c r="C218" s="6">
        <v>0.5370949074074074</v>
      </c>
      <c r="D218" s="7" t="s">
        <v>650</v>
      </c>
      <c r="E218" t="s">
        <v>6165</v>
      </c>
      <c r="F218" t="s">
        <v>51</v>
      </c>
      <c r="I218" t="s">
        <v>6059</v>
      </c>
      <c r="J218" t="s">
        <v>2991</v>
      </c>
      <c r="K218" t="s">
        <v>6060</v>
      </c>
      <c r="L218" t="s">
        <v>6061</v>
      </c>
      <c r="M218" s="3" t="str">
        <f>HYPERLINK(СторонТрансп[[#This Row],[RelativePath]])</f>
        <v>4 Крыльцо офиса\K07156189_21_20251213T125325Z.jpg</v>
      </c>
    </row>
    <row r="219" spans="1:13" x14ac:dyDescent="0.25">
      <c r="A219" t="s">
        <v>18</v>
      </c>
      <c r="B219" s="4">
        <v>46004</v>
      </c>
      <c r="C219" s="6">
        <v>0.5397453703703704</v>
      </c>
      <c r="D219" s="7" t="s">
        <v>1606</v>
      </c>
      <c r="E219" t="s">
        <v>6167</v>
      </c>
      <c r="F219" t="s">
        <v>58</v>
      </c>
      <c r="I219" t="s">
        <v>6062</v>
      </c>
      <c r="J219" t="s">
        <v>2991</v>
      </c>
      <c r="K219" t="s">
        <v>6063</v>
      </c>
      <c r="L219" t="s">
        <v>6064</v>
      </c>
      <c r="M219" s="3" t="str">
        <f>HYPERLINK(СторонТрансп[[#This Row],[RelativePath]])</f>
        <v>4 Крыльцо офиса\K07156189_21_20251213T125714Z.jpg</v>
      </c>
    </row>
    <row r="220" spans="1:13" x14ac:dyDescent="0.25">
      <c r="A220" t="s">
        <v>18</v>
      </c>
      <c r="B220" s="4">
        <v>46004</v>
      </c>
      <c r="C220" s="6">
        <v>0.54593749999999996</v>
      </c>
      <c r="D220" s="7" t="s">
        <v>6174</v>
      </c>
      <c r="E220" t="s">
        <v>6167</v>
      </c>
      <c r="F220" t="s">
        <v>58</v>
      </c>
      <c r="I220" t="s">
        <v>6161</v>
      </c>
      <c r="J220" t="s">
        <v>2991</v>
      </c>
      <c r="K220" t="s">
        <v>6162</v>
      </c>
      <c r="L220" t="s">
        <v>6163</v>
      </c>
      <c r="M220" s="3" t="str">
        <f>HYPERLINK(СторонТрансп[[#This Row],[RelativePath]])</f>
        <v>4 Крыльцо офиса\K07156189_21_20251213T130609Z.jpg</v>
      </c>
    </row>
    <row r="221" spans="1:13" x14ac:dyDescent="0.25">
      <c r="A221" t="s">
        <v>22</v>
      </c>
      <c r="B221" s="4">
        <v>46019</v>
      </c>
      <c r="C221" s="6">
        <v>0.50564814814814818</v>
      </c>
      <c r="D221" s="7" t="s">
        <v>4</v>
      </c>
      <c r="E221" t="s">
        <v>4193</v>
      </c>
      <c r="F221" t="s">
        <v>5076</v>
      </c>
      <c r="I221" t="s">
        <v>7998</v>
      </c>
      <c r="J221" t="s">
        <v>2991</v>
      </c>
      <c r="K221" t="s">
        <v>7999</v>
      </c>
      <c r="L221" t="s">
        <v>8000</v>
      </c>
      <c r="M221" s="3" t="str">
        <f>HYPERLINK(СторонТрансп[[#This Row],[RelativePath]])</f>
        <v>4 Крыльцо офиса\K07156189_21_20251228T120808Z.jpg</v>
      </c>
    </row>
    <row r="222" spans="1:13" x14ac:dyDescent="0.25">
      <c r="A222" t="s">
        <v>14</v>
      </c>
      <c r="B222" s="4">
        <v>45972</v>
      </c>
      <c r="C222" s="6">
        <v>0.39533564814814814</v>
      </c>
      <c r="D222" s="7" t="s">
        <v>467</v>
      </c>
      <c r="E222" t="s">
        <v>67</v>
      </c>
      <c r="I222" t="s">
        <v>364</v>
      </c>
      <c r="J222" t="s">
        <v>2982</v>
      </c>
      <c r="K222" t="s">
        <v>365</v>
      </c>
      <c r="L222" t="s">
        <v>366</v>
      </c>
      <c r="M222" s="3" t="str">
        <f>HYPERLINK(СторонТрансп[[#This Row],[RelativePath]])</f>
        <v>5 Крыльцо общага\K07156189_22_20251111T092917Z.jpg</v>
      </c>
    </row>
    <row r="223" spans="1:13" x14ac:dyDescent="0.25">
      <c r="A223" t="s">
        <v>14</v>
      </c>
      <c r="B223" s="4">
        <v>45972</v>
      </c>
      <c r="C223" s="6">
        <v>0.39787037037037037</v>
      </c>
      <c r="D223" s="7" t="s">
        <v>289</v>
      </c>
      <c r="E223" t="s">
        <v>67</v>
      </c>
      <c r="F223" t="s">
        <v>468</v>
      </c>
      <c r="I223" t="s">
        <v>367</v>
      </c>
      <c r="J223" t="s">
        <v>2982</v>
      </c>
      <c r="K223" t="s">
        <v>368</v>
      </c>
      <c r="L223" t="s">
        <v>369</v>
      </c>
      <c r="M223" s="3" t="str">
        <f>HYPERLINK(СторонТрансп[[#This Row],[RelativePath]])</f>
        <v>5 Крыльцо общага\K07156189_22_20251111T093256Z.jpg</v>
      </c>
    </row>
    <row r="224" spans="1:13" x14ac:dyDescent="0.25">
      <c r="A224" t="s">
        <v>14</v>
      </c>
      <c r="B224" s="4">
        <v>45972</v>
      </c>
      <c r="C224" s="6">
        <v>0.40370370370370373</v>
      </c>
      <c r="D224" s="7" t="s">
        <v>289</v>
      </c>
      <c r="E224" t="s">
        <v>67</v>
      </c>
      <c r="F224" t="s">
        <v>468</v>
      </c>
      <c r="I224" t="s">
        <v>370</v>
      </c>
      <c r="J224" t="s">
        <v>2982</v>
      </c>
      <c r="K224" t="s">
        <v>371</v>
      </c>
      <c r="L224" t="s">
        <v>372</v>
      </c>
      <c r="M224" s="3" t="str">
        <f>HYPERLINK(СторонТрансп[[#This Row],[RelativePath]])</f>
        <v>5 Крыльцо общага\K07156189_22_20251111T094120Z.jpg</v>
      </c>
    </row>
    <row r="225" spans="1:13" x14ac:dyDescent="0.25">
      <c r="A225" t="s">
        <v>14</v>
      </c>
      <c r="B225" s="4">
        <v>45972</v>
      </c>
      <c r="C225" s="6">
        <v>0.40377314814814813</v>
      </c>
      <c r="D225" s="7" t="s">
        <v>289</v>
      </c>
      <c r="E225" t="s">
        <v>67</v>
      </c>
      <c r="F225" t="s">
        <v>468</v>
      </c>
      <c r="I225" t="s">
        <v>373</v>
      </c>
      <c r="J225" t="s">
        <v>2982</v>
      </c>
      <c r="K225" t="s">
        <v>374</v>
      </c>
      <c r="L225" t="s">
        <v>375</v>
      </c>
      <c r="M225" s="3" t="str">
        <f>HYPERLINK(СторонТрансп[[#This Row],[RelativePath]])</f>
        <v>5 Крыльцо общага\K07156189_22_20251111T094126Z.jpg</v>
      </c>
    </row>
    <row r="226" spans="1:13" x14ac:dyDescent="0.25">
      <c r="A226" t="s">
        <v>14</v>
      </c>
      <c r="B226" s="4">
        <v>45972</v>
      </c>
      <c r="C226" s="6">
        <v>0.40597222222222223</v>
      </c>
      <c r="D226" s="7" t="s">
        <v>289</v>
      </c>
      <c r="E226" t="s">
        <v>67</v>
      </c>
      <c r="F226" t="s">
        <v>468</v>
      </c>
      <c r="I226" t="s">
        <v>376</v>
      </c>
      <c r="J226" t="s">
        <v>2982</v>
      </c>
      <c r="K226" t="s">
        <v>377</v>
      </c>
      <c r="L226" t="s">
        <v>378</v>
      </c>
      <c r="M226" s="3" t="str">
        <f>HYPERLINK(СторонТрансп[[#This Row],[RelativePath]])</f>
        <v>5 Крыльцо общага\K07156189_22_20251111T094436Z.jpg</v>
      </c>
    </row>
    <row r="227" spans="1:13" x14ac:dyDescent="0.25">
      <c r="A227" t="s">
        <v>14</v>
      </c>
      <c r="B227" s="4">
        <v>45972</v>
      </c>
      <c r="C227" s="6">
        <v>0.40881944444444446</v>
      </c>
      <c r="D227" s="7" t="s">
        <v>289</v>
      </c>
      <c r="E227" t="s">
        <v>67</v>
      </c>
      <c r="F227" t="s">
        <v>468</v>
      </c>
      <c r="I227" t="s">
        <v>379</v>
      </c>
      <c r="J227" t="s">
        <v>2982</v>
      </c>
      <c r="K227" t="s">
        <v>380</v>
      </c>
      <c r="L227" t="s">
        <v>381</v>
      </c>
      <c r="M227" s="3" t="str">
        <f>HYPERLINK(СторонТрансп[[#This Row],[RelativePath]])</f>
        <v>5 Крыльцо общага\K07156189_22_20251111T094842Z.jpg</v>
      </c>
    </row>
    <row r="228" spans="1:13" x14ac:dyDescent="0.25">
      <c r="A228" t="s">
        <v>14</v>
      </c>
      <c r="B228" s="4">
        <v>45972</v>
      </c>
      <c r="C228" s="6">
        <v>0.4105787037037037</v>
      </c>
      <c r="D228" s="7" t="s">
        <v>289</v>
      </c>
      <c r="E228" t="s">
        <v>67</v>
      </c>
      <c r="F228" t="s">
        <v>468</v>
      </c>
      <c r="I228" t="s">
        <v>382</v>
      </c>
      <c r="J228" t="s">
        <v>2982</v>
      </c>
      <c r="K228" t="s">
        <v>383</v>
      </c>
      <c r="L228" t="s">
        <v>384</v>
      </c>
      <c r="M228" s="3" t="str">
        <f>HYPERLINK(СторонТрансп[[#This Row],[RelativePath]])</f>
        <v>5 Крыльцо общага\K07156189_22_20251111T095114Z.jpg</v>
      </c>
    </row>
    <row r="229" spans="1:13" x14ac:dyDescent="0.25">
      <c r="A229" t="s">
        <v>14</v>
      </c>
      <c r="B229" s="4">
        <v>45972</v>
      </c>
      <c r="C229" s="6">
        <v>0.41136574074074073</v>
      </c>
      <c r="D229" s="7" t="s">
        <v>289</v>
      </c>
      <c r="E229" t="s">
        <v>67</v>
      </c>
      <c r="F229" t="s">
        <v>468</v>
      </c>
      <c r="I229" t="s">
        <v>385</v>
      </c>
      <c r="J229" t="s">
        <v>2982</v>
      </c>
      <c r="K229" t="s">
        <v>386</v>
      </c>
      <c r="L229" t="s">
        <v>387</v>
      </c>
      <c r="M229" s="3" t="str">
        <f>HYPERLINK(СторонТрансп[[#This Row],[RelativePath]])</f>
        <v>5 Крыльцо общага\K07156189_22_20251111T095222Z.jpg</v>
      </c>
    </row>
    <row r="230" spans="1:13" x14ac:dyDescent="0.25">
      <c r="A230" t="s">
        <v>14</v>
      </c>
      <c r="B230" s="4">
        <v>45972</v>
      </c>
      <c r="C230" s="6">
        <v>0.41312500000000002</v>
      </c>
      <c r="D230" s="7" t="s">
        <v>289</v>
      </c>
      <c r="E230" t="s">
        <v>67</v>
      </c>
      <c r="F230" t="s">
        <v>468</v>
      </c>
      <c r="I230" t="s">
        <v>388</v>
      </c>
      <c r="J230" t="s">
        <v>2982</v>
      </c>
      <c r="K230" t="s">
        <v>389</v>
      </c>
      <c r="L230" t="s">
        <v>390</v>
      </c>
      <c r="M230" s="3" t="str">
        <f>HYPERLINK(СторонТрансп[[#This Row],[RelativePath]])</f>
        <v>5 Крыльцо общага\K07156189_22_20251111T095454Z.jpg</v>
      </c>
    </row>
    <row r="231" spans="1:13" x14ac:dyDescent="0.25">
      <c r="A231" t="s">
        <v>14</v>
      </c>
      <c r="B231" s="4">
        <v>45972</v>
      </c>
      <c r="C231" s="6">
        <v>0.41627314814814814</v>
      </c>
      <c r="D231" s="7" t="s">
        <v>289</v>
      </c>
      <c r="E231" t="s">
        <v>67</v>
      </c>
      <c r="F231" t="s">
        <v>468</v>
      </c>
      <c r="I231" t="s">
        <v>391</v>
      </c>
      <c r="J231" t="s">
        <v>2982</v>
      </c>
      <c r="K231" t="s">
        <v>392</v>
      </c>
      <c r="L231" t="s">
        <v>393</v>
      </c>
      <c r="M231" s="3" t="str">
        <f>HYPERLINK(СторонТрансп[[#This Row],[RelativePath]])</f>
        <v>5 Крыльцо общага\K07156189_22_20251111T095926Z.jpg</v>
      </c>
    </row>
    <row r="232" spans="1:13" x14ac:dyDescent="0.25">
      <c r="A232" t="s">
        <v>14</v>
      </c>
      <c r="B232" s="4">
        <v>45972</v>
      </c>
      <c r="C232" s="6">
        <v>0.4226273148148148</v>
      </c>
      <c r="D232" s="7" t="s">
        <v>289</v>
      </c>
      <c r="E232" t="s">
        <v>67</v>
      </c>
      <c r="F232" t="s">
        <v>468</v>
      </c>
      <c r="I232" t="s">
        <v>394</v>
      </c>
      <c r="J232" t="s">
        <v>2982</v>
      </c>
      <c r="K232" t="s">
        <v>395</v>
      </c>
      <c r="L232" t="s">
        <v>396</v>
      </c>
      <c r="M232" s="3" t="str">
        <f>HYPERLINK(СторонТрансп[[#This Row],[RelativePath]])</f>
        <v>5 Крыльцо общага\K07156189_22_20251111T100835Z.jpg</v>
      </c>
    </row>
    <row r="233" spans="1:13" x14ac:dyDescent="0.25">
      <c r="A233" t="s">
        <v>14</v>
      </c>
      <c r="B233" s="4">
        <v>45972</v>
      </c>
      <c r="C233" s="6">
        <v>0.42736111111111114</v>
      </c>
      <c r="D233" s="7" t="s">
        <v>289</v>
      </c>
      <c r="E233" t="s">
        <v>67</v>
      </c>
      <c r="F233" t="s">
        <v>468</v>
      </c>
      <c r="I233" t="s">
        <v>397</v>
      </c>
      <c r="J233" t="s">
        <v>2982</v>
      </c>
      <c r="K233" t="s">
        <v>398</v>
      </c>
      <c r="L233" t="s">
        <v>399</v>
      </c>
      <c r="M233" s="3" t="str">
        <f>HYPERLINK(СторонТрансп[[#This Row],[RelativePath]])</f>
        <v>5 Крыльцо общага\K07156189_22_20251111T101524Z.jpg</v>
      </c>
    </row>
    <row r="234" spans="1:13" x14ac:dyDescent="0.25">
      <c r="A234" t="s">
        <v>14</v>
      </c>
      <c r="B234" s="4">
        <v>45972</v>
      </c>
      <c r="C234" s="6">
        <v>0.42944444444444446</v>
      </c>
      <c r="D234" s="7" t="s">
        <v>289</v>
      </c>
      <c r="E234" t="s">
        <v>67</v>
      </c>
      <c r="F234" t="s">
        <v>468</v>
      </c>
      <c r="I234" t="s">
        <v>400</v>
      </c>
      <c r="J234" t="s">
        <v>2982</v>
      </c>
      <c r="K234" t="s">
        <v>401</v>
      </c>
      <c r="L234" t="s">
        <v>402</v>
      </c>
      <c r="M234" s="3" t="str">
        <f>HYPERLINK(СторонТрансп[[#This Row],[RelativePath]])</f>
        <v>5 Крыльцо общага\K07156189_22_20251111T101824Z.jpg</v>
      </c>
    </row>
    <row r="235" spans="1:13" x14ac:dyDescent="0.25">
      <c r="A235" t="s">
        <v>14</v>
      </c>
      <c r="B235" s="4">
        <v>45972</v>
      </c>
      <c r="C235" s="6">
        <v>0.4316550925925926</v>
      </c>
      <c r="D235" s="7" t="s">
        <v>289</v>
      </c>
      <c r="E235" t="s">
        <v>67</v>
      </c>
      <c r="F235" t="s">
        <v>468</v>
      </c>
      <c r="I235" t="s">
        <v>403</v>
      </c>
      <c r="J235" t="s">
        <v>2982</v>
      </c>
      <c r="K235" t="s">
        <v>404</v>
      </c>
      <c r="L235" t="s">
        <v>405</v>
      </c>
      <c r="M235" s="3" t="str">
        <f>HYPERLINK(СторонТрансп[[#This Row],[RelativePath]])</f>
        <v>5 Крыльцо общага\K07156189_22_20251111T102135Z.jpg</v>
      </c>
    </row>
    <row r="236" spans="1:13" x14ac:dyDescent="0.25">
      <c r="A236" t="s">
        <v>14</v>
      </c>
      <c r="B236" s="4">
        <v>45972</v>
      </c>
      <c r="C236" s="6">
        <v>0.43408564814814815</v>
      </c>
      <c r="D236" s="7" t="s">
        <v>289</v>
      </c>
      <c r="E236" t="s">
        <v>67</v>
      </c>
      <c r="F236" t="s">
        <v>468</v>
      </c>
      <c r="I236" t="s">
        <v>406</v>
      </c>
      <c r="J236" t="s">
        <v>2982</v>
      </c>
      <c r="K236" t="s">
        <v>407</v>
      </c>
      <c r="L236" t="s">
        <v>408</v>
      </c>
      <c r="M236" s="3" t="str">
        <f>HYPERLINK(СторонТрансп[[#This Row],[RelativePath]])</f>
        <v>5 Крыльцо общага\K07156189_22_20251111T102505Z.jpg</v>
      </c>
    </row>
    <row r="237" spans="1:13" x14ac:dyDescent="0.25">
      <c r="A237" t="s">
        <v>14</v>
      </c>
      <c r="B237" s="4">
        <v>45972</v>
      </c>
      <c r="C237" s="6">
        <v>0.43606481481481479</v>
      </c>
      <c r="D237" s="7" t="s">
        <v>289</v>
      </c>
      <c r="E237" t="s">
        <v>67</v>
      </c>
      <c r="F237" t="s">
        <v>469</v>
      </c>
      <c r="H237" t="s">
        <v>470</v>
      </c>
      <c r="I237" t="s">
        <v>409</v>
      </c>
      <c r="J237" t="s">
        <v>2982</v>
      </c>
      <c r="K237" t="s">
        <v>410</v>
      </c>
      <c r="L237" t="s">
        <v>411</v>
      </c>
      <c r="M237" s="3" t="str">
        <f>HYPERLINK(СторонТрансп[[#This Row],[RelativePath]])</f>
        <v>5 Крыльцо общага\K07156189_22_20251111T102756Z.jpg</v>
      </c>
    </row>
    <row r="238" spans="1:13" x14ac:dyDescent="0.25">
      <c r="A238" t="s">
        <v>14</v>
      </c>
      <c r="B238" s="4">
        <v>45972</v>
      </c>
      <c r="C238" s="6">
        <v>0.4387847222222222</v>
      </c>
      <c r="D238" s="7" t="s">
        <v>471</v>
      </c>
      <c r="E238" t="s">
        <v>67</v>
      </c>
      <c r="F238" t="s">
        <v>468</v>
      </c>
      <c r="I238" t="s">
        <v>412</v>
      </c>
      <c r="J238" t="s">
        <v>2982</v>
      </c>
      <c r="K238" t="s">
        <v>413</v>
      </c>
      <c r="L238" t="s">
        <v>414</v>
      </c>
      <c r="M238" s="3" t="str">
        <f>HYPERLINK(СторонТрансп[[#This Row],[RelativePath]])</f>
        <v>5 Крыльцо общага\K07156189_22_20251111T103151Z.jpg</v>
      </c>
    </row>
    <row r="239" spans="1:13" x14ac:dyDescent="0.25">
      <c r="A239" t="s">
        <v>14</v>
      </c>
      <c r="B239" s="4">
        <v>45972</v>
      </c>
      <c r="C239" s="6">
        <v>0.44353009259259257</v>
      </c>
      <c r="D239" s="7" t="s">
        <v>472</v>
      </c>
      <c r="E239" t="s">
        <v>67</v>
      </c>
      <c r="F239" t="s">
        <v>468</v>
      </c>
      <c r="I239" t="s">
        <v>415</v>
      </c>
      <c r="J239" t="s">
        <v>2982</v>
      </c>
      <c r="K239" t="s">
        <v>416</v>
      </c>
      <c r="L239" t="s">
        <v>417</v>
      </c>
      <c r="M239" s="3" t="str">
        <f>HYPERLINK(СторонТрансп[[#This Row],[RelativePath]])</f>
        <v>5 Крыльцо общага\K07156189_22_20251111T103841Z.jpg</v>
      </c>
    </row>
    <row r="240" spans="1:13" x14ac:dyDescent="0.25">
      <c r="A240" t="s">
        <v>15</v>
      </c>
      <c r="B240" s="4">
        <v>45973</v>
      </c>
      <c r="C240" s="6">
        <v>0.69714120370370369</v>
      </c>
      <c r="D240" s="7" t="s">
        <v>4</v>
      </c>
      <c r="E240" t="s">
        <v>477</v>
      </c>
      <c r="H240" t="s">
        <v>478</v>
      </c>
      <c r="I240" t="s">
        <v>427</v>
      </c>
      <c r="J240" t="s">
        <v>2982</v>
      </c>
      <c r="K240" t="s">
        <v>428</v>
      </c>
      <c r="L240" t="s">
        <v>429</v>
      </c>
      <c r="M240" s="3" t="str">
        <f>HYPERLINK(СторонТрансп[[#This Row],[RelativePath]])</f>
        <v>5 Крыльцо общага\K07156189_22_20251112T164353Z.jpg</v>
      </c>
    </row>
    <row r="241" spans="1:13" x14ac:dyDescent="0.25">
      <c r="A241" t="s">
        <v>22</v>
      </c>
      <c r="B241" s="4">
        <v>45998</v>
      </c>
      <c r="C241" s="6">
        <v>0.61542824074074076</v>
      </c>
      <c r="D241" s="7" t="s">
        <v>1606</v>
      </c>
      <c r="E241" t="s">
        <v>5263</v>
      </c>
      <c r="F241" t="s">
        <v>4233</v>
      </c>
      <c r="I241" t="s">
        <v>5148</v>
      </c>
      <c r="J241" t="s">
        <v>2982</v>
      </c>
      <c r="K241" t="s">
        <v>5149</v>
      </c>
      <c r="L241" t="s">
        <v>5150</v>
      </c>
      <c r="M241" s="3" t="str">
        <f>HYPERLINK(СторонТрансп[[#This Row],[RelativePath]])</f>
        <v>5 Крыльцо общага\K07156189_22_20251207T144613Z.jpg</v>
      </c>
    </row>
    <row r="242" spans="1:13" x14ac:dyDescent="0.25">
      <c r="A242" t="s">
        <v>22</v>
      </c>
      <c r="B242" s="4">
        <v>45998</v>
      </c>
      <c r="C242" s="6">
        <v>0.61756944444444439</v>
      </c>
      <c r="D242" s="7" t="s">
        <v>289</v>
      </c>
      <c r="E242" t="s">
        <v>5263</v>
      </c>
      <c r="F242" t="s">
        <v>5093</v>
      </c>
      <c r="I242" t="s">
        <v>5151</v>
      </c>
      <c r="J242" t="s">
        <v>2982</v>
      </c>
      <c r="K242" t="s">
        <v>5152</v>
      </c>
      <c r="L242" t="s">
        <v>5153</v>
      </c>
      <c r="M242" s="3" t="str">
        <f>HYPERLINK(СторонТрансп[[#This Row],[RelativePath]])</f>
        <v>5 Крыльцо общага\K07156189_22_20251207T144918Z.jpg</v>
      </c>
    </row>
    <row r="243" spans="1:13" x14ac:dyDescent="0.25">
      <c r="A243" t="s">
        <v>22</v>
      </c>
      <c r="B243" s="4">
        <v>45998</v>
      </c>
      <c r="C243" s="6">
        <v>0.62070601851851848</v>
      </c>
      <c r="D243" s="7" t="s">
        <v>289</v>
      </c>
      <c r="E243" t="s">
        <v>5263</v>
      </c>
      <c r="F243" t="s">
        <v>5093</v>
      </c>
      <c r="H243" t="s">
        <v>2936</v>
      </c>
      <c r="I243" t="s">
        <v>5154</v>
      </c>
      <c r="J243" t="s">
        <v>2982</v>
      </c>
      <c r="K243" t="s">
        <v>5155</v>
      </c>
      <c r="L243" t="s">
        <v>5156</v>
      </c>
      <c r="M243" s="3" t="str">
        <f>HYPERLINK(СторонТрансп[[#This Row],[RelativePath]])</f>
        <v>5 Крыльцо общага\K07156189_22_20251207T145349Z.jpg</v>
      </c>
    </row>
    <row r="244" spans="1:13" x14ac:dyDescent="0.25">
      <c r="A244" t="s">
        <v>22</v>
      </c>
      <c r="B244" s="4">
        <v>45998</v>
      </c>
      <c r="C244" s="6">
        <v>0.62306712962962962</v>
      </c>
      <c r="D244" s="7" t="s">
        <v>289</v>
      </c>
      <c r="E244" t="s">
        <v>5263</v>
      </c>
      <c r="F244" t="s">
        <v>5093</v>
      </c>
      <c r="H244" t="s">
        <v>2936</v>
      </c>
      <c r="I244" t="s">
        <v>5157</v>
      </c>
      <c r="J244" t="s">
        <v>2982</v>
      </c>
      <c r="K244" t="s">
        <v>5158</v>
      </c>
      <c r="L244" t="s">
        <v>5159</v>
      </c>
      <c r="M244" s="3" t="str">
        <f>HYPERLINK(СторонТрансп[[#This Row],[RelativePath]])</f>
        <v>5 Крыльцо общага\K07156189_22_20251207T145713Z.jpg</v>
      </c>
    </row>
    <row r="245" spans="1:13" x14ac:dyDescent="0.25">
      <c r="A245" t="s">
        <v>22</v>
      </c>
      <c r="B245" s="4">
        <v>45998</v>
      </c>
      <c r="C245" s="6">
        <v>0.62668981481481478</v>
      </c>
      <c r="D245" s="7" t="s">
        <v>289</v>
      </c>
      <c r="E245" t="s">
        <v>5263</v>
      </c>
      <c r="F245" t="s">
        <v>5093</v>
      </c>
      <c r="H245" t="s">
        <v>2936</v>
      </c>
      <c r="I245" t="s">
        <v>5160</v>
      </c>
      <c r="J245" t="s">
        <v>2982</v>
      </c>
      <c r="K245" t="s">
        <v>5161</v>
      </c>
      <c r="L245" t="s">
        <v>5162</v>
      </c>
      <c r="M245" s="3" t="str">
        <f>HYPERLINK(СторонТрансп[[#This Row],[RelativePath]])</f>
        <v>5 Крыльцо общага\K07156189_22_20251207T150226Z.jpg</v>
      </c>
    </row>
    <row r="246" spans="1:13" x14ac:dyDescent="0.25">
      <c r="A246" t="s">
        <v>22</v>
      </c>
      <c r="B246" s="4">
        <v>45998</v>
      </c>
      <c r="C246" s="6">
        <v>0.62921296296296292</v>
      </c>
      <c r="D246" s="7" t="s">
        <v>289</v>
      </c>
      <c r="E246" t="s">
        <v>5263</v>
      </c>
      <c r="F246" t="s">
        <v>5093</v>
      </c>
      <c r="H246" t="s">
        <v>2936</v>
      </c>
      <c r="I246" t="s">
        <v>5163</v>
      </c>
      <c r="J246" t="s">
        <v>2982</v>
      </c>
      <c r="K246" t="s">
        <v>5164</v>
      </c>
      <c r="L246" t="s">
        <v>5165</v>
      </c>
      <c r="M246" s="3" t="str">
        <f>HYPERLINK(СторонТрансп[[#This Row],[RelativePath]])</f>
        <v>5 Крыльцо общага\K07156189_22_20251207T150604Z.jpg</v>
      </c>
    </row>
    <row r="247" spans="1:13" x14ac:dyDescent="0.25">
      <c r="A247" t="s">
        <v>22</v>
      </c>
      <c r="B247" s="4">
        <v>45998</v>
      </c>
      <c r="C247" s="6">
        <v>0.63689814814814816</v>
      </c>
      <c r="D247" s="7" t="s">
        <v>289</v>
      </c>
      <c r="E247" t="s">
        <v>5263</v>
      </c>
      <c r="F247" t="s">
        <v>5093</v>
      </c>
      <c r="H247" t="s">
        <v>2936</v>
      </c>
      <c r="I247" t="s">
        <v>5166</v>
      </c>
      <c r="J247" t="s">
        <v>2982</v>
      </c>
      <c r="K247" t="s">
        <v>5167</v>
      </c>
      <c r="L247" t="s">
        <v>5168</v>
      </c>
      <c r="M247" s="3" t="str">
        <f>HYPERLINK(СторонТрансп[[#This Row],[RelativePath]])</f>
        <v>5 Крыльцо общага\K07156189_22_20251207T151708Z.jpg</v>
      </c>
    </row>
    <row r="248" spans="1:13" x14ac:dyDescent="0.25">
      <c r="A248" t="s">
        <v>22</v>
      </c>
      <c r="B248" s="4">
        <v>45998</v>
      </c>
      <c r="C248" s="6">
        <v>0.6521527777777778</v>
      </c>
      <c r="D248" s="7" t="s">
        <v>4232</v>
      </c>
      <c r="E248" t="s">
        <v>5263</v>
      </c>
      <c r="F248" t="s">
        <v>1609</v>
      </c>
      <c r="I248" t="s">
        <v>5169</v>
      </c>
      <c r="J248" t="s">
        <v>2982</v>
      </c>
      <c r="K248" t="s">
        <v>5170</v>
      </c>
      <c r="L248" t="s">
        <v>5171</v>
      </c>
      <c r="M248" s="3" t="str">
        <f>HYPERLINK(СторонТрансп[[#This Row],[RelativePath]])</f>
        <v>5 Крыльцо общага\K07156189_22_20251207T153906Z.jpg</v>
      </c>
    </row>
    <row r="249" spans="1:13" x14ac:dyDescent="0.25">
      <c r="A249" t="s">
        <v>22</v>
      </c>
      <c r="B249" s="4">
        <v>45998</v>
      </c>
      <c r="C249" s="6">
        <v>0.67266203703703709</v>
      </c>
      <c r="D249" s="7" t="s">
        <v>650</v>
      </c>
      <c r="E249" t="s">
        <v>5263</v>
      </c>
      <c r="F249" t="s">
        <v>1609</v>
      </c>
      <c r="I249" t="s">
        <v>5172</v>
      </c>
      <c r="J249" t="s">
        <v>2982</v>
      </c>
      <c r="K249" t="s">
        <v>5173</v>
      </c>
      <c r="L249" t="s">
        <v>5174</v>
      </c>
      <c r="M249" s="3" t="str">
        <f>HYPERLINK(СторонТрансп[[#This Row],[RelativePath]])</f>
        <v>5 Крыльцо общага\K07156189_22_20251207T160838Z.jpg</v>
      </c>
    </row>
    <row r="250" spans="1:13" x14ac:dyDescent="0.25">
      <c r="A250" t="s">
        <v>16</v>
      </c>
      <c r="B250" s="4">
        <v>46016</v>
      </c>
      <c r="C250" s="6">
        <v>0.51192129629629635</v>
      </c>
      <c r="D250" s="7" t="s">
        <v>4</v>
      </c>
      <c r="E250" t="s">
        <v>4193</v>
      </c>
      <c r="I250" t="s">
        <v>7673</v>
      </c>
      <c r="J250" t="s">
        <v>2982</v>
      </c>
      <c r="K250" t="s">
        <v>7674</v>
      </c>
      <c r="L250" t="s">
        <v>7675</v>
      </c>
      <c r="M250" s="3" t="str">
        <f>HYPERLINK(СторонТрансп[[#This Row],[RelativePath]])</f>
        <v>5 Крыльцо общага\K07156189_22_20251225T121710Z.jpg</v>
      </c>
    </row>
    <row r="251" spans="1:13" x14ac:dyDescent="0.25">
      <c r="A251" t="s">
        <v>18</v>
      </c>
      <c r="B251" s="4">
        <v>45990</v>
      </c>
      <c r="C251" s="6">
        <v>0.54023148148148148</v>
      </c>
      <c r="D251" s="7" t="s">
        <v>1606</v>
      </c>
      <c r="E251" t="s">
        <v>4194</v>
      </c>
      <c r="I251" t="s">
        <v>3561</v>
      </c>
      <c r="J251" t="s">
        <v>2984</v>
      </c>
      <c r="K251" t="s">
        <v>3562</v>
      </c>
      <c r="L251" t="s">
        <v>3563</v>
      </c>
      <c r="M251" s="3" t="str">
        <f>HYPERLINK(СторонТрансп[[#This Row],[RelativePath]])</f>
        <v>7 Площадка 2 бетонщики\K07156189_18_20251129T125756Z.jpg</v>
      </c>
    </row>
    <row r="252" spans="1:13" x14ac:dyDescent="0.25">
      <c r="A252" t="s">
        <v>18</v>
      </c>
      <c r="B252" s="4">
        <v>45990</v>
      </c>
      <c r="C252" s="6">
        <v>0.54586805555555551</v>
      </c>
      <c r="D252" s="7" t="s">
        <v>1606</v>
      </c>
      <c r="E252" t="s">
        <v>4217</v>
      </c>
      <c r="I252" t="s">
        <v>3564</v>
      </c>
      <c r="J252" t="s">
        <v>2984</v>
      </c>
      <c r="K252" t="s">
        <v>3565</v>
      </c>
      <c r="L252" t="s">
        <v>3566</v>
      </c>
      <c r="M252" s="3" t="str">
        <f>HYPERLINK(СторонТрансп[[#This Row],[RelativePath]])</f>
        <v>7 Площадка 2 бетонщики\K07156189_18_20251129T130603Z.jpg</v>
      </c>
    </row>
    <row r="253" spans="1:13" x14ac:dyDescent="0.25">
      <c r="A253" t="s">
        <v>18</v>
      </c>
      <c r="B253" s="4">
        <v>45990</v>
      </c>
      <c r="C253" s="6">
        <v>0.55248842592592595</v>
      </c>
      <c r="D253" s="7" t="s">
        <v>289</v>
      </c>
      <c r="E253" t="s">
        <v>4217</v>
      </c>
      <c r="F253" t="s">
        <v>4211</v>
      </c>
      <c r="I253" t="s">
        <v>3567</v>
      </c>
      <c r="J253" t="s">
        <v>2984</v>
      </c>
      <c r="K253" t="s">
        <v>3568</v>
      </c>
      <c r="L253" t="s">
        <v>3569</v>
      </c>
      <c r="M253" s="3" t="str">
        <f>HYPERLINK(СторонТрансп[[#This Row],[RelativePath]])</f>
        <v>7 Площадка 2 бетонщики\K07156189_18_20251129T131535Z.jpg</v>
      </c>
    </row>
    <row r="254" spans="1:13" x14ac:dyDescent="0.25">
      <c r="A254" t="s">
        <v>18</v>
      </c>
      <c r="B254" s="4">
        <v>45990</v>
      </c>
      <c r="C254" s="6">
        <v>0.55314814814814817</v>
      </c>
      <c r="D254" s="7" t="s">
        <v>289</v>
      </c>
      <c r="E254" t="s">
        <v>4217</v>
      </c>
      <c r="F254" t="s">
        <v>4211</v>
      </c>
      <c r="H254" t="s">
        <v>2936</v>
      </c>
      <c r="I254" t="s">
        <v>3570</v>
      </c>
      <c r="J254" t="s">
        <v>2984</v>
      </c>
      <c r="K254" t="s">
        <v>3571</v>
      </c>
      <c r="L254" t="s">
        <v>3572</v>
      </c>
      <c r="M254" s="3" t="str">
        <f>HYPERLINK(СторонТрансп[[#This Row],[RelativePath]])</f>
        <v>7 Площадка 2 бетонщики\K07156189_18_20251129T131632Z.jpg</v>
      </c>
    </row>
    <row r="255" spans="1:13" x14ac:dyDescent="0.25">
      <c r="A255" t="s">
        <v>18</v>
      </c>
      <c r="B255" s="4">
        <v>45990</v>
      </c>
      <c r="C255" s="6">
        <v>0.55888888888888888</v>
      </c>
      <c r="D255" s="7" t="s">
        <v>289</v>
      </c>
      <c r="E255" t="s">
        <v>4217</v>
      </c>
      <c r="F255" t="s">
        <v>4211</v>
      </c>
      <c r="H255" t="s">
        <v>2936</v>
      </c>
      <c r="I255" t="s">
        <v>3573</v>
      </c>
      <c r="J255" t="s">
        <v>2984</v>
      </c>
      <c r="K255" t="s">
        <v>3574</v>
      </c>
      <c r="L255" t="s">
        <v>3575</v>
      </c>
      <c r="M255" s="3" t="str">
        <f>HYPERLINK(СторонТрансп[[#This Row],[RelativePath]])</f>
        <v>7 Площадка 2 бетонщики\K07156189_18_20251129T132448Z.jpg</v>
      </c>
    </row>
    <row r="256" spans="1:13" x14ac:dyDescent="0.25">
      <c r="A256" t="s">
        <v>18</v>
      </c>
      <c r="B256" s="4">
        <v>45990</v>
      </c>
      <c r="C256" s="6">
        <v>0.5607523148148148</v>
      </c>
      <c r="D256" s="7" t="s">
        <v>289</v>
      </c>
      <c r="E256" t="s">
        <v>4217</v>
      </c>
      <c r="F256" t="s">
        <v>4211</v>
      </c>
      <c r="H256" t="s">
        <v>2936</v>
      </c>
      <c r="I256" t="s">
        <v>3576</v>
      </c>
      <c r="J256" t="s">
        <v>2984</v>
      </c>
      <c r="K256" t="s">
        <v>3577</v>
      </c>
      <c r="L256" t="s">
        <v>3578</v>
      </c>
      <c r="M256" s="3" t="str">
        <f>HYPERLINK(СторонТрансп[[#This Row],[RelativePath]])</f>
        <v>7 Площадка 2 бетонщики\K07156189_18_20251129T132729Z.jpg</v>
      </c>
    </row>
    <row r="257" spans="1:13" x14ac:dyDescent="0.25">
      <c r="A257" t="s">
        <v>18</v>
      </c>
      <c r="B257" s="4">
        <v>45990</v>
      </c>
      <c r="C257" s="6">
        <v>0.56593749999999998</v>
      </c>
      <c r="D257" s="7" t="s">
        <v>289</v>
      </c>
      <c r="E257" t="s">
        <v>4217</v>
      </c>
      <c r="F257" t="s">
        <v>4211</v>
      </c>
      <c r="H257" t="s">
        <v>2936</v>
      </c>
      <c r="I257" t="s">
        <v>3579</v>
      </c>
      <c r="J257" t="s">
        <v>2984</v>
      </c>
      <c r="K257" t="s">
        <v>3580</v>
      </c>
      <c r="L257" t="s">
        <v>3581</v>
      </c>
      <c r="M257" s="3" t="str">
        <f>HYPERLINK(СторонТрансп[[#This Row],[RelativePath]])</f>
        <v>7 Площадка 2 бетонщики\K07156189_18_20251129T133457Z.jpg</v>
      </c>
    </row>
    <row r="258" spans="1:13" x14ac:dyDescent="0.25">
      <c r="A258" t="s">
        <v>18</v>
      </c>
      <c r="B258" s="4">
        <v>45990</v>
      </c>
      <c r="C258" s="6">
        <v>0.56846064814814812</v>
      </c>
      <c r="D258" s="7" t="s">
        <v>289</v>
      </c>
      <c r="E258" t="s">
        <v>4217</v>
      </c>
      <c r="F258" t="s">
        <v>4211</v>
      </c>
      <c r="H258" t="s">
        <v>2936</v>
      </c>
      <c r="I258" t="s">
        <v>3582</v>
      </c>
      <c r="J258" t="s">
        <v>2984</v>
      </c>
      <c r="K258" t="s">
        <v>3583</v>
      </c>
      <c r="L258" t="s">
        <v>3584</v>
      </c>
      <c r="M258" s="3" t="str">
        <f>HYPERLINK(СторонТрансп[[#This Row],[RelativePath]])</f>
        <v>7 Площадка 2 бетонщики\K07156189_18_20251129T133835Z.jpg</v>
      </c>
    </row>
    <row r="259" spans="1:13" x14ac:dyDescent="0.25">
      <c r="A259" t="s">
        <v>18</v>
      </c>
      <c r="B259" s="4">
        <v>45990</v>
      </c>
      <c r="C259" s="6">
        <v>0.57168981481481485</v>
      </c>
      <c r="D259" s="7" t="s">
        <v>289</v>
      </c>
      <c r="E259" t="s">
        <v>4217</v>
      </c>
      <c r="F259" t="s">
        <v>4211</v>
      </c>
      <c r="H259" t="s">
        <v>2936</v>
      </c>
      <c r="I259" t="s">
        <v>3585</v>
      </c>
      <c r="J259" t="s">
        <v>2984</v>
      </c>
      <c r="K259" t="s">
        <v>3586</v>
      </c>
      <c r="L259" t="s">
        <v>3587</v>
      </c>
      <c r="M259" s="3" t="str">
        <f>HYPERLINK(СторонТрансп[[#This Row],[RelativePath]])</f>
        <v>7 Площадка 2 бетонщики\K07156189_18_20251129T134314Z.jpg</v>
      </c>
    </row>
    <row r="260" spans="1:13" x14ac:dyDescent="0.25">
      <c r="A260" t="s">
        <v>18</v>
      </c>
      <c r="B260" s="4">
        <v>45990</v>
      </c>
      <c r="C260" s="6">
        <v>0.57275462962962964</v>
      </c>
      <c r="D260" s="7" t="s">
        <v>289</v>
      </c>
      <c r="E260" t="s">
        <v>4217</v>
      </c>
      <c r="F260" t="s">
        <v>4211</v>
      </c>
      <c r="H260" t="s">
        <v>2936</v>
      </c>
      <c r="I260" t="s">
        <v>3588</v>
      </c>
      <c r="J260" t="s">
        <v>2984</v>
      </c>
      <c r="K260" t="s">
        <v>3589</v>
      </c>
      <c r="L260" t="s">
        <v>3590</v>
      </c>
      <c r="M260" s="3" t="str">
        <f>HYPERLINK(СторонТрансп[[#This Row],[RelativePath]])</f>
        <v>7 Площадка 2 бетонщики\K07156189_18_20251129T134446Z.jpg</v>
      </c>
    </row>
    <row r="261" spans="1:13" x14ac:dyDescent="0.25">
      <c r="A261" t="s">
        <v>18</v>
      </c>
      <c r="B261" s="4">
        <v>45990</v>
      </c>
      <c r="C261" s="6">
        <v>0.57449074074074069</v>
      </c>
      <c r="D261" s="7" t="s">
        <v>289</v>
      </c>
      <c r="E261" t="s">
        <v>4217</v>
      </c>
      <c r="F261" t="s">
        <v>4211</v>
      </c>
      <c r="H261" t="s">
        <v>2936</v>
      </c>
      <c r="I261" t="s">
        <v>3591</v>
      </c>
      <c r="J261" t="s">
        <v>2984</v>
      </c>
      <c r="K261" t="s">
        <v>3592</v>
      </c>
      <c r="L261" t="s">
        <v>3593</v>
      </c>
      <c r="M261" s="3" t="str">
        <f>HYPERLINK(СторонТрансп[[#This Row],[RelativePath]])</f>
        <v>7 Площадка 2 бетонщики\K07156189_18_20251129T134716Z.jpg</v>
      </c>
    </row>
    <row r="262" spans="1:13" x14ac:dyDescent="0.25">
      <c r="A262" t="s">
        <v>18</v>
      </c>
      <c r="B262" s="4">
        <v>45990</v>
      </c>
      <c r="C262" s="6">
        <v>0.57677083333333334</v>
      </c>
      <c r="D262" s="7" t="s">
        <v>289</v>
      </c>
      <c r="E262" t="s">
        <v>4217</v>
      </c>
      <c r="F262" t="s">
        <v>4211</v>
      </c>
      <c r="H262" t="s">
        <v>2936</v>
      </c>
      <c r="I262" t="s">
        <v>3594</v>
      </c>
      <c r="J262" t="s">
        <v>2984</v>
      </c>
      <c r="K262" t="s">
        <v>3595</v>
      </c>
      <c r="L262" t="s">
        <v>3596</v>
      </c>
      <c r="M262" s="3" t="str">
        <f>HYPERLINK(СторонТрансп[[#This Row],[RelativePath]])</f>
        <v>7 Площадка 2 бетонщики\K07156189_18_20251129T135033Z.jpg</v>
      </c>
    </row>
    <row r="263" spans="1:13" x14ac:dyDescent="0.25">
      <c r="A263" t="s">
        <v>18</v>
      </c>
      <c r="B263" s="4">
        <v>45990</v>
      </c>
      <c r="C263" s="6">
        <v>0.57995370370370369</v>
      </c>
      <c r="D263" s="7" t="s">
        <v>289</v>
      </c>
      <c r="E263" t="s">
        <v>4217</v>
      </c>
      <c r="F263" t="s">
        <v>4211</v>
      </c>
      <c r="H263" t="s">
        <v>2936</v>
      </c>
      <c r="I263" t="s">
        <v>3597</v>
      </c>
      <c r="J263" t="s">
        <v>2984</v>
      </c>
      <c r="K263" t="s">
        <v>3598</v>
      </c>
      <c r="L263" t="s">
        <v>3599</v>
      </c>
      <c r="M263" s="3" t="str">
        <f>HYPERLINK(СторонТрансп[[#This Row],[RelativePath]])</f>
        <v>7 Площадка 2 бетонщики\K07156189_18_20251129T135508Z.jpg</v>
      </c>
    </row>
    <row r="264" spans="1:13" x14ac:dyDescent="0.25">
      <c r="A264" t="s">
        <v>18</v>
      </c>
      <c r="B264" s="4">
        <v>45990</v>
      </c>
      <c r="C264" s="6">
        <v>0.58212962962962966</v>
      </c>
      <c r="D264" s="7" t="s">
        <v>289</v>
      </c>
      <c r="E264" t="s">
        <v>4217</v>
      </c>
      <c r="F264" t="s">
        <v>4211</v>
      </c>
      <c r="H264" t="s">
        <v>2936</v>
      </c>
      <c r="I264" t="s">
        <v>3600</v>
      </c>
      <c r="J264" t="s">
        <v>2984</v>
      </c>
      <c r="K264" t="s">
        <v>3601</v>
      </c>
      <c r="L264" t="s">
        <v>3602</v>
      </c>
      <c r="M264" s="3" t="str">
        <f>HYPERLINK(СторонТрансп[[#This Row],[RelativePath]])</f>
        <v>7 Площадка 2 бетонщики\K07156189_18_20251129T135816Z.jpg</v>
      </c>
    </row>
    <row r="265" spans="1:13" x14ac:dyDescent="0.25">
      <c r="A265" t="s">
        <v>18</v>
      </c>
      <c r="B265" s="4">
        <v>45990</v>
      </c>
      <c r="C265" s="6">
        <v>0.58278935185185188</v>
      </c>
      <c r="D265" s="7" t="s">
        <v>289</v>
      </c>
      <c r="E265" t="s">
        <v>4217</v>
      </c>
      <c r="F265" t="s">
        <v>4211</v>
      </c>
      <c r="H265" t="s">
        <v>2936</v>
      </c>
      <c r="I265" t="s">
        <v>3603</v>
      </c>
      <c r="J265" t="s">
        <v>2984</v>
      </c>
      <c r="K265" t="s">
        <v>3604</v>
      </c>
      <c r="L265" t="s">
        <v>3605</v>
      </c>
      <c r="M265" s="3" t="str">
        <f>HYPERLINK(СторонТрансп[[#This Row],[RelativePath]])</f>
        <v>7 Площадка 2 бетонщики\K07156189_18_20251129T135913Z.jpg</v>
      </c>
    </row>
    <row r="266" spans="1:13" x14ac:dyDescent="0.25">
      <c r="A266" t="s">
        <v>18</v>
      </c>
      <c r="B266" s="4">
        <v>45990</v>
      </c>
      <c r="C266" s="6">
        <v>0.58450231481481485</v>
      </c>
      <c r="D266" s="7" t="s">
        <v>289</v>
      </c>
      <c r="E266" t="s">
        <v>4217</v>
      </c>
      <c r="F266" t="s">
        <v>4211</v>
      </c>
      <c r="H266" t="s">
        <v>2936</v>
      </c>
      <c r="I266" t="s">
        <v>3606</v>
      </c>
      <c r="J266" t="s">
        <v>2984</v>
      </c>
      <c r="K266" t="s">
        <v>3607</v>
      </c>
      <c r="L266" t="s">
        <v>3608</v>
      </c>
      <c r="M266" s="3" t="str">
        <f>HYPERLINK(СторонТрансп[[#This Row],[RelativePath]])</f>
        <v>7 Площадка 2 бетонщики\K07156189_18_20251129T140141Z.jpg</v>
      </c>
    </row>
    <row r="267" spans="1:13" x14ac:dyDescent="0.25">
      <c r="A267" t="s">
        <v>18</v>
      </c>
      <c r="B267" s="4">
        <v>45990</v>
      </c>
      <c r="C267" s="6">
        <v>0.59234953703703708</v>
      </c>
      <c r="D267" s="7" t="s">
        <v>650</v>
      </c>
      <c r="E267" t="s">
        <v>4217</v>
      </c>
      <c r="F267" t="s">
        <v>4211</v>
      </c>
      <c r="H267" t="s">
        <v>4218</v>
      </c>
      <c r="I267" t="s">
        <v>3609</v>
      </c>
      <c r="J267" t="s">
        <v>2984</v>
      </c>
      <c r="K267" t="s">
        <v>3610</v>
      </c>
      <c r="L267" t="s">
        <v>3611</v>
      </c>
      <c r="M267" s="3" t="str">
        <f>HYPERLINK(СторонТрансп[[#This Row],[RelativePath]])</f>
        <v>7 Площадка 2 бетонщики\K07156189_18_20251129T141259Z.jpg</v>
      </c>
    </row>
    <row r="268" spans="1:13" x14ac:dyDescent="0.25">
      <c r="A268" t="s">
        <v>18</v>
      </c>
      <c r="B268" s="4">
        <v>45990</v>
      </c>
      <c r="C268" s="6">
        <v>0.61375000000000002</v>
      </c>
      <c r="D268" s="7" t="s">
        <v>289</v>
      </c>
      <c r="E268" t="s">
        <v>4194</v>
      </c>
      <c r="F268" t="s">
        <v>4211</v>
      </c>
      <c r="I268" t="s">
        <v>3612</v>
      </c>
      <c r="J268" t="s">
        <v>2984</v>
      </c>
      <c r="K268" t="s">
        <v>3613</v>
      </c>
      <c r="L268" t="s">
        <v>3614</v>
      </c>
      <c r="M268" s="3" t="str">
        <f>HYPERLINK(СторонТрансп[[#This Row],[RelativePath]])</f>
        <v>7 Площадка 2 бетонщики\K07156189_18_20251129T144348Z.jpg</v>
      </c>
    </row>
    <row r="269" spans="1:13" x14ac:dyDescent="0.25">
      <c r="A269" t="s">
        <v>18</v>
      </c>
      <c r="B269" s="4">
        <v>45990</v>
      </c>
      <c r="C269" s="6">
        <v>0.61790509259259263</v>
      </c>
      <c r="D269" s="7" t="s">
        <v>289</v>
      </c>
      <c r="E269" t="s">
        <v>4194</v>
      </c>
      <c r="F269" t="s">
        <v>4211</v>
      </c>
      <c r="H269" t="s">
        <v>2936</v>
      </c>
      <c r="I269" t="s">
        <v>3615</v>
      </c>
      <c r="J269" t="s">
        <v>2984</v>
      </c>
      <c r="K269" t="s">
        <v>3616</v>
      </c>
      <c r="L269" t="s">
        <v>3617</v>
      </c>
      <c r="M269" s="3" t="str">
        <f>HYPERLINK(СторонТрансп[[#This Row],[RelativePath]])</f>
        <v>7 Площадка 2 бетонщики\K07156189_18_20251129T144947Z.jpg</v>
      </c>
    </row>
    <row r="270" spans="1:13" x14ac:dyDescent="0.25">
      <c r="A270" t="s">
        <v>18</v>
      </c>
      <c r="B270" s="4">
        <v>45990</v>
      </c>
      <c r="C270" s="6">
        <v>0.61982638888888886</v>
      </c>
      <c r="D270" s="7" t="s">
        <v>289</v>
      </c>
      <c r="E270" t="s">
        <v>4194</v>
      </c>
      <c r="F270" t="s">
        <v>4211</v>
      </c>
      <c r="H270" t="s">
        <v>2936</v>
      </c>
      <c r="I270" t="s">
        <v>3618</v>
      </c>
      <c r="J270" t="s">
        <v>2984</v>
      </c>
      <c r="K270" t="s">
        <v>3619</v>
      </c>
      <c r="L270" t="s">
        <v>3620</v>
      </c>
      <c r="M270" s="3" t="str">
        <f>HYPERLINK(СторонТрансп[[#This Row],[RelativePath]])</f>
        <v>7 Площадка 2 бетонщики\K07156189_18_20251129T145233Z.jpg</v>
      </c>
    </row>
    <row r="271" spans="1:13" x14ac:dyDescent="0.25">
      <c r="A271" t="s">
        <v>18</v>
      </c>
      <c r="B271" s="4">
        <v>45990</v>
      </c>
      <c r="C271" s="6">
        <v>0.6216666666666667</v>
      </c>
      <c r="D271" s="7" t="s">
        <v>289</v>
      </c>
      <c r="E271" t="s">
        <v>4194</v>
      </c>
      <c r="F271" t="s">
        <v>4211</v>
      </c>
      <c r="H271" t="s">
        <v>2936</v>
      </c>
      <c r="I271" t="s">
        <v>3621</v>
      </c>
      <c r="J271" t="s">
        <v>2984</v>
      </c>
      <c r="K271" t="s">
        <v>3622</v>
      </c>
      <c r="L271" t="s">
        <v>3623</v>
      </c>
      <c r="M271" s="3" t="str">
        <f>HYPERLINK(СторонТрансп[[#This Row],[RelativePath]])</f>
        <v>7 Площадка 2 бетонщики\K07156189_18_20251129T145512Z.jpg</v>
      </c>
    </row>
    <row r="272" spans="1:13" x14ac:dyDescent="0.25">
      <c r="A272" t="s">
        <v>18</v>
      </c>
      <c r="B272" s="4">
        <v>45990</v>
      </c>
      <c r="C272" s="6">
        <v>0.62410879629629634</v>
      </c>
      <c r="D272" s="7" t="s">
        <v>289</v>
      </c>
      <c r="E272" t="s">
        <v>4194</v>
      </c>
      <c r="F272" t="s">
        <v>4211</v>
      </c>
      <c r="H272" t="s">
        <v>2936</v>
      </c>
      <c r="I272" t="s">
        <v>3624</v>
      </c>
      <c r="J272" t="s">
        <v>2984</v>
      </c>
      <c r="K272" t="s">
        <v>3625</v>
      </c>
      <c r="L272" t="s">
        <v>3626</v>
      </c>
      <c r="M272" s="3" t="str">
        <f>HYPERLINK(СторонТрансп[[#This Row],[RelativePath]])</f>
        <v>7 Площадка 2 бетонщики\K07156189_18_20251129T145843Z.jpg</v>
      </c>
    </row>
    <row r="273" spans="1:13" x14ac:dyDescent="0.25">
      <c r="A273" t="s">
        <v>18</v>
      </c>
      <c r="B273" s="4">
        <v>45990</v>
      </c>
      <c r="C273" s="6">
        <v>0.62604166666666672</v>
      </c>
      <c r="D273" s="7" t="s">
        <v>289</v>
      </c>
      <c r="E273" t="s">
        <v>4194</v>
      </c>
      <c r="F273" t="s">
        <v>4211</v>
      </c>
      <c r="H273" t="s">
        <v>2936</v>
      </c>
      <c r="I273" t="s">
        <v>3627</v>
      </c>
      <c r="J273" t="s">
        <v>2984</v>
      </c>
      <c r="K273" t="s">
        <v>3628</v>
      </c>
      <c r="L273" t="s">
        <v>3629</v>
      </c>
      <c r="M273" s="3" t="str">
        <f>HYPERLINK(СторонТрансп[[#This Row],[RelativePath]])</f>
        <v>7 Площадка 2 бетонщики\K07156189_18_20251129T150130Z.jpg</v>
      </c>
    </row>
    <row r="274" spans="1:13" x14ac:dyDescent="0.25">
      <c r="A274" t="s">
        <v>18</v>
      </c>
      <c r="B274" s="4">
        <v>45990</v>
      </c>
      <c r="C274" s="6">
        <v>0.63124999999999998</v>
      </c>
      <c r="D274" s="7" t="s">
        <v>289</v>
      </c>
      <c r="E274" t="s">
        <v>4194</v>
      </c>
      <c r="F274" t="s">
        <v>4211</v>
      </c>
      <c r="H274" t="s">
        <v>2936</v>
      </c>
      <c r="I274" t="s">
        <v>3630</v>
      </c>
      <c r="J274" t="s">
        <v>2984</v>
      </c>
      <c r="K274" t="s">
        <v>3631</v>
      </c>
      <c r="L274" t="s">
        <v>3632</v>
      </c>
      <c r="M274" s="3" t="str">
        <f>HYPERLINK(СторонТрансп[[#This Row],[RelativePath]])</f>
        <v>7 Площадка 2 бетонщики\K07156189_18_20251129T150900Z.jpg</v>
      </c>
    </row>
    <row r="275" spans="1:13" x14ac:dyDescent="0.25">
      <c r="A275" t="s">
        <v>18</v>
      </c>
      <c r="B275" s="4">
        <v>45990</v>
      </c>
      <c r="C275" s="6">
        <v>0.6338773148148148</v>
      </c>
      <c r="D275" s="7" t="s">
        <v>289</v>
      </c>
      <c r="E275" t="s">
        <v>4194</v>
      </c>
      <c r="F275" t="s">
        <v>4211</v>
      </c>
      <c r="H275" t="s">
        <v>2936</v>
      </c>
      <c r="I275" t="s">
        <v>3633</v>
      </c>
      <c r="J275" t="s">
        <v>2984</v>
      </c>
      <c r="K275" t="s">
        <v>3634</v>
      </c>
      <c r="L275" t="s">
        <v>3635</v>
      </c>
      <c r="M275" s="3" t="str">
        <f>HYPERLINK(СторонТрансп[[#This Row],[RelativePath]])</f>
        <v>7 Площадка 2 бетонщики\K07156189_18_20251129T151247Z.jpg</v>
      </c>
    </row>
    <row r="276" spans="1:13" x14ac:dyDescent="0.25">
      <c r="A276" t="s">
        <v>18</v>
      </c>
      <c r="B276" s="4">
        <v>45990</v>
      </c>
      <c r="C276" s="6">
        <v>0.63736111111111116</v>
      </c>
      <c r="D276" s="7" t="s">
        <v>289</v>
      </c>
      <c r="E276" t="s">
        <v>4194</v>
      </c>
      <c r="F276" t="s">
        <v>4211</v>
      </c>
      <c r="H276" t="s">
        <v>2936</v>
      </c>
      <c r="I276" t="s">
        <v>3636</v>
      </c>
      <c r="J276" t="s">
        <v>2984</v>
      </c>
      <c r="K276" t="s">
        <v>3637</v>
      </c>
      <c r="L276" t="s">
        <v>3638</v>
      </c>
      <c r="M276" s="3" t="str">
        <f>HYPERLINK(СторонТрансп[[#This Row],[RelativePath]])</f>
        <v>7 Площадка 2 бетонщики\K07156189_18_20251129T151748Z.jpg</v>
      </c>
    </row>
    <row r="277" spans="1:13" x14ac:dyDescent="0.25">
      <c r="A277" t="s">
        <v>18</v>
      </c>
      <c r="B277" s="4">
        <v>45990</v>
      </c>
      <c r="C277" s="6">
        <v>0.63914351851851847</v>
      </c>
      <c r="D277" s="7" t="s">
        <v>289</v>
      </c>
      <c r="E277" t="s">
        <v>4194</v>
      </c>
      <c r="F277" t="s">
        <v>4211</v>
      </c>
      <c r="H277" t="s">
        <v>2936</v>
      </c>
      <c r="I277" t="s">
        <v>3639</v>
      </c>
      <c r="J277" t="s">
        <v>2984</v>
      </c>
      <c r="K277" t="s">
        <v>3640</v>
      </c>
      <c r="L277" t="s">
        <v>3641</v>
      </c>
      <c r="M277" s="3" t="str">
        <f>HYPERLINK(СторонТрансп[[#This Row],[RelativePath]])</f>
        <v>7 Площадка 2 бетонщики\K07156189_18_20251129T152022Z.jpg</v>
      </c>
    </row>
    <row r="278" spans="1:13" x14ac:dyDescent="0.25">
      <c r="A278" t="s">
        <v>18</v>
      </c>
      <c r="B278" s="4">
        <v>45990</v>
      </c>
      <c r="C278" s="6">
        <v>0.64195601851851847</v>
      </c>
      <c r="D278" s="7" t="s">
        <v>289</v>
      </c>
      <c r="E278" t="s">
        <v>4194</v>
      </c>
      <c r="F278" t="s">
        <v>4211</v>
      </c>
      <c r="H278" t="s">
        <v>2936</v>
      </c>
      <c r="I278" t="s">
        <v>3642</v>
      </c>
      <c r="J278" t="s">
        <v>2984</v>
      </c>
      <c r="K278" t="s">
        <v>3643</v>
      </c>
      <c r="L278" t="s">
        <v>3644</v>
      </c>
      <c r="M278" s="3" t="str">
        <f>HYPERLINK(СторонТрансп[[#This Row],[RelativePath]])</f>
        <v>7 Площадка 2 бетонщики\K07156189_18_20251129T152425Z.jpg</v>
      </c>
    </row>
    <row r="279" spans="1:13" x14ac:dyDescent="0.25">
      <c r="A279" t="s">
        <v>18</v>
      </c>
      <c r="B279" s="4">
        <v>45990</v>
      </c>
      <c r="C279" s="6">
        <v>0.64386574074074077</v>
      </c>
      <c r="D279" s="7" t="s">
        <v>289</v>
      </c>
      <c r="E279" t="s">
        <v>4194</v>
      </c>
      <c r="F279" t="s">
        <v>87</v>
      </c>
      <c r="I279" t="s">
        <v>3645</v>
      </c>
      <c r="J279" t="s">
        <v>2984</v>
      </c>
      <c r="K279" t="s">
        <v>3646</v>
      </c>
      <c r="L279" t="s">
        <v>3647</v>
      </c>
      <c r="M279" s="3" t="str">
        <f>HYPERLINK(СторонТрансп[[#This Row],[RelativePath]])</f>
        <v>7 Площадка 2 бетонщики\K07156189_18_20251129T152710Z.jpg</v>
      </c>
    </row>
    <row r="280" spans="1:13" x14ac:dyDescent="0.25">
      <c r="A280" t="s">
        <v>18</v>
      </c>
      <c r="B280" s="4">
        <v>45990</v>
      </c>
      <c r="C280" s="6">
        <v>0.64961805555555552</v>
      </c>
      <c r="D280" s="7" t="s">
        <v>1606</v>
      </c>
      <c r="E280" t="s">
        <v>4195</v>
      </c>
      <c r="I280" t="s">
        <v>3648</v>
      </c>
      <c r="J280" t="s">
        <v>2984</v>
      </c>
      <c r="K280" t="s">
        <v>3649</v>
      </c>
      <c r="L280" t="s">
        <v>3377</v>
      </c>
      <c r="M280" s="3" t="str">
        <f>HYPERLINK(СторонТрансп[[#This Row],[RelativePath]])</f>
        <v>7 Площадка 2 бетонщики\K07156189_18_20251129T153527Z.jpg</v>
      </c>
    </row>
    <row r="281" spans="1:13" x14ac:dyDescent="0.25">
      <c r="A281" t="s">
        <v>18</v>
      </c>
      <c r="B281" s="4">
        <v>45990</v>
      </c>
      <c r="C281" s="6">
        <v>0.64981481481481485</v>
      </c>
      <c r="D281" s="7" t="s">
        <v>1606</v>
      </c>
      <c r="E281" t="s">
        <v>4195</v>
      </c>
      <c r="H281" t="s">
        <v>2936</v>
      </c>
      <c r="I281" t="s">
        <v>3650</v>
      </c>
      <c r="J281" t="s">
        <v>2984</v>
      </c>
      <c r="K281" t="s">
        <v>3651</v>
      </c>
      <c r="L281" t="s">
        <v>3652</v>
      </c>
      <c r="M281" s="3" t="str">
        <f>HYPERLINK(СторонТрансп[[#This Row],[RelativePath]])</f>
        <v>7 Площадка 2 бетонщики\K07156189_18_20251129T153544Z.jpg</v>
      </c>
    </row>
    <row r="282" spans="1:13" x14ac:dyDescent="0.25">
      <c r="A282" t="s">
        <v>18</v>
      </c>
      <c r="B282" s="4">
        <v>45990</v>
      </c>
      <c r="C282" s="6">
        <v>0.65312499999999996</v>
      </c>
      <c r="D282" s="7" t="s">
        <v>289</v>
      </c>
      <c r="E282" t="s">
        <v>4195</v>
      </c>
      <c r="F282" t="s">
        <v>4211</v>
      </c>
      <c r="I282" t="s">
        <v>3653</v>
      </c>
      <c r="J282" t="s">
        <v>2984</v>
      </c>
      <c r="K282" t="s">
        <v>3654</v>
      </c>
      <c r="L282" t="s">
        <v>3655</v>
      </c>
      <c r="M282" s="3" t="str">
        <f>HYPERLINK(СторонТрансп[[#This Row],[RelativePath]])</f>
        <v>7 Площадка 2 бетонщики\K07156189_18_20251129T154030Z.jpg</v>
      </c>
    </row>
    <row r="283" spans="1:13" x14ac:dyDescent="0.25">
      <c r="A283" t="s">
        <v>18</v>
      </c>
      <c r="B283" s="4">
        <v>45990</v>
      </c>
      <c r="C283" s="6">
        <v>0.65543981481481484</v>
      </c>
      <c r="D283" s="7" t="s">
        <v>289</v>
      </c>
      <c r="E283" t="s">
        <v>4195</v>
      </c>
      <c r="F283" t="s">
        <v>4211</v>
      </c>
      <c r="H283" t="s">
        <v>2936</v>
      </c>
      <c r="I283" t="s">
        <v>3656</v>
      </c>
      <c r="J283" t="s">
        <v>2984</v>
      </c>
      <c r="K283" t="s">
        <v>3657</v>
      </c>
      <c r="L283" t="s">
        <v>3658</v>
      </c>
      <c r="M283" s="3" t="str">
        <f>HYPERLINK(СторонТрансп[[#This Row],[RelativePath]])</f>
        <v>7 Площадка 2 бетонщики\K07156189_18_20251129T154350Z.jpg</v>
      </c>
    </row>
    <row r="284" spans="1:13" x14ac:dyDescent="0.25">
      <c r="A284" t="s">
        <v>18</v>
      </c>
      <c r="B284" s="4">
        <v>45990</v>
      </c>
      <c r="C284" s="6">
        <v>0.65699074074074071</v>
      </c>
      <c r="D284" s="7" t="s">
        <v>289</v>
      </c>
      <c r="E284" t="s">
        <v>4195</v>
      </c>
      <c r="F284" t="s">
        <v>4211</v>
      </c>
      <c r="H284" t="s">
        <v>2936</v>
      </c>
      <c r="I284" t="s">
        <v>3659</v>
      </c>
      <c r="J284" t="s">
        <v>2984</v>
      </c>
      <c r="K284" t="s">
        <v>3660</v>
      </c>
      <c r="L284" t="s">
        <v>3661</v>
      </c>
      <c r="M284" s="3" t="str">
        <f>HYPERLINK(СторонТрансп[[#This Row],[RelativePath]])</f>
        <v>7 Площадка 2 бетонщики\K07156189_18_20251129T154604Z.jpg</v>
      </c>
    </row>
    <row r="285" spans="1:13" x14ac:dyDescent="0.25">
      <c r="A285" t="s">
        <v>18</v>
      </c>
      <c r="B285" s="4">
        <v>45990</v>
      </c>
      <c r="C285" s="6">
        <v>0.65927083333333336</v>
      </c>
      <c r="D285" s="7" t="s">
        <v>289</v>
      </c>
      <c r="E285" t="s">
        <v>4195</v>
      </c>
      <c r="F285" t="s">
        <v>4211</v>
      </c>
      <c r="H285" t="s">
        <v>2936</v>
      </c>
      <c r="I285" t="s">
        <v>3662</v>
      </c>
      <c r="J285" t="s">
        <v>2984</v>
      </c>
      <c r="K285" t="s">
        <v>3663</v>
      </c>
      <c r="L285" t="s">
        <v>3664</v>
      </c>
      <c r="M285" s="3" t="str">
        <f>HYPERLINK(СторонТрансп[[#This Row],[RelativePath]])</f>
        <v>7 Площадка 2 бетонщики\K07156189_18_20251129T154921Z.jpg</v>
      </c>
    </row>
    <row r="286" spans="1:13" x14ac:dyDescent="0.25">
      <c r="A286" t="s">
        <v>18</v>
      </c>
      <c r="B286" s="4">
        <v>45990</v>
      </c>
      <c r="C286" s="6">
        <v>0.66106481481481483</v>
      </c>
      <c r="D286" s="7" t="s">
        <v>289</v>
      </c>
      <c r="E286" t="s">
        <v>4195</v>
      </c>
      <c r="F286" t="s">
        <v>4211</v>
      </c>
      <c r="H286" t="s">
        <v>2936</v>
      </c>
      <c r="I286" t="s">
        <v>3665</v>
      </c>
      <c r="J286" t="s">
        <v>2984</v>
      </c>
      <c r="K286" t="s">
        <v>3666</v>
      </c>
      <c r="L286" t="s">
        <v>3667</v>
      </c>
      <c r="M286" s="3" t="str">
        <f>HYPERLINK(СторонТрансп[[#This Row],[RelativePath]])</f>
        <v>7 Площадка 2 бетонщики\K07156189_18_20251129T155156Z.jpg</v>
      </c>
    </row>
    <row r="287" spans="1:13" x14ac:dyDescent="0.25">
      <c r="A287" t="s">
        <v>18</v>
      </c>
      <c r="B287" s="4">
        <v>45990</v>
      </c>
      <c r="C287" s="6">
        <v>0.66378472222222218</v>
      </c>
      <c r="D287" s="7" t="s">
        <v>289</v>
      </c>
      <c r="E287" t="s">
        <v>4195</v>
      </c>
      <c r="F287" t="s">
        <v>4211</v>
      </c>
      <c r="H287" t="s">
        <v>2936</v>
      </c>
      <c r="I287" t="s">
        <v>3668</v>
      </c>
      <c r="J287" t="s">
        <v>2984</v>
      </c>
      <c r="K287" t="s">
        <v>3669</v>
      </c>
      <c r="L287" t="s">
        <v>3670</v>
      </c>
      <c r="M287" s="3" t="str">
        <f>HYPERLINK(СторонТрансп[[#This Row],[RelativePath]])</f>
        <v>7 Площадка 2 бетонщики\K07156189_18_20251129T155551Z.jpg</v>
      </c>
    </row>
    <row r="288" spans="1:13" x14ac:dyDescent="0.25">
      <c r="A288" t="s">
        <v>18</v>
      </c>
      <c r="B288" s="4">
        <v>45990</v>
      </c>
      <c r="C288" s="6">
        <v>0.66733796296296299</v>
      </c>
      <c r="D288" s="7" t="s">
        <v>289</v>
      </c>
      <c r="E288" t="s">
        <v>4195</v>
      </c>
      <c r="F288" t="s">
        <v>4211</v>
      </c>
      <c r="H288" t="s">
        <v>2936</v>
      </c>
      <c r="I288" t="s">
        <v>3671</v>
      </c>
      <c r="J288" t="s">
        <v>2984</v>
      </c>
      <c r="K288" t="s">
        <v>3672</v>
      </c>
      <c r="L288" t="s">
        <v>3673</v>
      </c>
      <c r="M288" s="3" t="str">
        <f>HYPERLINK(СторонТрансп[[#This Row],[RelativePath]])</f>
        <v>7 Площадка 2 бетонщики\K07156189_18_20251129T160058Z.jpg</v>
      </c>
    </row>
    <row r="289" spans="1:13" x14ac:dyDescent="0.25">
      <c r="A289" t="s">
        <v>18</v>
      </c>
      <c r="B289" s="4">
        <v>45990</v>
      </c>
      <c r="C289" s="6">
        <v>0.66971064814814818</v>
      </c>
      <c r="D289" s="7" t="s">
        <v>289</v>
      </c>
      <c r="E289" t="s">
        <v>4195</v>
      </c>
      <c r="F289" t="s">
        <v>4211</v>
      </c>
      <c r="H289" t="s">
        <v>2936</v>
      </c>
      <c r="I289" t="s">
        <v>3674</v>
      </c>
      <c r="J289" t="s">
        <v>2984</v>
      </c>
      <c r="K289" t="s">
        <v>3675</v>
      </c>
      <c r="L289" t="s">
        <v>3676</v>
      </c>
      <c r="M289" s="3" t="str">
        <f>HYPERLINK(СторонТрансп[[#This Row],[RelativePath]])</f>
        <v>7 Площадка 2 бетонщики\K07156189_18_20251129T160423Z.jpg</v>
      </c>
    </row>
    <row r="290" spans="1:13" x14ac:dyDescent="0.25">
      <c r="A290" t="s">
        <v>18</v>
      </c>
      <c r="B290" s="4">
        <v>45990</v>
      </c>
      <c r="C290" s="6">
        <v>0.67155092592592591</v>
      </c>
      <c r="D290" s="7" t="s">
        <v>289</v>
      </c>
      <c r="E290" t="s">
        <v>4195</v>
      </c>
      <c r="F290" t="s">
        <v>4211</v>
      </c>
      <c r="H290" t="s">
        <v>2936</v>
      </c>
      <c r="I290" t="s">
        <v>3677</v>
      </c>
      <c r="J290" t="s">
        <v>2984</v>
      </c>
      <c r="K290" t="s">
        <v>3678</v>
      </c>
      <c r="L290" t="s">
        <v>3679</v>
      </c>
      <c r="M290" s="3" t="str">
        <f>HYPERLINK(СторонТрансп[[#This Row],[RelativePath]])</f>
        <v>7 Площадка 2 бетонщики\K07156189_18_20251129T160702Z.jpg</v>
      </c>
    </row>
    <row r="291" spans="1:13" x14ac:dyDescent="0.25">
      <c r="A291" t="s">
        <v>18</v>
      </c>
      <c r="B291" s="4">
        <v>45990</v>
      </c>
      <c r="C291" s="6">
        <v>0.67405092592592597</v>
      </c>
      <c r="D291" s="7" t="s">
        <v>289</v>
      </c>
      <c r="E291" t="s">
        <v>4195</v>
      </c>
      <c r="F291" t="s">
        <v>4211</v>
      </c>
      <c r="H291" t="s">
        <v>2936</v>
      </c>
      <c r="I291" t="s">
        <v>3680</v>
      </c>
      <c r="J291" t="s">
        <v>2984</v>
      </c>
      <c r="K291" t="s">
        <v>3681</v>
      </c>
      <c r="L291" t="s">
        <v>3682</v>
      </c>
      <c r="M291" s="3" t="str">
        <f>HYPERLINK(СторонТрансп[[#This Row],[RelativePath]])</f>
        <v>7 Площадка 2 бетонщики\K07156189_18_20251129T161038Z.jpg</v>
      </c>
    </row>
    <row r="292" spans="1:13" x14ac:dyDescent="0.25">
      <c r="A292" t="s">
        <v>18</v>
      </c>
      <c r="B292" s="4">
        <v>45990</v>
      </c>
      <c r="C292" s="6">
        <v>0.67570601851851853</v>
      </c>
      <c r="D292" s="7" t="s">
        <v>289</v>
      </c>
      <c r="E292" t="s">
        <v>4195</v>
      </c>
      <c r="F292" t="s">
        <v>4211</v>
      </c>
      <c r="H292" t="s">
        <v>2936</v>
      </c>
      <c r="I292" t="s">
        <v>3683</v>
      </c>
      <c r="J292" t="s">
        <v>2984</v>
      </c>
      <c r="K292" t="s">
        <v>3684</v>
      </c>
      <c r="L292" t="s">
        <v>3685</v>
      </c>
      <c r="M292" s="3" t="str">
        <f>HYPERLINK(СторонТрансп[[#This Row],[RelativePath]])</f>
        <v>7 Площадка 2 бетонщики\K07156189_18_20251129T161301Z.jpg</v>
      </c>
    </row>
    <row r="293" spans="1:13" x14ac:dyDescent="0.25">
      <c r="A293" t="s">
        <v>18</v>
      </c>
      <c r="B293" s="4">
        <v>45990</v>
      </c>
      <c r="C293" s="6">
        <v>0.67623842592592598</v>
      </c>
      <c r="D293" s="7" t="s">
        <v>289</v>
      </c>
      <c r="E293" t="s">
        <v>4195</v>
      </c>
      <c r="F293" t="s">
        <v>4211</v>
      </c>
      <c r="H293" t="s">
        <v>2936</v>
      </c>
      <c r="I293" t="s">
        <v>3686</v>
      </c>
      <c r="J293" t="s">
        <v>2984</v>
      </c>
      <c r="K293" t="s">
        <v>3687</v>
      </c>
      <c r="L293" t="s">
        <v>3688</v>
      </c>
      <c r="M293" s="3" t="str">
        <f>HYPERLINK(СторонТрансп[[#This Row],[RelativePath]])</f>
        <v>7 Площадка 2 бетонщики\K07156189_18_20251129T161347Z.jpg</v>
      </c>
    </row>
    <row r="294" spans="1:13" x14ac:dyDescent="0.25">
      <c r="A294" t="s">
        <v>18</v>
      </c>
      <c r="B294" s="4">
        <v>45990</v>
      </c>
      <c r="C294" s="6">
        <v>0.67753472222222222</v>
      </c>
      <c r="D294" s="7" t="s">
        <v>289</v>
      </c>
      <c r="E294" t="s">
        <v>4195</v>
      </c>
      <c r="F294" t="s">
        <v>4211</v>
      </c>
      <c r="H294" t="s">
        <v>2936</v>
      </c>
      <c r="I294" t="s">
        <v>3689</v>
      </c>
      <c r="J294" t="s">
        <v>2984</v>
      </c>
      <c r="K294" t="s">
        <v>3690</v>
      </c>
      <c r="L294" t="s">
        <v>3691</v>
      </c>
      <c r="M294" s="3" t="str">
        <f>HYPERLINK(СторонТрансп[[#This Row],[RelativePath]])</f>
        <v>7 Площадка 2 бетонщики\K07156189_18_20251129T161539Z.jpg</v>
      </c>
    </row>
    <row r="295" spans="1:13" x14ac:dyDescent="0.25">
      <c r="A295" t="s">
        <v>18</v>
      </c>
      <c r="B295" s="4">
        <v>45990</v>
      </c>
      <c r="C295" s="6">
        <v>0.68038194444444444</v>
      </c>
      <c r="D295" s="7" t="s">
        <v>289</v>
      </c>
      <c r="E295" t="s">
        <v>4195</v>
      </c>
      <c r="F295" t="s">
        <v>4211</v>
      </c>
      <c r="H295" t="s">
        <v>2936</v>
      </c>
      <c r="I295" t="s">
        <v>3692</v>
      </c>
      <c r="J295" t="s">
        <v>2984</v>
      </c>
      <c r="K295" t="s">
        <v>3693</v>
      </c>
      <c r="L295" t="s">
        <v>3694</v>
      </c>
      <c r="M295" s="3" t="str">
        <f>HYPERLINK(СторонТрансп[[#This Row],[RelativePath]])</f>
        <v>7 Площадка 2 бетонщики\K07156189_18_20251129T161945Z.jpg</v>
      </c>
    </row>
    <row r="296" spans="1:13" x14ac:dyDescent="0.25">
      <c r="A296" t="s">
        <v>18</v>
      </c>
      <c r="B296" s="4">
        <v>45990</v>
      </c>
      <c r="C296" s="6">
        <v>0.68329861111111112</v>
      </c>
      <c r="D296" s="7" t="s">
        <v>289</v>
      </c>
      <c r="E296" t="s">
        <v>4195</v>
      </c>
      <c r="F296" t="s">
        <v>4211</v>
      </c>
      <c r="H296" t="s">
        <v>2936</v>
      </c>
      <c r="I296" t="s">
        <v>3695</v>
      </c>
      <c r="J296" t="s">
        <v>2984</v>
      </c>
      <c r="K296" t="s">
        <v>3696</v>
      </c>
      <c r="L296" t="s">
        <v>3697</v>
      </c>
      <c r="M296" s="3" t="str">
        <f>HYPERLINK(СторонТрансп[[#This Row],[RelativePath]])</f>
        <v>7 Площадка 2 бетонщики\K07156189_18_20251129T162357Z.jpg</v>
      </c>
    </row>
    <row r="297" spans="1:13" x14ac:dyDescent="0.25">
      <c r="A297" t="s">
        <v>18</v>
      </c>
      <c r="B297" s="4">
        <v>45990</v>
      </c>
      <c r="C297" s="6">
        <v>0.68376157407407412</v>
      </c>
      <c r="D297" s="7" t="s">
        <v>289</v>
      </c>
      <c r="E297" t="s">
        <v>4195</v>
      </c>
      <c r="F297" t="s">
        <v>4211</v>
      </c>
      <c r="H297" t="s">
        <v>2936</v>
      </c>
      <c r="I297" t="s">
        <v>3698</v>
      </c>
      <c r="J297" t="s">
        <v>2984</v>
      </c>
      <c r="K297" t="s">
        <v>3699</v>
      </c>
      <c r="L297" t="s">
        <v>3700</v>
      </c>
      <c r="M297" s="3" t="str">
        <f>HYPERLINK(СторонТрансп[[#This Row],[RelativePath]])</f>
        <v>7 Площадка 2 бетонщики\K07156189_18_20251129T162437Z.jpg</v>
      </c>
    </row>
    <row r="298" spans="1:13" x14ac:dyDescent="0.25">
      <c r="A298" t="s">
        <v>18</v>
      </c>
      <c r="B298" s="4">
        <v>45990</v>
      </c>
      <c r="C298" s="6">
        <v>0.68625000000000003</v>
      </c>
      <c r="D298" s="7" t="s">
        <v>289</v>
      </c>
      <c r="E298" t="s">
        <v>4195</v>
      </c>
      <c r="F298" t="s">
        <v>4211</v>
      </c>
      <c r="H298" t="s">
        <v>2936</v>
      </c>
      <c r="I298" t="s">
        <v>3701</v>
      </c>
      <c r="J298" t="s">
        <v>2984</v>
      </c>
      <c r="K298" t="s">
        <v>3702</v>
      </c>
      <c r="L298" t="s">
        <v>3703</v>
      </c>
      <c r="M298" s="3" t="str">
        <f>HYPERLINK(СторонТрансп[[#This Row],[RelativePath]])</f>
        <v>7 Площадка 2 бетонщики\K07156189_18_20251129T162812Z.jpg</v>
      </c>
    </row>
    <row r="299" spans="1:13" x14ac:dyDescent="0.25">
      <c r="A299" t="s">
        <v>18</v>
      </c>
      <c r="B299" s="4">
        <v>45990</v>
      </c>
      <c r="C299" s="6">
        <v>0.68951388888888887</v>
      </c>
      <c r="D299" s="7" t="s">
        <v>289</v>
      </c>
      <c r="E299" t="s">
        <v>4195</v>
      </c>
      <c r="F299" t="s">
        <v>4211</v>
      </c>
      <c r="H299" t="s">
        <v>2936</v>
      </c>
      <c r="I299" t="s">
        <v>3704</v>
      </c>
      <c r="J299" t="s">
        <v>2984</v>
      </c>
      <c r="K299" t="s">
        <v>3705</v>
      </c>
      <c r="L299" t="s">
        <v>3706</v>
      </c>
      <c r="M299" s="3" t="str">
        <f>HYPERLINK(СторонТрансп[[#This Row],[RelativePath]])</f>
        <v>7 Площадка 2 бетонщики\K07156189_18_20251129T163254Z.jpg</v>
      </c>
    </row>
    <row r="300" spans="1:13" x14ac:dyDescent="0.25">
      <c r="A300" t="s">
        <v>18</v>
      </c>
      <c r="B300" s="4">
        <v>45990</v>
      </c>
      <c r="C300" s="6">
        <v>0.6917592592592593</v>
      </c>
      <c r="D300" s="7" t="s">
        <v>289</v>
      </c>
      <c r="E300" t="s">
        <v>4195</v>
      </c>
      <c r="F300" t="s">
        <v>4211</v>
      </c>
      <c r="H300" t="s">
        <v>2936</v>
      </c>
      <c r="I300" t="s">
        <v>3707</v>
      </c>
      <c r="J300" t="s">
        <v>2984</v>
      </c>
      <c r="K300" t="s">
        <v>3708</v>
      </c>
      <c r="L300" t="s">
        <v>3709</v>
      </c>
      <c r="M300" s="3" t="str">
        <f>HYPERLINK(СторонТрансп[[#This Row],[RelativePath]])</f>
        <v>7 Площадка 2 бетонщики\K07156189_18_20251129T163608Z.jpg</v>
      </c>
    </row>
    <row r="301" spans="1:13" x14ac:dyDescent="0.25">
      <c r="A301" t="s">
        <v>18</v>
      </c>
      <c r="B301" s="4">
        <v>45990</v>
      </c>
      <c r="C301" s="6">
        <v>0.69224537037037037</v>
      </c>
      <c r="D301" s="7" t="s">
        <v>289</v>
      </c>
      <c r="E301" t="s">
        <v>4195</v>
      </c>
      <c r="F301" t="s">
        <v>4211</v>
      </c>
      <c r="H301" t="s">
        <v>2936</v>
      </c>
      <c r="I301" t="s">
        <v>3710</v>
      </c>
      <c r="J301" t="s">
        <v>2984</v>
      </c>
      <c r="K301" t="s">
        <v>3711</v>
      </c>
      <c r="L301" t="s">
        <v>3712</v>
      </c>
      <c r="M301" s="3" t="str">
        <f>HYPERLINK(СторонТрансп[[#This Row],[RelativePath]])</f>
        <v>7 Площадка 2 бетонщики\K07156189_18_20251129T163650Z.jpg</v>
      </c>
    </row>
    <row r="302" spans="1:13" x14ac:dyDescent="0.25">
      <c r="A302" t="s">
        <v>18</v>
      </c>
      <c r="B302" s="4">
        <v>45990</v>
      </c>
      <c r="C302" s="6">
        <v>0.703587962962963</v>
      </c>
      <c r="D302" s="7" t="s">
        <v>471</v>
      </c>
      <c r="E302" t="s">
        <v>4195</v>
      </c>
      <c r="I302" t="s">
        <v>3713</v>
      </c>
      <c r="J302" t="s">
        <v>2984</v>
      </c>
      <c r="K302" t="s">
        <v>3714</v>
      </c>
      <c r="L302" t="s">
        <v>3715</v>
      </c>
      <c r="M302" s="3" t="str">
        <f>HYPERLINK(СторонТрансп[[#This Row],[RelativePath]])</f>
        <v>7 Площадка 2 бетонщики\K07156189_18_20251129T165310Z.jpg</v>
      </c>
    </row>
    <row r="303" spans="1:13" x14ac:dyDescent="0.25">
      <c r="A303" t="s">
        <v>18</v>
      </c>
      <c r="B303" s="4">
        <v>45990</v>
      </c>
      <c r="C303" s="6">
        <v>0.71069444444444441</v>
      </c>
      <c r="D303" s="7" t="s">
        <v>650</v>
      </c>
      <c r="E303" t="s">
        <v>4195</v>
      </c>
      <c r="F303" t="s">
        <v>4211</v>
      </c>
      <c r="H303" t="s">
        <v>4219</v>
      </c>
      <c r="I303" t="s">
        <v>3716</v>
      </c>
      <c r="J303" t="s">
        <v>2984</v>
      </c>
      <c r="K303" t="s">
        <v>3717</v>
      </c>
      <c r="L303" t="s">
        <v>3467</v>
      </c>
      <c r="M303" s="3" t="str">
        <f>HYPERLINK(СторонТрансп[[#This Row],[RelativePath]])</f>
        <v>7 Площадка 2 бетонщики\K07156189_18_20251129T170324Z.jpg</v>
      </c>
    </row>
    <row r="304" spans="1:13" x14ac:dyDescent="0.25">
      <c r="A304" t="s">
        <v>14</v>
      </c>
      <c r="B304" s="4">
        <v>45972</v>
      </c>
      <c r="C304" s="6">
        <v>0.46350694444444446</v>
      </c>
      <c r="D304" s="7" t="s">
        <v>1606</v>
      </c>
      <c r="E304" t="s">
        <v>63</v>
      </c>
      <c r="F304" t="s">
        <v>51</v>
      </c>
      <c r="I304" t="s">
        <v>1453</v>
      </c>
      <c r="J304" t="s">
        <v>2985</v>
      </c>
      <c r="K304" t="s">
        <v>1454</v>
      </c>
      <c r="L304" t="s">
        <v>1455</v>
      </c>
      <c r="M304" s="3" t="str">
        <f>HYPERLINK(СторонТрансп[[#This Row],[RelativePath]])</f>
        <v>10 Сушилка навес\E33149364_3_20251111T110727Z.jpg</v>
      </c>
    </row>
    <row r="305" spans="1:13" x14ac:dyDescent="0.25">
      <c r="A305" t="s">
        <v>14</v>
      </c>
      <c r="B305" s="4">
        <v>45972</v>
      </c>
      <c r="C305" s="6">
        <v>0.46743055555555557</v>
      </c>
      <c r="D305" s="7" t="s">
        <v>289</v>
      </c>
      <c r="E305" t="s">
        <v>63</v>
      </c>
      <c r="F305" t="s">
        <v>58</v>
      </c>
      <c r="H305" t="s">
        <v>1620</v>
      </c>
      <c r="I305" t="s">
        <v>1456</v>
      </c>
      <c r="J305" t="s">
        <v>2985</v>
      </c>
      <c r="K305" t="s">
        <v>1457</v>
      </c>
      <c r="L305" t="s">
        <v>1458</v>
      </c>
      <c r="M305" s="3" t="str">
        <f>HYPERLINK(СторонТрансп[[#This Row],[RelativePath]])</f>
        <v>10 Сушилка навес\E33149364_3_20251111T111306Z.jpg</v>
      </c>
    </row>
    <row r="306" spans="1:13" x14ac:dyDescent="0.25">
      <c r="A306" t="s">
        <v>14</v>
      </c>
      <c r="B306" s="4">
        <v>45972</v>
      </c>
      <c r="C306" s="6">
        <v>0.47805555555555557</v>
      </c>
      <c r="D306" s="7" t="s">
        <v>1999</v>
      </c>
      <c r="E306" t="s">
        <v>63</v>
      </c>
      <c r="F306" t="s">
        <v>58</v>
      </c>
      <c r="H306" t="s">
        <v>1620</v>
      </c>
      <c r="I306" t="s">
        <v>1459</v>
      </c>
      <c r="J306" t="s">
        <v>2985</v>
      </c>
      <c r="K306" t="s">
        <v>1460</v>
      </c>
      <c r="L306" t="s">
        <v>1461</v>
      </c>
      <c r="M306" s="3" t="str">
        <f>HYPERLINK(СторонТрансп[[#This Row],[RelativePath]])</f>
        <v>10 Сушилка навес\E33149364_3_20251111T112824Z.jpg</v>
      </c>
    </row>
    <row r="307" spans="1:13" x14ac:dyDescent="0.25">
      <c r="A307" t="s">
        <v>14</v>
      </c>
      <c r="B307" s="4">
        <v>45972</v>
      </c>
      <c r="C307" s="6">
        <v>0.48200231481481481</v>
      </c>
      <c r="D307" s="7" t="s">
        <v>1999</v>
      </c>
      <c r="E307" t="s">
        <v>63</v>
      </c>
      <c r="F307" t="s">
        <v>58</v>
      </c>
      <c r="H307" t="s">
        <v>1620</v>
      </c>
      <c r="I307" t="s">
        <v>1462</v>
      </c>
      <c r="J307" t="s">
        <v>2985</v>
      </c>
      <c r="K307" t="s">
        <v>1463</v>
      </c>
      <c r="L307" t="s">
        <v>1464</v>
      </c>
      <c r="M307" s="3" t="str">
        <f>HYPERLINK(СторонТрансп[[#This Row],[RelativePath]])</f>
        <v>10 Сушилка навес\E33149364_3_20251111T113405Z.jpg</v>
      </c>
    </row>
    <row r="308" spans="1:13" x14ac:dyDescent="0.25">
      <c r="A308" t="s">
        <v>14</v>
      </c>
      <c r="B308" s="4">
        <v>45972</v>
      </c>
      <c r="C308" s="6">
        <v>0.48243055555555553</v>
      </c>
      <c r="D308" s="7" t="s">
        <v>650</v>
      </c>
      <c r="E308" t="s">
        <v>63</v>
      </c>
      <c r="F308" t="s">
        <v>58</v>
      </c>
      <c r="I308" t="s">
        <v>1465</v>
      </c>
      <c r="J308" t="s">
        <v>2985</v>
      </c>
      <c r="K308" t="s">
        <v>1466</v>
      </c>
      <c r="L308" t="s">
        <v>1467</v>
      </c>
      <c r="M308" s="3" t="str">
        <f>HYPERLINK(СторонТрансп[[#This Row],[RelativePath]])</f>
        <v>10 Сушилка навес\E33149364_3_20251111T113442Z.jpg</v>
      </c>
    </row>
    <row r="309" spans="1:13" x14ac:dyDescent="0.25">
      <c r="A309" t="s">
        <v>15</v>
      </c>
      <c r="B309" s="4">
        <v>45987</v>
      </c>
      <c r="C309" s="6">
        <v>0.43567129629629631</v>
      </c>
      <c r="D309" s="7" t="s">
        <v>1606</v>
      </c>
      <c r="E309" t="s">
        <v>4192</v>
      </c>
      <c r="I309" t="s">
        <v>3962</v>
      </c>
      <c r="J309" t="s">
        <v>2985</v>
      </c>
      <c r="K309" t="s">
        <v>3963</v>
      </c>
      <c r="L309" t="s">
        <v>3964</v>
      </c>
      <c r="M309" s="3" t="str">
        <f>HYPERLINK(СторонТрансп[[#This Row],[RelativePath]])</f>
        <v>10 Сушилка навес\E33149364_3_20251126T102722Z.jpg</v>
      </c>
    </row>
    <row r="310" spans="1:13" x14ac:dyDescent="0.25">
      <c r="A310" t="s">
        <v>15</v>
      </c>
      <c r="B310" s="4">
        <v>45987</v>
      </c>
      <c r="C310" s="6">
        <v>0.44207175925925923</v>
      </c>
      <c r="D310" s="7" t="s">
        <v>289</v>
      </c>
      <c r="E310" t="s">
        <v>4192</v>
      </c>
      <c r="F310" t="s">
        <v>58</v>
      </c>
      <c r="H310" t="s">
        <v>1620</v>
      </c>
      <c r="I310" t="s">
        <v>3965</v>
      </c>
      <c r="J310" t="s">
        <v>2985</v>
      </c>
      <c r="K310" t="s">
        <v>3966</v>
      </c>
      <c r="L310" t="s">
        <v>3967</v>
      </c>
      <c r="M310" s="3" t="str">
        <f>HYPERLINK(СторонТрансп[[#This Row],[RelativePath]])</f>
        <v>10 Сушилка навес\E33149364_3_20251126T103635Z.jpg</v>
      </c>
    </row>
    <row r="311" spans="1:13" x14ac:dyDescent="0.25">
      <c r="A311" t="s">
        <v>15</v>
      </c>
      <c r="B311" s="4">
        <v>45987</v>
      </c>
      <c r="C311" s="6">
        <v>0.44216435185185188</v>
      </c>
      <c r="D311" s="7" t="s">
        <v>289</v>
      </c>
      <c r="E311" t="s">
        <v>4192</v>
      </c>
      <c r="F311" t="s">
        <v>58</v>
      </c>
      <c r="H311" t="s">
        <v>2936</v>
      </c>
      <c r="I311" t="s">
        <v>3968</v>
      </c>
      <c r="J311" t="s">
        <v>2985</v>
      </c>
      <c r="K311" t="s">
        <v>3969</v>
      </c>
      <c r="L311" t="s">
        <v>3970</v>
      </c>
      <c r="M311" s="3" t="str">
        <f>HYPERLINK(СторонТрансп[[#This Row],[RelativePath]])</f>
        <v>10 Сушилка навес\E33149364_3_20251126T103643Z.jpg</v>
      </c>
    </row>
    <row r="312" spans="1:13" x14ac:dyDescent="0.25">
      <c r="A312" t="s">
        <v>15</v>
      </c>
      <c r="B312" s="4">
        <v>45987</v>
      </c>
      <c r="C312" s="6">
        <v>0.44226851851851851</v>
      </c>
      <c r="D312" s="7" t="s">
        <v>289</v>
      </c>
      <c r="E312" t="s">
        <v>4192</v>
      </c>
      <c r="F312" t="s">
        <v>58</v>
      </c>
      <c r="H312" t="s">
        <v>2936</v>
      </c>
      <c r="I312" t="s">
        <v>3971</v>
      </c>
      <c r="J312" t="s">
        <v>2985</v>
      </c>
      <c r="K312" t="s">
        <v>3972</v>
      </c>
      <c r="L312" t="s">
        <v>3973</v>
      </c>
      <c r="M312" s="3" t="str">
        <f>HYPERLINK(СторонТрансп[[#This Row],[RelativePath]])</f>
        <v>10 Сушилка навес\E33149364_3_20251126T103652Z.jpg</v>
      </c>
    </row>
    <row r="313" spans="1:13" x14ac:dyDescent="0.25">
      <c r="A313" t="s">
        <v>15</v>
      </c>
      <c r="B313" s="4">
        <v>45987</v>
      </c>
      <c r="C313" s="6">
        <v>0.44241898148148145</v>
      </c>
      <c r="D313" s="7" t="s">
        <v>289</v>
      </c>
      <c r="E313" t="s">
        <v>4192</v>
      </c>
      <c r="F313" t="s">
        <v>58</v>
      </c>
      <c r="H313" t="s">
        <v>2936</v>
      </c>
      <c r="I313" t="s">
        <v>3974</v>
      </c>
      <c r="J313" t="s">
        <v>2985</v>
      </c>
      <c r="K313" t="s">
        <v>3975</v>
      </c>
      <c r="L313" t="s">
        <v>3976</v>
      </c>
      <c r="M313" s="3" t="str">
        <f>HYPERLINK(СторонТрансп[[#This Row],[RelativePath]])</f>
        <v>10 Сушилка навес\E33149364_3_20251126T103705Z.jpg</v>
      </c>
    </row>
    <row r="314" spans="1:13" x14ac:dyDescent="0.25">
      <c r="A314" t="s">
        <v>15</v>
      </c>
      <c r="B314" s="4">
        <v>45987</v>
      </c>
      <c r="C314" s="6">
        <v>0.44255787037037037</v>
      </c>
      <c r="D314" s="7" t="s">
        <v>289</v>
      </c>
      <c r="E314" t="s">
        <v>4192</v>
      </c>
      <c r="F314" t="s">
        <v>58</v>
      </c>
      <c r="H314" t="s">
        <v>2936</v>
      </c>
      <c r="I314" t="s">
        <v>3977</v>
      </c>
      <c r="J314" t="s">
        <v>2985</v>
      </c>
      <c r="K314" t="s">
        <v>3978</v>
      </c>
      <c r="L314" t="s">
        <v>3979</v>
      </c>
      <c r="M314" s="3" t="str">
        <f>HYPERLINK(СторонТрансп[[#This Row],[RelativePath]])</f>
        <v>10 Сушилка навес\E33149364_3_20251126T103717Z.jpg</v>
      </c>
    </row>
    <row r="315" spans="1:13" x14ac:dyDescent="0.25">
      <c r="A315" t="s">
        <v>15</v>
      </c>
      <c r="B315" s="4">
        <v>45987</v>
      </c>
      <c r="C315" s="6">
        <v>0.44269675925925928</v>
      </c>
      <c r="D315" s="7" t="s">
        <v>289</v>
      </c>
      <c r="E315" t="s">
        <v>4192</v>
      </c>
      <c r="F315" t="s">
        <v>58</v>
      </c>
      <c r="H315" t="s">
        <v>2936</v>
      </c>
      <c r="I315" t="s">
        <v>3980</v>
      </c>
      <c r="J315" t="s">
        <v>2985</v>
      </c>
      <c r="K315" t="s">
        <v>3981</v>
      </c>
      <c r="L315" t="s">
        <v>3982</v>
      </c>
      <c r="M315" s="3" t="str">
        <f>HYPERLINK(СторонТрансп[[#This Row],[RelativePath]])</f>
        <v>10 Сушилка навес\E33149364_3_20251126T103729Z.jpg</v>
      </c>
    </row>
    <row r="316" spans="1:13" x14ac:dyDescent="0.25">
      <c r="A316" t="s">
        <v>15</v>
      </c>
      <c r="B316" s="4">
        <v>45987</v>
      </c>
      <c r="C316" s="6">
        <v>0.44284722222222223</v>
      </c>
      <c r="D316" s="7" t="s">
        <v>289</v>
      </c>
      <c r="E316" t="s">
        <v>4192</v>
      </c>
      <c r="F316" t="s">
        <v>58</v>
      </c>
      <c r="H316" t="s">
        <v>2936</v>
      </c>
      <c r="I316" t="s">
        <v>3983</v>
      </c>
      <c r="J316" t="s">
        <v>2985</v>
      </c>
      <c r="K316" t="s">
        <v>3984</v>
      </c>
      <c r="L316" t="s">
        <v>3985</v>
      </c>
      <c r="M316" s="3" t="str">
        <f>HYPERLINK(СторонТрансп[[#This Row],[RelativePath]])</f>
        <v>10 Сушилка навес\E33149364_3_20251126T103742Z.jpg</v>
      </c>
    </row>
    <row r="317" spans="1:13" x14ac:dyDescent="0.25">
      <c r="A317" t="s">
        <v>15</v>
      </c>
      <c r="B317" s="4">
        <v>45987</v>
      </c>
      <c r="C317" s="6">
        <v>0.44359953703703703</v>
      </c>
      <c r="D317" s="7" t="s">
        <v>2013</v>
      </c>
      <c r="E317" t="s">
        <v>4192</v>
      </c>
      <c r="H317" t="s">
        <v>4236</v>
      </c>
      <c r="I317" t="s">
        <v>3986</v>
      </c>
      <c r="J317" t="s">
        <v>2985</v>
      </c>
      <c r="K317" t="s">
        <v>3987</v>
      </c>
      <c r="L317" t="s">
        <v>3988</v>
      </c>
      <c r="M317" s="3" t="str">
        <f>HYPERLINK(СторонТрансп[[#This Row],[RelativePath]])</f>
        <v>10 Сушилка навес\E33149364_3_20251126T103847Z.jpg</v>
      </c>
    </row>
    <row r="318" spans="1:13" x14ac:dyDescent="0.25">
      <c r="A318" t="s">
        <v>15</v>
      </c>
      <c r="B318" s="4">
        <v>45987</v>
      </c>
      <c r="C318" s="6">
        <v>0.44372685185185184</v>
      </c>
      <c r="D318" s="7" t="s">
        <v>289</v>
      </c>
      <c r="E318" t="s">
        <v>4192</v>
      </c>
      <c r="F318" t="s">
        <v>58</v>
      </c>
      <c r="I318" t="s">
        <v>3989</v>
      </c>
      <c r="J318" t="s">
        <v>2985</v>
      </c>
      <c r="K318" t="s">
        <v>3990</v>
      </c>
      <c r="L318" t="s">
        <v>3991</v>
      </c>
      <c r="M318" s="3" t="str">
        <f>HYPERLINK(СторонТрансп[[#This Row],[RelativePath]])</f>
        <v>10 Сушилка навес\E33149364_3_20251126T103858Z.jpg</v>
      </c>
    </row>
    <row r="319" spans="1:13" x14ac:dyDescent="0.25">
      <c r="A319" t="s">
        <v>15</v>
      </c>
      <c r="B319" s="4">
        <v>45987</v>
      </c>
      <c r="C319" s="6">
        <v>0.44473379629629628</v>
      </c>
      <c r="D319" s="7" t="s">
        <v>289</v>
      </c>
      <c r="E319" t="s">
        <v>4192</v>
      </c>
      <c r="F319" t="s">
        <v>58</v>
      </c>
      <c r="H319" t="s">
        <v>2936</v>
      </c>
      <c r="I319" t="s">
        <v>3992</v>
      </c>
      <c r="J319" t="s">
        <v>2985</v>
      </c>
      <c r="K319" t="s">
        <v>3993</v>
      </c>
      <c r="L319" t="s">
        <v>3994</v>
      </c>
      <c r="M319" s="3" t="str">
        <f>HYPERLINK(СторонТрансп[[#This Row],[RelativePath]])</f>
        <v>10 Сушилка навес\E33149364_3_20251126T104025Z.jpg</v>
      </c>
    </row>
    <row r="320" spans="1:13" x14ac:dyDescent="0.25">
      <c r="A320" t="s">
        <v>15</v>
      </c>
      <c r="B320" s="4">
        <v>45987</v>
      </c>
      <c r="C320" s="6">
        <v>0.44495370370370368</v>
      </c>
      <c r="D320" s="7" t="s">
        <v>289</v>
      </c>
      <c r="E320" t="s">
        <v>4192</v>
      </c>
      <c r="F320" t="s">
        <v>58</v>
      </c>
      <c r="H320" t="s">
        <v>2936</v>
      </c>
      <c r="I320" t="s">
        <v>3995</v>
      </c>
      <c r="J320" t="s">
        <v>2985</v>
      </c>
      <c r="K320" t="s">
        <v>3996</v>
      </c>
      <c r="L320" t="s">
        <v>3997</v>
      </c>
      <c r="M320" s="3" t="str">
        <f>HYPERLINK(СторонТрансп[[#This Row],[RelativePath]])</f>
        <v>10 Сушилка навес\E33149364_3_20251126T104044Z.jpg</v>
      </c>
    </row>
    <row r="321" spans="1:13" x14ac:dyDescent="0.25">
      <c r="A321" t="s">
        <v>15</v>
      </c>
      <c r="B321" s="4">
        <v>45987</v>
      </c>
      <c r="C321" s="6">
        <v>0.44578703703703704</v>
      </c>
      <c r="D321" s="7" t="s">
        <v>4232</v>
      </c>
      <c r="E321" t="s">
        <v>4192</v>
      </c>
      <c r="F321" t="s">
        <v>58</v>
      </c>
      <c r="I321" t="s">
        <v>3998</v>
      </c>
      <c r="J321" t="s">
        <v>2985</v>
      </c>
      <c r="K321" t="s">
        <v>3999</v>
      </c>
      <c r="L321" t="s">
        <v>4000</v>
      </c>
      <c r="M321" s="3" t="str">
        <f>HYPERLINK(СторонТрансп[[#This Row],[RelativePath]])</f>
        <v>10 Сушилка навес\E33149364_3_20251126T104156Z.jpg</v>
      </c>
    </row>
    <row r="322" spans="1:13" x14ac:dyDescent="0.25">
      <c r="A322" t="s">
        <v>15</v>
      </c>
      <c r="B322" s="4">
        <v>45987</v>
      </c>
      <c r="C322" s="6">
        <v>0.44631944444444444</v>
      </c>
      <c r="D322" s="7" t="s">
        <v>2013</v>
      </c>
      <c r="E322" t="s">
        <v>4192</v>
      </c>
      <c r="H322" t="s">
        <v>4237</v>
      </c>
      <c r="I322" t="s">
        <v>4001</v>
      </c>
      <c r="J322" t="s">
        <v>2985</v>
      </c>
      <c r="K322" t="s">
        <v>4002</v>
      </c>
      <c r="L322" t="s">
        <v>4003</v>
      </c>
      <c r="M322" s="3" t="str">
        <f>HYPERLINK(СторонТрансп[[#This Row],[RelativePath]])</f>
        <v>10 Сушилка навес\E33149364_3_20251126T104242Z.jpg</v>
      </c>
    </row>
    <row r="323" spans="1:13" x14ac:dyDescent="0.25">
      <c r="A323" t="s">
        <v>15</v>
      </c>
      <c r="B323" s="4">
        <v>45987</v>
      </c>
      <c r="C323" s="6">
        <v>0.4475925925925926</v>
      </c>
      <c r="D323" s="7" t="s">
        <v>289</v>
      </c>
      <c r="E323" t="s">
        <v>4192</v>
      </c>
      <c r="F323" t="s">
        <v>58</v>
      </c>
      <c r="I323" t="s">
        <v>4004</v>
      </c>
      <c r="J323" t="s">
        <v>2985</v>
      </c>
      <c r="K323" t="s">
        <v>4005</v>
      </c>
      <c r="L323" t="s">
        <v>4006</v>
      </c>
      <c r="M323" s="3" t="str">
        <f>HYPERLINK(СторонТрансп[[#This Row],[RelativePath]])</f>
        <v>10 Сушилка навес\E33149364_3_20251126T104432Z.jpg</v>
      </c>
    </row>
    <row r="324" spans="1:13" x14ac:dyDescent="0.25">
      <c r="A324" t="s">
        <v>15</v>
      </c>
      <c r="B324" s="4">
        <v>45987</v>
      </c>
      <c r="C324" s="6">
        <v>0.44767361111111109</v>
      </c>
      <c r="D324" s="7" t="s">
        <v>289</v>
      </c>
      <c r="E324" t="s">
        <v>4192</v>
      </c>
      <c r="F324" t="s">
        <v>58</v>
      </c>
      <c r="H324" t="s">
        <v>2936</v>
      </c>
      <c r="I324" t="s">
        <v>4007</v>
      </c>
      <c r="J324" t="s">
        <v>2985</v>
      </c>
      <c r="K324" t="s">
        <v>4008</v>
      </c>
      <c r="L324" t="s">
        <v>4009</v>
      </c>
      <c r="M324" s="3" t="str">
        <f>HYPERLINK(СторонТрансп[[#This Row],[RelativePath]])</f>
        <v>10 Сушилка навес\E33149364_3_20251126T104439Z.jpg</v>
      </c>
    </row>
    <row r="325" spans="1:13" x14ac:dyDescent="0.25">
      <c r="A325" t="s">
        <v>15</v>
      </c>
      <c r="B325" s="4">
        <v>45987</v>
      </c>
      <c r="C325" s="6">
        <v>0.4478125</v>
      </c>
      <c r="D325" s="7" t="s">
        <v>289</v>
      </c>
      <c r="E325" t="s">
        <v>4192</v>
      </c>
      <c r="F325" t="s">
        <v>58</v>
      </c>
      <c r="H325" t="s">
        <v>2936</v>
      </c>
      <c r="I325" t="s">
        <v>4010</v>
      </c>
      <c r="J325" t="s">
        <v>2985</v>
      </c>
      <c r="K325" t="s">
        <v>4011</v>
      </c>
      <c r="L325" t="s">
        <v>4012</v>
      </c>
      <c r="M325" s="3" t="str">
        <f>HYPERLINK(СторонТрансп[[#This Row],[RelativePath]])</f>
        <v>10 Сушилка навес\E33149364_3_20251126T104451Z.jpg</v>
      </c>
    </row>
    <row r="326" spans="1:13" x14ac:dyDescent="0.25">
      <c r="A326" t="s">
        <v>15</v>
      </c>
      <c r="B326" s="4">
        <v>45987</v>
      </c>
      <c r="C326" s="6">
        <v>0.45056712962962964</v>
      </c>
      <c r="D326" s="7" t="s">
        <v>289</v>
      </c>
      <c r="E326" t="s">
        <v>4192</v>
      </c>
      <c r="F326" t="s">
        <v>58</v>
      </c>
      <c r="H326" t="s">
        <v>2936</v>
      </c>
      <c r="I326" t="s">
        <v>4013</v>
      </c>
      <c r="J326" t="s">
        <v>2985</v>
      </c>
      <c r="K326" t="s">
        <v>4014</v>
      </c>
      <c r="L326" t="s">
        <v>4015</v>
      </c>
      <c r="M326" s="3" t="str">
        <f>HYPERLINK(СторонТрансп[[#This Row],[RelativePath]])</f>
        <v>10 Сушилка навес\E33149364_3_20251126T104849Z.jpg</v>
      </c>
    </row>
    <row r="327" spans="1:13" x14ac:dyDescent="0.25">
      <c r="A327" t="s">
        <v>15</v>
      </c>
      <c r="B327" s="4">
        <v>45987</v>
      </c>
      <c r="C327" s="6">
        <v>0.45187500000000003</v>
      </c>
      <c r="D327" s="7" t="s">
        <v>4235</v>
      </c>
      <c r="E327" t="s">
        <v>4192</v>
      </c>
      <c r="F327" t="s">
        <v>58</v>
      </c>
      <c r="I327" t="s">
        <v>4016</v>
      </c>
      <c r="J327" t="s">
        <v>2985</v>
      </c>
      <c r="K327" t="s">
        <v>4017</v>
      </c>
      <c r="L327" t="s">
        <v>4018</v>
      </c>
      <c r="M327" s="3" t="str">
        <f>HYPERLINK(СторонТрансп[[#This Row],[RelativePath]])</f>
        <v>10 Сушилка навес\E33149364_3_20251126T105042Z.jpg</v>
      </c>
    </row>
    <row r="328" spans="1:13" x14ac:dyDescent="0.25">
      <c r="A328" t="s">
        <v>22</v>
      </c>
      <c r="B328" s="4">
        <v>45998</v>
      </c>
      <c r="C328" s="6">
        <v>0.59520833333333334</v>
      </c>
      <c r="D328" s="7" t="s">
        <v>1606</v>
      </c>
      <c r="E328" t="s">
        <v>5263</v>
      </c>
      <c r="F328" t="s">
        <v>51</v>
      </c>
      <c r="I328" t="s">
        <v>5184</v>
      </c>
      <c r="J328" t="s">
        <v>2985</v>
      </c>
      <c r="K328" t="s">
        <v>5185</v>
      </c>
      <c r="L328" t="s">
        <v>5186</v>
      </c>
      <c r="M328" s="3" t="str">
        <f>HYPERLINK(СторонТрансп[[#This Row],[RelativePath]])</f>
        <v>10 Сушилка навес\E33149364_3_20251207T141706Z.jpg</v>
      </c>
    </row>
    <row r="329" spans="1:13" x14ac:dyDescent="0.25">
      <c r="A329" t="s">
        <v>22</v>
      </c>
      <c r="B329" s="4">
        <v>45998</v>
      </c>
      <c r="C329" s="6">
        <v>0.60039351851851852</v>
      </c>
      <c r="D329" s="7" t="s">
        <v>289</v>
      </c>
      <c r="E329" t="s">
        <v>5263</v>
      </c>
      <c r="F329" t="s">
        <v>4233</v>
      </c>
      <c r="I329" t="s">
        <v>5187</v>
      </c>
      <c r="J329" t="s">
        <v>2985</v>
      </c>
      <c r="K329" t="s">
        <v>5188</v>
      </c>
      <c r="L329" t="s">
        <v>5189</v>
      </c>
      <c r="M329" s="3" t="str">
        <f>HYPERLINK(СторонТрансп[[#This Row],[RelativePath]])</f>
        <v>10 Сушилка навес\E33149364_3_20251207T142434Z.jpg</v>
      </c>
    </row>
    <row r="330" spans="1:13" x14ac:dyDescent="0.25">
      <c r="A330" t="s">
        <v>22</v>
      </c>
      <c r="B330" s="4">
        <v>45998</v>
      </c>
      <c r="C330" s="6">
        <v>0.60648148148148151</v>
      </c>
      <c r="D330" s="7" t="s">
        <v>289</v>
      </c>
      <c r="E330" t="s">
        <v>5263</v>
      </c>
      <c r="F330" t="s">
        <v>4233</v>
      </c>
      <c r="H330" t="s">
        <v>2936</v>
      </c>
      <c r="I330" t="s">
        <v>5190</v>
      </c>
      <c r="J330" t="s">
        <v>2985</v>
      </c>
      <c r="K330" t="s">
        <v>5191</v>
      </c>
      <c r="L330" t="s">
        <v>5192</v>
      </c>
      <c r="M330" s="3" t="str">
        <f>HYPERLINK(СторонТрансп[[#This Row],[RelativePath]])</f>
        <v>10 Сушилка навес\E33149364_3_20251207T143320Z.jpg</v>
      </c>
    </row>
    <row r="331" spans="1:13" x14ac:dyDescent="0.25">
      <c r="A331" t="s">
        <v>22</v>
      </c>
      <c r="B331" s="4">
        <v>45998</v>
      </c>
      <c r="C331" s="6">
        <v>0.61306712962962961</v>
      </c>
      <c r="D331" s="7" t="s">
        <v>4232</v>
      </c>
      <c r="E331" t="s">
        <v>5263</v>
      </c>
      <c r="F331" t="s">
        <v>4233</v>
      </c>
      <c r="I331" t="s">
        <v>5193</v>
      </c>
      <c r="J331" t="s">
        <v>2985</v>
      </c>
      <c r="K331" t="s">
        <v>5194</v>
      </c>
      <c r="L331" t="s">
        <v>5195</v>
      </c>
      <c r="M331" s="3" t="str">
        <f>HYPERLINK(СторонТрансп[[#This Row],[RelativePath]])</f>
        <v>10 Сушилка навес\E33149364_3_20251207T144249Z.jpg</v>
      </c>
    </row>
    <row r="332" spans="1:13" x14ac:dyDescent="0.25">
      <c r="A332" t="s">
        <v>18</v>
      </c>
      <c r="B332" s="4">
        <v>46004</v>
      </c>
      <c r="C332" s="6">
        <v>0.38762731481481483</v>
      </c>
      <c r="D332" s="7" t="s">
        <v>4</v>
      </c>
      <c r="E332" t="s">
        <v>6167</v>
      </c>
      <c r="I332" t="s">
        <v>6095</v>
      </c>
      <c r="J332" t="s">
        <v>2985</v>
      </c>
      <c r="K332" t="s">
        <v>6096</v>
      </c>
      <c r="L332" t="s">
        <v>6097</v>
      </c>
      <c r="M332" s="3" t="str">
        <f>HYPERLINK(СторонТрансп[[#This Row],[RelativePath]])</f>
        <v>10 Сушилка навес\E33149364_3_20251213T091811Z.jpg</v>
      </c>
    </row>
    <row r="333" spans="1:13" x14ac:dyDescent="0.25">
      <c r="A333" t="s">
        <v>18</v>
      </c>
      <c r="B333" s="4">
        <v>46004</v>
      </c>
      <c r="C333" s="6">
        <v>0.55000000000000004</v>
      </c>
      <c r="D333" s="7" t="s">
        <v>4</v>
      </c>
      <c r="E333" t="s">
        <v>6167</v>
      </c>
      <c r="I333" t="s">
        <v>6101</v>
      </c>
      <c r="J333" t="s">
        <v>2985</v>
      </c>
      <c r="K333" t="s">
        <v>6102</v>
      </c>
      <c r="L333" t="s">
        <v>6103</v>
      </c>
      <c r="M333" s="3" t="str">
        <f>HYPERLINK(СторонТрансп[[#This Row],[RelativePath]])</f>
        <v>10 Сушилка навес\E33149364_3_20251213T131200Z.jpg</v>
      </c>
    </row>
    <row r="334" spans="1:13" x14ac:dyDescent="0.25">
      <c r="A334" t="s">
        <v>15</v>
      </c>
      <c r="B334" s="4">
        <v>45973</v>
      </c>
      <c r="C334" s="6">
        <v>0.69604166666666667</v>
      </c>
      <c r="D334" s="7" t="s">
        <v>1606</v>
      </c>
      <c r="E334" t="s">
        <v>66</v>
      </c>
      <c r="F334" t="s">
        <v>69</v>
      </c>
      <c r="I334" t="s">
        <v>1748</v>
      </c>
      <c r="J334" t="s">
        <v>2986</v>
      </c>
      <c r="K334" t="s">
        <v>1749</v>
      </c>
      <c r="L334" t="s">
        <v>1750</v>
      </c>
      <c r="M334" s="3" t="str">
        <f>HYPERLINK(СторонТрансп[[#This Row],[RelativePath]])</f>
        <v>11 С ангара на базу\E33149364_4_20251112T164218Z.jpg</v>
      </c>
    </row>
    <row r="335" spans="1:13" x14ac:dyDescent="0.25">
      <c r="A335" t="s">
        <v>15</v>
      </c>
      <c r="B335" s="4">
        <v>45973</v>
      </c>
      <c r="C335" s="6">
        <v>0.69677083333333334</v>
      </c>
      <c r="D335" s="7" t="s">
        <v>290</v>
      </c>
      <c r="E335" t="s">
        <v>66</v>
      </c>
      <c r="F335" t="s">
        <v>69</v>
      </c>
      <c r="I335" t="s">
        <v>1751</v>
      </c>
      <c r="J335" t="s">
        <v>2986</v>
      </c>
      <c r="K335" t="s">
        <v>1752</v>
      </c>
      <c r="L335" t="s">
        <v>1753</v>
      </c>
      <c r="M335" s="3" t="str">
        <f>HYPERLINK(СторонТрансп[[#This Row],[RelativePath]])</f>
        <v>11 С ангара на базу\E33149364_4_20251112T164321Z.jpg</v>
      </c>
    </row>
    <row r="336" spans="1:13" x14ac:dyDescent="0.25">
      <c r="A336" t="s">
        <v>15</v>
      </c>
      <c r="B336" s="4">
        <v>45973</v>
      </c>
      <c r="C336" s="6">
        <v>0.70961805555555557</v>
      </c>
      <c r="D336" s="7" t="s">
        <v>650</v>
      </c>
      <c r="E336" t="s">
        <v>66</v>
      </c>
      <c r="F336" t="s">
        <v>51</v>
      </c>
      <c r="I336" t="s">
        <v>1754</v>
      </c>
      <c r="J336" t="s">
        <v>2986</v>
      </c>
      <c r="K336" t="s">
        <v>1755</v>
      </c>
      <c r="L336" t="s">
        <v>1756</v>
      </c>
      <c r="M336" s="3" t="str">
        <f>HYPERLINK(СторонТрансп[[#This Row],[RelativePath]])</f>
        <v>11 С ангара на базу\E33149364_4_20251112T170151Z.jpg</v>
      </c>
    </row>
    <row r="337" spans="1:13" x14ac:dyDescent="0.25">
      <c r="A337" t="s">
        <v>15</v>
      </c>
      <c r="B337" s="4">
        <v>45987</v>
      </c>
      <c r="C337" s="6">
        <v>0.44723379629629628</v>
      </c>
      <c r="D337" s="7" t="s">
        <v>289</v>
      </c>
      <c r="E337" t="s">
        <v>4192</v>
      </c>
      <c r="F337" t="s">
        <v>58</v>
      </c>
      <c r="I337" t="s">
        <v>4094</v>
      </c>
      <c r="J337" t="s">
        <v>2986</v>
      </c>
      <c r="K337" t="s">
        <v>4095</v>
      </c>
      <c r="L337" t="s">
        <v>4096</v>
      </c>
      <c r="M337" s="3" t="str">
        <f>HYPERLINK(СторонТрансп[[#This Row],[RelativePath]])</f>
        <v>11 С ангара на базу\E33149364_4_20251126T104401Z.jpg</v>
      </c>
    </row>
    <row r="338" spans="1:13" x14ac:dyDescent="0.25">
      <c r="A338" t="s">
        <v>15</v>
      </c>
      <c r="B338" s="4">
        <v>45987</v>
      </c>
      <c r="C338" s="6">
        <v>0.44848379629629631</v>
      </c>
      <c r="D338" s="7" t="s">
        <v>289</v>
      </c>
      <c r="E338" t="s">
        <v>4192</v>
      </c>
      <c r="F338" t="s">
        <v>58</v>
      </c>
      <c r="H338" t="s">
        <v>2936</v>
      </c>
      <c r="I338" t="s">
        <v>4097</v>
      </c>
      <c r="J338" t="s">
        <v>2986</v>
      </c>
      <c r="K338" t="s">
        <v>4098</v>
      </c>
      <c r="L338" t="s">
        <v>4099</v>
      </c>
      <c r="M338" s="3" t="str">
        <f>HYPERLINK(СторонТрансп[[#This Row],[RelativePath]])</f>
        <v>11 С ангара на базу\E33149364_4_20251126T104549Z.jpg</v>
      </c>
    </row>
    <row r="339" spans="1:13" x14ac:dyDescent="0.25">
      <c r="A339" t="s">
        <v>15</v>
      </c>
      <c r="B339" s="4">
        <v>45987</v>
      </c>
      <c r="C339" s="6">
        <v>0.44864583333333335</v>
      </c>
      <c r="D339" s="7" t="s">
        <v>289</v>
      </c>
      <c r="E339" t="s">
        <v>4192</v>
      </c>
      <c r="F339" t="s">
        <v>58</v>
      </c>
      <c r="H339" t="s">
        <v>2936</v>
      </c>
      <c r="I339" t="s">
        <v>4100</v>
      </c>
      <c r="J339" t="s">
        <v>2986</v>
      </c>
      <c r="K339" t="s">
        <v>4101</v>
      </c>
      <c r="L339" t="s">
        <v>4102</v>
      </c>
      <c r="M339" s="3" t="str">
        <f>HYPERLINK(СторонТрансп[[#This Row],[RelativePath]])</f>
        <v>11 С ангара на базу\E33149364_4_20251126T104603Z.jpg</v>
      </c>
    </row>
    <row r="340" spans="1:13" x14ac:dyDescent="0.25">
      <c r="A340" t="s">
        <v>15</v>
      </c>
      <c r="B340" s="4">
        <v>45987</v>
      </c>
      <c r="C340" s="6">
        <v>0.44947916666666665</v>
      </c>
      <c r="D340" s="7" t="s">
        <v>289</v>
      </c>
      <c r="E340" t="s">
        <v>4192</v>
      </c>
      <c r="F340" t="s">
        <v>58</v>
      </c>
      <c r="H340" t="s">
        <v>2936</v>
      </c>
      <c r="I340" t="s">
        <v>4103</v>
      </c>
      <c r="J340" t="s">
        <v>2986</v>
      </c>
      <c r="K340" t="s">
        <v>4104</v>
      </c>
      <c r="L340" t="s">
        <v>4105</v>
      </c>
      <c r="M340" s="3" t="str">
        <f>HYPERLINK(СторонТрансп[[#This Row],[RelativePath]])</f>
        <v>11 С ангара на базу\E33149364_4_20251126T104715Z.jpg</v>
      </c>
    </row>
    <row r="341" spans="1:13" x14ac:dyDescent="0.25">
      <c r="A341" t="s">
        <v>22</v>
      </c>
      <c r="B341" s="4">
        <v>45998</v>
      </c>
      <c r="C341" s="6">
        <v>0.59843749999999996</v>
      </c>
      <c r="D341" s="7" t="s">
        <v>5265</v>
      </c>
      <c r="E341" t="s">
        <v>5263</v>
      </c>
      <c r="F341" t="s">
        <v>4233</v>
      </c>
      <c r="I341" t="s">
        <v>5199</v>
      </c>
      <c r="J341" t="s">
        <v>2986</v>
      </c>
      <c r="K341" t="s">
        <v>5200</v>
      </c>
      <c r="L341" t="s">
        <v>5201</v>
      </c>
      <c r="M341" s="3" t="str">
        <f>HYPERLINK(СторонТрансп[[#This Row],[RelativePath]])</f>
        <v>11 С ангара на базу\E33149364_4_20251207T142145Z.jpg</v>
      </c>
    </row>
    <row r="342" spans="1:13" x14ac:dyDescent="0.25">
      <c r="A342" t="s">
        <v>22</v>
      </c>
      <c r="B342" s="4">
        <v>45998</v>
      </c>
      <c r="C342" s="6">
        <v>0.60221064814814818</v>
      </c>
      <c r="D342" s="7" t="s">
        <v>5265</v>
      </c>
      <c r="E342" t="s">
        <v>5263</v>
      </c>
      <c r="F342" t="s">
        <v>4233</v>
      </c>
      <c r="H342" t="s">
        <v>2936</v>
      </c>
      <c r="I342" t="s">
        <v>5202</v>
      </c>
      <c r="J342" t="s">
        <v>2986</v>
      </c>
      <c r="K342" t="s">
        <v>5203</v>
      </c>
      <c r="L342" t="s">
        <v>5204</v>
      </c>
      <c r="M342" s="3" t="str">
        <f>HYPERLINK(СторонТрансп[[#This Row],[RelativePath]])</f>
        <v>11 С ангара на базу\E33149364_4_20251207T142711Z.jpg</v>
      </c>
    </row>
    <row r="343" spans="1:13" x14ac:dyDescent="0.25">
      <c r="A343" t="s">
        <v>22</v>
      </c>
      <c r="B343" s="4">
        <v>45998</v>
      </c>
      <c r="C343" s="6">
        <v>0.60230324074074071</v>
      </c>
      <c r="D343" s="7" t="s">
        <v>5265</v>
      </c>
      <c r="E343" t="s">
        <v>5263</v>
      </c>
      <c r="F343" t="s">
        <v>4233</v>
      </c>
      <c r="H343" t="s">
        <v>2936</v>
      </c>
      <c r="I343" t="s">
        <v>5205</v>
      </c>
      <c r="J343" t="s">
        <v>2986</v>
      </c>
      <c r="K343" t="s">
        <v>5206</v>
      </c>
      <c r="L343" t="s">
        <v>5207</v>
      </c>
      <c r="M343" s="3" t="str">
        <f>HYPERLINK(СторонТрансп[[#This Row],[RelativePath]])</f>
        <v>11 С ангара на базу\E33149364_4_20251207T142719Z.jpg</v>
      </c>
    </row>
    <row r="344" spans="1:13" x14ac:dyDescent="0.25">
      <c r="A344" t="s">
        <v>22</v>
      </c>
      <c r="B344" s="4">
        <v>45998</v>
      </c>
      <c r="C344" s="6">
        <v>0.60530092592592588</v>
      </c>
      <c r="D344" s="7" t="s">
        <v>5265</v>
      </c>
      <c r="E344" t="s">
        <v>5263</v>
      </c>
      <c r="F344" t="s">
        <v>4233</v>
      </c>
      <c r="H344" t="s">
        <v>2936</v>
      </c>
      <c r="I344" t="s">
        <v>5208</v>
      </c>
      <c r="J344" t="s">
        <v>2986</v>
      </c>
      <c r="K344" t="s">
        <v>5209</v>
      </c>
      <c r="L344" t="s">
        <v>5210</v>
      </c>
      <c r="M344" s="3" t="str">
        <f>HYPERLINK(СторонТрансп[[#This Row],[RelativePath]])</f>
        <v>11 С ангара на базу\E33149364_4_20251207T143138Z.jpg</v>
      </c>
    </row>
    <row r="345" spans="1:13" x14ac:dyDescent="0.25">
      <c r="A345" t="s">
        <v>22</v>
      </c>
      <c r="B345" s="4">
        <v>45998</v>
      </c>
      <c r="C345" s="6">
        <v>0.6055787037037037</v>
      </c>
      <c r="D345" s="7" t="s">
        <v>5265</v>
      </c>
      <c r="E345" t="s">
        <v>5263</v>
      </c>
      <c r="F345" t="s">
        <v>4233</v>
      </c>
      <c r="H345" t="s">
        <v>2936</v>
      </c>
      <c r="I345" t="s">
        <v>5211</v>
      </c>
      <c r="J345" t="s">
        <v>2986</v>
      </c>
      <c r="K345" t="s">
        <v>5212</v>
      </c>
      <c r="L345" t="s">
        <v>5213</v>
      </c>
      <c r="M345" s="3" t="str">
        <f>HYPERLINK(СторонТрансп[[#This Row],[RelativePath]])</f>
        <v>11 С ангара на базу\E33149364_4_20251207T143202Z.jpg</v>
      </c>
    </row>
    <row r="346" spans="1:13" x14ac:dyDescent="0.25">
      <c r="A346" t="s">
        <v>22</v>
      </c>
      <c r="B346" s="4">
        <v>45998</v>
      </c>
      <c r="C346" s="6">
        <v>0.6134722222222222</v>
      </c>
      <c r="D346" s="7" t="s">
        <v>4235</v>
      </c>
      <c r="E346" t="s">
        <v>5263</v>
      </c>
      <c r="F346" t="s">
        <v>4233</v>
      </c>
      <c r="I346" t="s">
        <v>5214</v>
      </c>
      <c r="J346" t="s">
        <v>2986</v>
      </c>
      <c r="K346" t="s">
        <v>5215</v>
      </c>
      <c r="L346" t="s">
        <v>5216</v>
      </c>
      <c r="M346" s="3" t="str">
        <f>HYPERLINK(СторонТрансп[[#This Row],[RelativePath]])</f>
        <v>11 С ангара на базу\E33149364_4_20251207T144324Z.jpg</v>
      </c>
    </row>
    <row r="347" spans="1:13" x14ac:dyDescent="0.25">
      <c r="A347" t="s">
        <v>18</v>
      </c>
      <c r="B347" s="4">
        <v>46004</v>
      </c>
      <c r="C347" s="6">
        <v>0.38579861111111113</v>
      </c>
      <c r="D347" s="7" t="s">
        <v>1606</v>
      </c>
      <c r="E347" t="s">
        <v>6167</v>
      </c>
      <c r="F347" t="s">
        <v>6186</v>
      </c>
      <c r="H347" t="s">
        <v>6164</v>
      </c>
      <c r="I347" t="s">
        <v>6107</v>
      </c>
      <c r="J347" t="s">
        <v>2986</v>
      </c>
      <c r="K347" t="s">
        <v>6108</v>
      </c>
      <c r="L347" t="s">
        <v>6109</v>
      </c>
      <c r="M347" s="3" t="str">
        <f>HYPERLINK(СторонТрансп[[#This Row],[RelativePath]])</f>
        <v>11 С ангара на базу\E33149364_4_20251213T091533Z.jpg</v>
      </c>
    </row>
    <row r="348" spans="1:13" x14ac:dyDescent="0.25">
      <c r="A348" t="s">
        <v>18</v>
      </c>
      <c r="B348" s="4">
        <v>46004</v>
      </c>
      <c r="C348" s="6">
        <v>0.38621527777777775</v>
      </c>
      <c r="D348" s="7" t="s">
        <v>6187</v>
      </c>
      <c r="E348" t="s">
        <v>6167</v>
      </c>
      <c r="I348" t="s">
        <v>6110</v>
      </c>
      <c r="J348" t="s">
        <v>2986</v>
      </c>
      <c r="K348" t="s">
        <v>6111</v>
      </c>
      <c r="L348" t="s">
        <v>6112</v>
      </c>
      <c r="M348" s="3" t="str">
        <f>HYPERLINK(СторонТрансп[[#This Row],[RelativePath]])</f>
        <v>11 С ангара на базу\E33149364_4_20251213T091609Z.jpg</v>
      </c>
    </row>
    <row r="349" spans="1:13" x14ac:dyDescent="0.25">
      <c r="A349" t="s">
        <v>18</v>
      </c>
      <c r="B349" s="4">
        <v>46004</v>
      </c>
      <c r="C349" s="6">
        <v>0.39291666666666669</v>
      </c>
      <c r="D349" s="7" t="s">
        <v>289</v>
      </c>
      <c r="E349" t="s">
        <v>6167</v>
      </c>
      <c r="F349" t="s">
        <v>6188</v>
      </c>
      <c r="H349" t="s">
        <v>2936</v>
      </c>
      <c r="I349" t="s">
        <v>6113</v>
      </c>
      <c r="J349" t="s">
        <v>2986</v>
      </c>
      <c r="K349" t="s">
        <v>6114</v>
      </c>
      <c r="L349" t="s">
        <v>6115</v>
      </c>
      <c r="M349" s="3" t="str">
        <f>HYPERLINK(СторонТрансп[[#This Row],[RelativePath]])</f>
        <v>11 С ангара на базу\E33149364_4_20251213T092548Z.jpg</v>
      </c>
    </row>
    <row r="350" spans="1:13" x14ac:dyDescent="0.25">
      <c r="A350" t="s">
        <v>18</v>
      </c>
      <c r="B350" s="4">
        <v>46004</v>
      </c>
      <c r="C350" s="6">
        <v>0.39643518518518517</v>
      </c>
      <c r="D350" s="7" t="s">
        <v>289</v>
      </c>
      <c r="E350" t="s">
        <v>6167</v>
      </c>
      <c r="F350" t="s">
        <v>6188</v>
      </c>
      <c r="H350" t="s">
        <v>2936</v>
      </c>
      <c r="I350" t="s">
        <v>6116</v>
      </c>
      <c r="J350" t="s">
        <v>2986</v>
      </c>
      <c r="K350" t="s">
        <v>6117</v>
      </c>
      <c r="L350" t="s">
        <v>6118</v>
      </c>
      <c r="M350" s="3" t="str">
        <f>HYPERLINK(СторонТрансп[[#This Row],[RelativePath]])</f>
        <v>11 С ангара на базу\E33149364_4_20251213T093052Z.jpg</v>
      </c>
    </row>
    <row r="351" spans="1:13" x14ac:dyDescent="0.25">
      <c r="A351" t="s">
        <v>18</v>
      </c>
      <c r="B351" s="4">
        <v>46004</v>
      </c>
      <c r="C351" s="6">
        <v>0.39685185185185184</v>
      </c>
      <c r="D351" s="7" t="s">
        <v>289</v>
      </c>
      <c r="E351" t="s">
        <v>6167</v>
      </c>
      <c r="F351" t="s">
        <v>6188</v>
      </c>
      <c r="H351" t="s">
        <v>2936</v>
      </c>
      <c r="I351" t="s">
        <v>6119</v>
      </c>
      <c r="J351" t="s">
        <v>2986</v>
      </c>
      <c r="K351" t="s">
        <v>6120</v>
      </c>
      <c r="L351" t="s">
        <v>6121</v>
      </c>
      <c r="M351" s="3" t="str">
        <f>HYPERLINK(СторонТрансп[[#This Row],[RelativePath]])</f>
        <v>11 С ангара на базу\E33149364_4_20251213T093128Z.jpg</v>
      </c>
    </row>
    <row r="352" spans="1:13" x14ac:dyDescent="0.25">
      <c r="A352" t="s">
        <v>18</v>
      </c>
      <c r="B352" s="4">
        <v>46004</v>
      </c>
      <c r="C352" s="6">
        <v>0.3972222222222222</v>
      </c>
      <c r="D352" s="7" t="s">
        <v>289</v>
      </c>
      <c r="E352" t="s">
        <v>6167</v>
      </c>
      <c r="F352" t="s">
        <v>6188</v>
      </c>
      <c r="H352" t="s">
        <v>2936</v>
      </c>
      <c r="I352" t="s">
        <v>6122</v>
      </c>
      <c r="J352" t="s">
        <v>2986</v>
      </c>
      <c r="K352" t="s">
        <v>6123</v>
      </c>
      <c r="L352" t="s">
        <v>6124</v>
      </c>
      <c r="M352" s="3" t="str">
        <f>HYPERLINK(СторонТрансп[[#This Row],[RelativePath]])</f>
        <v>11 С ангара на базу\E33149364_4_20251213T093200Z.jpg</v>
      </c>
    </row>
    <row r="353" spans="1:13" x14ac:dyDescent="0.25">
      <c r="A353" t="s">
        <v>18</v>
      </c>
      <c r="B353" s="4">
        <v>46004</v>
      </c>
      <c r="C353" s="6">
        <v>0.39961805555555557</v>
      </c>
      <c r="D353" s="7" t="s">
        <v>289</v>
      </c>
      <c r="E353" t="s">
        <v>6167</v>
      </c>
      <c r="F353" t="s">
        <v>6188</v>
      </c>
      <c r="H353" t="s">
        <v>2936</v>
      </c>
      <c r="I353" t="s">
        <v>6125</v>
      </c>
      <c r="J353" t="s">
        <v>2986</v>
      </c>
      <c r="K353" t="s">
        <v>6126</v>
      </c>
      <c r="L353" t="s">
        <v>6127</v>
      </c>
      <c r="M353" s="3" t="str">
        <f>HYPERLINK(СторонТрансп[[#This Row],[RelativePath]])</f>
        <v>11 С ангара на базу\E33149364_4_20251213T093527Z.jpg</v>
      </c>
    </row>
    <row r="354" spans="1:13" x14ac:dyDescent="0.25">
      <c r="A354" t="s">
        <v>18</v>
      </c>
      <c r="B354" s="4">
        <v>46004</v>
      </c>
      <c r="C354" s="6">
        <v>0.39997685185185183</v>
      </c>
      <c r="D354" s="7" t="s">
        <v>289</v>
      </c>
      <c r="E354" t="s">
        <v>6167</v>
      </c>
      <c r="F354" t="s">
        <v>6188</v>
      </c>
      <c r="H354" t="s">
        <v>2936</v>
      </c>
      <c r="I354" t="s">
        <v>6128</v>
      </c>
      <c r="J354" t="s">
        <v>2986</v>
      </c>
      <c r="K354" t="s">
        <v>6129</v>
      </c>
      <c r="L354" t="s">
        <v>6130</v>
      </c>
      <c r="M354" s="3" t="str">
        <f>HYPERLINK(СторонТрансп[[#This Row],[RelativePath]])</f>
        <v>11 С ангара на базу\E33149364_4_20251213T093558Z.jpg</v>
      </c>
    </row>
    <row r="355" spans="1:13" x14ac:dyDescent="0.25">
      <c r="A355" t="s">
        <v>18</v>
      </c>
      <c r="B355" s="4">
        <v>46004</v>
      </c>
      <c r="C355" s="6">
        <v>0.40167824074074077</v>
      </c>
      <c r="D355" s="7" t="s">
        <v>289</v>
      </c>
      <c r="E355" t="s">
        <v>6167</v>
      </c>
      <c r="F355" t="s">
        <v>6188</v>
      </c>
      <c r="H355" t="s">
        <v>2936</v>
      </c>
      <c r="I355" t="s">
        <v>6131</v>
      </c>
      <c r="J355" t="s">
        <v>2986</v>
      </c>
      <c r="K355" t="s">
        <v>6132</v>
      </c>
      <c r="L355" t="s">
        <v>6133</v>
      </c>
      <c r="M355" s="3" t="str">
        <f>HYPERLINK(СторонТрансп[[#This Row],[RelativePath]])</f>
        <v>11 С ангара на базу\E33149364_4_20251213T093825Z.jpg</v>
      </c>
    </row>
    <row r="356" spans="1:13" x14ac:dyDescent="0.25">
      <c r="A356" t="s">
        <v>18</v>
      </c>
      <c r="B356" s="4">
        <v>46004</v>
      </c>
      <c r="C356" s="6">
        <v>0.40229166666666666</v>
      </c>
      <c r="D356" s="7" t="s">
        <v>289</v>
      </c>
      <c r="E356" t="s">
        <v>6167</v>
      </c>
      <c r="F356" t="s">
        <v>6188</v>
      </c>
      <c r="H356" t="s">
        <v>2936</v>
      </c>
      <c r="I356" t="s">
        <v>6134</v>
      </c>
      <c r="J356" t="s">
        <v>2986</v>
      </c>
      <c r="K356" t="s">
        <v>6135</v>
      </c>
      <c r="L356" t="s">
        <v>6136</v>
      </c>
      <c r="M356" s="3" t="str">
        <f>HYPERLINK(СторонТрансп[[#This Row],[RelativePath]])</f>
        <v>11 С ангара на базу\E33149364_4_20251213T093918Z.jpg</v>
      </c>
    </row>
    <row r="357" spans="1:13" x14ac:dyDescent="0.25">
      <c r="A357" t="s">
        <v>18</v>
      </c>
      <c r="B357" s="4">
        <v>46004</v>
      </c>
      <c r="C357" s="6">
        <v>0.40465277777777775</v>
      </c>
      <c r="D357" s="7" t="s">
        <v>650</v>
      </c>
      <c r="E357" t="s">
        <v>6167</v>
      </c>
      <c r="F357" t="s">
        <v>6188</v>
      </c>
      <c r="I357" t="s">
        <v>6137</v>
      </c>
      <c r="J357" t="s">
        <v>2986</v>
      </c>
      <c r="K357" t="s">
        <v>6138</v>
      </c>
      <c r="L357" t="s">
        <v>6139</v>
      </c>
      <c r="M357" s="3" t="str">
        <f>HYPERLINK(СторонТрансп[[#This Row],[RelativePath]])</f>
        <v>11 С ангара на базу\E33149364_4_20251213T094242Z.jpg</v>
      </c>
    </row>
    <row r="358" spans="1:13" x14ac:dyDescent="0.25">
      <c r="A358" t="s">
        <v>18</v>
      </c>
      <c r="B358" s="4">
        <v>46004</v>
      </c>
      <c r="C358" s="6">
        <v>0.54765046296296294</v>
      </c>
      <c r="D358" s="7" t="s">
        <v>1606</v>
      </c>
      <c r="E358" t="s">
        <v>6167</v>
      </c>
      <c r="F358" t="s">
        <v>1609</v>
      </c>
      <c r="I358" t="s">
        <v>6140</v>
      </c>
      <c r="J358" t="s">
        <v>2986</v>
      </c>
      <c r="K358" t="s">
        <v>6141</v>
      </c>
      <c r="L358" t="s">
        <v>6142</v>
      </c>
      <c r="M358" s="3" t="str">
        <f>HYPERLINK(СторонТрансп[[#This Row],[RelativePath]])</f>
        <v>11 С ангара на базу\E33149364_4_20251213T130837Z.jpg</v>
      </c>
    </row>
    <row r="359" spans="1:13" x14ac:dyDescent="0.25">
      <c r="A359" t="s">
        <v>18</v>
      </c>
      <c r="B359" s="4">
        <v>46004</v>
      </c>
      <c r="C359" s="6">
        <v>0.54907407407407405</v>
      </c>
      <c r="D359" s="7" t="s">
        <v>290</v>
      </c>
      <c r="E359" t="s">
        <v>6167</v>
      </c>
      <c r="F359" t="s">
        <v>58</v>
      </c>
      <c r="I359" t="s">
        <v>6143</v>
      </c>
      <c r="J359" t="s">
        <v>2986</v>
      </c>
      <c r="K359" t="s">
        <v>6144</v>
      </c>
      <c r="L359" t="s">
        <v>6145</v>
      </c>
      <c r="M359" s="3" t="str">
        <f>HYPERLINK(СторонТрансп[[#This Row],[RelativePath]])</f>
        <v>11 С ангара на базу\E33149364_4_20251213T131040Z.jpg</v>
      </c>
    </row>
    <row r="360" spans="1:13" x14ac:dyDescent="0.25">
      <c r="A360" t="s">
        <v>18</v>
      </c>
      <c r="B360" s="4">
        <v>46004</v>
      </c>
      <c r="C360" s="6">
        <v>0.549224537037037</v>
      </c>
      <c r="D360" s="7" t="s">
        <v>290</v>
      </c>
      <c r="E360" t="s">
        <v>6167</v>
      </c>
      <c r="F360" t="s">
        <v>58</v>
      </c>
      <c r="H360" t="s">
        <v>2936</v>
      </c>
      <c r="I360" t="s">
        <v>6146</v>
      </c>
      <c r="J360" t="s">
        <v>2986</v>
      </c>
      <c r="K360" t="s">
        <v>6147</v>
      </c>
      <c r="L360" t="s">
        <v>6148</v>
      </c>
      <c r="M360" s="3" t="str">
        <f>HYPERLINK(СторонТрансп[[#This Row],[RelativePath]])</f>
        <v>11 С ангара на базу\E33149364_4_20251213T131053Z.jpg</v>
      </c>
    </row>
    <row r="361" spans="1:13" x14ac:dyDescent="0.25">
      <c r="A361" t="s">
        <v>18</v>
      </c>
      <c r="B361" s="4">
        <v>46004</v>
      </c>
      <c r="C361" s="6">
        <v>0.55100694444444442</v>
      </c>
      <c r="D361" s="7" t="s">
        <v>290</v>
      </c>
      <c r="E361" t="s">
        <v>6167</v>
      </c>
      <c r="F361" t="s">
        <v>58</v>
      </c>
      <c r="H361" t="s">
        <v>2936</v>
      </c>
      <c r="I361" t="s">
        <v>6149</v>
      </c>
      <c r="J361" t="s">
        <v>2986</v>
      </c>
      <c r="K361" t="s">
        <v>6150</v>
      </c>
      <c r="L361" t="s">
        <v>6151</v>
      </c>
      <c r="M361" s="3" t="str">
        <f>HYPERLINK(СторонТрансп[[#This Row],[RelativePath]])</f>
        <v>11 С ангара на базу\E33149364_4_20251213T131327Z.jpg</v>
      </c>
    </row>
    <row r="362" spans="1:13" x14ac:dyDescent="0.25">
      <c r="A362" t="s">
        <v>18</v>
      </c>
      <c r="B362" s="4">
        <v>46004</v>
      </c>
      <c r="C362" s="6">
        <v>0.55111111111111111</v>
      </c>
      <c r="D362" s="7" t="s">
        <v>290</v>
      </c>
      <c r="E362" t="s">
        <v>6167</v>
      </c>
      <c r="F362" t="s">
        <v>58</v>
      </c>
      <c r="H362" t="s">
        <v>2936</v>
      </c>
      <c r="I362" t="s">
        <v>6152</v>
      </c>
      <c r="J362" t="s">
        <v>2986</v>
      </c>
      <c r="K362" t="s">
        <v>6153</v>
      </c>
      <c r="L362" t="s">
        <v>6154</v>
      </c>
      <c r="M362" s="3" t="str">
        <f>HYPERLINK(СторонТрансп[[#This Row],[RelativePath]])</f>
        <v>11 С ангара на базу\E33149364_4_20251213T131336Z.jpg</v>
      </c>
    </row>
    <row r="363" spans="1:13" x14ac:dyDescent="0.25">
      <c r="A363" t="s">
        <v>18</v>
      </c>
      <c r="B363" s="4">
        <v>46004</v>
      </c>
      <c r="C363" s="6">
        <v>0.55388888888888888</v>
      </c>
      <c r="D363" s="7" t="s">
        <v>650</v>
      </c>
      <c r="E363" t="s">
        <v>6167</v>
      </c>
      <c r="F363" t="s">
        <v>6189</v>
      </c>
      <c r="I363" t="s">
        <v>6155</v>
      </c>
      <c r="J363" t="s">
        <v>2986</v>
      </c>
      <c r="K363" t="s">
        <v>6156</v>
      </c>
      <c r="L363" t="s">
        <v>6157</v>
      </c>
      <c r="M363" s="3" t="str">
        <f>HYPERLINK(СторонТрансп[[#This Row],[RelativePath]])</f>
        <v>11 С ангара на базу\E33149364_4_20251213T131736Z.jpg</v>
      </c>
    </row>
    <row r="364" spans="1:13" x14ac:dyDescent="0.25">
      <c r="A364" t="s">
        <v>16</v>
      </c>
      <c r="B364" s="4">
        <v>46016</v>
      </c>
      <c r="C364" s="6">
        <v>0.61910879629629634</v>
      </c>
      <c r="D364" s="7" t="s">
        <v>4</v>
      </c>
      <c r="E364" t="s">
        <v>4193</v>
      </c>
      <c r="F364" t="s">
        <v>4240</v>
      </c>
      <c r="I364" t="s">
        <v>7562</v>
      </c>
      <c r="J364" t="s">
        <v>2986</v>
      </c>
      <c r="K364" t="s">
        <v>7563</v>
      </c>
      <c r="L364" t="s">
        <v>7564</v>
      </c>
      <c r="M364" s="3" t="str">
        <f>HYPERLINK(СторонТрансп[[#This Row],[RelativePath]])</f>
        <v>11 С ангара на базу\E33149364_4_20251225T145131Z.jpg</v>
      </c>
    </row>
    <row r="365" spans="1:13" x14ac:dyDescent="0.25">
      <c r="A365" t="s">
        <v>16</v>
      </c>
      <c r="B365" s="4">
        <v>46016</v>
      </c>
      <c r="C365" s="6">
        <v>0.62233796296296295</v>
      </c>
      <c r="D365" s="7" t="s">
        <v>650</v>
      </c>
      <c r="E365" t="s">
        <v>4193</v>
      </c>
      <c r="F365" t="s">
        <v>4240</v>
      </c>
      <c r="I365" t="s">
        <v>7565</v>
      </c>
      <c r="J365" t="s">
        <v>2986</v>
      </c>
      <c r="K365" t="s">
        <v>7566</v>
      </c>
      <c r="L365" t="s">
        <v>7567</v>
      </c>
      <c r="M365" s="3" t="str">
        <f>HYPERLINK(СторонТрансп[[#This Row],[RelativePath]])</f>
        <v>11 С ангара на базу\E33149364_4_20251225T145610Z.jpg</v>
      </c>
    </row>
    <row r="366" spans="1:13" x14ac:dyDescent="0.25">
      <c r="A366" t="s">
        <v>17</v>
      </c>
      <c r="B366" s="4">
        <v>46017</v>
      </c>
      <c r="C366" s="6">
        <v>0.41968749999999999</v>
      </c>
      <c r="D366" s="7" t="s">
        <v>1606</v>
      </c>
      <c r="E366" t="s">
        <v>4193</v>
      </c>
      <c r="F366" t="s">
        <v>5076</v>
      </c>
      <c r="I366" t="s">
        <v>7753</v>
      </c>
      <c r="J366" t="s">
        <v>2986</v>
      </c>
      <c r="K366" t="s">
        <v>7754</v>
      </c>
      <c r="L366" t="s">
        <v>7755</v>
      </c>
      <c r="M366" s="3" t="str">
        <f>HYPERLINK(СторонТрансп[[#This Row],[RelativePath]])</f>
        <v>11 С ангара на базу\E33149364_4_20251226T100421Z.jpg</v>
      </c>
    </row>
    <row r="367" spans="1:13" x14ac:dyDescent="0.25">
      <c r="A367" t="s">
        <v>17</v>
      </c>
      <c r="B367" s="4">
        <v>46017</v>
      </c>
      <c r="C367" s="6">
        <v>0.42020833333333335</v>
      </c>
      <c r="D367" s="7" t="s">
        <v>1606</v>
      </c>
      <c r="E367" t="s">
        <v>4193</v>
      </c>
      <c r="F367" t="s">
        <v>5076</v>
      </c>
      <c r="H367" t="s">
        <v>2936</v>
      </c>
      <c r="I367" t="s">
        <v>7756</v>
      </c>
      <c r="J367" t="s">
        <v>2986</v>
      </c>
      <c r="K367" t="s">
        <v>7757</v>
      </c>
      <c r="L367" t="s">
        <v>7758</v>
      </c>
      <c r="M367" s="3" t="str">
        <f>HYPERLINK(СторонТрансп[[#This Row],[RelativePath]])</f>
        <v>11 С ангара на базу\E33149364_4_20251226T100506Z.jpg</v>
      </c>
    </row>
    <row r="368" spans="1:13" x14ac:dyDescent="0.25">
      <c r="A368" t="s">
        <v>17</v>
      </c>
      <c r="B368" s="4">
        <v>46017</v>
      </c>
      <c r="C368" s="6">
        <v>0.49148148148148146</v>
      </c>
      <c r="D368" s="7" t="s">
        <v>650</v>
      </c>
      <c r="E368" t="s">
        <v>4193</v>
      </c>
      <c r="F368" t="s">
        <v>5076</v>
      </c>
      <c r="I368" t="s">
        <v>7768</v>
      </c>
      <c r="J368" t="s">
        <v>2986</v>
      </c>
      <c r="K368" t="s">
        <v>7769</v>
      </c>
      <c r="L368" t="s">
        <v>7770</v>
      </c>
      <c r="M368" s="3" t="str">
        <f>HYPERLINK(СторонТрансп[[#This Row],[RelativePath]])</f>
        <v>11 С ангара на базу\E33149364_4_20251226T114744Z.jpg</v>
      </c>
    </row>
    <row r="369" spans="1:13" x14ac:dyDescent="0.25">
      <c r="A369" t="s">
        <v>18</v>
      </c>
      <c r="B369" s="4">
        <v>46004</v>
      </c>
      <c r="C369" s="6">
        <v>0.55222222222222217</v>
      </c>
      <c r="D369" s="7" t="s">
        <v>4</v>
      </c>
      <c r="E369" t="s">
        <v>6167</v>
      </c>
      <c r="I369" t="s">
        <v>5999</v>
      </c>
      <c r="J369" t="s">
        <v>2988</v>
      </c>
      <c r="K369" t="s">
        <v>6000</v>
      </c>
      <c r="L369" t="s">
        <v>6001</v>
      </c>
      <c r="M369" s="3" t="str">
        <f>HYPERLINK(СторонТрансп[[#This Row],[RelativePath]])</f>
        <v>13 Склад хол\K07156189_23_20251213T131512Z.jpg</v>
      </c>
    </row>
    <row r="370" spans="1:13" x14ac:dyDescent="0.25">
      <c r="A370" t="s">
        <v>16</v>
      </c>
      <c r="B370" s="4">
        <v>46016</v>
      </c>
      <c r="C370" s="6">
        <v>0.52539351851851857</v>
      </c>
      <c r="D370" s="7" t="s">
        <v>4</v>
      </c>
      <c r="E370" t="s">
        <v>4193</v>
      </c>
      <c r="H370" t="s">
        <v>7718</v>
      </c>
      <c r="I370" t="s">
        <v>7685</v>
      </c>
      <c r="J370" t="s">
        <v>2988</v>
      </c>
      <c r="K370" t="s">
        <v>7686</v>
      </c>
      <c r="L370" t="s">
        <v>7687</v>
      </c>
      <c r="M370" s="3" t="str">
        <f>HYPERLINK(СторонТрансп[[#This Row],[RelativePath]])</f>
        <v>13 Склад хол\K07156189_23_20251225T123634Z.jpg</v>
      </c>
    </row>
    <row r="371" spans="1:13" x14ac:dyDescent="0.25">
      <c r="A371" t="s">
        <v>17</v>
      </c>
      <c r="B371" s="4">
        <v>46017</v>
      </c>
      <c r="C371" s="6">
        <v>0.42027777777777775</v>
      </c>
      <c r="D371" s="7" t="s">
        <v>4</v>
      </c>
      <c r="E371" t="s">
        <v>4193</v>
      </c>
      <c r="H371" t="s">
        <v>7718</v>
      </c>
      <c r="I371" t="s">
        <v>7801</v>
      </c>
      <c r="J371" t="s">
        <v>2988</v>
      </c>
      <c r="K371" t="s">
        <v>7802</v>
      </c>
      <c r="L371" t="s">
        <v>7803</v>
      </c>
      <c r="M371" s="3" t="str">
        <f>HYPERLINK(СторонТрансп[[#This Row],[RelativePath]])</f>
        <v>13 Склад хол\K07156189_23_20251226T100512Z.jpg</v>
      </c>
    </row>
  </sheetData>
  <conditionalFormatting sqref="E372:E393 D2:E371">
    <cfRule type="containsText" dxfId="144" priority="6" operator="containsText" text="Выезд с территории">
      <formula>NOT(ISERROR(SEARCH("Выезд с территории",D2)))</formula>
    </cfRule>
  </conditionalFormatting>
  <conditionalFormatting sqref="D2:D371">
    <cfRule type="containsText" dxfId="143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71">
    <cfRule type="containsText" dxfId="142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393">
    <cfRule type="containsText" dxfId="141" priority="2" operator="containsText" text="Газель базы">
      <formula>NOT(ISERROR(SEARCH("Газель базы",E2)))</formula>
    </cfRule>
    <cfRule type="containsText" dxfId="140" priority="3" operator="containsText" text="Погрузчик базы">
      <formula>NOT(ISERROR(SEARCH("Погрузчик базы",E2)))</formula>
    </cfRule>
  </conditionalFormatting>
  <conditionalFormatting sqref="E2:E393">
    <cfRule type="containsText" dxfId="139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СпрСобытий</vt:lpstr>
      <vt:lpstr>Загрузка</vt:lpstr>
      <vt:lpstr>Стороний грузовой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2026-01-12T22:41:29Z</dcterms:modified>
</cp:coreProperties>
</file>