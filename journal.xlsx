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DBDA6D4D-628E-4AE7-B584-F5D010B565AD}" xr6:coauthVersionLast="47" xr6:coauthVersionMax="47" xr10:uidLastSave="{00000000-0000-0000-0000-000000000000}"/>
  <bookViews>
    <workbookView xWindow="20370" yWindow="-120" windowWidth="29040" windowHeight="15720" activeTab="2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базу'!$A$1:$L$296</definedName>
    <definedName name="ExternalData_1" localSheetId="9" hidden="1">'10 Въезд ангар'!$A$1:$L$788</definedName>
    <definedName name="ExternalData_1" localSheetId="10" hidden="1">'11 Навес пилмат'!$A$1:$L$394</definedName>
    <definedName name="ExternalData_1" localSheetId="11" hidden="1">'12 Площадка 3 кран'!$A$1:$L$331</definedName>
    <definedName name="ExternalData_1" localSheetId="12" hidden="1">'13 Склад хол'!$A$1:$L$245</definedName>
    <definedName name="ExternalData_1" localSheetId="13" hidden="1">'14 На гаражи'!$A$1:$L$159</definedName>
    <definedName name="ExternalData_1" localSheetId="14" hidden="1">'15 Вход столярка'!$A$1:$L$83</definedName>
    <definedName name="ExternalData_1" localSheetId="15" hidden="1">'16 Столярка'!$A$1:$L$207</definedName>
    <definedName name="ExternalData_1" localSheetId="16" hidden="1">'17 Площадка с навесом'!$A$1:$L$141</definedName>
    <definedName name="ExternalData_1" localSheetId="18" hidden="1">'19 Хронометраж'!$A$1:$L$404</definedName>
    <definedName name="ExternalData_1" localSheetId="1" hidden="1">'2 Поката пилорама'!$A$1:$L$314</definedName>
    <definedName name="ExternalData_1" localSheetId="2" hidden="1">'3 Парковка офиса'!$A$1:$L$224</definedName>
    <definedName name="ExternalData_1" localSheetId="3" hidden="1">'4 Крыльцо офиса'!$A$1:$L$299</definedName>
    <definedName name="ExternalData_1" localSheetId="4" hidden="1">'5 Крыльцо общага'!$A$1:$L$401</definedName>
    <definedName name="ExternalData_1" localSheetId="5" hidden="1">'6 Площадка 1 общага'!$A$1:$L$308</definedName>
    <definedName name="ExternalData_1" localSheetId="6" hidden="1">'7 Площадка 2 бетонщики'!$A$1:$L$378</definedName>
    <definedName name="ExternalData_1" localSheetId="7" hidden="1">'8 Ангар вход'!$A$1:$L$489</definedName>
    <definedName name="ExternalData_1" localSheetId="8" hidden="1">'9 Ангар рейсмус'!$A$1:$L$715</definedName>
    <definedName name="ExternalData_1" localSheetId="19" hidden="1">Загрузка!$A$1:$L$311</definedName>
    <definedName name="ExternalData_1" localSheetId="20" hidden="1">'Стороний транспорт'!$A$1:$L$180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<sst xmlns="http://schemas.openxmlformats.org/spreadsheetml/2006/main" count="75130" uniqueCount="19404">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</sst>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068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96" tableType="queryTable" totalsRowShown="0">
  <autoFilter ref="A1:N296" xr:uid="{B468AF39-21AE-47BD-BA18-EADB2FC1D520}"/>
  <tableColumns count="14">
    <tableColumn id="11" xr3:uid="{6F8E650D-029B-40AD-86B4-92C160128A4F}" uniqueName="11" name="День нед" queryTableFieldId="39" dataDxfId="1061"/>
    <tableColumn id="8" xr3:uid="{7C2AA400-8F21-45B7-B47D-9CF2CFB5DD00}" uniqueName="8" name="Дата" queryTableFieldId="19" dataDxfId="1060"/>
    <tableColumn id="9" xr3:uid="{7CB7ABF0-C98D-49E4-A494-985A43D5F40F}" uniqueName="9" name="Время" queryTableFieldId="20" dataDxfId="1059"/>
    <tableColumn id="5" xr3:uid="{613A944B-9245-4C6D-9CCE-5037AD552DED}" uniqueName="5" name="Событие" queryTableFieldId="27" dataDxfId="1058"/>
    <tableColumn id="7" xr3:uid="{FFEA85A5-3527-4483-91CE-57F760AB9F33}" uniqueName="7" name="Объект" queryTableFieldId="29" dataDxfId="1057"/>
    <tableColumn id="10" xr3:uid="{A2E2C27E-C1B2-4B74-A427-E1854B0E2C76}" uniqueName="10" name="Груз" queryTableFieldId="30" dataDxfId="1056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055"/>
    <tableColumn id="4" xr3:uid="{B2B57637-8A7D-4C5F-A6F8-E38F3EA43620}" uniqueName="4" name="Name" queryTableFieldId="14" dataDxfId="1054"/>
    <tableColumn id="1" xr3:uid="{79275791-6385-434B-9F1B-8BDC003824A7}" uniqueName="1" name="Folder Path" queryTableFieldId="11" dataDxfId="1053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052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051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14" tableType="queryTable" totalsRowShown="0">
  <autoFilter ref="A1:M314" xr:uid="{B468AF39-21AE-47BD-BA18-EADB2FC1D520}"/>
  <tableColumns count="13">
    <tableColumn id="11" xr3:uid="{6804E693-7D64-41A5-9B58-B7D348C4DC92}" uniqueName="11" name="День нед" queryTableFieldId="39" dataDxfId="1050"/>
    <tableColumn id="8" xr3:uid="{40827FD9-94EC-4CF6-B212-59CF3E913897}" uniqueName="8" name="Дата" queryTableFieldId="19" dataDxfId="1049"/>
    <tableColumn id="9" xr3:uid="{1F8E8ADE-5BFB-4171-9A0A-859E22042D3B}" uniqueName="9" name="Время" queryTableFieldId="20" dataDxfId="1048"/>
    <tableColumn id="5" xr3:uid="{9D19F2E1-3C70-4F2F-8ED7-6D41C17A9366}" uniqueName="5" name="Событие" queryTableFieldId="27" dataDxfId="1047"/>
    <tableColumn id="7" xr3:uid="{8C8CC69A-BA0A-4417-AE7D-B89E26F69F9B}" uniqueName="7" name="Объект" queryTableFieldId="29" dataDxfId="1046"/>
    <tableColumn id="10" xr3:uid="{375C36FB-077D-4AA3-B6F7-74ACE46C2638}" uniqueName="10" name="Груз" queryTableFieldId="30" dataDxfId="1045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044"/>
    <tableColumn id="4" xr3:uid="{4A5BB282-D54C-4C68-A1D9-B3A819F9FCF6}" uniqueName="4" name="Name" queryTableFieldId="14" dataDxfId="1043"/>
    <tableColumn id="1" xr3:uid="{7BD19058-41FF-4EFE-8283-68501A5B1623}" uniqueName="1" name="Folder Path" queryTableFieldId="11" dataDxfId="1042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041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224" tableType="queryTable" totalsRowShown="0">
  <autoFilter ref="A1:M224" xr:uid="{B468AF39-21AE-47BD-BA18-EADB2FC1D520}"/>
  <tableColumns count="13">
    <tableColumn id="11" xr3:uid="{8C7989A8-AE95-4BFB-859E-9F3F94DCD873}" uniqueName="11" name="День нед" queryTableFieldId="39" dataDxfId="970"/>
    <tableColumn id="8" xr3:uid="{B651DAE5-1AB7-4761-9820-CB58DA0D9C46}" uniqueName="8" name="Дата" queryTableFieldId="19" dataDxfId="969"/>
    <tableColumn id="9" xr3:uid="{22B6AE73-6E8B-4F81-B85C-3D141AD4D773}" uniqueName="9" name="Время" queryTableFieldId="20" dataDxfId="968"/>
    <tableColumn id="5" xr3:uid="{CB5AF0FF-A861-4F29-BFD9-751A47066C68}" uniqueName="5" name="Событие" queryTableFieldId="27" dataDxfId="967"/>
    <tableColumn id="7" xr3:uid="{63916370-0910-4B95-ABB4-D88865AA9E43}" uniqueName="7" name="Объект" queryTableFieldId="29" dataDxfId="966"/>
    <tableColumn id="10" xr3:uid="{DDC7656E-7390-4778-A2CE-EEC7AC518263}" uniqueName="10" name="Груз" queryTableFieldId="30" dataDxfId="965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964"/>
    <tableColumn id="4" xr3:uid="{96665EED-E1B8-437C-869A-35CB5BA419D3}" uniqueName="4" name="Name" queryTableFieldId="14" dataDxfId="963"/>
    <tableColumn id="1" xr3:uid="{1F225BD8-B59D-4058-9D99-17124C1F38FB}" uniqueName="1" name="Folder Path" queryTableFieldId="11" dataDxfId="962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961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99" tableType="queryTable" totalsRowShown="0">
  <tableColumns count="13">
    <tableColumn id="11" xr3:uid="{F25D1388-C4DF-49FB-9BF5-0132CEDCCAEA}" uniqueName="11" name="День нед" queryTableFieldId="39" dataDxfId="1020"/>
    <tableColumn id="8" xr3:uid="{9EDCCA26-9FD6-4F66-9134-186F89CA663B}" uniqueName="8" name="Дата" queryTableFieldId="19" dataDxfId="1019"/>
    <tableColumn id="9" xr3:uid="{FB005DB9-8D3C-48A5-94F1-246606C665DD}" uniqueName="9" name="Время" queryTableFieldId="20" dataDxfId="1018"/>
    <tableColumn id="5" xr3:uid="{6D19407C-64CF-4FC5-95E7-163AA12EB226}" uniqueName="5" name="Событие" queryTableFieldId="27" dataDxfId="1017"/>
    <tableColumn id="7" xr3:uid="{007BF834-0BCB-4416-8941-11DA4EDFCE5B}" uniqueName="7" name="Объект" queryTableFieldId="29" dataDxfId="1016"/>
    <tableColumn id="10" xr3:uid="{E896F002-4451-441D-B0CB-52AD69A6E5C3}" uniqueName="10" name="Груз" queryTableFieldId="30" dataDxfId="1015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014"/>
    <tableColumn id="4" xr3:uid="{9F6560FA-27F8-4BE9-BA58-3B0E40F582E5}" uniqueName="4" name="Name" queryTableFieldId="14" dataDxfId="1013"/>
    <tableColumn id="1" xr3:uid="{44892CD0-9118-4535-9434-E49462140346}" uniqueName="1" name="Folder Path" queryTableFieldId="11" dataDxfId="1012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011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401" tableType="queryTable" totalsRowShown="0">
  <tableColumns count="13">
    <tableColumn id="11" xr3:uid="{390CB009-E9E0-4C0F-93C3-AF6B408B816B}" uniqueName="11" name="День нед" queryTableFieldId="39" dataDxfId="1040"/>
    <tableColumn id="8" xr3:uid="{E0A1C296-A368-479C-9A74-85306B3C03D4}" uniqueName="8" name="Дата" queryTableFieldId="19" dataDxfId="1039"/>
    <tableColumn id="9" xr3:uid="{86401298-83EB-49D3-ACBA-E743586F5CCB}" uniqueName="9" name="Время" queryTableFieldId="20" dataDxfId="1038"/>
    <tableColumn id="5" xr3:uid="{FFB4F03A-A400-4544-A729-2375A1F7D5E8}" uniqueName="5" name="Событие" queryTableFieldId="27" dataDxfId="1037"/>
    <tableColumn id="7" xr3:uid="{D96DCF3C-D325-4D0C-94A1-DBE97CC5C9DC}" uniqueName="7" name="Объект" queryTableFieldId="29" dataDxfId="1036"/>
    <tableColumn id="10" xr3:uid="{76D99262-42F5-447E-95AC-9C2A84BF344C}" uniqueName="10" name="Груз" queryTableFieldId="30" dataDxfId="1035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034"/>
    <tableColumn id="4" xr3:uid="{D16AEB37-7A8A-406F-8ED7-B8D53BAA9BD9}" uniqueName="4" name="Name" queryTableFieldId="14" dataDxfId="1033"/>
    <tableColumn id="1" xr3:uid="{1746BE5F-089A-476F-AE8D-5F2B27E9AEEA}" uniqueName="1" name="Folder Path" queryTableFieldId="11" dataDxfId="1032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031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308" tableType="queryTable" totalsRowShown="0">
  <tableColumns count="13">
    <tableColumn id="11" xr3:uid="{45D23538-AB74-404E-8577-E2B7A36436AF}" uniqueName="11" name="День нед" queryTableFieldId="39" dataDxfId="911"/>
    <tableColumn id="8" xr3:uid="{40B01B94-168F-4547-A2BC-AA7F91350AB3}" uniqueName="8" name="Дата" queryTableFieldId="19" dataDxfId="910"/>
    <tableColumn id="9" xr3:uid="{A2C94EFB-3081-4BA9-85C2-DFF0455AFA43}" uniqueName="9" name="Время" queryTableFieldId="20" dataDxfId="909"/>
    <tableColumn id="5" xr3:uid="{244D3D34-C9EC-4B9C-BE81-12A0C0BB4342}" uniqueName="5" name="Событие" queryTableFieldId="27" dataDxfId="908"/>
    <tableColumn id="7" xr3:uid="{C449A112-E8A8-4956-B85C-2BA12316F170}" uniqueName="7" name="Объект" queryTableFieldId="29" dataDxfId="907"/>
    <tableColumn id="10" xr3:uid="{C8411557-C312-4542-93DA-DF5949399E11}" uniqueName="10" name="Груз" queryTableFieldId="30" dataDxfId="906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905"/>
    <tableColumn id="4" xr3:uid="{6A396D44-0898-4737-A4C1-8D6D40981793}" uniqueName="4" name="Name" queryTableFieldId="14" dataDxfId="904"/>
    <tableColumn id="1" xr3:uid="{328F21C9-48B9-4081-9B8C-BBD168BD38D1}" uniqueName="1" name="Folder Path" queryTableFieldId="11" dataDxfId="903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902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78" tableType="queryTable" totalsRowShown="0">
  <tableColumns count="13">
    <tableColumn id="11" xr3:uid="{2311EAC9-4673-4BE2-ADB0-E8CEB0BD9945}" uniqueName="11" name="День нед" queryTableFieldId="39" dataDxfId="1030"/>
    <tableColumn id="8" xr3:uid="{F1C9804A-F8E7-4755-B717-859265C587A2}" uniqueName="8" name="Дата" queryTableFieldId="19" dataDxfId="1029"/>
    <tableColumn id="9" xr3:uid="{1C2BA522-8D4F-4713-849C-1F60357B476E}" uniqueName="9" name="Время" queryTableFieldId="20" dataDxfId="1028"/>
    <tableColumn id="5" xr3:uid="{6E084A00-DC62-4E93-8ABC-4651FD4D2408}" uniqueName="5" name="Событие" queryTableFieldId="27" dataDxfId="1027"/>
    <tableColumn id="7" xr3:uid="{C9F6EF14-DBE7-4655-9D20-5B253923C11E}" uniqueName="7" name="Объект" queryTableFieldId="29" dataDxfId="1026"/>
    <tableColumn id="10" xr3:uid="{0ADEC0F9-9FE9-4E92-BD38-0B8CDDE1BDBD}" uniqueName="10" name="Груз" queryTableFieldId="30" dataDxfId="1025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024"/>
    <tableColumn id="4" xr3:uid="{FE606B6B-0A78-44A2-B44F-54FBA553BAD6}" uniqueName="4" name="Name" queryTableFieldId="14" dataDxfId="1023"/>
    <tableColumn id="1" xr3:uid="{34274AB2-665A-4EF1-8C79-4944C9C122A7}" uniqueName="1" name="Folder Path" queryTableFieldId="11" dataDxfId="1022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021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489" tableType="queryTable" totalsRowShown="0">
  <tableColumns count="13">
    <tableColumn id="11" xr3:uid="{72CE202A-C56C-4D63-9F9F-0DFF72BB5190}" uniqueName="11" name="День нед" queryTableFieldId="39" dataDxfId="901"/>
    <tableColumn id="8" xr3:uid="{0D9F5C4C-70B0-46E2-9E29-649E206B6616}" uniqueName="8" name="Дата" queryTableFieldId="19" dataDxfId="900"/>
    <tableColumn id="9" xr3:uid="{7C8561D4-BD7D-493F-BC95-213F2D55F3FD}" uniqueName="9" name="Время" queryTableFieldId="20" dataDxfId="899"/>
    <tableColumn id="5" xr3:uid="{E48795B2-2732-4E4A-81E8-B1585581420B}" uniqueName="5" name="Событие" queryTableFieldId="27" dataDxfId="898"/>
    <tableColumn id="7" xr3:uid="{F684EE24-0636-4EC2-AB94-A65EA5355534}" uniqueName="7" name="Объект" queryTableFieldId="29" dataDxfId="897"/>
    <tableColumn id="10" xr3:uid="{0C1B5273-277F-4438-B52D-9F868AD13DEE}" uniqueName="10" name="Груз" queryTableFieldId="30" dataDxfId="896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895"/>
    <tableColumn id="4" xr3:uid="{729433F6-F4FD-435B-851D-D34CC9060068}" uniqueName="4" name="Name" queryTableFieldId="14" dataDxfId="894"/>
    <tableColumn id="1" xr3:uid="{7A9B9B80-B872-4A82-9D9D-98A75E20F89B}" uniqueName="1" name="Folder Path" queryTableFieldId="11" dataDxfId="893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892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715" tableType="queryTable" totalsRowShown="0">
  <tableColumns count="13">
    <tableColumn id="11" xr3:uid="{2CE691F0-1D02-41BD-8E81-7716875609CD}" uniqueName="11" name="День нед" queryTableFieldId="39" dataDxfId="891"/>
    <tableColumn id="8" xr3:uid="{1A2A3B97-F602-468E-8AD3-5DD492638A71}" uniqueName="8" name="Дата" queryTableFieldId="19" dataDxfId="890"/>
    <tableColumn id="9" xr3:uid="{E8725BDD-FF6C-47C3-9100-825160B93721}" uniqueName="9" name="Время" queryTableFieldId="20" dataDxfId="889"/>
    <tableColumn id="5" xr3:uid="{F68EB906-7F6F-4765-A5C8-9B40064179BE}" uniqueName="5" name="Событие" queryTableFieldId="27" dataDxfId="888"/>
    <tableColumn id="7" xr3:uid="{812FE0F9-0D7E-497C-893A-B104BA069155}" uniqueName="7" name="Объект" queryTableFieldId="29" dataDxfId="887"/>
    <tableColumn id="10" xr3:uid="{1679E688-A047-4936-9EBC-9BDCFEA4CD95}" uniqueName="10" name="Груз" queryTableFieldId="30" dataDxfId="886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885"/>
    <tableColumn id="4" xr3:uid="{F9F7F55E-2CCF-4A6B-892F-1C76C0668832}" uniqueName="4" name="Name" queryTableFieldId="14" dataDxfId="884"/>
    <tableColumn id="1" xr3:uid="{0AF9B05B-8D0E-4B8A-81D0-358A18429CE8}" uniqueName="1" name="Folder Path" queryTableFieldId="11" dataDxfId="883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882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788" tableType="queryTable" totalsRowShown="0">
  <tableColumns count="13">
    <tableColumn id="11" xr3:uid="{96A6BDDB-7ED5-4607-80F3-3FD842EAEE0A}" uniqueName="11" name="День нед" queryTableFieldId="39" dataDxfId="1010"/>
    <tableColumn id="8" xr3:uid="{FBEC9ECA-BD5C-442E-BB86-7CCAEF9464D2}" uniqueName="8" name="Дата" queryTableFieldId="19" dataDxfId="1009"/>
    <tableColumn id="9" xr3:uid="{68242AF7-BC60-4380-843B-35A6CC4A66E6}" uniqueName="9" name="Время" queryTableFieldId="20" dataDxfId="1008"/>
    <tableColumn id="5" xr3:uid="{C98BCFD6-9DE9-4A28-B769-F5737933429D}" uniqueName="5" name="Событие" queryTableFieldId="27" dataDxfId="1007"/>
    <tableColumn id="7" xr3:uid="{4D44F8D4-93A4-4851-894E-AC8CDD93BD71}" uniqueName="7" name="Объект" queryTableFieldId="29" dataDxfId="1006"/>
    <tableColumn id="10" xr3:uid="{0A838B00-A88A-40EE-A542-7E8E08968D89}" uniqueName="10" name="Груз" queryTableFieldId="30" dataDxfId="1005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004"/>
    <tableColumn id="4" xr3:uid="{4FA2E248-D5A3-4824-875F-C328FA9AC2F9}" uniqueName="4" name="Name" queryTableFieldId="14" dataDxfId="1003"/>
    <tableColumn id="1" xr3:uid="{B01A6B83-82C4-4172-AD5B-D2AF410DBE1B}" uniqueName="1" name="Folder Path" queryTableFieldId="11" dataDxfId="1002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001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94" tableType="queryTable" totalsRowShown="0">
  <tableColumns count="13">
    <tableColumn id="11" xr3:uid="{2AD64508-44AB-4871-8C82-4C5A1E5A5DD2}" uniqueName="11" name="День нед" queryTableFieldId="39" dataDxfId="1000"/>
    <tableColumn id="8" xr3:uid="{C788117B-4896-492B-97B3-B2502F0537D8}" uniqueName="8" name="Дата" queryTableFieldId="19" dataDxfId="999"/>
    <tableColumn id="9" xr3:uid="{E3EF5757-6705-492A-BD76-A47D414757C0}" uniqueName="9" name="Время" queryTableFieldId="20" dataDxfId="998"/>
    <tableColumn id="5" xr3:uid="{EF049B28-F832-4F3D-AB4F-3C396920BF5B}" uniqueName="5" name="Событие" queryTableFieldId="27" dataDxfId="997"/>
    <tableColumn id="7" xr3:uid="{DDB63E42-2809-4377-A568-A326109989E9}" uniqueName="7" name="Объект" queryTableFieldId="29" dataDxfId="996"/>
    <tableColumn id="10" xr3:uid="{A4FCF3D3-582A-4DEF-8FB8-9D050C82517D}" uniqueName="10" name="Груз" queryTableFieldId="30" dataDxfId="995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994"/>
    <tableColumn id="4" xr3:uid="{DA63B8EC-3587-40B4-A86A-92B91C78723D}" uniqueName="4" name="Name" queryTableFieldId="14" dataDxfId="993"/>
    <tableColumn id="1" xr3:uid="{360C7476-DEC6-4377-8E95-D472C6673B12}" uniqueName="1" name="Folder Path" queryTableFieldId="11" dataDxfId="992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991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31" tableType="queryTable" totalsRowShown="0">
  <tableColumns count="13">
    <tableColumn id="11" xr3:uid="{C40005DE-8CA6-428A-9DF2-E715CC943F02}" uniqueName="11" name="День нед" queryTableFieldId="39" dataDxfId="980"/>
    <tableColumn id="8" xr3:uid="{55C75F47-F14F-483C-9C7A-95288D9463D6}" uniqueName="8" name="Дата" queryTableFieldId="19" dataDxfId="979"/>
    <tableColumn id="9" xr3:uid="{79D3981C-638A-4D64-BACB-D64D85DAC855}" uniqueName="9" name="Время" queryTableFieldId="20" dataDxfId="978"/>
    <tableColumn id="5" xr3:uid="{B0B848B5-29B2-4292-89A5-7DE5A2F72D15}" uniqueName="5" name="Событие" queryTableFieldId="27" dataDxfId="977"/>
    <tableColumn id="7" xr3:uid="{A9E0C8AC-2336-4969-BC3E-110E6C33529C}" uniqueName="7" name="Объект" queryTableFieldId="29" dataDxfId="976"/>
    <tableColumn id="10" xr3:uid="{F8691CA5-2689-452F-9550-C52E06B35BD6}" uniqueName="10" name="Груз" queryTableFieldId="30" dataDxfId="975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974"/>
    <tableColumn id="4" xr3:uid="{E9716AC2-8439-4E67-8698-BA6CD84F7B9C}" uniqueName="4" name="Name" queryTableFieldId="14" dataDxfId="973"/>
    <tableColumn id="1" xr3:uid="{9AB30DEC-91E3-4633-A156-B937B586CECB}" uniqueName="1" name="Folder Path" queryTableFieldId="11" dataDxfId="972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971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45" tableType="queryTable" totalsRowShown="0">
  <tableColumns count="13">
    <tableColumn id="11" xr3:uid="{B21CFC33-55C8-4073-BBD2-E0A5154A10D6}" uniqueName="11" name="День нед" queryTableFieldId="39" dataDxfId="990"/>
    <tableColumn id="8" xr3:uid="{004370C0-0D3C-4162-A392-32C741C3A58B}" uniqueName="8" name="Дата" queryTableFieldId="19" dataDxfId="989"/>
    <tableColumn id="9" xr3:uid="{6537DA5E-247D-44FB-ACE3-933B3C9B9408}" uniqueName="9" name="Время" queryTableFieldId="20" dataDxfId="988"/>
    <tableColumn id="5" xr3:uid="{4FA9309D-407E-48C1-B1F9-C33DEA7645B1}" uniqueName="5" name="Событие" queryTableFieldId="27" dataDxfId="987"/>
    <tableColumn id="7" xr3:uid="{76E54E9E-D730-4C99-9BF5-96E9384FF63C}" uniqueName="7" name="Объект" queryTableFieldId="29" dataDxfId="986"/>
    <tableColumn id="10" xr3:uid="{B9F78DE2-7938-486B-9BE2-F824D0E7A6C4}" uniqueName="10" name="Груз" queryTableFieldId="30" dataDxfId="985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984"/>
    <tableColumn id="4" xr3:uid="{921D28C1-5761-48A7-B447-6A4446F87545}" uniqueName="4" name="Name" queryTableFieldId="14" dataDxfId="983"/>
    <tableColumn id="1" xr3:uid="{F1A648C1-8DB5-4DEF-B011-BD85E17FCAA3}" uniqueName="1" name="Folder Path" queryTableFieldId="11" dataDxfId="982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981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159" tableType="queryTable" totalsRowShown="0">
  <tableColumns count="13">
    <tableColumn id="11" xr3:uid="{326CF8DE-8E4F-4540-A010-20CF489342A6}" uniqueName="11" name="День нед" queryTableFieldId="39" dataDxfId="960"/>
    <tableColumn id="8" xr3:uid="{B803C26B-EDF7-4F4B-99B7-759FDE206BB4}" uniqueName="8" name="Дата" queryTableFieldId="19" dataDxfId="959"/>
    <tableColumn id="9" xr3:uid="{691C5FBB-50CD-4B8E-845B-069A5BEF4054}" uniqueName="9" name="Время" queryTableFieldId="20" dataDxfId="958"/>
    <tableColumn id="5" xr3:uid="{963AEB35-E363-4027-9FA3-EA15F072700D}" uniqueName="5" name="Событие" queryTableFieldId="27" dataDxfId="957"/>
    <tableColumn id="7" xr3:uid="{9C2F1BAF-3932-43E9-9155-EA713BB0011D}" uniqueName="7" name="Объект" queryTableFieldId="29" dataDxfId="956"/>
    <tableColumn id="10" xr3:uid="{5D4CEE63-A195-4AD7-9985-38CAADCF8E9D}" uniqueName="10" name="Груз" queryTableFieldId="30" dataDxfId="955"/>
    <tableColumn id="13" xr3:uid="{7298E84C-ACAB-4631-8905-CF20AC72E0EA}" uniqueName="13" name="Кол-во" queryTableFieldId="31" dataDxfId="954"/>
    <tableColumn id="14" xr3:uid="{7C8EF3A5-15A6-4571-8EB7-C981C6BEB025}" uniqueName="14" name="Примечание" queryTableFieldId="32" dataDxfId="953"/>
    <tableColumn id="4" xr3:uid="{D4638119-06B9-4DD4-899F-6281EFBF2A28}" uniqueName="4" name="Name" queryTableFieldId="14" dataDxfId="952"/>
    <tableColumn id="1" xr3:uid="{53F21A0B-EBC8-48C0-B8DE-B46C5D45C7AE}" uniqueName="1" name="Folder Path" queryTableFieldId="11" dataDxfId="951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950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83" tableType="queryTable" totalsRowShown="0">
  <tableColumns count="13">
    <tableColumn id="11" xr3:uid="{0CFDC447-3A1C-4713-8714-972F5D0CA073}" uniqueName="11" name="День нед" queryTableFieldId="39" dataDxfId="938"/>
    <tableColumn id="8" xr3:uid="{0C391974-E2F5-4A95-A1CF-60789D499629}" uniqueName="8" name="Дата" queryTableFieldId="19" dataDxfId="937"/>
    <tableColumn id="9" xr3:uid="{FA3DAD09-E88C-4F5F-BF0D-4C339BEA0379}" uniqueName="9" name="Время" queryTableFieldId="20" dataDxfId="936"/>
    <tableColumn id="5" xr3:uid="{A64C6221-99CB-4F4A-8D59-9A565B539E8F}" uniqueName="5" name="Событие" queryTableFieldId="27" dataDxfId="935"/>
    <tableColumn id="7" xr3:uid="{A450DCE6-DF8B-4086-A9AC-461A34512F32}" uniqueName="7" name="Объект" queryTableFieldId="29" dataDxfId="934"/>
    <tableColumn id="10" xr3:uid="{10063D90-AC03-4F75-A11D-AC21D3D60004}" uniqueName="10" name="Груз" queryTableFieldId="30" dataDxfId="933"/>
    <tableColumn id="13" xr3:uid="{181B76AA-1C08-4D33-806D-1F2F74743310}" uniqueName="13" name="Кол-во" queryTableFieldId="31" dataDxfId="932"/>
    <tableColumn id="14" xr3:uid="{4521D51C-620E-4319-B053-8C6D64C3EDE6}" uniqueName="14" name="Примечание" queryTableFieldId="32" dataDxfId="931"/>
    <tableColumn id="4" xr3:uid="{D15D4B57-C607-4304-9179-11BE299FB124}" uniqueName="4" name="Name" queryTableFieldId="14" dataDxfId="930"/>
    <tableColumn id="1" xr3:uid="{A0C0E586-D0B7-448D-928A-8F553900221D}" uniqueName="1" name="Folder Path" queryTableFieldId="11" dataDxfId="929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928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207" tableType="queryTable" totalsRowShown="0">
  <tableColumns count="13">
    <tableColumn id="11" xr3:uid="{DBE515D3-C915-413E-AB17-4F456480DC24}" uniqueName="11" name="День нед" queryTableFieldId="39" dataDxfId="949"/>
    <tableColumn id="8" xr3:uid="{3F87D45A-256D-42F9-A0B8-BE1BF846E410}" uniqueName="8" name="Дата" queryTableFieldId="19" dataDxfId="948"/>
    <tableColumn id="9" xr3:uid="{465B1309-C725-4992-B63E-A70188E91281}" uniqueName="9" name="Время" queryTableFieldId="20" dataDxfId="947"/>
    <tableColumn id="5" xr3:uid="{50C1A202-1B56-40A2-AB13-2511D2291499}" uniqueName="5" name="Событие" queryTableFieldId="27" dataDxfId="946"/>
    <tableColumn id="7" xr3:uid="{FDB3318C-D13D-4B0B-9853-1EF40B58299A}" uniqueName="7" name="Объект" queryTableFieldId="29" dataDxfId="945"/>
    <tableColumn id="10" xr3:uid="{1CEBC306-6BF1-49C1-A704-CC239C79F10B}" uniqueName="10" name="Груз" queryTableFieldId="30" dataDxfId="944"/>
    <tableColumn id="13" xr3:uid="{3EE0C05E-6FF0-490E-B1B0-19B341DAD03E}" uniqueName="13" name="Кол-во" queryTableFieldId="31" dataDxfId="943"/>
    <tableColumn id="14" xr3:uid="{2D68CF85-753C-481D-8DC1-3B9EC9B7EC53}" uniqueName="14" name="Примечание" queryTableFieldId="32" dataDxfId="942"/>
    <tableColumn id="4" xr3:uid="{C8B35D61-7E66-45AB-93A9-51E52D8140C2}" uniqueName="4" name="Name" queryTableFieldId="14" dataDxfId="941"/>
    <tableColumn id="1" xr3:uid="{7D5853A1-56B3-42B3-9B8D-B85E9D9A2D1A}" uniqueName="1" name="Folder Path" queryTableFieldId="11" dataDxfId="940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939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141" tableType="queryTable" totalsRowShown="0">
  <tableColumns count="13">
    <tableColumn id="11" xr3:uid="{C2F51F72-E32B-452E-A758-54D19EA7554C}" uniqueName="11" name="День нед" queryTableFieldId="39" dataDxfId="927"/>
    <tableColumn id="8" xr3:uid="{5605969B-3DDA-4935-9901-BA1373284B0A}" uniqueName="8" name="Дата" queryTableFieldId="19" dataDxfId="926"/>
    <tableColumn id="9" xr3:uid="{D9EC7471-58C0-46C9-8780-F73898B23AC2}" uniqueName="9" name="Время" queryTableFieldId="20" dataDxfId="925"/>
    <tableColumn id="5" xr3:uid="{96518AE6-7E5C-4C8D-B54C-F54D11234D6C}" uniqueName="5" name="Событие" queryTableFieldId="27" dataDxfId="924"/>
    <tableColumn id="7" xr3:uid="{F862865E-2F4F-4BAD-8D28-E2820B418659}" uniqueName="7" name="Объект" queryTableFieldId="29" dataDxfId="923"/>
    <tableColumn id="10" xr3:uid="{476FE760-4B7E-4311-B61C-EB76222CEA80}" uniqueName="10" name="Груз" queryTableFieldId="30" dataDxfId="922"/>
    <tableColumn id="13" xr3:uid="{E29E2A9C-9B65-42B8-A282-C804C29C0986}" uniqueName="13" name="Кол-во" queryTableFieldId="31" dataDxfId="921"/>
    <tableColumn id="14" xr3:uid="{410D0DD1-9316-49BC-A307-70ADAE7FB021}" uniqueName="14" name="Примечание" queryTableFieldId="32" dataDxfId="920"/>
    <tableColumn id="4" xr3:uid="{F032B895-AD2B-487F-A174-968F9099A5EC}" uniqueName="4" name="Name" queryTableFieldId="14" dataDxfId="919"/>
    <tableColumn id="1" xr3:uid="{EDB0C229-E24E-4FEA-A0EA-4864FD102E8A}" uniqueName="1" name="Folder Path" queryTableFieldId="11" dataDxfId="918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917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5798" totalsRowShown="0">
  <autoFilter ref="A1:G5798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916"/>
    <tableColumn id="8" xr3:uid="{60928C38-9593-43BD-B23F-A707A8BA6BF4}" uniqueName="8" name="Дата" queryTableFieldId="19" dataDxfId="915"/>
    <tableColumn id="9" xr3:uid="{9E5D4465-E1ED-428A-B708-C10ADDB65305}" uniqueName="9" name="Время" queryTableFieldId="20" dataDxfId="914"/>
    <tableColumn id="5" xr3:uid="{A9911CA3-0E83-4156-B13A-725D5483CB80}" uniqueName="5" name="Событие" queryTableFieldId="27" dataDxfId="1067"/>
    <tableColumn id="7" xr3:uid="{22ACAF1F-F285-43EB-B67C-1DAA0609E04C}" uniqueName="7" name="Объект" queryTableFieldId="29" dataDxfId="1066"/>
    <tableColumn id="10" xr3:uid="{8E679C38-5159-496B-8534-CDFA63A95BDF}" uniqueName="10" name="Груз" queryTableFieldId="30" dataDxfId="1065"/>
    <tableColumn id="13" xr3:uid="{A06491EC-5198-4E5F-9576-1A3B2FF455BF}" uniqueName="13" name="Кол-во" queryTableFieldId="31" dataDxfId="913"/>
    <tableColumn id="14" xr3:uid="{881B0B85-064A-4D8F-922A-E2F2D20FE30E}" uniqueName="14" name="Примечание" queryTableFieldId="32" dataDxfId="1064"/>
    <tableColumn id="4" xr3:uid="{83859021-3431-4733-9E28-9475D80139E8}" uniqueName="4" name="Name" queryTableFieldId="14" dataDxfId="1063"/>
    <tableColumn id="1" xr3:uid="{F6AD7BBE-7CE0-4E30-97C2-B8AA8EFFB52B}" uniqueName="1" name="Folder Path" queryTableFieldId="11" dataDxfId="106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912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311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881"/>
    <tableColumn id="3" xr3:uid="{8C3702C1-E43C-496C-A204-7587B7ED5C05}" uniqueName="3" name="Время" queryTableFieldId="3" dataDxfId="880"/>
    <tableColumn id="4" xr3:uid="{C16264D0-558B-425C-8205-E671C6E3EB9E}" uniqueName="4" name="Событие" queryTableFieldId="4" dataDxfId="879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878"/>
    <tableColumn id="10" xr3:uid="{37082223-0A57-495F-97B8-0BCE1F173A2E}" uniqueName="10" name="Folder Path" queryTableFieldId="10" dataDxfId="877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87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80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96"/>
  <sheetViews>
    <sheetView zoomScale="90" zoomScaleNormal="90" workbookViewId="0">
      <pane ySplit="1" topLeftCell="A270" activePane="bottomLeft" state="frozen"/>
      <selection pane="bottomLeft" activeCell="I284" sqref="I284:I29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s="8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s="8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s="8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s="8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s="8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s="8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s="8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s="8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8" t="s">
        <v>62</v>
      </c>
      <c r="E10" s="8" t="s">
        <v>67</v>
      </c>
      <c r="F10" s="8" t="s">
        <v>405</v>
      </c>
      <c r="H10" s="8"/>
      <c r="I10" s="8" t="s">
        <v>34</v>
      </c>
      <c r="J10" s="8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s="8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s="8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s="8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s="8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s="8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s="8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s="8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s="8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s="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s="8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s="8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s="8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s="8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s="8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s="8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s="8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s="8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s="8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s="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s="8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s="8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s="8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s="8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s="8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s="8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s="8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s="8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s="8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s="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s="8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8" t="s">
        <v>91</v>
      </c>
      <c r="E40" s="8" t="s">
        <v>56</v>
      </c>
      <c r="F40" s="8" t="s">
        <v>1603</v>
      </c>
      <c r="H40" s="8"/>
      <c r="I40" s="8" t="s">
        <v>898</v>
      </c>
      <c r="J40" s="8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s="8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8" t="s">
        <v>62</v>
      </c>
      <c r="E41" s="8" t="s">
        <v>55</v>
      </c>
      <c r="F41" s="8" t="s">
        <v>1603</v>
      </c>
      <c r="H41" s="8"/>
      <c r="I41" s="8" t="s">
        <v>899</v>
      </c>
      <c r="J41" s="8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s="8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8" t="s">
        <v>91</v>
      </c>
      <c r="E42" s="8" t="s">
        <v>1604</v>
      </c>
      <c r="F42" s="8"/>
      <c r="H42" s="8"/>
      <c r="I42" s="8" t="s">
        <v>900</v>
      </c>
      <c r="J42" s="8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s="8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8" t="s">
        <v>62</v>
      </c>
      <c r="E43" s="8" t="s">
        <v>1604</v>
      </c>
      <c r="F43" s="8"/>
      <c r="H43" s="8"/>
      <c r="I43" s="8" t="s">
        <v>901</v>
      </c>
      <c r="J43" s="8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s="8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8" t="s">
        <v>91</v>
      </c>
      <c r="E44" s="8" t="s">
        <v>1605</v>
      </c>
      <c r="F44" s="8"/>
      <c r="H44" s="8"/>
      <c r="I44" s="8" t="s">
        <v>902</v>
      </c>
      <c r="J44" s="8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s="8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8" t="s">
        <v>91</v>
      </c>
      <c r="E45" s="8" t="s">
        <v>55</v>
      </c>
      <c r="F45" s="8" t="s">
        <v>1603</v>
      </c>
      <c r="H45" s="8"/>
      <c r="I45" s="8" t="s">
        <v>903</v>
      </c>
      <c r="J45" s="8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s="8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8" t="s">
        <v>62</v>
      </c>
      <c r="E46" s="8" t="s">
        <v>56</v>
      </c>
      <c r="F46" s="8" t="s">
        <v>165</v>
      </c>
      <c r="H46" s="8"/>
      <c r="I46" s="8" t="s">
        <v>1606</v>
      </c>
      <c r="J46" s="8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s="8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8" t="s">
        <v>62</v>
      </c>
      <c r="E47" s="8" t="s">
        <v>1605</v>
      </c>
      <c r="F47" s="8"/>
      <c r="H47" s="8"/>
      <c r="I47" s="8" t="s">
        <v>904</v>
      </c>
      <c r="J47" s="8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s="8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8" t="s">
        <v>1607</v>
      </c>
      <c r="E48" s="8"/>
      <c r="F48" s="8"/>
      <c r="H48" s="8"/>
      <c r="I48" s="8" t="s">
        <v>1644</v>
      </c>
      <c r="J48" s="8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s="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1645</v>
      </c>
      <c r="J49" s="8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s="8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1646</v>
      </c>
      <c r="J50" s="8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s="8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8" t="s">
        <v>64</v>
      </c>
      <c r="E51" s="8" t="s">
        <v>2336</v>
      </c>
      <c r="F51" s="8" t="s">
        <v>2337</v>
      </c>
      <c r="H51" s="8"/>
      <c r="I51" s="8" t="s">
        <v>1647</v>
      </c>
      <c r="J51" s="8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s="8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8" t="s">
        <v>62</v>
      </c>
      <c r="E52" s="8" t="s">
        <v>2336</v>
      </c>
      <c r="F52" s="8" t="s">
        <v>2338</v>
      </c>
      <c r="H52" s="8"/>
      <c r="I52" s="8" t="s">
        <v>1648</v>
      </c>
      <c r="J52" s="8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s="8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8" t="s">
        <v>62</v>
      </c>
      <c r="E53" s="8" t="s">
        <v>2339</v>
      </c>
      <c r="F53" s="8" t="s">
        <v>58</v>
      </c>
      <c r="H53" s="8"/>
      <c r="I53" s="8" t="s">
        <v>1649</v>
      </c>
      <c r="J53" s="8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s="8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1650</v>
      </c>
      <c r="J54" s="8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s="8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1651</v>
      </c>
      <c r="J55" s="8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s="8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8" t="s">
        <v>91</v>
      </c>
      <c r="E56" s="8" t="s">
        <v>1605</v>
      </c>
      <c r="F56" s="8"/>
      <c r="H56" s="8"/>
      <c r="I56" s="8" t="s">
        <v>1652</v>
      </c>
      <c r="J56" s="8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s="8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8" t="s">
        <v>62</v>
      </c>
      <c r="E57" s="8" t="s">
        <v>1605</v>
      </c>
      <c r="F57" s="8"/>
      <c r="H57" s="8"/>
      <c r="I57" s="8" t="s">
        <v>1653</v>
      </c>
      <c r="J57" s="8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s="8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8" t="s">
        <v>1607</v>
      </c>
      <c r="E58" s="8"/>
      <c r="F58" s="8"/>
      <c r="H58" s="8"/>
      <c r="I58" s="8" t="s">
        <v>1654</v>
      </c>
      <c r="J58" s="8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s="8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8" t="s">
        <v>91</v>
      </c>
      <c r="E59" s="8" t="s">
        <v>70</v>
      </c>
      <c r="F59" s="8"/>
      <c r="H59" s="8"/>
      <c r="I59" s="8" t="s">
        <v>1655</v>
      </c>
      <c r="J59" s="8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s="8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8" t="s">
        <v>62</v>
      </c>
      <c r="E60" s="8" t="s">
        <v>70</v>
      </c>
      <c r="F60" s="8"/>
      <c r="H60" s="8" t="s">
        <v>2340</v>
      </c>
      <c r="I60" s="8" t="s">
        <v>1656</v>
      </c>
      <c r="J60" s="8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s="8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8" t="s">
        <v>1607</v>
      </c>
      <c r="E61" s="8"/>
      <c r="F61" s="8"/>
      <c r="H61" s="8"/>
      <c r="I61" s="8" t="s">
        <v>1657</v>
      </c>
      <c r="J61" s="8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s="8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8" t="s">
        <v>1607</v>
      </c>
      <c r="E62" s="8"/>
      <c r="F62" s="8"/>
      <c r="H62" s="8"/>
      <c r="I62" s="8" t="s">
        <v>1658</v>
      </c>
      <c r="J62" s="8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s="8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8" t="s">
        <v>91</v>
      </c>
      <c r="E63" s="8" t="s">
        <v>70</v>
      </c>
      <c r="F63" s="8"/>
      <c r="H63" s="8"/>
      <c r="I63" s="8" t="s">
        <v>2405</v>
      </c>
      <c r="J63" s="8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s="8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8" t="s">
        <v>62</v>
      </c>
      <c r="E64" s="8" t="s">
        <v>70</v>
      </c>
      <c r="F64" s="8"/>
      <c r="H64" s="8"/>
      <c r="I64" s="8" t="s">
        <v>2407</v>
      </c>
      <c r="J64" s="8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s="8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8" t="s">
        <v>2421</v>
      </c>
      <c r="E65" s="8" t="s">
        <v>1274</v>
      </c>
      <c r="F65" s="8" t="s">
        <v>2345</v>
      </c>
      <c r="H65" s="8"/>
      <c r="I65" s="8" t="s">
        <v>2409</v>
      </c>
      <c r="J65" s="8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s="8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2411</v>
      </c>
      <c r="J66" s="8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s="8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2413</v>
      </c>
      <c r="J67" s="8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s="8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2415</v>
      </c>
      <c r="J68" s="8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s="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8" t="s">
        <v>2422</v>
      </c>
      <c r="E69" s="8" t="s">
        <v>70</v>
      </c>
      <c r="F69" s="8" t="s">
        <v>58</v>
      </c>
      <c r="H69" s="8"/>
      <c r="I69" s="8" t="s">
        <v>2417</v>
      </c>
      <c r="J69" s="8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s="8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8" t="s">
        <v>2422</v>
      </c>
      <c r="E70" s="8" t="s">
        <v>70</v>
      </c>
      <c r="F70" s="8" t="s">
        <v>58</v>
      </c>
      <c r="H70" s="8" t="s">
        <v>2352</v>
      </c>
      <c r="I70" s="8" t="s">
        <v>2419</v>
      </c>
      <c r="J70" s="8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s="8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8" t="s">
        <v>3355</v>
      </c>
      <c r="E71" s="8" t="s">
        <v>3357</v>
      </c>
      <c r="F71" s="8" t="s">
        <v>51</v>
      </c>
      <c r="H71" s="8"/>
      <c r="I71" s="8" t="s">
        <v>2550</v>
      </c>
      <c r="J71" s="8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s="8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8" t="s">
        <v>85</v>
      </c>
      <c r="E72" s="8" t="s">
        <v>3357</v>
      </c>
      <c r="F72" s="8" t="s">
        <v>58</v>
      </c>
      <c r="H72" s="8"/>
      <c r="I72" s="8" t="s">
        <v>2552</v>
      </c>
      <c r="J72" s="8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s="8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8" t="s">
        <v>91</v>
      </c>
      <c r="E73" s="8" t="s">
        <v>3357</v>
      </c>
      <c r="F73" s="8" t="s">
        <v>58</v>
      </c>
      <c r="H73" s="8"/>
      <c r="I73" s="8" t="s">
        <v>2554</v>
      </c>
      <c r="J73" s="8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s="8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8" t="s">
        <v>62</v>
      </c>
      <c r="E74" s="8" t="s">
        <v>3357</v>
      </c>
      <c r="F74" s="8" t="s">
        <v>58</v>
      </c>
      <c r="H74" s="8"/>
      <c r="I74" s="8" t="s">
        <v>2556</v>
      </c>
      <c r="J74" s="8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s="8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8" t="s">
        <v>3355</v>
      </c>
      <c r="E75" s="8" t="s">
        <v>3356</v>
      </c>
      <c r="F75" s="8"/>
      <c r="H75" s="8"/>
      <c r="I75" s="8" t="s">
        <v>2558</v>
      </c>
      <c r="J75" s="8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s="8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8" t="s">
        <v>85</v>
      </c>
      <c r="E76" s="8" t="s">
        <v>3356</v>
      </c>
      <c r="F76" s="8"/>
      <c r="H76" s="8"/>
      <c r="I76" s="8" t="s">
        <v>2560</v>
      </c>
      <c r="J76" s="8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s="8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8" t="s">
        <v>64</v>
      </c>
      <c r="E77" s="8" t="s">
        <v>3358</v>
      </c>
      <c r="F77" s="8"/>
      <c r="H77" s="8"/>
      <c r="I77" s="8" t="s">
        <v>2562</v>
      </c>
      <c r="J77" s="8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s="8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8" t="s">
        <v>85</v>
      </c>
      <c r="E78" s="8" t="s">
        <v>3358</v>
      </c>
      <c r="F78" s="8"/>
      <c r="H78" s="8"/>
      <c r="I78" s="8" t="s">
        <v>2564</v>
      </c>
      <c r="J78" s="8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s="8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8" t="s">
        <v>91</v>
      </c>
      <c r="E79" s="8" t="s">
        <v>3359</v>
      </c>
      <c r="F79" s="8" t="s">
        <v>51</v>
      </c>
      <c r="H79" s="8"/>
      <c r="I79" s="8" t="s">
        <v>2566</v>
      </c>
      <c r="J79" s="8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s="8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8" t="s">
        <v>91</v>
      </c>
      <c r="E80" s="8" t="s">
        <v>3360</v>
      </c>
      <c r="F80" s="8" t="s">
        <v>51</v>
      </c>
      <c r="H80" s="8"/>
      <c r="I80" s="8" t="s">
        <v>2568</v>
      </c>
      <c r="J80" s="8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s="8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8" t="s">
        <v>91</v>
      </c>
      <c r="E81" s="8" t="s">
        <v>3359</v>
      </c>
      <c r="F81" s="8" t="s">
        <v>3361</v>
      </c>
      <c r="H81" s="8" t="s">
        <v>3362</v>
      </c>
      <c r="I81" s="8" t="s">
        <v>2570</v>
      </c>
      <c r="J81" s="8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s="8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8" t="s">
        <v>62</v>
      </c>
      <c r="E82" s="8" t="s">
        <v>3359</v>
      </c>
      <c r="F82" s="8" t="s">
        <v>3361</v>
      </c>
      <c r="H82" s="8"/>
      <c r="I82" s="8" t="s">
        <v>2572</v>
      </c>
      <c r="J82" s="8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s="8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3417</v>
      </c>
      <c r="J83" s="8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s="8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3419</v>
      </c>
      <c r="J84" s="8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s="8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8" t="s">
        <v>91</v>
      </c>
      <c r="E85" s="8" t="s">
        <v>3359</v>
      </c>
      <c r="F85" s="8" t="s">
        <v>1276</v>
      </c>
      <c r="H85" s="8" t="s">
        <v>4068</v>
      </c>
      <c r="I85" s="8" t="s">
        <v>3525</v>
      </c>
      <c r="J85" s="8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s="8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8" t="s">
        <v>62</v>
      </c>
      <c r="E86" s="8" t="s">
        <v>3359</v>
      </c>
      <c r="F86" s="8" t="s">
        <v>51</v>
      </c>
      <c r="H86" s="8" t="s">
        <v>4069</v>
      </c>
      <c r="I86" s="8" t="s">
        <v>3527</v>
      </c>
      <c r="J86" s="8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s="8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8" t="s">
        <v>91</v>
      </c>
      <c r="E87" s="8" t="s">
        <v>70</v>
      </c>
      <c r="F87" s="8" t="s">
        <v>4070</v>
      </c>
      <c r="H87" s="8"/>
      <c r="I87" s="8" t="s">
        <v>3529</v>
      </c>
      <c r="J87" s="8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s="8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8" t="s">
        <v>62</v>
      </c>
      <c r="E88" s="8" t="s">
        <v>70</v>
      </c>
      <c r="F88" s="8" t="s">
        <v>4070</v>
      </c>
      <c r="H88" s="8"/>
      <c r="I88" s="8" t="s">
        <v>3531</v>
      </c>
      <c r="J88" s="8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s="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8" t="s">
        <v>91</v>
      </c>
      <c r="E89" s="8" t="s">
        <v>70</v>
      </c>
      <c r="F89" s="8" t="s">
        <v>4070</v>
      </c>
      <c r="H89" s="8"/>
      <c r="I89" s="8" t="s">
        <v>3533</v>
      </c>
      <c r="J89" s="8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s="8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8" t="s">
        <v>62</v>
      </c>
      <c r="E90" s="8" t="s">
        <v>70</v>
      </c>
      <c r="F90" s="8" t="s">
        <v>4070</v>
      </c>
      <c r="H90" s="8"/>
      <c r="I90" s="8" t="s">
        <v>3535</v>
      </c>
      <c r="J90" s="8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s="8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8" t="s">
        <v>1607</v>
      </c>
      <c r="E91" s="8"/>
      <c r="F91" s="8"/>
      <c r="H91" s="8"/>
      <c r="I91" s="8" t="s">
        <v>3537</v>
      </c>
      <c r="J91" s="8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s="8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8" t="s">
        <v>91</v>
      </c>
      <c r="E92" s="8" t="s">
        <v>70</v>
      </c>
      <c r="F92" s="8" t="s">
        <v>4070</v>
      </c>
      <c r="H92" s="8"/>
      <c r="I92" s="8" t="s">
        <v>3539</v>
      </c>
      <c r="J92" s="8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s="8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8" t="s">
        <v>62</v>
      </c>
      <c r="E93" s="8" t="s">
        <v>70</v>
      </c>
      <c r="F93" s="8" t="s">
        <v>4070</v>
      </c>
      <c r="H93" s="8"/>
      <c r="I93" s="8" t="s">
        <v>3541</v>
      </c>
      <c r="J93" s="8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s="8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8" t="s">
        <v>91</v>
      </c>
      <c r="E94" s="8" t="s">
        <v>70</v>
      </c>
      <c r="F94" s="8" t="s">
        <v>4070</v>
      </c>
      <c r="H94" s="8"/>
      <c r="I94" s="8" t="s">
        <v>3543</v>
      </c>
      <c r="J94" s="8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s="8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8" t="s">
        <v>62</v>
      </c>
      <c r="E95" s="8" t="s">
        <v>70</v>
      </c>
      <c r="F95" s="8" t="s">
        <v>4070</v>
      </c>
      <c r="H95" s="8"/>
      <c r="I95" s="8" t="s">
        <v>3545</v>
      </c>
      <c r="J95" s="8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s="8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3547</v>
      </c>
      <c r="J96" s="8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s="8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8" t="s">
        <v>91</v>
      </c>
      <c r="E97" s="8" t="s">
        <v>55</v>
      </c>
      <c r="F97" s="8" t="s">
        <v>4071</v>
      </c>
      <c r="H97" s="8"/>
      <c r="I97" s="8" t="s">
        <v>3549</v>
      </c>
      <c r="J97" s="8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s="8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8" t="s">
        <v>91</v>
      </c>
      <c r="E98" s="8" t="s">
        <v>70</v>
      </c>
      <c r="F98" s="8" t="s">
        <v>4070</v>
      </c>
      <c r="H98" s="8"/>
      <c r="I98" s="8" t="s">
        <v>3551</v>
      </c>
      <c r="J98" s="8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s="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8" t="s">
        <v>62</v>
      </c>
      <c r="E99" s="8" t="s">
        <v>70</v>
      </c>
      <c r="F99" s="8" t="s">
        <v>4070</v>
      </c>
      <c r="H99" s="8"/>
      <c r="I99" s="8" t="s">
        <v>3553</v>
      </c>
      <c r="J99" s="8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s="8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8" t="s">
        <v>1607</v>
      </c>
      <c r="E100" s="8"/>
      <c r="F100" s="8"/>
      <c r="H100" s="8"/>
      <c r="I100" s="8" t="s">
        <v>3555</v>
      </c>
      <c r="J100" s="8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s="8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8" t="s">
        <v>91</v>
      </c>
      <c r="E101" s="8" t="s">
        <v>4232</v>
      </c>
      <c r="F101" s="8" t="s">
        <v>51</v>
      </c>
      <c r="H101" s="8"/>
      <c r="I101" s="8" t="s">
        <v>4137</v>
      </c>
      <c r="J101" s="8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s="8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8" t="s">
        <v>62</v>
      </c>
      <c r="E102" s="8" t="s">
        <v>4232</v>
      </c>
      <c r="F102" s="8" t="s">
        <v>4233</v>
      </c>
      <c r="H102" s="8" t="s">
        <v>4234</v>
      </c>
      <c r="I102" s="8" t="s">
        <v>4139</v>
      </c>
      <c r="J102" s="8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s="8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8" t="s">
        <v>64</v>
      </c>
      <c r="E103" s="8" t="s">
        <v>3358</v>
      </c>
      <c r="F103" s="8" t="s">
        <v>4070</v>
      </c>
      <c r="H103" s="8"/>
      <c r="I103" s="8" t="s">
        <v>4244</v>
      </c>
      <c r="J103" s="8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s="8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8" t="s">
        <v>85</v>
      </c>
      <c r="E104" s="8" t="s">
        <v>3358</v>
      </c>
      <c r="F104" s="8" t="s">
        <v>4070</v>
      </c>
      <c r="H104" s="8"/>
      <c r="I104" s="8" t="s">
        <v>4246</v>
      </c>
      <c r="J104" s="8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s="8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8" t="s">
        <v>64</v>
      </c>
      <c r="E105" s="8" t="s">
        <v>3358</v>
      </c>
      <c r="F105" s="8" t="s">
        <v>4070</v>
      </c>
      <c r="H105" s="8"/>
      <c r="I105" s="8" t="s">
        <v>4397</v>
      </c>
      <c r="J105" s="8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s="8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8" t="s">
        <v>85</v>
      </c>
      <c r="E106" s="8" t="s">
        <v>3358</v>
      </c>
      <c r="F106" s="8" t="s">
        <v>4070</v>
      </c>
      <c r="H106" s="8"/>
      <c r="I106" s="8" t="s">
        <v>4399</v>
      </c>
      <c r="J106" s="8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s="8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8" t="s">
        <v>91</v>
      </c>
      <c r="E107" s="8" t="s">
        <v>4413</v>
      </c>
      <c r="F107" s="8" t="s">
        <v>51</v>
      </c>
      <c r="H107" s="8"/>
      <c r="I107" s="8" t="s">
        <v>4401</v>
      </c>
      <c r="J107" s="8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s="8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8" t="s">
        <v>2422</v>
      </c>
      <c r="E108" s="8" t="s">
        <v>4413</v>
      </c>
      <c r="F108" s="8" t="s">
        <v>51</v>
      </c>
      <c r="H108" s="8"/>
      <c r="I108" s="8" t="s">
        <v>4403</v>
      </c>
      <c r="J108" s="8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s="8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8" t="s">
        <v>64</v>
      </c>
      <c r="E109" s="8" t="s">
        <v>3358</v>
      </c>
      <c r="F109" s="8" t="s">
        <v>4070</v>
      </c>
      <c r="H109" s="8"/>
      <c r="I109" s="8" t="s">
        <v>4405</v>
      </c>
      <c r="J109" s="8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s="8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8" t="s">
        <v>85</v>
      </c>
      <c r="E110" s="8" t="s">
        <v>3358</v>
      </c>
      <c r="F110" s="8" t="s">
        <v>4070</v>
      </c>
      <c r="H110" s="8"/>
      <c r="I110" s="8" t="s">
        <v>4407</v>
      </c>
      <c r="J110" s="8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s="8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8" t="s">
        <v>64</v>
      </c>
      <c r="E111" s="8" t="s">
        <v>3358</v>
      </c>
      <c r="F111" s="8" t="s">
        <v>4070</v>
      </c>
      <c r="H111" s="8"/>
      <c r="I111" s="8" t="s">
        <v>4409</v>
      </c>
      <c r="J111" s="8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s="8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8" t="s">
        <v>85</v>
      </c>
      <c r="E112" s="8" t="s">
        <v>3358</v>
      </c>
      <c r="F112" s="8" t="s">
        <v>4070</v>
      </c>
      <c r="H112" s="8"/>
      <c r="I112" s="8" t="s">
        <v>4411</v>
      </c>
      <c r="J112" s="8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s="8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8" t="s">
        <v>1607</v>
      </c>
      <c r="E113" s="8" t="s">
        <v>8</v>
      </c>
      <c r="F113" s="8"/>
      <c r="H113" s="8"/>
      <c r="I113" s="8" t="s">
        <v>4663</v>
      </c>
      <c r="J113" s="8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s="8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4665</v>
      </c>
      <c r="J114" s="8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s="8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8" t="s">
        <v>62</v>
      </c>
      <c r="E115" s="8" t="s">
        <v>4917</v>
      </c>
      <c r="F115" s="8" t="s">
        <v>58</v>
      </c>
      <c r="H115" s="8" t="s">
        <v>4914</v>
      </c>
      <c r="I115" s="8" t="s">
        <v>4802</v>
      </c>
      <c r="J115" s="8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s="8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8" t="s">
        <v>91</v>
      </c>
      <c r="E116" s="8" t="s">
        <v>4916</v>
      </c>
      <c r="F116" s="8" t="s">
        <v>51</v>
      </c>
      <c r="H116" s="8"/>
      <c r="I116" s="8" t="s">
        <v>4804</v>
      </c>
      <c r="J116" s="8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s="8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8" t="s">
        <v>91</v>
      </c>
      <c r="E117" s="8" t="s">
        <v>4915</v>
      </c>
      <c r="F117" s="8" t="s">
        <v>51</v>
      </c>
      <c r="H117" s="8"/>
      <c r="I117" s="8" t="s">
        <v>4806</v>
      </c>
      <c r="J117" s="8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s="8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8" t="s">
        <v>62</v>
      </c>
      <c r="E118" s="8" t="s">
        <v>4916</v>
      </c>
      <c r="F118" s="8" t="s">
        <v>51</v>
      </c>
      <c r="H118" s="8"/>
      <c r="I118" s="8" t="s">
        <v>4808</v>
      </c>
      <c r="J118" s="8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s="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8" t="s">
        <v>2422</v>
      </c>
      <c r="E119" s="8" t="s">
        <v>4915</v>
      </c>
      <c r="F119" s="8" t="s">
        <v>51</v>
      </c>
      <c r="H119" s="8"/>
      <c r="I119" s="8" t="s">
        <v>4810</v>
      </c>
      <c r="J119" s="8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s="8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8" t="s">
        <v>91</v>
      </c>
      <c r="E120" s="8" t="s">
        <v>4917</v>
      </c>
      <c r="F120" s="8" t="s">
        <v>58</v>
      </c>
      <c r="H120" s="8"/>
      <c r="I120" s="8" t="s">
        <v>4812</v>
      </c>
      <c r="J120" s="8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s="8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8" t="s">
        <v>62</v>
      </c>
      <c r="E121" s="8" t="s">
        <v>4917</v>
      </c>
      <c r="F121" s="8" t="s">
        <v>4918</v>
      </c>
      <c r="H121" s="8" t="s">
        <v>4919</v>
      </c>
      <c r="I121" s="8" t="s">
        <v>4814</v>
      </c>
      <c r="J121" s="8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s="8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8" t="s">
        <v>1607</v>
      </c>
      <c r="E122" s="8" t="s">
        <v>4994</v>
      </c>
      <c r="F122" s="8"/>
      <c r="H122" s="8" t="s">
        <v>4993</v>
      </c>
      <c r="I122" s="8" t="s">
        <v>4946</v>
      </c>
      <c r="J122" s="8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s="8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8" t="s">
        <v>64</v>
      </c>
      <c r="E123" s="8" t="s">
        <v>3358</v>
      </c>
      <c r="F123" s="8" t="s">
        <v>4070</v>
      </c>
      <c r="H123" s="8"/>
      <c r="I123" s="8" t="s">
        <v>4995</v>
      </c>
      <c r="J123" s="8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s="8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8" t="s">
        <v>91</v>
      </c>
      <c r="E124" s="8" t="s">
        <v>5045</v>
      </c>
      <c r="F124" s="8" t="s">
        <v>51</v>
      </c>
      <c r="H124" s="8"/>
      <c r="I124" s="8" t="s">
        <v>5059</v>
      </c>
      <c r="J124" s="8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s="8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8" t="s">
        <v>85</v>
      </c>
      <c r="E125" s="8" t="s">
        <v>5045</v>
      </c>
      <c r="F125" s="8" t="s">
        <v>58</v>
      </c>
      <c r="H125" s="8" t="s">
        <v>1287</v>
      </c>
      <c r="I125" s="8" t="s">
        <v>4997</v>
      </c>
      <c r="J125" s="8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s="8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8" t="s">
        <v>85</v>
      </c>
      <c r="E126" s="8" t="s">
        <v>5045</v>
      </c>
      <c r="F126" s="8" t="s">
        <v>58</v>
      </c>
      <c r="H126" s="8" t="s">
        <v>2352</v>
      </c>
      <c r="I126" s="8" t="s">
        <v>4999</v>
      </c>
      <c r="J126" s="8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s="8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8" t="s">
        <v>62</v>
      </c>
      <c r="E127" s="8" t="s">
        <v>70</v>
      </c>
      <c r="F127" s="8"/>
      <c r="H127" s="8"/>
      <c r="I127" s="8" t="s">
        <v>5001</v>
      </c>
      <c r="J127" s="8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s="8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8" t="s">
        <v>91</v>
      </c>
      <c r="E128" s="8" t="s">
        <v>70</v>
      </c>
      <c r="F128" s="8"/>
      <c r="H128" s="8"/>
      <c r="I128" s="8" t="s">
        <v>5003</v>
      </c>
      <c r="J128" s="8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s="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8" t="s">
        <v>85</v>
      </c>
      <c r="E129" s="8" t="s">
        <v>3358</v>
      </c>
      <c r="F129" s="8" t="s">
        <v>4070</v>
      </c>
      <c r="H129" s="8"/>
      <c r="I129" s="8" t="s">
        <v>5005</v>
      </c>
      <c r="J129" s="8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s="8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8" t="s">
        <v>91</v>
      </c>
      <c r="E130" s="8" t="s">
        <v>5310</v>
      </c>
      <c r="F130" s="8" t="s">
        <v>51</v>
      </c>
      <c r="H130" s="8"/>
      <c r="I130" s="8" t="s">
        <v>5218</v>
      </c>
      <c r="J130" s="8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s="8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8" t="s">
        <v>62</v>
      </c>
      <c r="E131" s="8" t="s">
        <v>5310</v>
      </c>
      <c r="F131" s="8" t="s">
        <v>5311</v>
      </c>
      <c r="H131" s="8"/>
      <c r="I131" s="8" t="s">
        <v>5220</v>
      </c>
      <c r="J131" s="8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s="8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8" t="s">
        <v>64</v>
      </c>
      <c r="E132" s="8" t="s">
        <v>3358</v>
      </c>
      <c r="F132" s="8" t="s">
        <v>4070</v>
      </c>
      <c r="H132" s="8"/>
      <c r="I132" s="8" t="s">
        <v>5222</v>
      </c>
      <c r="J132" s="8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s="8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8" t="s">
        <v>85</v>
      </c>
      <c r="E133" s="8" t="s">
        <v>3358</v>
      </c>
      <c r="F133" s="8" t="s">
        <v>4070</v>
      </c>
      <c r="H133" s="8"/>
      <c r="I133" s="8" t="s">
        <v>5224</v>
      </c>
      <c r="J133" s="8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s="8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8" t="s">
        <v>1607</v>
      </c>
      <c r="E134" s="8"/>
      <c r="F134" s="8"/>
      <c r="H134" s="8"/>
      <c r="I134" s="8" t="s">
        <v>5316</v>
      </c>
      <c r="J134" s="8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s="8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8" t="s">
        <v>64</v>
      </c>
      <c r="E135" s="8" t="s">
        <v>3358</v>
      </c>
      <c r="F135" s="8" t="s">
        <v>4070</v>
      </c>
      <c r="H135" s="8"/>
      <c r="I135" s="8" t="s">
        <v>5318</v>
      </c>
      <c r="J135" s="8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s="8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8" t="s">
        <v>5469</v>
      </c>
      <c r="E136" s="8"/>
      <c r="F136" s="8"/>
      <c r="H136" s="8"/>
      <c r="I136" s="8" t="s">
        <v>5320</v>
      </c>
      <c r="J136" s="8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s="8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8" t="s">
        <v>91</v>
      </c>
      <c r="E137" s="8" t="s">
        <v>4940</v>
      </c>
      <c r="F137" s="8"/>
      <c r="H137" s="8"/>
      <c r="I137" s="8" t="s">
        <v>5322</v>
      </c>
      <c r="J137" s="8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s="8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8" t="s">
        <v>5470</v>
      </c>
      <c r="E138" s="8" t="s">
        <v>86</v>
      </c>
      <c r="F138" s="8"/>
      <c r="H138" s="8"/>
      <c r="I138" s="8" t="s">
        <v>5324</v>
      </c>
      <c r="J138" s="8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s="8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8" t="s">
        <v>85</v>
      </c>
      <c r="E139" s="8" t="s">
        <v>3358</v>
      </c>
      <c r="F139" s="8" t="s">
        <v>4070</v>
      </c>
      <c r="H139" s="8"/>
      <c r="I139" s="8" t="s">
        <v>5326</v>
      </c>
      <c r="J139" s="8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s="8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8" t="s">
        <v>1607</v>
      </c>
      <c r="E140" s="8"/>
      <c r="F140" s="8"/>
      <c r="H140" s="8"/>
      <c r="I140" s="8" t="s">
        <v>5496</v>
      </c>
      <c r="J140" s="8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s="8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8" t="s">
        <v>1607</v>
      </c>
      <c r="E141" s="8"/>
      <c r="F141" s="8"/>
      <c r="H141" s="8"/>
      <c r="I141" s="8" t="s">
        <v>5498</v>
      </c>
      <c r="J141" s="8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s="8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8" t="s">
        <v>1607</v>
      </c>
      <c r="E142" s="8"/>
      <c r="F142" s="8"/>
      <c r="H142" s="8"/>
      <c r="I142" s="8" t="s">
        <v>5703</v>
      </c>
      <c r="J142" s="8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s="8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8" t="s">
        <v>64</v>
      </c>
      <c r="E143" s="8" t="s">
        <v>3358</v>
      </c>
      <c r="F143" s="8" t="s">
        <v>4070</v>
      </c>
      <c r="H143" s="8"/>
      <c r="I143" s="8" t="s">
        <v>5758</v>
      </c>
      <c r="J143" s="8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s="8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8" t="s">
        <v>85</v>
      </c>
      <c r="E144" s="8" t="s">
        <v>3358</v>
      </c>
      <c r="F144" s="8" t="s">
        <v>4070</v>
      </c>
      <c r="H144" s="8"/>
      <c r="I144" s="8" t="s">
        <v>5760</v>
      </c>
      <c r="J144" s="8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s="8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8" t="s">
        <v>91</v>
      </c>
      <c r="E145" s="8" t="s">
        <v>5903</v>
      </c>
      <c r="F145" s="8" t="s">
        <v>60</v>
      </c>
      <c r="H145" s="8"/>
      <c r="I145" s="8" t="s">
        <v>5762</v>
      </c>
      <c r="J145" s="8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s="8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8" t="s">
        <v>62</v>
      </c>
      <c r="E146" s="8" t="s">
        <v>5903</v>
      </c>
      <c r="F146" s="8" t="s">
        <v>51</v>
      </c>
      <c r="H146" s="8"/>
      <c r="I146" s="8" t="s">
        <v>5764</v>
      </c>
      <c r="J146" s="8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s="8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8" t="s">
        <v>1607</v>
      </c>
      <c r="E147" s="8"/>
      <c r="F147" s="8"/>
      <c r="H147" s="8"/>
      <c r="I147" s="8" t="s">
        <v>5911</v>
      </c>
      <c r="J147" s="8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s="8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8" t="s">
        <v>91</v>
      </c>
      <c r="E148" s="8" t="s">
        <v>6154</v>
      </c>
      <c r="F148" s="8" t="s">
        <v>60</v>
      </c>
      <c r="H148" s="8"/>
      <c r="I148" s="8" t="s">
        <v>5913</v>
      </c>
      <c r="J148" s="8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s="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8" t="s">
        <v>62</v>
      </c>
      <c r="E149" s="8" t="s">
        <v>6154</v>
      </c>
      <c r="F149" s="8" t="s">
        <v>51</v>
      </c>
      <c r="H149" s="8"/>
      <c r="I149" s="8" t="s">
        <v>5915</v>
      </c>
      <c r="J149" s="8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s="8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8" t="s">
        <v>91</v>
      </c>
      <c r="E150" s="8" t="s">
        <v>70</v>
      </c>
      <c r="F150" s="8" t="s">
        <v>51</v>
      </c>
      <c r="H150" s="8"/>
      <c r="I150" s="8" t="s">
        <v>5917</v>
      </c>
      <c r="J150" s="8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s="8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8" t="s">
        <v>91</v>
      </c>
      <c r="E151" s="8" t="s">
        <v>3358</v>
      </c>
      <c r="F151" s="8" t="s">
        <v>51</v>
      </c>
      <c r="H151" s="8"/>
      <c r="I151" s="8" t="s">
        <v>5919</v>
      </c>
      <c r="J151" s="8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s="8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8" t="s">
        <v>62</v>
      </c>
      <c r="E152" s="8" t="s">
        <v>70</v>
      </c>
      <c r="F152" s="8" t="s">
        <v>58</v>
      </c>
      <c r="H152" s="8"/>
      <c r="I152" s="8" t="s">
        <v>5921</v>
      </c>
      <c r="J152" s="8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s="8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8" t="s">
        <v>62</v>
      </c>
      <c r="E153" s="8" t="s">
        <v>3358</v>
      </c>
      <c r="F153" s="8" t="s">
        <v>3405</v>
      </c>
      <c r="H153" s="8"/>
      <c r="I153" s="8" t="s">
        <v>5923</v>
      </c>
      <c r="J153" s="8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s="8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8" t="s">
        <v>91</v>
      </c>
      <c r="E154" s="8" t="s">
        <v>3358</v>
      </c>
      <c r="F154" s="8" t="s">
        <v>4070</v>
      </c>
      <c r="H154" s="8"/>
      <c r="I154" s="8" t="s">
        <v>6170</v>
      </c>
      <c r="J154" s="8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s="8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8" t="s">
        <v>62</v>
      </c>
      <c r="E155" s="8" t="s">
        <v>3358</v>
      </c>
      <c r="F155" s="8" t="s">
        <v>4070</v>
      </c>
      <c r="H155" s="8"/>
      <c r="I155" s="8" t="s">
        <v>6172</v>
      </c>
      <c r="J155" s="8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s="8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8" t="s">
        <v>64</v>
      </c>
      <c r="E156" s="8" t="s">
        <v>3358</v>
      </c>
      <c r="F156" s="8" t="s">
        <v>4070</v>
      </c>
      <c r="H156" s="8"/>
      <c r="I156" s="8" t="s">
        <v>6312</v>
      </c>
      <c r="J156" s="8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s="8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8" t="s">
        <v>85</v>
      </c>
      <c r="E157" s="8" t="s">
        <v>3358</v>
      </c>
      <c r="F157" s="8" t="s">
        <v>4070</v>
      </c>
      <c r="H157" s="8"/>
      <c r="I157" s="8" t="s">
        <v>6314</v>
      </c>
      <c r="J157" s="8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s="8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8" t="s">
        <v>91</v>
      </c>
      <c r="E158" s="8" t="s">
        <v>5045</v>
      </c>
      <c r="F158" s="8" t="s">
        <v>4070</v>
      </c>
      <c r="H158" s="8"/>
      <c r="I158" s="8" t="s">
        <v>6316</v>
      </c>
      <c r="J158" s="8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s="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8" t="s">
        <v>62</v>
      </c>
      <c r="E159" s="8" t="s">
        <v>5045</v>
      </c>
      <c r="F159" s="8" t="s">
        <v>4070</v>
      </c>
      <c r="H159" s="8"/>
      <c r="I159" s="8" t="s">
        <v>6318</v>
      </c>
      <c r="J159" s="8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s="8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8" t="s">
        <v>91</v>
      </c>
      <c r="E160" s="8" t="s">
        <v>3358</v>
      </c>
      <c r="F160" s="8" t="s">
        <v>4070</v>
      </c>
      <c r="H160" s="8"/>
      <c r="I160" s="8" t="s">
        <v>6320</v>
      </c>
      <c r="J160" s="8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s="8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8" t="s">
        <v>62</v>
      </c>
      <c r="E161" s="8" t="s">
        <v>3358</v>
      </c>
      <c r="F161" s="8" t="s">
        <v>4070</v>
      </c>
      <c r="H161" s="8"/>
      <c r="I161" s="8" t="s">
        <v>6322</v>
      </c>
      <c r="J161" s="8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s="8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8" t="s">
        <v>6434</v>
      </c>
      <c r="E162" s="8" t="s">
        <v>3358</v>
      </c>
      <c r="F162" s="8" t="s">
        <v>4070</v>
      </c>
      <c r="H162" s="8"/>
      <c r="I162" s="8" t="s">
        <v>6324</v>
      </c>
      <c r="J162" s="8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s="8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8" t="s">
        <v>64</v>
      </c>
      <c r="E163" s="8" t="s">
        <v>3358</v>
      </c>
      <c r="F163" s="8" t="s">
        <v>4070</v>
      </c>
      <c r="H163" s="8"/>
      <c r="I163" s="8" t="s">
        <v>6326</v>
      </c>
      <c r="J163" s="8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s="8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8" t="s">
        <v>62</v>
      </c>
      <c r="E164" s="8" t="s">
        <v>4940</v>
      </c>
      <c r="F164" s="8" t="s">
        <v>51</v>
      </c>
      <c r="H164" s="8"/>
      <c r="I164" s="8" t="s">
        <v>6328</v>
      </c>
      <c r="J164" s="8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s="8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8" t="s">
        <v>85</v>
      </c>
      <c r="E165" s="8" t="s">
        <v>3358</v>
      </c>
      <c r="F165" s="8" t="s">
        <v>4070</v>
      </c>
      <c r="H165" s="8"/>
      <c r="I165" s="8" t="s">
        <v>6330</v>
      </c>
      <c r="J165" s="8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s="8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8" t="s">
        <v>91</v>
      </c>
      <c r="E166" s="8" t="s">
        <v>6435</v>
      </c>
      <c r="F166" s="8"/>
      <c r="H166" s="8"/>
      <c r="I166" s="8" t="s">
        <v>6332</v>
      </c>
      <c r="J166" s="8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s="8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8" t="s">
        <v>62</v>
      </c>
      <c r="E167" s="8" t="s">
        <v>6435</v>
      </c>
      <c r="F167" s="8"/>
      <c r="H167" s="8"/>
      <c r="I167" s="8" t="s">
        <v>6334</v>
      </c>
      <c r="J167" s="8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s="8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8" t="s">
        <v>91</v>
      </c>
      <c r="E168" s="8" t="s">
        <v>4940</v>
      </c>
      <c r="F168" s="8" t="s">
        <v>51</v>
      </c>
      <c r="H168" s="8"/>
      <c r="I168" s="8" t="s">
        <v>6336</v>
      </c>
      <c r="J168" s="8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s="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8" t="s">
        <v>91</v>
      </c>
      <c r="E169" s="8" t="s">
        <v>70</v>
      </c>
      <c r="F169" s="8" t="s">
        <v>58</v>
      </c>
      <c r="H169" s="8"/>
      <c r="I169" s="8" t="s">
        <v>6448</v>
      </c>
      <c r="J169" s="8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s="8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8" t="s">
        <v>62</v>
      </c>
      <c r="E170" s="8" t="s">
        <v>70</v>
      </c>
      <c r="F170" s="8" t="s">
        <v>51</v>
      </c>
      <c r="H170" s="8"/>
      <c r="I170" s="8" t="s">
        <v>6450</v>
      </c>
      <c r="J170" s="8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s="8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8" t="s">
        <v>91</v>
      </c>
      <c r="E171" s="8" t="s">
        <v>70</v>
      </c>
      <c r="F171" s="8" t="s">
        <v>4070</v>
      </c>
      <c r="H171" s="8"/>
      <c r="I171" s="8" t="s">
        <v>6452</v>
      </c>
      <c r="J171" s="8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s="8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8" t="s">
        <v>62</v>
      </c>
      <c r="E172" s="8" t="s">
        <v>70</v>
      </c>
      <c r="F172" s="8" t="s">
        <v>4070</v>
      </c>
      <c r="H172" s="8"/>
      <c r="I172" s="8" t="s">
        <v>6454</v>
      </c>
      <c r="J172" s="8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s="8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8" t="s">
        <v>62</v>
      </c>
      <c r="E173" s="8" t="s">
        <v>4940</v>
      </c>
      <c r="F173" s="8" t="s">
        <v>51</v>
      </c>
      <c r="H173" s="8"/>
      <c r="I173" s="8" t="s">
        <v>6456</v>
      </c>
      <c r="J173" s="8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s="8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8" t="s">
        <v>91</v>
      </c>
      <c r="E174" s="8" t="s">
        <v>4940</v>
      </c>
      <c r="F174" s="8" t="s">
        <v>51</v>
      </c>
      <c r="H174" s="8"/>
      <c r="I174" s="8" t="s">
        <v>6458</v>
      </c>
      <c r="J174" s="8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s="8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8" t="s">
        <v>1607</v>
      </c>
      <c r="E175" s="8"/>
      <c r="F175" s="8"/>
      <c r="H175" s="8"/>
      <c r="I175" s="8" t="s">
        <v>6460</v>
      </c>
      <c r="J175" s="8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s="8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8" t="s">
        <v>1607</v>
      </c>
      <c r="E176" s="8"/>
      <c r="F176" s="8"/>
      <c r="H176" s="8"/>
      <c r="I176" s="8" t="s">
        <v>6462</v>
      </c>
      <c r="J176" s="8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s="8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8" t="s">
        <v>1607</v>
      </c>
      <c r="E177" s="8"/>
      <c r="F177" s="8"/>
      <c r="H177" s="8"/>
      <c r="I177" s="8" t="s">
        <v>6696</v>
      </c>
      <c r="J177" s="8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s="8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8" t="s">
        <v>91</v>
      </c>
      <c r="E178" s="8" t="s">
        <v>6788</v>
      </c>
      <c r="F178" s="8"/>
      <c r="H178" s="8"/>
      <c r="I178" s="8" t="s">
        <v>6698</v>
      </c>
      <c r="J178" s="8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s="8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8" t="s">
        <v>62</v>
      </c>
      <c r="E179" s="8" t="s">
        <v>6788</v>
      </c>
      <c r="F179" s="8"/>
      <c r="H179" s="8"/>
      <c r="I179" s="8" t="s">
        <v>6700</v>
      </c>
      <c r="J179" s="8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s="8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8" t="s">
        <v>1607</v>
      </c>
      <c r="E180" s="8"/>
      <c r="F180" s="8"/>
      <c r="H180" s="8"/>
      <c r="I180" s="8" t="s">
        <v>6702</v>
      </c>
      <c r="J180" s="8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s="8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8" t="s">
        <v>1607</v>
      </c>
      <c r="E181" s="8"/>
      <c r="F181" s="8"/>
      <c r="H181" s="8"/>
      <c r="I181" s="8" t="s">
        <v>6803</v>
      </c>
      <c r="J181" s="8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s="8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8" t="s">
        <v>91</v>
      </c>
      <c r="E182" s="8" t="s">
        <v>7041</v>
      </c>
      <c r="F182" s="8"/>
      <c r="H182" s="8"/>
      <c r="I182" s="8" t="s">
        <v>6805</v>
      </c>
      <c r="J182" s="8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s="8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8" t="s">
        <v>62</v>
      </c>
      <c r="E183" s="8" t="s">
        <v>7041</v>
      </c>
      <c r="F183" s="8"/>
      <c r="H183" s="8"/>
      <c r="I183" s="8" t="s">
        <v>6807</v>
      </c>
      <c r="J183" s="8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s="8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8" t="s">
        <v>1607</v>
      </c>
      <c r="E184" s="8"/>
      <c r="F184" s="8"/>
      <c r="H184" s="8"/>
      <c r="I184" s="8" t="s">
        <v>6809</v>
      </c>
      <c r="J184" s="8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s="8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8" t="s">
        <v>91</v>
      </c>
      <c r="E185" s="8" t="s">
        <v>6679</v>
      </c>
      <c r="F185" s="8"/>
      <c r="H185" s="8"/>
      <c r="I185" s="8" t="s">
        <v>6811</v>
      </c>
      <c r="J185" s="8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s="8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8" t="s">
        <v>62</v>
      </c>
      <c r="E186" s="8" t="s">
        <v>6679</v>
      </c>
      <c r="F186" s="8"/>
      <c r="H186" s="8"/>
      <c r="I186" s="8" t="s">
        <v>6813</v>
      </c>
      <c r="J186" s="8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s="8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8" t="s">
        <v>91</v>
      </c>
      <c r="E187" s="8" t="s">
        <v>7042</v>
      </c>
      <c r="F187" s="8"/>
      <c r="H187" s="8"/>
      <c r="I187" s="8" t="s">
        <v>6815</v>
      </c>
      <c r="J187" s="8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s="8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8" t="s">
        <v>62</v>
      </c>
      <c r="E188" s="8" t="s">
        <v>7042</v>
      </c>
      <c r="F188" s="8"/>
      <c r="H188" s="8"/>
      <c r="I188" s="8" t="s">
        <v>6817</v>
      </c>
      <c r="J188" s="8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s="8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8" t="s">
        <v>91</v>
      </c>
      <c r="E189" s="8" t="s">
        <v>7043</v>
      </c>
      <c r="F189" s="8"/>
      <c r="H189" s="8"/>
      <c r="I189" s="8" t="s">
        <v>6819</v>
      </c>
      <c r="J189" s="8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s="8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8" t="s">
        <v>62</v>
      </c>
      <c r="E190" s="8" t="s">
        <v>7043</v>
      </c>
      <c r="F190" s="8"/>
      <c r="H190" s="8"/>
      <c r="I190" s="8" t="s">
        <v>6821</v>
      </c>
      <c r="J190" s="8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s="8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8" t="s">
        <v>91</v>
      </c>
      <c r="E191" s="8" t="s">
        <v>7043</v>
      </c>
      <c r="F191" s="8"/>
      <c r="H191" s="8"/>
      <c r="I191" s="8" t="s">
        <v>6823</v>
      </c>
      <c r="J191" s="8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s="8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8" t="s">
        <v>91</v>
      </c>
      <c r="E192" s="8" t="s">
        <v>7044</v>
      </c>
      <c r="F192" s="8"/>
      <c r="H192" s="8"/>
      <c r="I192" s="8" t="s">
        <v>6825</v>
      </c>
      <c r="J192" s="8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s="8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8" t="s">
        <v>62</v>
      </c>
      <c r="E193" s="8" t="s">
        <v>7044</v>
      </c>
      <c r="F193" s="8"/>
      <c r="H193" s="8"/>
      <c r="I193" s="8" t="s">
        <v>6827</v>
      </c>
      <c r="J193" s="8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s="8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8" t="s">
        <v>62</v>
      </c>
      <c r="E194" s="8" t="s">
        <v>7043</v>
      </c>
      <c r="F194" s="8"/>
      <c r="H194" s="8"/>
      <c r="I194" s="8" t="s">
        <v>6829</v>
      </c>
      <c r="J194" s="8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s="8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8" t="s">
        <v>1607</v>
      </c>
      <c r="E195" s="8"/>
      <c r="F195" s="8"/>
      <c r="H195" s="8"/>
      <c r="I195" s="8" t="s">
        <v>6831</v>
      </c>
      <c r="J195" s="8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s="8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8" t="s">
        <v>91</v>
      </c>
      <c r="E196" s="8" t="s">
        <v>7042</v>
      </c>
      <c r="F196" s="8"/>
      <c r="H196" s="8"/>
      <c r="I196" s="8" t="s">
        <v>6833</v>
      </c>
      <c r="J196" s="8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s="8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8" t="s">
        <v>62</v>
      </c>
      <c r="E197" s="8" t="s">
        <v>7042</v>
      </c>
      <c r="F197" s="8"/>
      <c r="H197" s="8"/>
      <c r="I197" s="8" t="s">
        <v>6835</v>
      </c>
      <c r="J197" s="8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s="8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8" t="s">
        <v>1607</v>
      </c>
      <c r="E198" s="8"/>
      <c r="F198" s="8"/>
      <c r="H198" s="8" t="s">
        <v>7340</v>
      </c>
      <c r="I198" s="8" t="s">
        <v>7086</v>
      </c>
      <c r="J198" s="8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s="8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8" t="s">
        <v>91</v>
      </c>
      <c r="E199" s="8" t="s">
        <v>7341</v>
      </c>
      <c r="F199" s="8" t="s">
        <v>51</v>
      </c>
      <c r="H199" s="8"/>
      <c r="I199" s="8" t="s">
        <v>7088</v>
      </c>
      <c r="J199" s="8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s="8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8" t="s">
        <v>62</v>
      </c>
      <c r="E200" s="8" t="s">
        <v>7341</v>
      </c>
      <c r="F200" s="8" t="s">
        <v>7342</v>
      </c>
      <c r="H200" s="8"/>
      <c r="I200" s="8" t="s">
        <v>7090</v>
      </c>
      <c r="J200" s="8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s="8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8" t="s">
        <v>91</v>
      </c>
      <c r="E201" s="8" t="s">
        <v>3358</v>
      </c>
      <c r="F201" s="8" t="s">
        <v>4070</v>
      </c>
      <c r="H201" s="8"/>
      <c r="I201" s="8" t="s">
        <v>7387</v>
      </c>
      <c r="J201" s="8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s="8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8" t="s">
        <v>62</v>
      </c>
      <c r="E202" s="8" t="s">
        <v>3358</v>
      </c>
      <c r="F202" s="8" t="s">
        <v>4070</v>
      </c>
      <c r="H202" s="8"/>
      <c r="I202" s="8" t="s">
        <v>7389</v>
      </c>
      <c r="J202" s="8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s="8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8" t="s">
        <v>1607</v>
      </c>
      <c r="E203" s="8"/>
      <c r="F203" s="8"/>
      <c r="H203" s="8"/>
      <c r="I203" s="8" t="s">
        <v>7391</v>
      </c>
      <c r="J203" s="8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s="8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8" t="s">
        <v>62</v>
      </c>
      <c r="E204" s="8" t="s">
        <v>6679</v>
      </c>
      <c r="F204" s="8" t="s">
        <v>2360</v>
      </c>
      <c r="H204" s="8" t="s">
        <v>7461</v>
      </c>
      <c r="I204" s="8" t="s">
        <v>7393</v>
      </c>
      <c r="J204" s="8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s="8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8" t="s">
        <v>91</v>
      </c>
      <c r="E205" s="8" t="s">
        <v>5310</v>
      </c>
      <c r="F205" s="8" t="s">
        <v>51</v>
      </c>
      <c r="H205" s="8"/>
      <c r="I205" s="8" t="s">
        <v>7665</v>
      </c>
      <c r="J205" s="8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s="8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8" t="s">
        <v>62</v>
      </c>
      <c r="E206" s="8" t="s">
        <v>5310</v>
      </c>
      <c r="F206" s="8" t="s">
        <v>3405</v>
      </c>
      <c r="H206" s="8"/>
      <c r="I206" s="8" t="s">
        <v>7667</v>
      </c>
      <c r="J206" s="8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s="8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8" t="s">
        <v>91</v>
      </c>
      <c r="E207" s="8" t="s">
        <v>7737</v>
      </c>
      <c r="F207" s="8"/>
      <c r="H207" s="8"/>
      <c r="I207" s="8" t="s">
        <v>7669</v>
      </c>
      <c r="J207" s="8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s="8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8" t="s">
        <v>91</v>
      </c>
      <c r="E208" s="8" t="s">
        <v>5310</v>
      </c>
      <c r="F208" s="8" t="s">
        <v>51</v>
      </c>
      <c r="H208" s="8"/>
      <c r="I208" s="8" t="s">
        <v>7671</v>
      </c>
      <c r="J208" s="8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s="8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8" t="s">
        <v>62</v>
      </c>
      <c r="E209" s="8" t="s">
        <v>7737</v>
      </c>
      <c r="F209" s="8"/>
      <c r="H209" s="8"/>
      <c r="I209" s="8" t="s">
        <v>7673</v>
      </c>
      <c r="J209" s="8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s="8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8" t="s">
        <v>62</v>
      </c>
      <c r="E210" s="8" t="s">
        <v>5310</v>
      </c>
      <c r="F210" s="8" t="s">
        <v>7738</v>
      </c>
      <c r="H210" s="8"/>
      <c r="I210" s="8" t="s">
        <v>7675</v>
      </c>
      <c r="J210" s="8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s="8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8" t="s">
        <v>1607</v>
      </c>
      <c r="E211" s="8"/>
      <c r="F211" s="8"/>
      <c r="H211" s="8"/>
      <c r="I211" s="8" t="s">
        <v>7677</v>
      </c>
      <c r="J211" s="8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s="8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8" t="s">
        <v>1607</v>
      </c>
      <c r="E212" s="8"/>
      <c r="F212" s="8"/>
      <c r="H212" s="8"/>
      <c r="I212" s="8" t="s">
        <v>7762</v>
      </c>
      <c r="J212" s="8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s="8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8" t="s">
        <v>1607</v>
      </c>
      <c r="E213" s="8"/>
      <c r="F213" s="8"/>
      <c r="H213" s="8"/>
      <c r="I213" s="8" t="s">
        <v>7764</v>
      </c>
      <c r="J213" s="8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s="8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8" t="s">
        <v>1607</v>
      </c>
      <c r="E214" s="8"/>
      <c r="F214" s="8"/>
      <c r="H214" s="8"/>
      <c r="I214" s="8" t="s">
        <v>7934</v>
      </c>
      <c r="J214" s="8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s="8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8" t="s">
        <v>91</v>
      </c>
      <c r="E215" s="8" t="s">
        <v>3358</v>
      </c>
      <c r="F215" s="8" t="s">
        <v>4070</v>
      </c>
      <c r="H215" s="8"/>
      <c r="I215" s="8" t="s">
        <v>7936</v>
      </c>
      <c r="J215" s="8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s="8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8" t="s">
        <v>62</v>
      </c>
      <c r="E216" s="8" t="s">
        <v>3358</v>
      </c>
      <c r="F216" s="8" t="s">
        <v>4070</v>
      </c>
      <c r="H216" s="8"/>
      <c r="I216" s="8" t="s">
        <v>7938</v>
      </c>
      <c r="J216" s="8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s="8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8" t="s">
        <v>91</v>
      </c>
      <c r="E217" s="8" t="s">
        <v>8116</v>
      </c>
      <c r="F217" s="8" t="s">
        <v>60</v>
      </c>
      <c r="H217" s="8"/>
      <c r="I217" s="8" t="s">
        <v>8112</v>
      </c>
      <c r="J217" s="8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s="8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8" t="s">
        <v>62</v>
      </c>
      <c r="E218" s="8" t="s">
        <v>8116</v>
      </c>
      <c r="F218" s="8" t="s">
        <v>51</v>
      </c>
      <c r="H218" s="8"/>
      <c r="I218" s="8" t="s">
        <v>8114</v>
      </c>
      <c r="J218" s="8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s="8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8" t="s">
        <v>91</v>
      </c>
      <c r="E219" s="8" t="s">
        <v>8117</v>
      </c>
      <c r="F219" s="8" t="s">
        <v>60</v>
      </c>
      <c r="H219" s="8"/>
      <c r="I219" s="8" t="s">
        <v>8102</v>
      </c>
      <c r="J219" s="8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s="8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8" t="s">
        <v>91</v>
      </c>
      <c r="E220" s="8" t="s">
        <v>8118</v>
      </c>
      <c r="F220" s="8"/>
      <c r="H220" s="8"/>
      <c r="I220" s="8" t="s">
        <v>8104</v>
      </c>
      <c r="J220" s="8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s="8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8" t="s">
        <v>62</v>
      </c>
      <c r="E221" s="8" t="s">
        <v>8117</v>
      </c>
      <c r="F221" s="8" t="s">
        <v>8119</v>
      </c>
      <c r="G221">
        <v>1</v>
      </c>
      <c r="H221" s="8"/>
      <c r="I221" s="8" t="s">
        <v>8106</v>
      </c>
      <c r="J221" s="8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s="8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8" t="s">
        <v>62</v>
      </c>
      <c r="E222" s="8" t="s">
        <v>8118</v>
      </c>
      <c r="F222" s="8"/>
      <c r="H222" s="8"/>
      <c r="I222" s="8" t="s">
        <v>8108</v>
      </c>
      <c r="J222" s="8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s="8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8" t="s">
        <v>62</v>
      </c>
      <c r="E223" s="8" t="s">
        <v>7608</v>
      </c>
      <c r="F223" s="8" t="s">
        <v>58</v>
      </c>
      <c r="H223" s="9" t="s">
        <v>7461</v>
      </c>
      <c r="I223" s="8" t="s">
        <v>8110</v>
      </c>
      <c r="J223" s="8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s="8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8" t="s">
        <v>1607</v>
      </c>
      <c r="E224" s="8"/>
      <c r="F224" s="8"/>
      <c r="H224" s="8"/>
      <c r="I224" s="8" t="s">
        <v>8379</v>
      </c>
      <c r="J224" s="8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s="8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8" t="s">
        <v>1607</v>
      </c>
      <c r="E225" s="8"/>
      <c r="F225" s="8"/>
      <c r="H225" s="8"/>
      <c r="I225" s="8" t="s">
        <v>8381</v>
      </c>
      <c r="J225" s="8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s="8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8" t="s">
        <v>1607</v>
      </c>
      <c r="E226" s="8"/>
      <c r="F226" s="8"/>
      <c r="H226" s="8"/>
      <c r="I226" s="8" t="s">
        <v>8446</v>
      </c>
      <c r="J226" s="8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s="8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8" t="s">
        <v>1607</v>
      </c>
      <c r="E227" s="8"/>
      <c r="F227" s="8"/>
      <c r="H227" s="8"/>
      <c r="I227" s="8" t="s">
        <v>8448</v>
      </c>
      <c r="J227" s="8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s="8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8" t="s">
        <v>1607</v>
      </c>
      <c r="E228" s="8"/>
      <c r="F228" s="8"/>
      <c r="H228" s="8"/>
      <c r="I228" s="8" t="s">
        <v>8587</v>
      </c>
      <c r="J228" s="8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s="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8" t="s">
        <v>62</v>
      </c>
      <c r="E229" s="8" t="s">
        <v>8714</v>
      </c>
      <c r="F229" s="8" t="s">
        <v>58</v>
      </c>
      <c r="G229">
        <v>4</v>
      </c>
      <c r="H229" s="8" t="s">
        <v>7461</v>
      </c>
      <c r="I229" s="8" t="s">
        <v>8589</v>
      </c>
      <c r="J229" s="8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s="8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8" t="s">
        <v>91</v>
      </c>
      <c r="E230" s="8" t="s">
        <v>70</v>
      </c>
      <c r="F230" s="8" t="s">
        <v>4070</v>
      </c>
      <c r="H230" s="8"/>
      <c r="I230" s="8" t="s">
        <v>8728</v>
      </c>
      <c r="J230" s="8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s="8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8" t="s">
        <v>62</v>
      </c>
      <c r="E231" s="8" t="s">
        <v>70</v>
      </c>
      <c r="F231" s="8" t="s">
        <v>4087</v>
      </c>
      <c r="H231" s="8"/>
      <c r="I231" s="8" t="s">
        <v>8730</v>
      </c>
      <c r="J231" s="8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s="8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8" t="s">
        <v>91</v>
      </c>
      <c r="E232" s="8" t="s">
        <v>8912</v>
      </c>
      <c r="F232" s="8"/>
      <c r="H232" s="8"/>
      <c r="I232" s="8" t="s">
        <v>8814</v>
      </c>
      <c r="J232" s="8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s="8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8" t="s">
        <v>62</v>
      </c>
      <c r="E233" s="8" t="s">
        <v>8912</v>
      </c>
      <c r="F233" s="8" t="s">
        <v>53</v>
      </c>
      <c r="G233">
        <v>11</v>
      </c>
      <c r="H233" s="8"/>
      <c r="I233" s="8" t="s">
        <v>8816</v>
      </c>
      <c r="J233" s="8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s="8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8" t="s">
        <v>91</v>
      </c>
      <c r="E234" s="8" t="s">
        <v>8913</v>
      </c>
      <c r="F234" s="8"/>
      <c r="H234" s="8"/>
      <c r="I234" s="8" t="s">
        <v>8818</v>
      </c>
      <c r="J234" s="8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s="8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8" t="s">
        <v>1607</v>
      </c>
      <c r="E235" s="8"/>
      <c r="F235" s="8"/>
      <c r="H235" s="8"/>
      <c r="I235" s="8" t="s">
        <v>8820</v>
      </c>
      <c r="J235" s="8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s="8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8" t="s">
        <v>1607</v>
      </c>
      <c r="E236" s="8"/>
      <c r="F236" s="8"/>
      <c r="H236" s="8"/>
      <c r="I236" s="8" t="s">
        <v>8930</v>
      </c>
      <c r="J236" s="8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s="8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8" t="s">
        <v>91</v>
      </c>
      <c r="E237" s="8" t="s">
        <v>9129</v>
      </c>
      <c r="F237" s="8" t="s">
        <v>60</v>
      </c>
      <c r="H237" s="8"/>
      <c r="I237" s="8" t="s">
        <v>8932</v>
      </c>
      <c r="J237" s="8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s="8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8" t="s">
        <v>62</v>
      </c>
      <c r="E238" s="8" t="s">
        <v>9129</v>
      </c>
      <c r="F238" s="8" t="s">
        <v>51</v>
      </c>
      <c r="H238" s="8"/>
      <c r="I238" s="8" t="s">
        <v>8934</v>
      </c>
      <c r="J238" s="8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s="8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8" t="s">
        <v>62</v>
      </c>
      <c r="E239" s="8" t="s">
        <v>4940</v>
      </c>
      <c r="F239" s="8" t="s">
        <v>9130</v>
      </c>
      <c r="H239" s="8"/>
      <c r="I239" s="8" t="s">
        <v>8936</v>
      </c>
      <c r="J239" s="8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s="8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8" t="s">
        <v>91</v>
      </c>
      <c r="E240" s="8" t="s">
        <v>4940</v>
      </c>
      <c r="F240" s="8"/>
      <c r="H240" s="8"/>
      <c r="I240" s="8" t="s">
        <v>8938</v>
      </c>
      <c r="J240" s="8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s="8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8" t="s">
        <v>1607</v>
      </c>
      <c r="E241" s="8"/>
      <c r="F241" s="8"/>
      <c r="H241" s="8"/>
      <c r="I241" s="8" t="s">
        <v>9158</v>
      </c>
      <c r="J241" s="8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s="8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8" t="s">
        <v>91</v>
      </c>
      <c r="E242" s="8" t="s">
        <v>70</v>
      </c>
      <c r="F242" s="8" t="s">
        <v>51</v>
      </c>
      <c r="H242" s="8"/>
      <c r="I242" s="8" t="s">
        <v>9160</v>
      </c>
      <c r="J242" s="8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s="8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8" t="s">
        <v>62</v>
      </c>
      <c r="E243" s="8" t="s">
        <v>70</v>
      </c>
      <c r="F243" s="8" t="s">
        <v>9302</v>
      </c>
      <c r="G243">
        <v>2</v>
      </c>
      <c r="H243" s="8"/>
      <c r="I243" s="8" t="s">
        <v>9162</v>
      </c>
      <c r="J243" s="8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s="8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8" t="s">
        <v>91</v>
      </c>
      <c r="E244" s="8" t="s">
        <v>70</v>
      </c>
      <c r="F244" s="8" t="s">
        <v>9302</v>
      </c>
      <c r="G244">
        <v>2</v>
      </c>
      <c r="H244" s="8"/>
      <c r="I244" s="8" t="s">
        <v>9164</v>
      </c>
      <c r="J244" s="8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s="8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8" t="s">
        <v>62</v>
      </c>
      <c r="E245" s="8" t="s">
        <v>70</v>
      </c>
      <c r="F245" s="8" t="s">
        <v>51</v>
      </c>
      <c r="H245" s="8"/>
      <c r="I245" s="8" t="s">
        <v>9166</v>
      </c>
      <c r="J245" s="8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s="8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8" t="s">
        <v>91</v>
      </c>
      <c r="E246" s="8" t="s">
        <v>66</v>
      </c>
      <c r="F246" s="8" t="s">
        <v>51</v>
      </c>
      <c r="H246" s="8"/>
      <c r="I246" s="8" t="s">
        <v>9168</v>
      </c>
      <c r="J246" s="8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s="8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8" t="s">
        <v>62</v>
      </c>
      <c r="E247" s="8" t="s">
        <v>66</v>
      </c>
      <c r="F247" s="8" t="s">
        <v>51</v>
      </c>
      <c r="H247" s="8" t="s">
        <v>4134</v>
      </c>
      <c r="I247" s="8" t="s">
        <v>9170</v>
      </c>
      <c r="J247" s="8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s="8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8" t="s">
        <v>1607</v>
      </c>
      <c r="E248" s="8"/>
      <c r="F248" s="8"/>
      <c r="H248" s="8"/>
      <c r="I248" s="8" t="s">
        <v>9172</v>
      </c>
      <c r="J248" s="8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s="8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8" t="s">
        <v>91</v>
      </c>
      <c r="E249" s="8" t="s">
        <v>9412</v>
      </c>
      <c r="F249" s="8"/>
      <c r="H249" s="8"/>
      <c r="I249" s="8" t="s">
        <v>9344</v>
      </c>
      <c r="J249" s="8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s="8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8" t="s">
        <v>62</v>
      </c>
      <c r="E250" s="8" t="s">
        <v>9412</v>
      </c>
      <c r="F250" s="8"/>
      <c r="H250" s="8"/>
      <c r="I250" s="8" t="s">
        <v>9346</v>
      </c>
      <c r="J250" s="8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s="8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8" t="s">
        <v>1607</v>
      </c>
      <c r="E251" s="8"/>
      <c r="F251" s="8"/>
      <c r="H251" s="8"/>
      <c r="I251" s="8" t="s">
        <v>9348</v>
      </c>
      <c r="J251" s="8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s="8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8" t="s">
        <v>91</v>
      </c>
      <c r="E252" s="8" t="s">
        <v>11067</v>
      </c>
      <c r="F252" s="8"/>
      <c r="H252" s="8"/>
      <c r="I252" s="8" t="s">
        <v>10584</v>
      </c>
      <c r="J252" s="8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s="8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8" t="s">
        <v>91</v>
      </c>
      <c r="E253" s="8" t="s">
        <v>11066</v>
      </c>
      <c r="F253" s="8" t="s">
        <v>4070</v>
      </c>
      <c r="H253" s="8" t="s">
        <v>11069</v>
      </c>
      <c r="I253" s="8" t="s">
        <v>10586</v>
      </c>
      <c r="J253" s="8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s="8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8" t="s">
        <v>62</v>
      </c>
      <c r="E254" s="8" t="s">
        <v>11067</v>
      </c>
      <c r="F254" s="8" t="s">
        <v>165</v>
      </c>
      <c r="H254" s="8"/>
      <c r="I254" s="8" t="s">
        <v>10588</v>
      </c>
      <c r="J254" s="8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s="8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8" t="s">
        <v>91</v>
      </c>
      <c r="E255" s="8" t="s">
        <v>11068</v>
      </c>
      <c r="F255" s="8" t="s">
        <v>60</v>
      </c>
      <c r="H255" s="8"/>
      <c r="I255" s="8" t="s">
        <v>10590</v>
      </c>
      <c r="J255" s="8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s="8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8" t="s">
        <v>91</v>
      </c>
      <c r="E256" s="8" t="s">
        <v>11066</v>
      </c>
      <c r="F256" s="8" t="s">
        <v>4070</v>
      </c>
      <c r="H256" s="8"/>
      <c r="I256" s="8" t="s">
        <v>10592</v>
      </c>
      <c r="J256" s="8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s="8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8" t="s">
        <v>62</v>
      </c>
      <c r="E257" s="8" t="s">
        <v>11068</v>
      </c>
      <c r="F257" s="8" t="s">
        <v>51</v>
      </c>
      <c r="H257" s="8"/>
      <c r="I257" s="8" t="s">
        <v>10594</v>
      </c>
      <c r="J257" s="8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s="8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8" t="s">
        <v>62</v>
      </c>
      <c r="E258" s="8" t="s">
        <v>11066</v>
      </c>
      <c r="F258" s="8" t="s">
        <v>4070</v>
      </c>
      <c r="H258" s="8"/>
      <c r="I258" s="8" t="s">
        <v>10596</v>
      </c>
      <c r="J258" s="8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s="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8" t="s">
        <v>62</v>
      </c>
      <c r="E259" s="8" t="s">
        <v>11070</v>
      </c>
      <c r="F259" s="8" t="s">
        <v>58</v>
      </c>
      <c r="G259">
        <v>3</v>
      </c>
      <c r="H259" s="8" t="s">
        <v>7461</v>
      </c>
      <c r="I259" s="8" t="s">
        <v>10598</v>
      </c>
      <c r="J259" s="8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s="8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8" t="s">
        <v>91</v>
      </c>
      <c r="E260" s="8" t="s">
        <v>11066</v>
      </c>
      <c r="F260" s="8"/>
      <c r="H260" s="8"/>
      <c r="I260" s="8" t="s">
        <v>13485</v>
      </c>
      <c r="J260" s="8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s="8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8" t="s">
        <v>62</v>
      </c>
      <c r="E261" s="8" t="s">
        <v>11066</v>
      </c>
      <c r="F261" s="8"/>
      <c r="H261" s="8"/>
      <c r="I261" s="8" t="s">
        <v>13488</v>
      </c>
      <c r="J261" s="8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s="8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8" t="s">
        <v>91</v>
      </c>
      <c r="E262" s="8" t="s">
        <v>13843</v>
      </c>
      <c r="F262" s="8" t="s">
        <v>51</v>
      </c>
      <c r="H262" s="8" t="s">
        <v>13844</v>
      </c>
      <c r="I262" s="8" t="s">
        <v>13840</v>
      </c>
      <c r="J262" s="8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s="8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8" t="s">
        <v>1607</v>
      </c>
      <c r="E263" s="8" t="s">
        <v>8</v>
      </c>
      <c r="F263" s="8"/>
      <c r="H263" s="8"/>
      <c r="I263" s="8" t="s">
        <v>13912</v>
      </c>
      <c r="J263" s="8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s="8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8" t="s">
        <v>1607</v>
      </c>
      <c r="E264" s="8" t="s">
        <v>8</v>
      </c>
      <c r="F264" s="8"/>
      <c r="H264" s="8"/>
      <c r="I264" s="8" t="s">
        <v>13915</v>
      </c>
      <c r="J264" s="8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s="8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8" t="s">
        <v>91</v>
      </c>
      <c r="E265" s="8" t="s">
        <v>11066</v>
      </c>
      <c r="F265" s="8" t="s">
        <v>4070</v>
      </c>
      <c r="H265" s="8"/>
      <c r="I265" s="8" t="s">
        <v>14078</v>
      </c>
      <c r="J265" s="8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s="8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8" t="s">
        <v>62</v>
      </c>
      <c r="E266" s="8" t="s">
        <v>11066</v>
      </c>
      <c r="F266" s="8" t="s">
        <v>4070</v>
      </c>
      <c r="H266" s="8"/>
      <c r="I266" s="8" t="s">
        <v>14081</v>
      </c>
      <c r="J266" s="8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s="8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8" t="s">
        <v>16183</v>
      </c>
      <c r="E267" s="8" t="s">
        <v>9597</v>
      </c>
      <c r="F267" s="8" t="s">
        <v>4070</v>
      </c>
      <c r="H267" s="8"/>
      <c r="I267" s="8" t="s">
        <v>14084</v>
      </c>
      <c r="J267" s="8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s="8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8" t="s">
        <v>62</v>
      </c>
      <c r="E268" s="8" t="s">
        <v>9597</v>
      </c>
      <c r="F268" s="8"/>
      <c r="H268" s="8"/>
      <c r="I268" s="8" t="s">
        <v>14087</v>
      </c>
      <c r="J268" s="8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s="8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8" t="s">
        <v>16184</v>
      </c>
      <c r="E269" s="8"/>
      <c r="F269" s="8"/>
      <c r="H269" s="8" t="s">
        <v>16185</v>
      </c>
      <c r="I269" s="8" t="s">
        <v>14090</v>
      </c>
      <c r="J269" s="8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s="8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8" t="s">
        <v>16184</v>
      </c>
      <c r="E270" s="8"/>
      <c r="F270" s="8"/>
      <c r="H270" s="8" t="s">
        <v>16185</v>
      </c>
      <c r="I270" s="8" t="s">
        <v>16186</v>
      </c>
      <c r="J270" s="8" t="s">
        <v>12645</v>
      </c>
      <c r="K270" t="s">
        <v>16187</v>
      </c>
      <c r="L270" t="s">
        <v>16188</v>
      </c>
      <c r="M270" s="2" t="str">
        <f>HYPERLINK(склад2въезд[[#This Row],[RelativePath]])</f>
        <v>1 Въезд на базу\GA3948333_4_20260305T165755Z.jpg</v>
      </c>
      <c r="N270" s="8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8" t="s">
        <v>16184</v>
      </c>
      <c r="E271" s="8"/>
      <c r="F271" s="8"/>
      <c r="H271" s="8" t="s">
        <v>16185</v>
      </c>
      <c r="I271" s="8" t="s">
        <v>14093</v>
      </c>
      <c r="J271" s="8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s="8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8" t="s">
        <v>16184</v>
      </c>
      <c r="E272" s="8"/>
      <c r="F272" s="8"/>
      <c r="H272" s="8"/>
      <c r="I272" s="8" t="s">
        <v>16710</v>
      </c>
      <c r="J272" s="8" t="s">
        <v>12645</v>
      </c>
      <c r="K272" t="s">
        <v>16711</v>
      </c>
      <c r="L272" t="s">
        <v>16712</v>
      </c>
      <c r="M272" s="2" t="str">
        <f>HYPERLINK(склад2въезд[[#This Row],[RelativePath]])</f>
        <v>1 Въезд на базу\GA3948333_4_20260307T181831Z.jpg</v>
      </c>
      <c r="N272" s="8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8" t="s">
        <v>16184</v>
      </c>
      <c r="E273" s="8"/>
      <c r="F273" s="8"/>
      <c r="H273" s="8"/>
      <c r="I273" s="8" t="s">
        <v>16713</v>
      </c>
      <c r="J273" s="8" t="s">
        <v>12645</v>
      </c>
      <c r="K273" t="s">
        <v>16714</v>
      </c>
      <c r="L273" t="s">
        <v>16715</v>
      </c>
      <c r="M273" s="2" t="str">
        <f>HYPERLINK(склад2въезд[[#This Row],[RelativePath]])</f>
        <v>1 Въезд на базу\GA3948333_4_20260308T184045Z.jpg</v>
      </c>
      <c r="N273" s="8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8" t="s">
        <v>16184</v>
      </c>
      <c r="E274" s="8"/>
      <c r="F274" s="8"/>
      <c r="H274" s="8"/>
      <c r="I274" s="8" t="s">
        <v>16716</v>
      </c>
      <c r="J274" s="8" t="s">
        <v>12645</v>
      </c>
      <c r="K274" t="s">
        <v>16717</v>
      </c>
      <c r="L274" t="s">
        <v>16718</v>
      </c>
      <c r="M274" s="2" t="str">
        <f>HYPERLINK(склад2въезд[[#This Row],[RelativePath]])</f>
        <v>1 Въезд на базу\GA3948333_4_20260309T183345Z.jpg</v>
      </c>
      <c r="N274" s="8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8" t="s">
        <v>17894</v>
      </c>
      <c r="E275" s="8"/>
      <c r="F275" s="8"/>
      <c r="H275" s="8"/>
      <c r="I275" s="8" t="s">
        <v>17518</v>
      </c>
      <c r="J275" s="8" t="s">
        <v>12645</v>
      </c>
      <c r="K275" t="s">
        <v>17519</v>
      </c>
      <c r="L275" t="s">
        <v>17520</v>
      </c>
      <c r="M275" s="2" t="str">
        <f>HYPERLINK(склад2въезд[[#This Row],[RelativePath]])</f>
        <v>1 Въезд на базу\GA3948333_4_20260310T153147Z.jpg</v>
      </c>
      <c r="N275" s="8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8" t="s">
        <v>1607</v>
      </c>
      <c r="E276" s="8" t="s">
        <v>8</v>
      </c>
      <c r="F276" s="8"/>
      <c r="H276" s="8" t="s">
        <v>17895</v>
      </c>
      <c r="I276" s="8" t="s">
        <v>17521</v>
      </c>
      <c r="J276" s="8" t="s">
        <v>12645</v>
      </c>
      <c r="K276" t="s">
        <v>17522</v>
      </c>
      <c r="L276" t="s">
        <v>17523</v>
      </c>
      <c r="M276" s="2" t="str">
        <f>HYPERLINK(склад2въезд[[#This Row],[RelativePath]])</f>
        <v>1 Въезд на базу\GA3948333_4_20260310T154851Z.jpg</v>
      </c>
      <c r="N276" s="8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s="8" t="s">
        <v>1607</v>
      </c>
      <c r="E277" s="8" t="s">
        <v>8</v>
      </c>
      <c r="F277" s="8"/>
      <c r="H277" s="8"/>
      <c r="I277" s="8" t="s">
        <v>17938</v>
      </c>
      <c r="J277" s="8" t="s">
        <v>12645</v>
      </c>
      <c r="K277" t="s">
        <v>17939</v>
      </c>
      <c r="L277" t="s">
        <v>17940</v>
      </c>
      <c r="M277" s="2" t="str">
        <f>HYPERLINK(склад2въезд[[#This Row],[RelativePath]])</f>
        <v>1 Въезд на базу\GA3948333_4_20260311T173918Z.jpg</v>
      </c>
      <c r="N277" s="8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s="8" t="s">
        <v>62</v>
      </c>
      <c r="E278" s="8" t="s">
        <v>4940</v>
      </c>
      <c r="F278" s="8" t="s">
        <v>51</v>
      </c>
      <c r="H278" s="8"/>
      <c r="I278" s="8" t="s">
        <v>18372</v>
      </c>
      <c r="J278" s="8" t="s">
        <v>12645</v>
      </c>
      <c r="K278" t="s">
        <v>18373</v>
      </c>
      <c r="L278" t="s">
        <v>18374</v>
      </c>
      <c r="M278" s="2" t="str">
        <f>HYPERLINK(склад2въезд[[#This Row],[RelativePath]])</f>
        <v>1 Въезд на базу\GA3948333_4_20260312T082316Z.jpg</v>
      </c>
      <c r="N278" s="8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s="8" t="s">
        <v>91</v>
      </c>
      <c r="E279" s="8" t="s">
        <v>11066</v>
      </c>
      <c r="F279" s="8"/>
      <c r="H279" s="8"/>
      <c r="I279" s="8" t="s">
        <v>18375</v>
      </c>
      <c r="J279" s="8" t="s">
        <v>12645</v>
      </c>
      <c r="K279" t="s">
        <v>18376</v>
      </c>
      <c r="L279" t="s">
        <v>18377</v>
      </c>
      <c r="M279" s="2" t="str">
        <f>HYPERLINK(склад2въезд[[#This Row],[RelativePath]])</f>
        <v>1 Въезд на базу\GA3948333_4_20260312T095657Z.jpg</v>
      </c>
      <c r="N279" s="8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s="8" t="s">
        <v>91</v>
      </c>
      <c r="E280" s="8" t="s">
        <v>70</v>
      </c>
      <c r="F280" s="8"/>
      <c r="H280" s="8" t="s">
        <v>13844</v>
      </c>
      <c r="I280" s="8" t="s">
        <v>18378</v>
      </c>
      <c r="J280" s="8" t="s">
        <v>12645</v>
      </c>
      <c r="K280" t="s">
        <v>18379</v>
      </c>
      <c r="L280" t="s">
        <v>18380</v>
      </c>
      <c r="M280" s="2" t="str">
        <f>HYPERLINK(склад2въезд[[#This Row],[RelativePath]])</f>
        <v>1 Въезд на базу\GA3948333_4_20260312T120934Z.jpg</v>
      </c>
      <c r="N280" s="8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s="8" t="s">
        <v>91</v>
      </c>
      <c r="E281" s="8" t="s">
        <v>18867</v>
      </c>
      <c r="F281" s="8"/>
      <c r="H281" s="8" t="s">
        <v>13844</v>
      </c>
      <c r="I281" s="8" t="s">
        <v>18381</v>
      </c>
      <c r="J281" s="8" t="s">
        <v>12645</v>
      </c>
      <c r="K281" t="s">
        <v>18382</v>
      </c>
      <c r="L281" t="s">
        <v>18383</v>
      </c>
      <c r="M281" s="2" t="str">
        <f>HYPERLINK(склад2въезд[[#This Row],[RelativePath]])</f>
        <v>1 Въезд на базу\GA3948333_4_20260312T150303Z.jpg</v>
      </c>
      <c r="N281" s="8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s="8" t="s">
        <v>91</v>
      </c>
      <c r="E282" s="8" t="s">
        <v>4940</v>
      </c>
      <c r="F282" s="8" t="s">
        <v>51</v>
      </c>
      <c r="H282" s="8"/>
      <c r="I282" s="8" t="s">
        <v>18384</v>
      </c>
      <c r="J282" s="8" t="s">
        <v>12645</v>
      </c>
      <c r="K282" t="s">
        <v>18385</v>
      </c>
      <c r="L282" t="s">
        <v>18386</v>
      </c>
      <c r="M282" s="2" t="str">
        <f>HYPERLINK(склад2въезд[[#This Row],[RelativePath]])</f>
        <v>1 Въезд на базу\GA3948333_4_20260312T154330Z.jpg</v>
      </c>
      <c r="N282" s="8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s="8" t="s">
        <v>62</v>
      </c>
      <c r="E283" s="8" t="s">
        <v>11066</v>
      </c>
      <c r="F283" s="8"/>
      <c r="H283" s="8"/>
      <c r="I283" s="8" t="s">
        <v>18387</v>
      </c>
      <c r="J283" s="8" t="s">
        <v>12645</v>
      </c>
      <c r="K283" t="s">
        <v>18388</v>
      </c>
      <c r="L283" t="s">
        <v>18389</v>
      </c>
      <c r="M283" s="2" t="str">
        <f>HYPERLINK(склад2въезд[[#This Row],[RelativePath]])</f>
        <v>1 Въезд на базу\GA3948333_4_20260312T154643Z.jpg</v>
      </c>
      <c r="N283" s="8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s="8" t="s">
        <v>19390</v>
      </c>
      <c r="E284" s="8" t="s">
        <v>19391</v>
      </c>
      <c r="F284" s="8"/>
      <c r="H284" s="8"/>
      <c r="I284" s="8" t="s">
        <v>18390</v>
      </c>
      <c r="J284" s="8" t="s">
        <v>12645</v>
      </c>
      <c r="K284" t="s">
        <v>18391</v>
      </c>
      <c r="L284" t="s">
        <v>18392</v>
      </c>
      <c r="M284" s="2" t="str">
        <f>HYPERLINK(склад2въезд[[#This Row],[RelativePath]])</f>
        <v>1 Въезд на базу\GA3948333_4_20260313T002707Z.jpg</v>
      </c>
      <c r="N284" s="8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s="8" t="s">
        <v>4</v>
      </c>
      <c r="E285" s="8" t="s">
        <v>19391</v>
      </c>
      <c r="F285" s="8"/>
      <c r="H285" s="8"/>
      <c r="I285" s="8" t="s">
        <v>18393</v>
      </c>
      <c r="J285" s="8" t="s">
        <v>12645</v>
      </c>
      <c r="K285" t="s">
        <v>18394</v>
      </c>
      <c r="L285" t="s">
        <v>18395</v>
      </c>
      <c r="M285" s="2" t="str">
        <f>HYPERLINK(склад2въезд[[#This Row],[RelativePath]])</f>
        <v>1 Въезд на базу\GA3948333_4_20260313T074141Z.jpg</v>
      </c>
      <c r="N285" s="8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s="8" t="s">
        <v>91</v>
      </c>
      <c r="E286" s="8" t="s">
        <v>19391</v>
      </c>
      <c r="F286" s="8" t="s">
        <v>60</v>
      </c>
      <c r="H286" s="8"/>
      <c r="I286" s="8" t="s">
        <v>18868</v>
      </c>
      <c r="J286" s="8" t="s">
        <v>12645</v>
      </c>
      <c r="K286" t="s">
        <v>18869</v>
      </c>
      <c r="L286" t="s">
        <v>18870</v>
      </c>
      <c r="M286" s="2" t="str">
        <f>HYPERLINK(склад2въезд[[#This Row],[RelativePath]])</f>
        <v>1 Въезд на базу\GA3948333_4_20260313T091627Z.jpg</v>
      </c>
      <c r="N286" s="8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s="8" t="s">
        <v>91</v>
      </c>
      <c r="E287" s="8" t="s">
        <v>19391</v>
      </c>
      <c r="F287" s="8" t="s">
        <v>60</v>
      </c>
      <c r="H287" s="8" t="s">
        <v>2352</v>
      </c>
      <c r="I287" s="8" t="s">
        <v>18871</v>
      </c>
      <c r="J287" s="8" t="s">
        <v>12645</v>
      </c>
      <c r="K287" t="s">
        <v>18872</v>
      </c>
      <c r="L287" t="s">
        <v>18873</v>
      </c>
      <c r="M287" s="2" t="str">
        <f>HYPERLINK(склад2въезд[[#This Row],[RelativePath]])</f>
        <v>1 Въезд на базу\GA3948333_4_20260313T091652Z.jpg</v>
      </c>
      <c r="N287" s="8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s="8" t="s">
        <v>91</v>
      </c>
      <c r="E288" s="8" t="s">
        <v>19392</v>
      </c>
      <c r="F288" s="8"/>
      <c r="H288" s="8"/>
      <c r="I288" s="8" t="s">
        <v>18886</v>
      </c>
      <c r="J288" s="8" t="s">
        <v>12645</v>
      </c>
      <c r="K288" t="s">
        <v>18887</v>
      </c>
      <c r="L288" t="s">
        <v>18888</v>
      </c>
      <c r="M288" s="2" t="str">
        <f>HYPERLINK(склад2въезд[[#This Row],[RelativePath]])</f>
        <v>1 Въезд на базу\GA3948333_4_20260313T095135Z.jpg</v>
      </c>
      <c r="N288" s="8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s="8" t="s">
        <v>62</v>
      </c>
      <c r="E289" s="8" t="s">
        <v>19392</v>
      </c>
      <c r="F289" s="8"/>
      <c r="H289" s="8"/>
      <c r="I289" s="8" t="s">
        <v>18889</v>
      </c>
      <c r="J289" s="8" t="s">
        <v>12645</v>
      </c>
      <c r="K289" t="s">
        <v>18890</v>
      </c>
      <c r="L289" t="s">
        <v>18891</v>
      </c>
      <c r="M289" s="2" t="str">
        <f>HYPERLINK(склад2въезд[[#This Row],[RelativePath]])</f>
        <v>1 Въезд на базу\GA3948333_4_20260313T100139Z.jpg</v>
      </c>
      <c r="N289" s="8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s="8" t="s">
        <v>62</v>
      </c>
      <c r="E290" s="8" t="s">
        <v>4940</v>
      </c>
      <c r="F290" s="8" t="s">
        <v>51</v>
      </c>
      <c r="H290" s="8"/>
      <c r="I290" s="8" t="s">
        <v>18919</v>
      </c>
      <c r="J290" s="8" t="s">
        <v>12645</v>
      </c>
      <c r="K290" t="s">
        <v>18920</v>
      </c>
      <c r="L290" t="s">
        <v>18921</v>
      </c>
      <c r="M290" s="2" t="str">
        <f>HYPERLINK(склад2въезд[[#This Row],[RelativePath]])</f>
        <v>1 Въезд на базу\GA3948333_4_20260313T110404Z.jpg</v>
      </c>
      <c r="N290" s="8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s="8" t="s">
        <v>19393</v>
      </c>
      <c r="E291" s="8" t="s">
        <v>86</v>
      </c>
      <c r="F291" s="8"/>
      <c r="H291" s="8"/>
      <c r="I291" s="8" t="s">
        <v>18922</v>
      </c>
      <c r="J291" s="8" t="s">
        <v>12645</v>
      </c>
      <c r="K291" t="s">
        <v>18923</v>
      </c>
      <c r="L291" t="s">
        <v>18924</v>
      </c>
      <c r="M291" s="2" t="str">
        <f>HYPERLINK(склад2въезд[[#This Row],[RelativePath]])</f>
        <v>1 Въезд на базу\GA3948333_4_20260313T110829Z.jpg</v>
      </c>
      <c r="N291" s="8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s="8" t="s">
        <v>91</v>
      </c>
      <c r="E292" s="8" t="s">
        <v>70</v>
      </c>
      <c r="F292" s="8" t="s">
        <v>18883</v>
      </c>
      <c r="H292" s="8"/>
      <c r="I292" s="8" t="s">
        <v>18925</v>
      </c>
      <c r="J292" s="8" t="s">
        <v>12645</v>
      </c>
      <c r="K292" t="s">
        <v>18926</v>
      </c>
      <c r="L292" t="s">
        <v>18927</v>
      </c>
      <c r="M292" s="2" t="str">
        <f>HYPERLINK(склад2въезд[[#This Row],[RelativePath]])</f>
        <v>1 Въезд на базу\GA3948333_4_20260313T131611Z.jpg</v>
      </c>
      <c r="N292" s="8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s="8" t="s">
        <v>62</v>
      </c>
      <c r="E293" s="8" t="s">
        <v>70</v>
      </c>
      <c r="F293" s="8" t="s">
        <v>51</v>
      </c>
      <c r="H293" s="8"/>
      <c r="I293" s="8" t="s">
        <v>18928</v>
      </c>
      <c r="J293" s="8" t="s">
        <v>12645</v>
      </c>
      <c r="K293" t="s">
        <v>18929</v>
      </c>
      <c r="L293" t="s">
        <v>18930</v>
      </c>
      <c r="M293" s="2" t="str">
        <f>HYPERLINK(склад2въезд[[#This Row],[RelativePath]])</f>
        <v>1 Въезд на базу\GA3948333_4_20260313T140054Z.jpg</v>
      </c>
      <c r="N293" s="8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s="8" t="s">
        <v>91</v>
      </c>
      <c r="E294" s="8" t="s">
        <v>4940</v>
      </c>
      <c r="F294" s="8" t="s">
        <v>51</v>
      </c>
      <c r="H294" s="8"/>
      <c r="I294" s="8" t="s">
        <v>18931</v>
      </c>
      <c r="J294" s="8" t="s">
        <v>12645</v>
      </c>
      <c r="K294" t="s">
        <v>18932</v>
      </c>
      <c r="L294" t="s">
        <v>18933</v>
      </c>
      <c r="M294" s="2" t="str">
        <f>HYPERLINK(склад2въезд[[#This Row],[RelativePath]])</f>
        <v>1 Въезд на базу\GA3948333_4_20260313T142441Z.jpg</v>
      </c>
      <c r="N294" s="8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s="8" t="s">
        <v>91</v>
      </c>
      <c r="E295" s="8" t="s">
        <v>19394</v>
      </c>
      <c r="F295" s="8" t="s">
        <v>51</v>
      </c>
      <c r="H295" s="8"/>
      <c r="I295" s="8" t="s">
        <v>18934</v>
      </c>
      <c r="J295" s="8" t="s">
        <v>12645</v>
      </c>
      <c r="K295" t="s">
        <v>18935</v>
      </c>
      <c r="L295" t="s">
        <v>18936</v>
      </c>
      <c r="M295" s="2" t="str">
        <f>HYPERLINK(склад2въезд[[#This Row],[RelativePath]])</f>
        <v>1 Въезд на базу\GA3948333_4_20260313T185141Z.jpg</v>
      </c>
      <c r="N295" s="8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s="8" t="s">
        <v>62</v>
      </c>
      <c r="E296" s="8" t="s">
        <v>19394</v>
      </c>
      <c r="F296" s="8" t="s">
        <v>4233</v>
      </c>
      <c r="H296" s="8"/>
      <c r="I296" s="8" t="s">
        <v>18937</v>
      </c>
      <c r="J296" s="8" t="s">
        <v>12645</v>
      </c>
      <c r="K296" t="s">
        <v>18938</v>
      </c>
      <c r="L296" t="s">
        <v>18939</v>
      </c>
      <c r="M296" s="2" t="str">
        <f>HYPERLINK(склад2въезд[[#This Row],[RelativePath]])</f>
        <v>1 Въезд на базу\GA3948333_4_20260313T195959Z.jpg</v>
      </c>
      <c r="N296" s="8" t="str">
        <f>VLOOKUP(склад2въезд[[#This Row],[Name]], СпрСобытий!$F:$G, 2, FALSE)</f>
        <v>Въезд на базу</v>
      </c>
    </row>
  </sheetData>
  <phoneticPr fontId="2" type="noConversion"/>
  <conditionalFormatting sqref="E297:E310 D297:D307 G2:H296 D2:E296">
    <cfRule type="containsText" dxfId="875" priority="23" operator="containsText" text="Выезд с территории">
      <formula>NOT(ISERROR(SEARCH("Выезд с территории",D2)))</formula>
    </cfRule>
  </conditionalFormatting>
  <conditionalFormatting sqref="F2:F784">
    <cfRule type="notContainsText" dxfId="874" priority="21" operator="notContains" text="порожний">
      <formula>ISERROR(SEARCH("порожний",F2))</formula>
    </cfRule>
  </conditionalFormatting>
  <conditionalFormatting sqref="E2:E310">
    <cfRule type="containsText" dxfId="873" priority="12" operator="containsText" text="Газель базы">
      <formula>NOT(ISERROR(SEARCH("Газель базы",E2)))</formula>
    </cfRule>
    <cfRule type="containsText" dxfId="872" priority="13" operator="containsText" text="Погрузчик базы">
      <formula>NOT(ISERROR(SEARCH("Погрузчик базы",E2)))</formula>
    </cfRule>
  </conditionalFormatting>
  <conditionalFormatting sqref="E2:E310">
    <cfRule type="containsText" dxfId="871" priority="11" operator="containsText" text="Трактор базы">
      <formula>NOT(ISERROR(SEARCH("Трактор базы",E2)))</formula>
    </cfRule>
  </conditionalFormatting>
  <conditionalFormatting sqref="A2:C296">
    <cfRule type="expression" dxfId="870" priority="9">
      <formula>$A2="пн"</formula>
    </cfRule>
  </conditionalFormatting>
  <conditionalFormatting sqref="A2:C298">
    <cfRule type="expression" dxfId="869" priority="3">
      <formula>$A2="вс"</formula>
    </cfRule>
    <cfRule type="expression" dxfId="868" priority="4">
      <formula>$A2="сб"</formula>
    </cfRule>
    <cfRule type="expression" dxfId="867" priority="5">
      <formula>$A2="пт"</formula>
    </cfRule>
    <cfRule type="expression" dxfId="866" priority="6">
      <formula>$A2="чт"</formula>
    </cfRule>
    <cfRule type="expression" dxfId="865" priority="7">
      <formula>$A2="ср"</formula>
    </cfRule>
    <cfRule type="expression" dxfId="864" priority="8">
      <formula>$A2="вт"</formula>
    </cfRule>
  </conditionalFormatting>
  <conditionalFormatting sqref="D2:D307">
    <cfRule type="containsText" dxfId="86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7">
    <cfRule type="containsText" dxfId="86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314"/>
  <sheetViews>
    <sheetView zoomScale="90" zoomScaleNormal="90" workbookViewId="0">
      <pane ySplit="1" topLeftCell="A300" activePane="bottomLeft" state="frozen"/>
      <selection pane="bottomLeft" activeCell="I313" sqref="I313:I31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8" t="s">
        <v>136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8" t="s">
        <v>136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8" t="s">
        <v>136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8" t="s">
        <v>136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8" t="s">
        <v>136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8" t="s">
        <v>136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8" t="s">
        <v>136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8" t="s">
        <v>137</v>
      </c>
      <c r="E12" s="8" t="s">
        <v>63</v>
      </c>
      <c r="F12" s="8" t="s">
        <v>51</v>
      </c>
      <c r="H12" s="8"/>
      <c r="I12" s="8" t="s">
        <v>112</v>
      </c>
      <c r="J12" s="8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8" t="s">
        <v>136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8" t="s">
        <v>136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8" t="s">
        <v>136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8" t="s">
        <v>136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8" t="s">
        <v>136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8" t="s">
        <v>137</v>
      </c>
      <c r="E20" s="8" t="s">
        <v>70</v>
      </c>
      <c r="F20" s="8"/>
      <c r="H20" s="8"/>
      <c r="I20" s="8" t="s">
        <v>128</v>
      </c>
      <c r="J20" s="8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8" t="s">
        <v>136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8" t="s">
        <v>4</v>
      </c>
      <c r="E22" s="8" t="s">
        <v>138</v>
      </c>
      <c r="F22" s="8"/>
      <c r="H22" s="8"/>
      <c r="I22" s="8" t="s">
        <v>132</v>
      </c>
      <c r="J22" s="8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8" t="s">
        <v>4</v>
      </c>
      <c r="E24" s="8" t="s">
        <v>8</v>
      </c>
      <c r="F24" s="8"/>
      <c r="H24" s="8"/>
      <c r="I24" s="8" t="s">
        <v>139</v>
      </c>
      <c r="J24" s="8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8" t="s">
        <v>137</v>
      </c>
      <c r="E25" s="8" t="s">
        <v>86</v>
      </c>
      <c r="F25" s="8" t="s">
        <v>165</v>
      </c>
      <c r="H25" s="8"/>
      <c r="I25" s="8" t="s">
        <v>141</v>
      </c>
      <c r="J25" s="8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8" t="s">
        <v>137</v>
      </c>
      <c r="E26" s="8" t="s">
        <v>86</v>
      </c>
      <c r="F26" s="8" t="s">
        <v>165</v>
      </c>
      <c r="H26" s="8"/>
      <c r="I26" s="8" t="s">
        <v>143</v>
      </c>
      <c r="J26" s="8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8" t="s">
        <v>166</v>
      </c>
      <c r="E27" s="8" t="s">
        <v>86</v>
      </c>
      <c r="F27" s="8" t="s">
        <v>51</v>
      </c>
      <c r="H27" s="8"/>
      <c r="I27" s="8" t="s">
        <v>145</v>
      </c>
      <c r="J27" s="8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8" t="s">
        <v>137</v>
      </c>
      <c r="E28" s="8" t="s">
        <v>86</v>
      </c>
      <c r="F28" s="8" t="s">
        <v>165</v>
      </c>
      <c r="H28" s="8"/>
      <c r="I28" s="8" t="s">
        <v>147</v>
      </c>
      <c r="J28" s="8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8" t="s">
        <v>137</v>
      </c>
      <c r="E29" s="8" t="s">
        <v>86</v>
      </c>
      <c r="F29" s="8" t="s">
        <v>165</v>
      </c>
      <c r="H29" s="8"/>
      <c r="I29" s="8" t="s">
        <v>149</v>
      </c>
      <c r="J29" s="8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8" t="s">
        <v>136</v>
      </c>
      <c r="E30" s="8" t="s">
        <v>86</v>
      </c>
      <c r="F30" s="8" t="s">
        <v>60</v>
      </c>
      <c r="G30">
        <v>1</v>
      </c>
      <c r="H30" s="8"/>
      <c r="I30" s="8" t="s">
        <v>151</v>
      </c>
      <c r="J30" s="8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8" t="s">
        <v>137</v>
      </c>
      <c r="E31" s="8" t="s">
        <v>86</v>
      </c>
      <c r="F31" s="8" t="s">
        <v>165</v>
      </c>
      <c r="H31" s="8"/>
      <c r="I31" s="8" t="s">
        <v>153</v>
      </c>
      <c r="J31" s="8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8" t="s">
        <v>137</v>
      </c>
      <c r="E32" s="8" t="s">
        <v>86</v>
      </c>
      <c r="F32" s="8" t="s">
        <v>165</v>
      </c>
      <c r="H32" s="8"/>
      <c r="I32" s="8" t="s">
        <v>155</v>
      </c>
      <c r="J32" s="8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8" t="s">
        <v>137</v>
      </c>
      <c r="E33" s="8" t="s">
        <v>86</v>
      </c>
      <c r="F33" s="8" t="s">
        <v>165</v>
      </c>
      <c r="H33" s="8"/>
      <c r="I33" s="8" t="s">
        <v>157</v>
      </c>
      <c r="J33" s="8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8" t="s">
        <v>167</v>
      </c>
      <c r="E34" s="8" t="s">
        <v>86</v>
      </c>
      <c r="F34" s="8" t="s">
        <v>51</v>
      </c>
      <c r="H34" s="8"/>
      <c r="I34" s="8" t="s">
        <v>159</v>
      </c>
      <c r="J34" s="8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8" t="s">
        <v>137</v>
      </c>
      <c r="E35" s="8" t="s">
        <v>86</v>
      </c>
      <c r="F35" s="8" t="s">
        <v>87</v>
      </c>
      <c r="H35" s="8"/>
      <c r="I35" s="8" t="s">
        <v>161</v>
      </c>
      <c r="J35" s="8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8" t="s">
        <v>4</v>
      </c>
      <c r="E36" s="8" t="s">
        <v>8</v>
      </c>
      <c r="F36" s="8"/>
      <c r="H36" s="8"/>
      <c r="I36" s="8" t="s">
        <v>163</v>
      </c>
      <c r="J36" s="8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8" t="s">
        <v>4</v>
      </c>
      <c r="E37" s="8" t="s">
        <v>8</v>
      </c>
      <c r="F37" s="8"/>
      <c r="H37" s="8" t="s">
        <v>1607</v>
      </c>
      <c r="I37" s="8" t="s">
        <v>952</v>
      </c>
      <c r="J37" s="8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8" t="s">
        <v>4</v>
      </c>
      <c r="E38" s="8" t="s">
        <v>8</v>
      </c>
      <c r="F38" s="8"/>
      <c r="H38" s="8"/>
      <c r="I38" s="8" t="s">
        <v>954</v>
      </c>
      <c r="J38" s="8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8" t="s">
        <v>4</v>
      </c>
      <c r="E39" s="8" t="s">
        <v>8</v>
      </c>
      <c r="F39" s="8"/>
      <c r="H39" s="8" t="s">
        <v>1607</v>
      </c>
      <c r="I39" s="8" t="s">
        <v>956</v>
      </c>
      <c r="J39" s="8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8" t="s">
        <v>4</v>
      </c>
      <c r="E40" s="8" t="s">
        <v>8</v>
      </c>
      <c r="F40" s="8"/>
      <c r="H40" s="8"/>
      <c r="I40" s="8" t="s">
        <v>958</v>
      </c>
      <c r="J40" s="8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8" t="s">
        <v>1607</v>
      </c>
      <c r="E41" s="8"/>
      <c r="F41" s="8"/>
      <c r="H41" s="8"/>
      <c r="I41" s="8" t="s">
        <v>1628</v>
      </c>
      <c r="J41" s="8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8" t="s">
        <v>1607</v>
      </c>
      <c r="E42" s="8"/>
      <c r="F42" s="8"/>
      <c r="H42" s="8"/>
      <c r="I42" s="8" t="s">
        <v>1630</v>
      </c>
      <c r="J42" s="8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8" t="s">
        <v>1607</v>
      </c>
      <c r="E43" s="8"/>
      <c r="F43" s="8"/>
      <c r="H43" s="8"/>
      <c r="I43" s="8" t="s">
        <v>1632</v>
      </c>
      <c r="J43" s="8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8" t="s">
        <v>2342</v>
      </c>
      <c r="E44" s="8"/>
      <c r="F44" s="8"/>
      <c r="H44" s="8"/>
      <c r="I44" s="8" t="s">
        <v>1634</v>
      </c>
      <c r="J44" s="8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8" t="s">
        <v>4</v>
      </c>
      <c r="E45" s="8" t="s">
        <v>8</v>
      </c>
      <c r="F45" s="8"/>
      <c r="H45" s="8"/>
      <c r="I45" s="8" t="s">
        <v>1636</v>
      </c>
      <c r="J45" s="8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8" t="s">
        <v>1607</v>
      </c>
      <c r="E46" s="8"/>
      <c r="F46" s="8"/>
      <c r="H46" s="8"/>
      <c r="I46" s="8" t="s">
        <v>1638</v>
      </c>
      <c r="J46" s="8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8" t="s">
        <v>1607</v>
      </c>
      <c r="E47" s="8"/>
      <c r="F47" s="8"/>
      <c r="H47" s="8"/>
      <c r="I47" s="8" t="s">
        <v>1640</v>
      </c>
      <c r="J47" s="8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8" t="s">
        <v>1607</v>
      </c>
      <c r="E48" s="8"/>
      <c r="F48" s="8"/>
      <c r="H48" s="8"/>
      <c r="I48" s="8" t="s">
        <v>1642</v>
      </c>
      <c r="J48" s="8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8" t="s">
        <v>226</v>
      </c>
      <c r="E49" s="8" t="s">
        <v>86</v>
      </c>
      <c r="F49" s="8" t="s">
        <v>2457</v>
      </c>
      <c r="H49" s="8" t="s">
        <v>2458</v>
      </c>
      <c r="I49" s="8" t="s">
        <v>2423</v>
      </c>
      <c r="J49" s="8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8" t="s">
        <v>2459</v>
      </c>
      <c r="E50" s="8" t="s">
        <v>86</v>
      </c>
      <c r="F50" s="8" t="s">
        <v>2457</v>
      </c>
      <c r="H50" s="8" t="s">
        <v>2460</v>
      </c>
      <c r="I50" s="8" t="s">
        <v>2425</v>
      </c>
      <c r="J50" s="8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8" t="s">
        <v>226</v>
      </c>
      <c r="E51" s="8" t="s">
        <v>86</v>
      </c>
      <c r="F51" s="8" t="s">
        <v>2457</v>
      </c>
      <c r="H51" s="8" t="s">
        <v>2458</v>
      </c>
      <c r="I51" s="8" t="s">
        <v>2427</v>
      </c>
      <c r="J51" s="8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8" t="s">
        <v>2459</v>
      </c>
      <c r="E52" s="8" t="s">
        <v>86</v>
      </c>
      <c r="F52" s="8" t="s">
        <v>2457</v>
      </c>
      <c r="H52" s="8" t="s">
        <v>2460</v>
      </c>
      <c r="I52" s="8" t="s">
        <v>2429</v>
      </c>
      <c r="J52" s="8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8" t="s">
        <v>136</v>
      </c>
      <c r="E53" s="8" t="s">
        <v>86</v>
      </c>
      <c r="F53" s="8" t="s">
        <v>60</v>
      </c>
      <c r="G53">
        <v>4</v>
      </c>
      <c r="H53" s="8" t="s">
        <v>2461</v>
      </c>
      <c r="I53" s="8" t="s">
        <v>2431</v>
      </c>
      <c r="J53" s="8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8" t="s">
        <v>226</v>
      </c>
      <c r="E54" s="8" t="s">
        <v>86</v>
      </c>
      <c r="F54" s="8" t="s">
        <v>2457</v>
      </c>
      <c r="H54" s="8" t="s">
        <v>2458</v>
      </c>
      <c r="I54" s="8" t="s">
        <v>2433</v>
      </c>
      <c r="J54" s="8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8" t="s">
        <v>2459</v>
      </c>
      <c r="E55" s="8" t="s">
        <v>86</v>
      </c>
      <c r="F55" s="8" t="s">
        <v>2457</v>
      </c>
      <c r="H55" s="8" t="s">
        <v>2460</v>
      </c>
      <c r="I55" s="8" t="s">
        <v>2435</v>
      </c>
      <c r="J55" s="8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8" t="s">
        <v>226</v>
      </c>
      <c r="E56" s="8" t="s">
        <v>86</v>
      </c>
      <c r="F56" s="8" t="s">
        <v>2457</v>
      </c>
      <c r="H56" s="8" t="s">
        <v>2458</v>
      </c>
      <c r="I56" s="8" t="s">
        <v>2437</v>
      </c>
      <c r="J56" s="8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8" t="s">
        <v>2459</v>
      </c>
      <c r="E57" s="8" t="s">
        <v>86</v>
      </c>
      <c r="F57" s="8" t="s">
        <v>2457</v>
      </c>
      <c r="H57" s="8" t="s">
        <v>2460</v>
      </c>
      <c r="I57" s="8" t="s">
        <v>2439</v>
      </c>
      <c r="J57" s="8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8" t="s">
        <v>226</v>
      </c>
      <c r="E58" s="8" t="s">
        <v>86</v>
      </c>
      <c r="F58" s="8" t="s">
        <v>2457</v>
      </c>
      <c r="H58" s="8" t="s">
        <v>2458</v>
      </c>
      <c r="I58" s="8" t="s">
        <v>2441</v>
      </c>
      <c r="J58" s="8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8" t="s">
        <v>2459</v>
      </c>
      <c r="E59" s="8" t="s">
        <v>86</v>
      </c>
      <c r="F59" s="8" t="s">
        <v>2457</v>
      </c>
      <c r="H59" s="8" t="s">
        <v>2460</v>
      </c>
      <c r="I59" s="8" t="s">
        <v>2443</v>
      </c>
      <c r="J59" s="8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8" t="s">
        <v>226</v>
      </c>
      <c r="E60" s="8" t="s">
        <v>86</v>
      </c>
      <c r="F60" s="8" t="s">
        <v>2462</v>
      </c>
      <c r="G60">
        <v>1</v>
      </c>
      <c r="H60" s="8"/>
      <c r="I60" s="8" t="s">
        <v>2445</v>
      </c>
      <c r="J60" s="8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8" t="s">
        <v>2459</v>
      </c>
      <c r="E61" s="8" t="s">
        <v>86</v>
      </c>
      <c r="F61" s="8" t="s">
        <v>2462</v>
      </c>
      <c r="G61">
        <v>1</v>
      </c>
      <c r="H61" s="8" t="s">
        <v>2463</v>
      </c>
      <c r="I61" s="8" t="s">
        <v>2447</v>
      </c>
      <c r="J61" s="8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8" t="s">
        <v>226</v>
      </c>
      <c r="E62" s="8" t="s">
        <v>86</v>
      </c>
      <c r="F62" s="8" t="s">
        <v>2462</v>
      </c>
      <c r="G62">
        <v>1</v>
      </c>
      <c r="H62" s="8"/>
      <c r="I62" s="8" t="s">
        <v>2449</v>
      </c>
      <c r="J62" s="8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8" t="s">
        <v>2459</v>
      </c>
      <c r="E63" s="8" t="s">
        <v>86</v>
      </c>
      <c r="F63" s="8" t="s">
        <v>2462</v>
      </c>
      <c r="G63">
        <v>1</v>
      </c>
      <c r="H63" s="8" t="s">
        <v>2463</v>
      </c>
      <c r="I63" s="8" t="s">
        <v>2451</v>
      </c>
      <c r="J63" s="8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8" t="s">
        <v>136</v>
      </c>
      <c r="E64" s="8" t="s">
        <v>86</v>
      </c>
      <c r="F64" s="8" t="s">
        <v>60</v>
      </c>
      <c r="G64">
        <v>1</v>
      </c>
      <c r="H64" s="8" t="s">
        <v>2461</v>
      </c>
      <c r="I64" s="8" t="s">
        <v>2453</v>
      </c>
      <c r="J64" s="8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8" t="s">
        <v>4</v>
      </c>
      <c r="E65" s="8" t="s">
        <v>8</v>
      </c>
      <c r="F65" s="8"/>
      <c r="H65" s="8" t="s">
        <v>2464</v>
      </c>
      <c r="I65" s="8" t="s">
        <v>2455</v>
      </c>
      <c r="J65" s="8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8" t="s">
        <v>3363</v>
      </c>
      <c r="E66" s="8" t="s">
        <v>3357</v>
      </c>
      <c r="F66" s="8" t="s">
        <v>51</v>
      </c>
      <c r="H66" s="8"/>
      <c r="I66" s="8" t="s">
        <v>2574</v>
      </c>
      <c r="J66" s="8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8" t="s">
        <v>3364</v>
      </c>
      <c r="E67" s="8" t="s">
        <v>3365</v>
      </c>
      <c r="F67" s="8"/>
      <c r="H67" s="8" t="s">
        <v>2461</v>
      </c>
      <c r="I67" s="8" t="s">
        <v>2576</v>
      </c>
      <c r="J67" s="8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8" t="s">
        <v>3364</v>
      </c>
      <c r="E68" s="8" t="s">
        <v>3365</v>
      </c>
      <c r="F68" s="8"/>
      <c r="H68" s="8" t="s">
        <v>2352</v>
      </c>
      <c r="I68" s="8" t="s">
        <v>2578</v>
      </c>
      <c r="J68" s="8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8" t="s">
        <v>3364</v>
      </c>
      <c r="E69" s="8" t="s">
        <v>3365</v>
      </c>
      <c r="F69" s="8"/>
      <c r="H69" s="8" t="s">
        <v>2352</v>
      </c>
      <c r="I69" s="8" t="s">
        <v>2580</v>
      </c>
      <c r="J69" s="8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8" t="s">
        <v>3364</v>
      </c>
      <c r="E70" s="8" t="s">
        <v>3365</v>
      </c>
      <c r="F70" s="8"/>
      <c r="H70" s="8" t="s">
        <v>2352</v>
      </c>
      <c r="I70" s="8" t="s">
        <v>2582</v>
      </c>
      <c r="J70" s="8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8" t="s">
        <v>3364</v>
      </c>
      <c r="E71" s="8" t="s">
        <v>3365</v>
      </c>
      <c r="F71" s="8"/>
      <c r="H71" s="8" t="s">
        <v>2352</v>
      </c>
      <c r="I71" s="8" t="s">
        <v>2584</v>
      </c>
      <c r="J71" s="8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8" t="s">
        <v>3364</v>
      </c>
      <c r="E72" s="8" t="s">
        <v>3365</v>
      </c>
      <c r="F72" s="8"/>
      <c r="H72" s="8" t="s">
        <v>2352</v>
      </c>
      <c r="I72" s="8" t="s">
        <v>2586</v>
      </c>
      <c r="J72" s="8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8" t="s">
        <v>3364</v>
      </c>
      <c r="E73" s="8" t="s">
        <v>3365</v>
      </c>
      <c r="F73" s="8"/>
      <c r="H73" s="8" t="s">
        <v>2352</v>
      </c>
      <c r="I73" s="8" t="s">
        <v>2588</v>
      </c>
      <c r="J73" s="8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8" t="s">
        <v>3364</v>
      </c>
      <c r="E74" s="8" t="s">
        <v>3365</v>
      </c>
      <c r="F74" s="8"/>
      <c r="H74" s="8" t="s">
        <v>2352</v>
      </c>
      <c r="I74" s="8" t="s">
        <v>2590</v>
      </c>
      <c r="J74" s="8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8" t="s">
        <v>3364</v>
      </c>
      <c r="E75" s="8" t="s">
        <v>3365</v>
      </c>
      <c r="F75" s="8"/>
      <c r="H75" s="8" t="s">
        <v>2352</v>
      </c>
      <c r="I75" s="8" t="s">
        <v>2592</v>
      </c>
      <c r="J75" s="8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8" t="s">
        <v>3364</v>
      </c>
      <c r="E76" s="8" t="s">
        <v>3365</v>
      </c>
      <c r="F76" s="8"/>
      <c r="H76" s="8" t="s">
        <v>2352</v>
      </c>
      <c r="I76" s="8" t="s">
        <v>2594</v>
      </c>
      <c r="J76" s="8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8" t="s">
        <v>3364</v>
      </c>
      <c r="E77" s="8" t="s">
        <v>3365</v>
      </c>
      <c r="F77" s="8"/>
      <c r="H77" s="8" t="s">
        <v>2352</v>
      </c>
      <c r="I77" s="8" t="s">
        <v>2596</v>
      </c>
      <c r="J77" s="8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8" t="s">
        <v>226</v>
      </c>
      <c r="E78" s="8" t="s">
        <v>86</v>
      </c>
      <c r="F78" s="8" t="s">
        <v>2457</v>
      </c>
      <c r="H78" s="8" t="s">
        <v>2458</v>
      </c>
      <c r="I78" s="8" t="s">
        <v>2598</v>
      </c>
      <c r="J78" s="8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8" t="s">
        <v>2459</v>
      </c>
      <c r="E79" s="8" t="s">
        <v>86</v>
      </c>
      <c r="F79" s="8" t="s">
        <v>2457</v>
      </c>
      <c r="H79" s="8" t="s">
        <v>2460</v>
      </c>
      <c r="I79" s="8" t="s">
        <v>2600</v>
      </c>
      <c r="J79" s="8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8" t="s">
        <v>226</v>
      </c>
      <c r="E80" s="8" t="s">
        <v>86</v>
      </c>
      <c r="F80" s="8" t="s">
        <v>2457</v>
      </c>
      <c r="H80" s="8" t="s">
        <v>2458</v>
      </c>
      <c r="I80" s="8" t="s">
        <v>2602</v>
      </c>
      <c r="J80" s="8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8" t="s">
        <v>2459</v>
      </c>
      <c r="E81" s="8" t="s">
        <v>86</v>
      </c>
      <c r="F81" s="8" t="s">
        <v>2457</v>
      </c>
      <c r="H81" s="8" t="s">
        <v>2460</v>
      </c>
      <c r="I81" s="8" t="s">
        <v>2604</v>
      </c>
      <c r="J81" s="8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8" t="s">
        <v>226</v>
      </c>
      <c r="E82" s="8" t="s">
        <v>86</v>
      </c>
      <c r="F82" s="8" t="s">
        <v>2457</v>
      </c>
      <c r="H82" s="8" t="s">
        <v>2458</v>
      </c>
      <c r="I82" s="8" t="s">
        <v>2606</v>
      </c>
      <c r="J82" s="8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8" t="s">
        <v>2459</v>
      </c>
      <c r="E83" s="8" t="s">
        <v>86</v>
      </c>
      <c r="F83" s="8" t="s">
        <v>2457</v>
      </c>
      <c r="H83" s="8" t="s">
        <v>2460</v>
      </c>
      <c r="I83" s="8" t="s">
        <v>2608</v>
      </c>
      <c r="J83" s="8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8" t="s">
        <v>226</v>
      </c>
      <c r="E84" s="8" t="s">
        <v>86</v>
      </c>
      <c r="F84" s="8" t="s">
        <v>2457</v>
      </c>
      <c r="H84" s="8" t="s">
        <v>2458</v>
      </c>
      <c r="I84" s="8" t="s">
        <v>2610</v>
      </c>
      <c r="J84" s="8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8" t="s">
        <v>2459</v>
      </c>
      <c r="E85" s="8" t="s">
        <v>86</v>
      </c>
      <c r="F85" s="8" t="s">
        <v>2457</v>
      </c>
      <c r="H85" s="8" t="s">
        <v>2460</v>
      </c>
      <c r="I85" s="8" t="s">
        <v>2612</v>
      </c>
      <c r="J85" s="8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8" t="s">
        <v>3367</v>
      </c>
      <c r="E86" s="8" t="s">
        <v>3358</v>
      </c>
      <c r="F86" s="8" t="s">
        <v>51</v>
      </c>
      <c r="H86" s="8"/>
      <c r="I86" s="8" t="s">
        <v>2614</v>
      </c>
      <c r="J86" s="8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8" t="s">
        <v>3367</v>
      </c>
      <c r="E87" s="8" t="s">
        <v>3358</v>
      </c>
      <c r="F87" s="8" t="s">
        <v>51</v>
      </c>
      <c r="H87" s="8" t="s">
        <v>2352</v>
      </c>
      <c r="I87" s="8" t="s">
        <v>2616</v>
      </c>
      <c r="J87" s="8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8" t="s">
        <v>3367</v>
      </c>
      <c r="E88" s="8" t="s">
        <v>3358</v>
      </c>
      <c r="F88" s="8" t="s">
        <v>51</v>
      </c>
      <c r="H88" s="8" t="s">
        <v>2352</v>
      </c>
      <c r="I88" s="8" t="s">
        <v>2618</v>
      </c>
      <c r="J88" s="8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8" t="s">
        <v>3366</v>
      </c>
      <c r="E89" s="8" t="s">
        <v>3358</v>
      </c>
      <c r="F89" s="8"/>
      <c r="H89" s="8"/>
      <c r="I89" s="8" t="s">
        <v>2620</v>
      </c>
      <c r="J89" s="8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8" t="s">
        <v>4</v>
      </c>
      <c r="E90" s="8" t="s">
        <v>8</v>
      </c>
      <c r="F90" s="8"/>
      <c r="H90" s="8" t="s">
        <v>2464</v>
      </c>
      <c r="I90" s="8" t="s">
        <v>2622</v>
      </c>
      <c r="J90" s="8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8" t="s">
        <v>1607</v>
      </c>
      <c r="E91" s="8"/>
      <c r="F91" s="8"/>
      <c r="H91" s="8"/>
      <c r="I91" s="8" t="s">
        <v>3421</v>
      </c>
      <c r="J91" s="8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8" t="s">
        <v>4072</v>
      </c>
      <c r="E92" s="8" t="s">
        <v>1274</v>
      </c>
      <c r="F92" s="8" t="s">
        <v>4073</v>
      </c>
      <c r="H92" s="8" t="s">
        <v>4074</v>
      </c>
      <c r="I92" s="8" t="s">
        <v>3456</v>
      </c>
      <c r="J92" s="8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8" t="s">
        <v>4075</v>
      </c>
      <c r="E93" s="8" t="s">
        <v>86</v>
      </c>
      <c r="F93" s="8" t="s">
        <v>2457</v>
      </c>
      <c r="H93" s="8" t="s">
        <v>4076</v>
      </c>
      <c r="I93" s="8" t="s">
        <v>3458</v>
      </c>
      <c r="J93" s="8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3460</v>
      </c>
      <c r="J94" s="8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8" t="s">
        <v>4</v>
      </c>
      <c r="E95" s="8" t="s">
        <v>86</v>
      </c>
      <c r="F95" s="8" t="s">
        <v>2354</v>
      </c>
      <c r="H95" s="8"/>
      <c r="I95" s="8" t="s">
        <v>3462</v>
      </c>
      <c r="J95" s="8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8" t="s">
        <v>4075</v>
      </c>
      <c r="E96" s="8" t="s">
        <v>86</v>
      </c>
      <c r="F96" s="8" t="s">
        <v>2354</v>
      </c>
      <c r="H96" s="8" t="s">
        <v>4076</v>
      </c>
      <c r="I96" s="8" t="s">
        <v>3464</v>
      </c>
      <c r="J96" s="8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8" t="s">
        <v>4</v>
      </c>
      <c r="E97" s="8" t="s">
        <v>86</v>
      </c>
      <c r="F97" s="8" t="s">
        <v>4077</v>
      </c>
      <c r="H97" s="8" t="s">
        <v>4078</v>
      </c>
      <c r="I97" s="8" t="s">
        <v>3466</v>
      </c>
      <c r="J97" s="8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8" t="s">
        <v>4</v>
      </c>
      <c r="E98" s="8" t="s">
        <v>8</v>
      </c>
      <c r="F98" s="8"/>
      <c r="H98" s="8"/>
      <c r="I98" s="8" t="s">
        <v>3469</v>
      </c>
      <c r="J98" s="8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8" t="s">
        <v>136</v>
      </c>
      <c r="E99" s="8" t="s">
        <v>86</v>
      </c>
      <c r="F99" s="8" t="s">
        <v>60</v>
      </c>
      <c r="G99">
        <v>2</v>
      </c>
      <c r="H99" s="8" t="s">
        <v>2461</v>
      </c>
      <c r="I99" s="8" t="s">
        <v>3471</v>
      </c>
      <c r="J99" s="8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8" t="s">
        <v>136</v>
      </c>
      <c r="E100" s="8" t="s">
        <v>86</v>
      </c>
      <c r="F100" s="8" t="s">
        <v>60</v>
      </c>
      <c r="G100">
        <v>1</v>
      </c>
      <c r="H100" s="8" t="s">
        <v>2461</v>
      </c>
      <c r="I100" s="8" t="s">
        <v>3473</v>
      </c>
      <c r="J100" s="8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8" t="s">
        <v>136</v>
      </c>
      <c r="E101" s="8" t="s">
        <v>86</v>
      </c>
      <c r="F101" s="8" t="s">
        <v>60</v>
      </c>
      <c r="G101">
        <v>2</v>
      </c>
      <c r="H101" s="8" t="s">
        <v>2461</v>
      </c>
      <c r="I101" s="8" t="s">
        <v>3475</v>
      </c>
      <c r="J101" s="8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8" t="s">
        <v>136</v>
      </c>
      <c r="E102" s="8" t="s">
        <v>86</v>
      </c>
      <c r="F102" s="8" t="s">
        <v>165</v>
      </c>
      <c r="G102">
        <v>2</v>
      </c>
      <c r="H102" s="8" t="s">
        <v>2461</v>
      </c>
      <c r="I102" s="8" t="s">
        <v>3477</v>
      </c>
      <c r="J102" s="8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8" t="s">
        <v>136</v>
      </c>
      <c r="E103" s="8" t="s">
        <v>86</v>
      </c>
      <c r="F103" s="8" t="s">
        <v>165</v>
      </c>
      <c r="G103">
        <v>4</v>
      </c>
      <c r="H103" s="8" t="s">
        <v>2461</v>
      </c>
      <c r="I103" s="8" t="s">
        <v>3479</v>
      </c>
      <c r="J103" s="8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8" t="s">
        <v>136</v>
      </c>
      <c r="E104" s="8" t="s">
        <v>86</v>
      </c>
      <c r="F104" s="8" t="s">
        <v>165</v>
      </c>
      <c r="G104">
        <v>4</v>
      </c>
      <c r="H104" s="8" t="s">
        <v>2461</v>
      </c>
      <c r="I104" s="8" t="s">
        <v>3481</v>
      </c>
      <c r="J104" s="8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8" t="s">
        <v>136</v>
      </c>
      <c r="E105" s="8" t="s">
        <v>86</v>
      </c>
      <c r="F105" s="8" t="s">
        <v>165</v>
      </c>
      <c r="G105">
        <v>1</v>
      </c>
      <c r="H105" s="8" t="s">
        <v>2461</v>
      </c>
      <c r="I105" s="8" t="s">
        <v>3483</v>
      </c>
      <c r="J105" s="8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8" t="s">
        <v>136</v>
      </c>
      <c r="E106" s="8" t="s">
        <v>86</v>
      </c>
      <c r="F106" s="8" t="s">
        <v>4079</v>
      </c>
      <c r="G106">
        <v>3</v>
      </c>
      <c r="H106" s="8" t="s">
        <v>2461</v>
      </c>
      <c r="I106" s="8" t="s">
        <v>3485</v>
      </c>
      <c r="J106" s="8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8" t="s">
        <v>136</v>
      </c>
      <c r="E107" s="8" t="s">
        <v>86</v>
      </c>
      <c r="F107" s="8" t="s">
        <v>4079</v>
      </c>
      <c r="G107">
        <v>3</v>
      </c>
      <c r="H107" s="8" t="s">
        <v>2461</v>
      </c>
      <c r="I107" s="8" t="s">
        <v>3487</v>
      </c>
      <c r="J107" s="8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8" t="s">
        <v>136</v>
      </c>
      <c r="E108" s="8" t="s">
        <v>86</v>
      </c>
      <c r="F108" s="8" t="s">
        <v>4079</v>
      </c>
      <c r="G108">
        <v>3</v>
      </c>
      <c r="H108" s="8" t="s">
        <v>2461</v>
      </c>
      <c r="I108" s="8" t="s">
        <v>3489</v>
      </c>
      <c r="J108" s="8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8" t="s">
        <v>3386</v>
      </c>
      <c r="E109" s="8" t="s">
        <v>86</v>
      </c>
      <c r="F109" s="8" t="s">
        <v>3405</v>
      </c>
      <c r="H109" s="8" t="s">
        <v>3401</v>
      </c>
      <c r="I109" s="8" t="s">
        <v>3491</v>
      </c>
      <c r="J109" s="8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8" t="s">
        <v>3386</v>
      </c>
      <c r="E110" s="8" t="s">
        <v>86</v>
      </c>
      <c r="F110" s="8" t="s">
        <v>3405</v>
      </c>
      <c r="H110" s="8" t="s">
        <v>2352</v>
      </c>
      <c r="I110" s="8" t="s">
        <v>3493</v>
      </c>
      <c r="J110" s="8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8" t="s">
        <v>136</v>
      </c>
      <c r="E111" s="8" t="s">
        <v>86</v>
      </c>
      <c r="F111" s="8" t="s">
        <v>4079</v>
      </c>
      <c r="G111">
        <v>3</v>
      </c>
      <c r="H111" s="8" t="s">
        <v>2461</v>
      </c>
      <c r="I111" s="8" t="s">
        <v>3495</v>
      </c>
      <c r="J111" s="8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8" t="s">
        <v>136</v>
      </c>
      <c r="E112" s="8" t="s">
        <v>86</v>
      </c>
      <c r="F112" s="8" t="s">
        <v>165</v>
      </c>
      <c r="G112">
        <v>2</v>
      </c>
      <c r="H112" s="8" t="s">
        <v>2461</v>
      </c>
      <c r="I112" s="8" t="s">
        <v>3497</v>
      </c>
      <c r="J112" s="8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8" t="s">
        <v>136</v>
      </c>
      <c r="E113" s="8" t="s">
        <v>86</v>
      </c>
      <c r="F113" s="8" t="s">
        <v>165</v>
      </c>
      <c r="G113">
        <v>5</v>
      </c>
      <c r="H113" s="8" t="s">
        <v>2461</v>
      </c>
      <c r="I113" s="8" t="s">
        <v>3499</v>
      </c>
      <c r="J113" s="8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8" t="s">
        <v>136</v>
      </c>
      <c r="E114" s="8" t="s">
        <v>86</v>
      </c>
      <c r="F114" s="8" t="s">
        <v>165</v>
      </c>
      <c r="G114">
        <v>4</v>
      </c>
      <c r="H114" s="8" t="s">
        <v>2461</v>
      </c>
      <c r="I114" s="8" t="s">
        <v>3501</v>
      </c>
      <c r="J114" s="8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8" t="s">
        <v>136</v>
      </c>
      <c r="E115" s="8" t="s">
        <v>86</v>
      </c>
      <c r="F115" s="8" t="s">
        <v>165</v>
      </c>
      <c r="G115">
        <v>4</v>
      </c>
      <c r="H115" s="8" t="s">
        <v>2461</v>
      </c>
      <c r="I115" s="8" t="s">
        <v>3503</v>
      </c>
      <c r="J115" s="8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8" t="s">
        <v>136</v>
      </c>
      <c r="E116" s="8" t="s">
        <v>86</v>
      </c>
      <c r="F116" s="8" t="s">
        <v>60</v>
      </c>
      <c r="G116">
        <v>2</v>
      </c>
      <c r="H116" s="8" t="s">
        <v>2461</v>
      </c>
      <c r="I116" s="8" t="s">
        <v>3505</v>
      </c>
      <c r="J116" s="8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8" t="s">
        <v>136</v>
      </c>
      <c r="E117" s="8" t="s">
        <v>86</v>
      </c>
      <c r="F117" s="8" t="s">
        <v>165</v>
      </c>
      <c r="G117">
        <v>1</v>
      </c>
      <c r="H117" s="8" t="s">
        <v>2461</v>
      </c>
      <c r="I117" s="8" t="s">
        <v>3507</v>
      </c>
      <c r="J117" s="8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8" t="s">
        <v>3386</v>
      </c>
      <c r="E118" s="8" t="s">
        <v>86</v>
      </c>
      <c r="F118" s="8" t="s">
        <v>2354</v>
      </c>
      <c r="H118" s="8" t="s">
        <v>3401</v>
      </c>
      <c r="I118" s="8" t="s">
        <v>3509</v>
      </c>
      <c r="J118" s="8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8" t="s">
        <v>3386</v>
      </c>
      <c r="E119" s="8" t="s">
        <v>86</v>
      </c>
      <c r="F119" s="8" t="s">
        <v>2354</v>
      </c>
      <c r="H119" s="8" t="s">
        <v>2352</v>
      </c>
      <c r="I119" s="8" t="s">
        <v>3511</v>
      </c>
      <c r="J119" s="8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8" t="s">
        <v>136</v>
      </c>
      <c r="E120" s="8" t="s">
        <v>86</v>
      </c>
      <c r="F120" s="8" t="s">
        <v>165</v>
      </c>
      <c r="G120">
        <v>4</v>
      </c>
      <c r="H120" s="8" t="s">
        <v>2461</v>
      </c>
      <c r="I120" s="8" t="s">
        <v>3513</v>
      </c>
      <c r="J120" s="8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8" t="s">
        <v>136</v>
      </c>
      <c r="E121" s="8" t="s">
        <v>86</v>
      </c>
      <c r="F121" s="8" t="s">
        <v>165</v>
      </c>
      <c r="G121">
        <v>3</v>
      </c>
      <c r="H121" s="8" t="s">
        <v>2461</v>
      </c>
      <c r="I121" s="8" t="s">
        <v>3515</v>
      </c>
      <c r="J121" s="8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8" t="s">
        <v>136</v>
      </c>
      <c r="E122" s="8" t="s">
        <v>86</v>
      </c>
      <c r="F122" s="8" t="s">
        <v>165</v>
      </c>
      <c r="G122">
        <v>2</v>
      </c>
      <c r="H122" s="8" t="s">
        <v>2461</v>
      </c>
      <c r="I122" s="8" t="s">
        <v>3517</v>
      </c>
      <c r="J122" s="8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8" t="s">
        <v>136</v>
      </c>
      <c r="E123" s="8" t="s">
        <v>86</v>
      </c>
      <c r="F123" s="8" t="s">
        <v>165</v>
      </c>
      <c r="G123">
        <v>3</v>
      </c>
      <c r="H123" s="8" t="s">
        <v>2461</v>
      </c>
      <c r="I123" s="8" t="s">
        <v>3519</v>
      </c>
      <c r="J123" s="8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8" t="s">
        <v>136</v>
      </c>
      <c r="E124" s="8" t="s">
        <v>86</v>
      </c>
      <c r="F124" s="8" t="s">
        <v>165</v>
      </c>
      <c r="G124">
        <v>4</v>
      </c>
      <c r="H124" s="8" t="s">
        <v>2461</v>
      </c>
      <c r="I124" s="8" t="s">
        <v>3521</v>
      </c>
      <c r="J124" s="8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8" t="s">
        <v>1607</v>
      </c>
      <c r="E125" s="8"/>
      <c r="F125" s="8"/>
      <c r="H125" s="8"/>
      <c r="I125" s="8" t="s">
        <v>3523</v>
      </c>
      <c r="J125" s="8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8" t="s">
        <v>1607</v>
      </c>
      <c r="E126" s="8"/>
      <c r="F126" s="8"/>
      <c r="H126" s="8"/>
      <c r="I126" s="8" t="s">
        <v>4185</v>
      </c>
      <c r="J126" s="8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8" t="s">
        <v>4</v>
      </c>
      <c r="E127" s="8" t="s">
        <v>3358</v>
      </c>
      <c r="F127" s="8" t="s">
        <v>4070</v>
      </c>
      <c r="H127" s="8"/>
      <c r="I127" s="8" t="s">
        <v>4252</v>
      </c>
      <c r="J127" s="8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8" t="s">
        <v>4</v>
      </c>
      <c r="E128" s="8" t="s">
        <v>3358</v>
      </c>
      <c r="F128" s="8" t="s">
        <v>4070</v>
      </c>
      <c r="H128" s="8" t="s">
        <v>4390</v>
      </c>
      <c r="I128" s="8" t="s">
        <v>4242</v>
      </c>
      <c r="J128" s="8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8" t="s">
        <v>136</v>
      </c>
      <c r="E129" s="8" t="s">
        <v>86</v>
      </c>
      <c r="F129" s="8" t="s">
        <v>165</v>
      </c>
      <c r="G129">
        <v>3</v>
      </c>
      <c r="H129" s="8" t="s">
        <v>2461</v>
      </c>
      <c r="I129" s="8" t="s">
        <v>4254</v>
      </c>
      <c r="J129" s="8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8" t="s">
        <v>136</v>
      </c>
      <c r="E130" s="8" t="s">
        <v>86</v>
      </c>
      <c r="F130" s="8" t="s">
        <v>165</v>
      </c>
      <c r="G130">
        <v>4</v>
      </c>
      <c r="H130" s="8" t="s">
        <v>2461</v>
      </c>
      <c r="I130" s="8" t="s">
        <v>4256</v>
      </c>
      <c r="J130" s="8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8" t="s">
        <v>4</v>
      </c>
      <c r="E131" s="8" t="s">
        <v>4391</v>
      </c>
      <c r="F131" s="8" t="s">
        <v>4070</v>
      </c>
      <c r="H131" s="8" t="s">
        <v>4390</v>
      </c>
      <c r="I131" s="8" t="s">
        <v>4258</v>
      </c>
      <c r="J131" s="8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8" t="s">
        <v>4</v>
      </c>
      <c r="E132" s="8" t="s">
        <v>8</v>
      </c>
      <c r="F132" s="8"/>
      <c r="H132" s="8"/>
      <c r="I132" s="8" t="s">
        <v>4260</v>
      </c>
      <c r="J132" s="8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8" t="s">
        <v>3363</v>
      </c>
      <c r="E133" s="8" t="s">
        <v>86</v>
      </c>
      <c r="F133" s="8" t="s">
        <v>4920</v>
      </c>
      <c r="H133" s="8"/>
      <c r="I133" s="8" t="s">
        <v>4414</v>
      </c>
      <c r="J133" s="8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8" t="s">
        <v>1273</v>
      </c>
      <c r="E134" s="8" t="s">
        <v>3358</v>
      </c>
      <c r="F134" s="8" t="s">
        <v>4070</v>
      </c>
      <c r="H134" s="8"/>
      <c r="I134" s="8" t="s">
        <v>4416</v>
      </c>
      <c r="J134" s="8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8" t="s">
        <v>4921</v>
      </c>
      <c r="E135" s="8" t="s">
        <v>3358</v>
      </c>
      <c r="F135" s="8" t="s">
        <v>4070</v>
      </c>
      <c r="H135" s="8" t="s">
        <v>4390</v>
      </c>
      <c r="I135" s="8" t="s">
        <v>4418</v>
      </c>
      <c r="J135" s="8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8" t="s">
        <v>1273</v>
      </c>
      <c r="E136" s="8" t="s">
        <v>3358</v>
      </c>
      <c r="F136" s="8" t="s">
        <v>4070</v>
      </c>
      <c r="H136" s="8"/>
      <c r="I136" s="8" t="s">
        <v>4420</v>
      </c>
      <c r="J136" s="8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8" t="s">
        <v>4921</v>
      </c>
      <c r="E137" s="8" t="s">
        <v>3358</v>
      </c>
      <c r="F137" s="8" t="s">
        <v>4070</v>
      </c>
      <c r="H137" s="8" t="s">
        <v>4390</v>
      </c>
      <c r="I137" s="8" t="s">
        <v>4422</v>
      </c>
      <c r="J137" s="8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8" t="s">
        <v>3363</v>
      </c>
      <c r="E138" s="8" t="s">
        <v>86</v>
      </c>
      <c r="F138" s="8" t="s">
        <v>2360</v>
      </c>
      <c r="H138" s="8"/>
      <c r="I138" s="8" t="s">
        <v>4424</v>
      </c>
      <c r="J138" s="8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8" t="s">
        <v>3363</v>
      </c>
      <c r="E139" s="8" t="s">
        <v>86</v>
      </c>
      <c r="F139" s="8" t="s">
        <v>2360</v>
      </c>
      <c r="H139" s="8" t="s">
        <v>2352</v>
      </c>
      <c r="I139" s="8" t="s">
        <v>4426</v>
      </c>
      <c r="J139" s="8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8" t="s">
        <v>3363</v>
      </c>
      <c r="E140" s="8" t="s">
        <v>86</v>
      </c>
      <c r="F140" s="8" t="s">
        <v>465</v>
      </c>
      <c r="H140" s="8"/>
      <c r="I140" s="8" t="s">
        <v>4428</v>
      </c>
      <c r="J140" s="8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8" t="s">
        <v>3363</v>
      </c>
      <c r="E141" s="8" t="s">
        <v>86</v>
      </c>
      <c r="F141" s="8" t="s">
        <v>465</v>
      </c>
      <c r="H141" s="8" t="s">
        <v>2352</v>
      </c>
      <c r="I141" s="8" t="s">
        <v>4430</v>
      </c>
      <c r="J141" s="8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8" t="s">
        <v>1273</v>
      </c>
      <c r="E142" s="8" t="s">
        <v>3358</v>
      </c>
      <c r="F142" s="8" t="s">
        <v>4070</v>
      </c>
      <c r="H142" s="8"/>
      <c r="I142" s="8" t="s">
        <v>4432</v>
      </c>
      <c r="J142" s="8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8" t="s">
        <v>4921</v>
      </c>
      <c r="E143" s="8" t="s">
        <v>3358</v>
      </c>
      <c r="F143" s="8" t="s">
        <v>4070</v>
      </c>
      <c r="H143" s="8" t="s">
        <v>4390</v>
      </c>
      <c r="I143" s="8" t="s">
        <v>4434</v>
      </c>
      <c r="J143" s="8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8" t="s">
        <v>4</v>
      </c>
      <c r="E144" s="8" t="s">
        <v>8</v>
      </c>
      <c r="F144" s="8"/>
      <c r="H144" s="8"/>
      <c r="I144" s="8" t="s">
        <v>4633</v>
      </c>
      <c r="J144" s="8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8" t="s">
        <v>3363</v>
      </c>
      <c r="E145" s="8" t="s">
        <v>86</v>
      </c>
      <c r="F145" s="8" t="s">
        <v>4922</v>
      </c>
      <c r="H145" s="8"/>
      <c r="I145" s="8" t="s">
        <v>4635</v>
      </c>
      <c r="J145" s="8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8" t="s">
        <v>136</v>
      </c>
      <c r="E146" s="8" t="s">
        <v>86</v>
      </c>
      <c r="F146" s="8" t="s">
        <v>165</v>
      </c>
      <c r="G146">
        <v>3</v>
      </c>
      <c r="H146" s="8" t="s">
        <v>2461</v>
      </c>
      <c r="I146" s="8" t="s">
        <v>4637</v>
      </c>
      <c r="J146" s="8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8" t="s">
        <v>136</v>
      </c>
      <c r="E147" s="8" t="s">
        <v>86</v>
      </c>
      <c r="F147" s="8" t="s">
        <v>165</v>
      </c>
      <c r="G147">
        <v>4</v>
      </c>
      <c r="H147" s="8" t="s">
        <v>2461</v>
      </c>
      <c r="I147" s="8" t="s">
        <v>4639</v>
      </c>
      <c r="J147" s="8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8" t="s">
        <v>136</v>
      </c>
      <c r="E148" s="8" t="s">
        <v>86</v>
      </c>
      <c r="F148" s="8" t="s">
        <v>60</v>
      </c>
      <c r="G148">
        <v>2</v>
      </c>
      <c r="H148" s="8" t="s">
        <v>2461</v>
      </c>
      <c r="I148" s="8" t="s">
        <v>4641</v>
      </c>
      <c r="J148" s="8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8" t="s">
        <v>136</v>
      </c>
      <c r="E149" s="8" t="s">
        <v>86</v>
      </c>
      <c r="F149" s="8" t="s">
        <v>165</v>
      </c>
      <c r="G149">
        <v>2</v>
      </c>
      <c r="H149" s="8" t="s">
        <v>2461</v>
      </c>
      <c r="I149" s="8" t="s">
        <v>4643</v>
      </c>
      <c r="J149" s="8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8" t="s">
        <v>136</v>
      </c>
      <c r="E150" s="8" t="s">
        <v>86</v>
      </c>
      <c r="F150" s="8" t="s">
        <v>60</v>
      </c>
      <c r="G150">
        <v>3</v>
      </c>
      <c r="H150" s="8" t="s">
        <v>2461</v>
      </c>
      <c r="I150" s="8" t="s">
        <v>4645</v>
      </c>
      <c r="J150" s="8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8" t="s">
        <v>136</v>
      </c>
      <c r="E151" s="8" t="s">
        <v>86</v>
      </c>
      <c r="F151" s="8" t="s">
        <v>60</v>
      </c>
      <c r="G151">
        <v>3</v>
      </c>
      <c r="H151" s="8" t="s">
        <v>2461</v>
      </c>
      <c r="I151" s="8" t="s">
        <v>4647</v>
      </c>
      <c r="J151" s="8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8" t="s">
        <v>136</v>
      </c>
      <c r="E152" s="8" t="s">
        <v>86</v>
      </c>
      <c r="F152" s="8" t="s">
        <v>165</v>
      </c>
      <c r="G152">
        <v>2</v>
      </c>
      <c r="H152" s="8" t="s">
        <v>2461</v>
      </c>
      <c r="I152" s="8" t="s">
        <v>4649</v>
      </c>
      <c r="J152" s="8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8" t="s">
        <v>1607</v>
      </c>
      <c r="E153" s="8" t="s">
        <v>8</v>
      </c>
      <c r="F153" s="8"/>
      <c r="H153" s="8"/>
      <c r="I153" s="8" t="s">
        <v>4800</v>
      </c>
      <c r="J153" s="8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8" t="s">
        <v>1607</v>
      </c>
      <c r="E154" s="8" t="s">
        <v>8</v>
      </c>
      <c r="F154" s="8"/>
      <c r="H154" s="8"/>
      <c r="I154" s="8" t="s">
        <v>4942</v>
      </c>
      <c r="J154" s="8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8" t="s">
        <v>226</v>
      </c>
      <c r="E155" s="8" t="s">
        <v>86</v>
      </c>
      <c r="F155" s="8" t="s">
        <v>3405</v>
      </c>
      <c r="H155" s="8"/>
      <c r="I155" s="8" t="s">
        <v>5007</v>
      </c>
      <c r="J155" s="8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8" t="s">
        <v>3363</v>
      </c>
      <c r="E156" s="8" t="s">
        <v>86</v>
      </c>
      <c r="F156" s="8" t="s">
        <v>3405</v>
      </c>
      <c r="H156" s="8" t="s">
        <v>1287</v>
      </c>
      <c r="I156" s="8" t="s">
        <v>5009</v>
      </c>
      <c r="J156" s="8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8" t="s">
        <v>3363</v>
      </c>
      <c r="E157" s="8" t="s">
        <v>86</v>
      </c>
      <c r="F157" s="8" t="s">
        <v>4932</v>
      </c>
      <c r="H157" s="8" t="s">
        <v>5055</v>
      </c>
      <c r="I157" s="8" t="s">
        <v>5011</v>
      </c>
      <c r="J157" s="8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8" t="s">
        <v>1273</v>
      </c>
      <c r="E158" s="8" t="s">
        <v>3358</v>
      </c>
      <c r="F158" s="8" t="s">
        <v>4070</v>
      </c>
      <c r="H158" s="8"/>
      <c r="I158" s="8" t="s">
        <v>5013</v>
      </c>
      <c r="J158" s="8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8" t="s">
        <v>4921</v>
      </c>
      <c r="E159" s="8" t="s">
        <v>3358</v>
      </c>
      <c r="F159" s="8" t="s">
        <v>4070</v>
      </c>
      <c r="H159" s="8" t="s">
        <v>4390</v>
      </c>
      <c r="I159" s="8" t="s">
        <v>5015</v>
      </c>
      <c r="J159" s="8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8" t="s">
        <v>587</v>
      </c>
      <c r="E160" s="8" t="s">
        <v>3358</v>
      </c>
      <c r="F160" s="8" t="s">
        <v>4070</v>
      </c>
      <c r="H160" s="8"/>
      <c r="I160" s="8" t="s">
        <v>5018</v>
      </c>
      <c r="J160" s="8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8" t="s">
        <v>136</v>
      </c>
      <c r="E161" s="8" t="s">
        <v>86</v>
      </c>
      <c r="F161" s="8" t="s">
        <v>465</v>
      </c>
      <c r="G161">
        <v>1</v>
      </c>
      <c r="H161" s="8" t="s">
        <v>2461</v>
      </c>
      <c r="I161" s="8" t="s">
        <v>5020</v>
      </c>
      <c r="J161" s="8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8" t="s">
        <v>136</v>
      </c>
      <c r="E162" s="8" t="s">
        <v>86</v>
      </c>
      <c r="F162" s="8" t="s">
        <v>465</v>
      </c>
      <c r="G162">
        <v>1</v>
      </c>
      <c r="H162" s="8" t="s">
        <v>2461</v>
      </c>
      <c r="I162" s="8" t="s">
        <v>5022</v>
      </c>
      <c r="J162" s="8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8" t="s">
        <v>136</v>
      </c>
      <c r="E163" s="8" t="s">
        <v>86</v>
      </c>
      <c r="F163" s="8" t="s">
        <v>165</v>
      </c>
      <c r="G163">
        <v>1</v>
      </c>
      <c r="H163" s="8" t="s">
        <v>2461</v>
      </c>
      <c r="I163" s="8" t="s">
        <v>5024</v>
      </c>
      <c r="J163" s="8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8" t="s">
        <v>4921</v>
      </c>
      <c r="E164" s="8" t="s">
        <v>3358</v>
      </c>
      <c r="F164" s="8" t="s">
        <v>4070</v>
      </c>
      <c r="H164" s="8" t="s">
        <v>4390</v>
      </c>
      <c r="I164" s="8" t="s">
        <v>5232</v>
      </c>
      <c r="J164" s="8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8" t="s">
        <v>587</v>
      </c>
      <c r="E165" s="8" t="s">
        <v>3358</v>
      </c>
      <c r="F165" s="8" t="s">
        <v>4070</v>
      </c>
      <c r="H165" s="8"/>
      <c r="I165" s="8" t="s">
        <v>5234</v>
      </c>
      <c r="J165" s="8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8" t="s">
        <v>470</v>
      </c>
      <c r="E166" s="8" t="s">
        <v>1274</v>
      </c>
      <c r="F166" s="8" t="s">
        <v>892</v>
      </c>
      <c r="H166" s="8" t="s">
        <v>1287</v>
      </c>
      <c r="I166" s="8" t="s">
        <v>5328</v>
      </c>
      <c r="J166" s="8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8" t="s">
        <v>3386</v>
      </c>
      <c r="E167" s="8" t="s">
        <v>86</v>
      </c>
      <c r="F167" s="8" t="s">
        <v>2360</v>
      </c>
      <c r="H167" s="8" t="s">
        <v>1287</v>
      </c>
      <c r="I167" s="8" t="s">
        <v>5330</v>
      </c>
      <c r="J167" s="8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8" t="s">
        <v>3386</v>
      </c>
      <c r="E168" s="8" t="s">
        <v>86</v>
      </c>
      <c r="F168" s="8" t="s">
        <v>2360</v>
      </c>
      <c r="H168" s="8" t="s">
        <v>2352</v>
      </c>
      <c r="I168" s="8" t="s">
        <v>5332</v>
      </c>
      <c r="J168" s="8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8" t="s">
        <v>136</v>
      </c>
      <c r="E169" s="8" t="s">
        <v>86</v>
      </c>
      <c r="F169" s="8" t="s">
        <v>465</v>
      </c>
      <c r="G169">
        <v>1</v>
      </c>
      <c r="H169" s="8" t="s">
        <v>2461</v>
      </c>
      <c r="I169" s="8" t="s">
        <v>5334</v>
      </c>
      <c r="J169" s="8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8" t="s">
        <v>1273</v>
      </c>
      <c r="E170" s="8" t="s">
        <v>3358</v>
      </c>
      <c r="F170" s="8" t="s">
        <v>4070</v>
      </c>
      <c r="H170" s="8"/>
      <c r="I170" s="8" t="s">
        <v>5336</v>
      </c>
      <c r="J170" s="8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8" t="s">
        <v>4921</v>
      </c>
      <c r="E171" s="8" t="s">
        <v>3358</v>
      </c>
      <c r="F171" s="8" t="s">
        <v>4070</v>
      </c>
      <c r="H171" s="8" t="s">
        <v>4390</v>
      </c>
      <c r="I171" s="8" t="s">
        <v>5338</v>
      </c>
      <c r="J171" s="8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8" t="s">
        <v>587</v>
      </c>
      <c r="E172" s="8" t="s">
        <v>3358</v>
      </c>
      <c r="F172" s="8" t="s">
        <v>4070</v>
      </c>
      <c r="H172" s="8"/>
      <c r="I172" s="8" t="s">
        <v>5340</v>
      </c>
      <c r="J172" s="8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8" t="s">
        <v>3386</v>
      </c>
      <c r="E173" s="8" t="s">
        <v>86</v>
      </c>
      <c r="F173" s="8" t="s">
        <v>892</v>
      </c>
      <c r="H173" s="8" t="s">
        <v>3401</v>
      </c>
      <c r="I173" s="8" t="s">
        <v>5482</v>
      </c>
      <c r="J173" s="8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8" t="s">
        <v>3386</v>
      </c>
      <c r="E174" s="8" t="s">
        <v>86</v>
      </c>
      <c r="F174" s="8" t="s">
        <v>892</v>
      </c>
      <c r="H174" s="8" t="s">
        <v>3401</v>
      </c>
      <c r="I174" s="8" t="s">
        <v>5484</v>
      </c>
      <c r="J174" s="8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8" t="s">
        <v>3386</v>
      </c>
      <c r="E175" s="8" t="s">
        <v>86</v>
      </c>
      <c r="F175" s="8" t="s">
        <v>892</v>
      </c>
      <c r="H175" s="8" t="s">
        <v>3401</v>
      </c>
      <c r="I175" s="8" t="s">
        <v>5486</v>
      </c>
      <c r="J175" s="8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8" t="s">
        <v>3386</v>
      </c>
      <c r="E176" s="8" t="s">
        <v>86</v>
      </c>
      <c r="F176" s="8" t="s">
        <v>892</v>
      </c>
      <c r="H176" s="8" t="s">
        <v>3401</v>
      </c>
      <c r="I176" s="8" t="s">
        <v>5488</v>
      </c>
      <c r="J176" s="8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8" t="s">
        <v>3386</v>
      </c>
      <c r="E177" s="8" t="s">
        <v>86</v>
      </c>
      <c r="F177" s="8" t="s">
        <v>892</v>
      </c>
      <c r="H177" s="8" t="s">
        <v>3401</v>
      </c>
      <c r="I177" s="8" t="s">
        <v>5490</v>
      </c>
      <c r="J177" s="8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8" t="s">
        <v>3386</v>
      </c>
      <c r="E178" s="8" t="s">
        <v>86</v>
      </c>
      <c r="F178" s="8" t="s">
        <v>892</v>
      </c>
      <c r="H178" s="8" t="s">
        <v>3401</v>
      </c>
      <c r="I178" s="8" t="s">
        <v>5492</v>
      </c>
      <c r="J178" s="8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8" t="s">
        <v>1607</v>
      </c>
      <c r="E179" s="8" t="s">
        <v>8</v>
      </c>
      <c r="F179" s="8"/>
      <c r="H179" s="8"/>
      <c r="I179" s="8" t="s">
        <v>5494</v>
      </c>
      <c r="J179" s="8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8" t="s">
        <v>1607</v>
      </c>
      <c r="E180" s="8" t="s">
        <v>8</v>
      </c>
      <c r="F180" s="8"/>
      <c r="H180" s="8"/>
      <c r="I180" s="8" t="s">
        <v>5705</v>
      </c>
      <c r="J180" s="8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8" t="s">
        <v>1273</v>
      </c>
      <c r="E181" s="8" t="s">
        <v>3358</v>
      </c>
      <c r="F181" s="8" t="s">
        <v>4070</v>
      </c>
      <c r="H181" s="8"/>
      <c r="I181" s="8" t="s">
        <v>5737</v>
      </c>
      <c r="J181" s="8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8" t="s">
        <v>587</v>
      </c>
      <c r="E182" s="8" t="s">
        <v>3358</v>
      </c>
      <c r="F182" s="8" t="s">
        <v>4070</v>
      </c>
      <c r="H182" s="8"/>
      <c r="I182" s="8" t="s">
        <v>5739</v>
      </c>
      <c r="J182" s="8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8" t="s">
        <v>1607</v>
      </c>
      <c r="E183" s="8" t="s">
        <v>8</v>
      </c>
      <c r="F183" s="8"/>
      <c r="H183" s="8"/>
      <c r="I183" s="8" t="s">
        <v>5741</v>
      </c>
      <c r="J183" s="8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8" t="s">
        <v>1607</v>
      </c>
      <c r="E184" s="8" t="s">
        <v>8</v>
      </c>
      <c r="F184" s="8"/>
      <c r="H184" s="8"/>
      <c r="I184" s="8" t="s">
        <v>5925</v>
      </c>
      <c r="J184" s="8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8" t="s">
        <v>1607</v>
      </c>
      <c r="E185" s="8" t="s">
        <v>8</v>
      </c>
      <c r="F185" s="8"/>
      <c r="H185" s="8"/>
      <c r="I185" s="8" t="s">
        <v>5927</v>
      </c>
      <c r="J185" s="8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8" t="s">
        <v>1607</v>
      </c>
      <c r="E186" s="8" t="s">
        <v>8</v>
      </c>
      <c r="F186" s="8"/>
      <c r="H186" s="8"/>
      <c r="I186" s="8" t="s">
        <v>6168</v>
      </c>
      <c r="J186" s="8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8" t="s">
        <v>1273</v>
      </c>
      <c r="E187" s="8" t="s">
        <v>3358</v>
      </c>
      <c r="F187" s="8" t="s">
        <v>4070</v>
      </c>
      <c r="H187" s="8"/>
      <c r="I187" s="8" t="s">
        <v>6300</v>
      </c>
      <c r="J187" s="8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8" t="s">
        <v>4921</v>
      </c>
      <c r="E188" s="8" t="s">
        <v>3358</v>
      </c>
      <c r="F188" s="8" t="s">
        <v>4070</v>
      </c>
      <c r="H188" s="8" t="s">
        <v>4390</v>
      </c>
      <c r="I188" s="8" t="s">
        <v>6302</v>
      </c>
      <c r="J188" s="8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8" t="s">
        <v>587</v>
      </c>
      <c r="E189" s="8" t="s">
        <v>3358</v>
      </c>
      <c r="F189" s="8" t="s">
        <v>4070</v>
      </c>
      <c r="H189" s="8"/>
      <c r="I189" s="8" t="s">
        <v>6304</v>
      </c>
      <c r="J189" s="8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8" t="s">
        <v>6436</v>
      </c>
      <c r="E190" s="8" t="s">
        <v>5045</v>
      </c>
      <c r="F190" s="8" t="s">
        <v>4070</v>
      </c>
      <c r="H190" s="8"/>
      <c r="I190" s="8" t="s">
        <v>6306</v>
      </c>
      <c r="J190" s="8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8" t="s">
        <v>1273</v>
      </c>
      <c r="E191" s="8" t="s">
        <v>3358</v>
      </c>
      <c r="F191" s="8" t="s">
        <v>4070</v>
      </c>
      <c r="H191" s="8"/>
      <c r="I191" s="8" t="s">
        <v>6308</v>
      </c>
      <c r="J191" s="8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8" t="s">
        <v>587</v>
      </c>
      <c r="E192" s="8" t="s">
        <v>3358</v>
      </c>
      <c r="F192" s="8" t="s">
        <v>4070</v>
      </c>
      <c r="H192" s="8"/>
      <c r="I192" s="8" t="s">
        <v>6310</v>
      </c>
      <c r="J192" s="8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8" t="s">
        <v>470</v>
      </c>
      <c r="E193" s="8" t="s">
        <v>468</v>
      </c>
      <c r="F193" s="8" t="s">
        <v>1288</v>
      </c>
      <c r="H193" s="8" t="s">
        <v>1287</v>
      </c>
      <c r="I193" s="8" t="s">
        <v>6464</v>
      </c>
      <c r="J193" s="8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8" t="s">
        <v>1607</v>
      </c>
      <c r="E194" s="8" t="s">
        <v>8</v>
      </c>
      <c r="F194" s="8"/>
      <c r="H194" s="8"/>
      <c r="I194" s="8" t="s">
        <v>6466</v>
      </c>
      <c r="J194" s="8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8" t="s">
        <v>1607</v>
      </c>
      <c r="E195" s="8" t="s">
        <v>8</v>
      </c>
      <c r="F195" s="8"/>
      <c r="H195" s="8"/>
      <c r="I195" s="8" t="s">
        <v>6468</v>
      </c>
      <c r="J195" s="8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8" t="s">
        <v>1607</v>
      </c>
      <c r="E196" s="8" t="s">
        <v>8</v>
      </c>
      <c r="F196" s="8"/>
      <c r="H196" s="8"/>
      <c r="I196" s="8" t="s">
        <v>6470</v>
      </c>
      <c r="J196" s="8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8" t="s">
        <v>1607</v>
      </c>
      <c r="E197" s="8" t="s">
        <v>8</v>
      </c>
      <c r="F197" s="8"/>
      <c r="H197" s="8"/>
      <c r="I197" s="8" t="s">
        <v>6690</v>
      </c>
      <c r="J197" s="8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8" t="s">
        <v>1607</v>
      </c>
      <c r="E198" s="8" t="s">
        <v>8</v>
      </c>
      <c r="F198" s="8"/>
      <c r="H198" s="8"/>
      <c r="I198" s="8" t="s">
        <v>6692</v>
      </c>
      <c r="J198" s="8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8" t="s">
        <v>1607</v>
      </c>
      <c r="E199" s="8" t="s">
        <v>8</v>
      </c>
      <c r="F199" s="8"/>
      <c r="H199" s="8"/>
      <c r="I199" s="8" t="s">
        <v>6694</v>
      </c>
      <c r="J199" s="8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8" t="s">
        <v>1607</v>
      </c>
      <c r="E200" s="8" t="s">
        <v>8</v>
      </c>
      <c r="F200" s="8"/>
      <c r="H200" s="8"/>
      <c r="I200" s="8" t="s">
        <v>6789</v>
      </c>
      <c r="J200" s="8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8" t="s">
        <v>1607</v>
      </c>
      <c r="E201" s="8" t="s">
        <v>8</v>
      </c>
      <c r="F201" s="8"/>
      <c r="H201" s="8"/>
      <c r="I201" s="8" t="s">
        <v>6791</v>
      </c>
      <c r="J201" s="8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8" t="s">
        <v>1607</v>
      </c>
      <c r="E202" s="8" t="s">
        <v>8</v>
      </c>
      <c r="F202" s="8"/>
      <c r="H202" s="8"/>
      <c r="I202" s="8" t="s">
        <v>6793</v>
      </c>
      <c r="J202" s="8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8" t="s">
        <v>1607</v>
      </c>
      <c r="E203" s="8" t="s">
        <v>8</v>
      </c>
      <c r="F203" s="8"/>
      <c r="H203" s="8"/>
      <c r="I203" s="8" t="s">
        <v>6795</v>
      </c>
      <c r="J203" s="8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8" t="s">
        <v>1607</v>
      </c>
      <c r="E204" s="8" t="s">
        <v>8</v>
      </c>
      <c r="F204" s="8"/>
      <c r="H204" s="8"/>
      <c r="I204" s="8" t="s">
        <v>6797</v>
      </c>
      <c r="J204" s="8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8" t="s">
        <v>1607</v>
      </c>
      <c r="E205" s="8" t="s">
        <v>8</v>
      </c>
      <c r="F205" s="8"/>
      <c r="H205" s="8"/>
      <c r="I205" s="8" t="s">
        <v>6799</v>
      </c>
      <c r="J205" s="8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8" t="s">
        <v>1607</v>
      </c>
      <c r="E206" s="8" t="s">
        <v>8</v>
      </c>
      <c r="F206" s="8"/>
      <c r="H206" s="8"/>
      <c r="I206" s="8" t="s">
        <v>6801</v>
      </c>
      <c r="J206" s="8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8" t="s">
        <v>3386</v>
      </c>
      <c r="E207" s="8" t="s">
        <v>86</v>
      </c>
      <c r="F207" s="8" t="s">
        <v>3405</v>
      </c>
      <c r="H207" s="8" t="s">
        <v>1287</v>
      </c>
      <c r="I207" s="8" t="s">
        <v>7070</v>
      </c>
      <c r="J207" s="8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8" t="s">
        <v>3386</v>
      </c>
      <c r="E208" s="8" t="s">
        <v>86</v>
      </c>
      <c r="F208" s="8" t="s">
        <v>3405</v>
      </c>
      <c r="H208" s="8" t="s">
        <v>3401</v>
      </c>
      <c r="I208" s="8" t="s">
        <v>7072</v>
      </c>
      <c r="J208" s="8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8" t="s">
        <v>136</v>
      </c>
      <c r="E209" s="8" t="s">
        <v>86</v>
      </c>
      <c r="F209" s="8" t="s">
        <v>60</v>
      </c>
      <c r="G209">
        <v>3</v>
      </c>
      <c r="H209" s="8" t="s">
        <v>2461</v>
      </c>
      <c r="I209" s="8" t="s">
        <v>7074</v>
      </c>
      <c r="J209" s="8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8" t="s">
        <v>136</v>
      </c>
      <c r="E210" s="8" t="s">
        <v>86</v>
      </c>
      <c r="F210" s="8" t="s">
        <v>60</v>
      </c>
      <c r="G210">
        <v>2</v>
      </c>
      <c r="H210" s="8" t="s">
        <v>2461</v>
      </c>
      <c r="I210" s="8" t="s">
        <v>7076</v>
      </c>
      <c r="J210" s="8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8" t="s">
        <v>136</v>
      </c>
      <c r="E211" s="8" t="s">
        <v>86</v>
      </c>
      <c r="F211" s="8" t="s">
        <v>60</v>
      </c>
      <c r="G211">
        <v>1</v>
      </c>
      <c r="H211" s="8" t="s">
        <v>2461</v>
      </c>
      <c r="I211" s="8" t="s">
        <v>7078</v>
      </c>
      <c r="J211" s="8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8" t="s">
        <v>3386</v>
      </c>
      <c r="E212" s="8" t="s">
        <v>86</v>
      </c>
      <c r="F212" s="8" t="s">
        <v>7343</v>
      </c>
      <c r="H212" s="8" t="s">
        <v>1287</v>
      </c>
      <c r="I212" s="8" t="s">
        <v>7080</v>
      </c>
      <c r="J212" s="8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8" t="s">
        <v>3386</v>
      </c>
      <c r="E213" s="8" t="s">
        <v>86</v>
      </c>
      <c r="F213" s="8" t="s">
        <v>7343</v>
      </c>
      <c r="H213" s="8" t="s">
        <v>2352</v>
      </c>
      <c r="I213" s="8" t="s">
        <v>7082</v>
      </c>
      <c r="J213" s="8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8" t="s">
        <v>136</v>
      </c>
      <c r="E214" s="8" t="s">
        <v>86</v>
      </c>
      <c r="F214" s="8" t="s">
        <v>60</v>
      </c>
      <c r="G214">
        <v>1</v>
      </c>
      <c r="H214" s="8" t="s">
        <v>2461</v>
      </c>
      <c r="I214" s="8" t="s">
        <v>7084</v>
      </c>
      <c r="J214" s="8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8" t="s">
        <v>1273</v>
      </c>
      <c r="E215" s="8" t="s">
        <v>3358</v>
      </c>
      <c r="F215" s="8"/>
      <c r="H215" s="8"/>
      <c r="I215" s="8" t="s">
        <v>7367</v>
      </c>
      <c r="J215" s="8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8" t="s">
        <v>7462</v>
      </c>
      <c r="E216" s="8" t="s">
        <v>3358</v>
      </c>
      <c r="F216" s="8"/>
      <c r="H216" s="8"/>
      <c r="I216" s="8" t="s">
        <v>7369</v>
      </c>
      <c r="J216" s="8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8" t="s">
        <v>7462</v>
      </c>
      <c r="E217" s="8" t="s">
        <v>3358</v>
      </c>
      <c r="F217" s="8"/>
      <c r="H217" s="8" t="s">
        <v>7463</v>
      </c>
      <c r="I217" s="8" t="s">
        <v>7371</v>
      </c>
      <c r="J217" s="8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8" t="s">
        <v>7462</v>
      </c>
      <c r="E218" s="8" t="s">
        <v>3358</v>
      </c>
      <c r="F218" s="8" t="s">
        <v>7464</v>
      </c>
      <c r="H218" s="8" t="s">
        <v>7465</v>
      </c>
      <c r="I218" s="8" t="s">
        <v>7373</v>
      </c>
      <c r="J218" s="8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8" t="s">
        <v>587</v>
      </c>
      <c r="E219" s="8" t="s">
        <v>3358</v>
      </c>
      <c r="F219" s="8"/>
      <c r="H219" s="8"/>
      <c r="I219" s="8" t="s">
        <v>7375</v>
      </c>
      <c r="J219" s="8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8" t="s">
        <v>1607</v>
      </c>
      <c r="E220" s="8" t="s">
        <v>8</v>
      </c>
      <c r="F220" s="8"/>
      <c r="H220" s="8"/>
      <c r="I220" s="8" t="s">
        <v>7377</v>
      </c>
      <c r="J220" s="8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8" t="s">
        <v>470</v>
      </c>
      <c r="E221" s="8" t="s">
        <v>468</v>
      </c>
      <c r="F221" s="8" t="s">
        <v>2345</v>
      </c>
      <c r="H221" s="8"/>
      <c r="I221" s="8" t="s">
        <v>7379</v>
      </c>
      <c r="J221" s="8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8" t="s">
        <v>470</v>
      </c>
      <c r="E222" s="8" t="s">
        <v>468</v>
      </c>
      <c r="F222" s="8" t="s">
        <v>2345</v>
      </c>
      <c r="H222" s="8" t="s">
        <v>2352</v>
      </c>
      <c r="I222" s="8" t="s">
        <v>7381</v>
      </c>
      <c r="J222" s="8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8" t="s">
        <v>7466</v>
      </c>
      <c r="E223" s="8" t="s">
        <v>7467</v>
      </c>
      <c r="F223" s="8"/>
      <c r="H223" s="8" t="s">
        <v>5216</v>
      </c>
      <c r="I223" s="8" t="s">
        <v>7383</v>
      </c>
      <c r="J223" s="8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8" t="s">
        <v>1273</v>
      </c>
      <c r="E224" s="8" t="s">
        <v>5310</v>
      </c>
      <c r="F224" s="8" t="s">
        <v>51</v>
      </c>
      <c r="H224" s="8"/>
      <c r="I224" s="8" t="s">
        <v>7651</v>
      </c>
      <c r="J224" s="8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8" t="s">
        <v>587</v>
      </c>
      <c r="E225" s="8" t="s">
        <v>5310</v>
      </c>
      <c r="F225" s="8" t="s">
        <v>3405</v>
      </c>
      <c r="H225" s="8"/>
      <c r="I225" s="8" t="s">
        <v>7653</v>
      </c>
      <c r="J225" s="8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8" t="s">
        <v>1273</v>
      </c>
      <c r="E226" s="8" t="s">
        <v>5310</v>
      </c>
      <c r="F226" s="8" t="s">
        <v>51</v>
      </c>
      <c r="H226" s="8"/>
      <c r="I226" s="8" t="s">
        <v>7655</v>
      </c>
      <c r="J226" s="8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8" t="s">
        <v>587</v>
      </c>
      <c r="E227" s="8" t="s">
        <v>5310</v>
      </c>
      <c r="F227" s="8" t="s">
        <v>7738</v>
      </c>
      <c r="H227" s="8"/>
      <c r="I227" s="8" t="s">
        <v>7657</v>
      </c>
      <c r="J227" s="8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8" t="s">
        <v>1607</v>
      </c>
      <c r="E228" s="8" t="s">
        <v>8</v>
      </c>
      <c r="F228" s="8"/>
      <c r="H228" s="8"/>
      <c r="I228" s="8" t="s">
        <v>7659</v>
      </c>
      <c r="J228" s="8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8" t="s">
        <v>1607</v>
      </c>
      <c r="E229" s="8" t="s">
        <v>8</v>
      </c>
      <c r="F229" s="8"/>
      <c r="H229" s="8"/>
      <c r="I229" s="8" t="s">
        <v>7766</v>
      </c>
      <c r="J229" s="8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8" t="s">
        <v>1607</v>
      </c>
      <c r="E230" s="8" t="s">
        <v>8</v>
      </c>
      <c r="F230" s="8"/>
      <c r="H230" s="8"/>
      <c r="I230" s="8" t="s">
        <v>7768</v>
      </c>
      <c r="J230" s="8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8" t="s">
        <v>1273</v>
      </c>
      <c r="E231" s="8" t="s">
        <v>8099</v>
      </c>
      <c r="F231" s="8"/>
      <c r="H231" s="8" t="s">
        <v>4390</v>
      </c>
      <c r="I231" s="8" t="s">
        <v>7926</v>
      </c>
      <c r="J231" s="8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8" t="s">
        <v>587</v>
      </c>
      <c r="E232" s="8" t="s">
        <v>8099</v>
      </c>
      <c r="F232" s="8"/>
      <c r="H232" s="8"/>
      <c r="I232" s="8" t="s">
        <v>7928</v>
      </c>
      <c r="J232" s="8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8" t="s">
        <v>1273</v>
      </c>
      <c r="E233" s="8" t="s">
        <v>3358</v>
      </c>
      <c r="F233" s="8"/>
      <c r="H233" s="8" t="s">
        <v>4390</v>
      </c>
      <c r="I233" s="8" t="s">
        <v>7930</v>
      </c>
      <c r="J233" s="8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8" t="s">
        <v>587</v>
      </c>
      <c r="E234" s="8" t="s">
        <v>3358</v>
      </c>
      <c r="F234" s="8"/>
      <c r="H234" s="8"/>
      <c r="I234" s="8" t="s">
        <v>7932</v>
      </c>
      <c r="J234" s="8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8" t="s">
        <v>1273</v>
      </c>
      <c r="E235" s="8" t="s">
        <v>8118</v>
      </c>
      <c r="F235" s="8" t="s">
        <v>4070</v>
      </c>
      <c r="H235" s="8"/>
      <c r="I235" s="8" t="s">
        <v>8120</v>
      </c>
      <c r="J235" s="8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8" t="s">
        <v>4921</v>
      </c>
      <c r="E236" s="8" t="s">
        <v>8118</v>
      </c>
      <c r="F236" s="8" t="s">
        <v>4070</v>
      </c>
      <c r="H236" s="8" t="s">
        <v>4390</v>
      </c>
      <c r="I236" s="8" t="s">
        <v>8122</v>
      </c>
      <c r="J236" s="8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8" t="s">
        <v>587</v>
      </c>
      <c r="E237" s="8" t="s">
        <v>8118</v>
      </c>
      <c r="F237" s="8" t="s">
        <v>4070</v>
      </c>
      <c r="H237" s="8"/>
      <c r="I237" s="8" t="s">
        <v>8124</v>
      </c>
      <c r="J237" s="8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8" t="s">
        <v>1607</v>
      </c>
      <c r="E238" s="8" t="s">
        <v>8</v>
      </c>
      <c r="F238" s="8"/>
      <c r="H238" s="8"/>
      <c r="I238" s="8" t="s">
        <v>8375</v>
      </c>
      <c r="J238" s="8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8" t="s">
        <v>1607</v>
      </c>
      <c r="E239" s="8" t="s">
        <v>8</v>
      </c>
      <c r="F239" s="8"/>
      <c r="H239" s="8"/>
      <c r="I239" s="8" t="s">
        <v>8377</v>
      </c>
      <c r="J239" s="8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8" t="s">
        <v>1607</v>
      </c>
      <c r="E240" s="8" t="s">
        <v>8</v>
      </c>
      <c r="F240" s="8"/>
      <c r="H240" s="8"/>
      <c r="I240" s="8" t="s">
        <v>8442</v>
      </c>
      <c r="J240" s="8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8" t="s">
        <v>1607</v>
      </c>
      <c r="E241" s="8" t="s">
        <v>8</v>
      </c>
      <c r="F241" s="8"/>
      <c r="H241" s="8"/>
      <c r="I241" s="8" t="s">
        <v>8444</v>
      </c>
      <c r="J241" s="8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8" t="s">
        <v>136</v>
      </c>
      <c r="E242" s="8" t="s">
        <v>1274</v>
      </c>
      <c r="F242" s="8" t="s">
        <v>2345</v>
      </c>
      <c r="G242">
        <v>1</v>
      </c>
      <c r="H242" s="8" t="s">
        <v>2461</v>
      </c>
      <c r="I242" s="8" t="s">
        <v>8531</v>
      </c>
      <c r="J242" s="8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8" t="s">
        <v>136</v>
      </c>
      <c r="E243" s="8" t="s">
        <v>1274</v>
      </c>
      <c r="F243" s="8" t="s">
        <v>2345</v>
      </c>
      <c r="G243">
        <v>1</v>
      </c>
      <c r="H243" s="8" t="s">
        <v>2461</v>
      </c>
      <c r="I243" s="8" t="s">
        <v>8533</v>
      </c>
      <c r="J243" s="8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8" t="s">
        <v>136</v>
      </c>
      <c r="E244" s="8" t="s">
        <v>1274</v>
      </c>
      <c r="F244" s="8" t="s">
        <v>2345</v>
      </c>
      <c r="G244">
        <v>1</v>
      </c>
      <c r="H244" s="8" t="s">
        <v>2461</v>
      </c>
      <c r="I244" s="8" t="s">
        <v>8535</v>
      </c>
      <c r="J244" s="8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8" t="s">
        <v>136</v>
      </c>
      <c r="E245" s="8" t="s">
        <v>1274</v>
      </c>
      <c r="F245" s="8" t="s">
        <v>2345</v>
      </c>
      <c r="G245">
        <v>1</v>
      </c>
      <c r="H245" s="8" t="s">
        <v>2461</v>
      </c>
      <c r="I245" s="8" t="s">
        <v>8537</v>
      </c>
      <c r="J245" s="8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8" t="s">
        <v>226</v>
      </c>
      <c r="E246" s="8" t="s">
        <v>8714</v>
      </c>
      <c r="F246" s="8" t="s">
        <v>2345</v>
      </c>
      <c r="G246">
        <v>1</v>
      </c>
      <c r="H246" s="8"/>
      <c r="I246" s="8" t="s">
        <v>8539</v>
      </c>
      <c r="J246" s="8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8" t="s">
        <v>226</v>
      </c>
      <c r="E247" s="8" t="s">
        <v>8714</v>
      </c>
      <c r="F247" s="8" t="s">
        <v>2345</v>
      </c>
      <c r="G247">
        <v>1</v>
      </c>
      <c r="H247" s="8" t="s">
        <v>2352</v>
      </c>
      <c r="I247" s="8" t="s">
        <v>8542</v>
      </c>
      <c r="J247" s="8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8" t="s">
        <v>226</v>
      </c>
      <c r="E248" s="8" t="s">
        <v>8714</v>
      </c>
      <c r="F248" s="8" t="s">
        <v>2345</v>
      </c>
      <c r="G248">
        <v>1</v>
      </c>
      <c r="H248" s="8" t="s">
        <v>2352</v>
      </c>
      <c r="I248" s="8" t="s">
        <v>8545</v>
      </c>
      <c r="J248" s="8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8" t="s">
        <v>226</v>
      </c>
      <c r="E249" s="8" t="s">
        <v>8714</v>
      </c>
      <c r="F249" s="8" t="s">
        <v>2345</v>
      </c>
      <c r="G249">
        <v>1</v>
      </c>
      <c r="H249" s="8" t="s">
        <v>2352</v>
      </c>
      <c r="I249" s="8" t="s">
        <v>8548</v>
      </c>
      <c r="J249" s="8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8" t="s">
        <v>587</v>
      </c>
      <c r="E250" s="8" t="s">
        <v>8714</v>
      </c>
      <c r="F250" s="8" t="s">
        <v>58</v>
      </c>
      <c r="H250" s="8" t="s">
        <v>7461</v>
      </c>
      <c r="I250" s="8" t="s">
        <v>8551</v>
      </c>
      <c r="J250" s="8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8" t="s">
        <v>136</v>
      </c>
      <c r="E251" s="8" t="s">
        <v>1274</v>
      </c>
      <c r="F251" s="8" t="s">
        <v>2345</v>
      </c>
      <c r="G251">
        <v>1</v>
      </c>
      <c r="H251" s="8" t="s">
        <v>2461</v>
      </c>
      <c r="I251" s="8" t="s">
        <v>8553</v>
      </c>
      <c r="J251" s="8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8" t="s">
        <v>136</v>
      </c>
      <c r="E252" s="8" t="s">
        <v>1274</v>
      </c>
      <c r="F252" s="8" t="s">
        <v>2345</v>
      </c>
      <c r="G252">
        <v>2</v>
      </c>
      <c r="H252" s="8" t="s">
        <v>2461</v>
      </c>
      <c r="I252" s="8" t="s">
        <v>8555</v>
      </c>
      <c r="J252" s="8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8" t="s">
        <v>136</v>
      </c>
      <c r="E253" s="8" t="s">
        <v>1274</v>
      </c>
      <c r="F253" s="8" t="s">
        <v>2345</v>
      </c>
      <c r="G253">
        <v>2</v>
      </c>
      <c r="H253" s="8" t="s">
        <v>2461</v>
      </c>
      <c r="I253" s="8" t="s">
        <v>8557</v>
      </c>
      <c r="J253" s="8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8" t="s">
        <v>136</v>
      </c>
      <c r="E254" s="8" t="s">
        <v>1274</v>
      </c>
      <c r="F254" s="8" t="s">
        <v>2345</v>
      </c>
      <c r="G254">
        <v>2</v>
      </c>
      <c r="H254" s="8" t="s">
        <v>2461</v>
      </c>
      <c r="I254" s="8" t="s">
        <v>8559</v>
      </c>
      <c r="J254" s="8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8" t="s">
        <v>470</v>
      </c>
      <c r="E255" s="8" t="s">
        <v>468</v>
      </c>
      <c r="F255" s="8" t="s">
        <v>2345</v>
      </c>
      <c r="H255" s="8" t="s">
        <v>8715</v>
      </c>
      <c r="I255" s="8" t="s">
        <v>8561</v>
      </c>
      <c r="J255" s="8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8" t="s">
        <v>470</v>
      </c>
      <c r="E256" s="8" t="s">
        <v>468</v>
      </c>
      <c r="F256" s="8" t="s">
        <v>2345</v>
      </c>
      <c r="H256" s="8" t="s">
        <v>8715</v>
      </c>
      <c r="I256" s="8" t="s">
        <v>8563</v>
      </c>
      <c r="J256" s="8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8" t="s">
        <v>470</v>
      </c>
      <c r="E257" s="8" t="s">
        <v>468</v>
      </c>
      <c r="F257" s="8" t="s">
        <v>2345</v>
      </c>
      <c r="H257" s="8" t="s">
        <v>8715</v>
      </c>
      <c r="I257" s="8" t="s">
        <v>8565</v>
      </c>
      <c r="J257" s="8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8" t="s">
        <v>470</v>
      </c>
      <c r="E258" s="8" t="s">
        <v>468</v>
      </c>
      <c r="F258" s="8" t="s">
        <v>2345</v>
      </c>
      <c r="H258" s="8" t="s">
        <v>8715</v>
      </c>
      <c r="I258" s="8" t="s">
        <v>8567</v>
      </c>
      <c r="J258" s="8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8" t="s">
        <v>470</v>
      </c>
      <c r="E259" s="8" t="s">
        <v>468</v>
      </c>
      <c r="F259" s="8" t="s">
        <v>2345</v>
      </c>
      <c r="H259" s="8" t="s">
        <v>8715</v>
      </c>
      <c r="I259" s="8" t="s">
        <v>8569</v>
      </c>
      <c r="J259" s="8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8" t="s">
        <v>470</v>
      </c>
      <c r="E260" s="8" t="s">
        <v>468</v>
      </c>
      <c r="F260" s="8" t="s">
        <v>2345</v>
      </c>
      <c r="H260" s="8" t="s">
        <v>8715</v>
      </c>
      <c r="I260" s="8" t="s">
        <v>8571</v>
      </c>
      <c r="J260" s="8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8" t="s">
        <v>470</v>
      </c>
      <c r="E261" s="8" t="s">
        <v>468</v>
      </c>
      <c r="F261" s="8" t="s">
        <v>2345</v>
      </c>
      <c r="H261" s="8" t="s">
        <v>8715</v>
      </c>
      <c r="I261" s="8" t="s">
        <v>8573</v>
      </c>
      <c r="J261" s="8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8" t="s">
        <v>470</v>
      </c>
      <c r="E262" s="8" t="s">
        <v>468</v>
      </c>
      <c r="F262" s="8" t="s">
        <v>2345</v>
      </c>
      <c r="H262" s="8" t="s">
        <v>8715</v>
      </c>
      <c r="I262" s="8" t="s">
        <v>8575</v>
      </c>
      <c r="J262" s="8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8" t="s">
        <v>470</v>
      </c>
      <c r="E263" s="8" t="s">
        <v>468</v>
      </c>
      <c r="F263" s="8" t="s">
        <v>2345</v>
      </c>
      <c r="H263" s="8" t="s">
        <v>8715</v>
      </c>
      <c r="I263" s="8" t="s">
        <v>8577</v>
      </c>
      <c r="J263" s="8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8" t="s">
        <v>470</v>
      </c>
      <c r="E264" s="8" t="s">
        <v>468</v>
      </c>
      <c r="F264" s="8" t="s">
        <v>2345</v>
      </c>
      <c r="H264" s="8" t="s">
        <v>8715</v>
      </c>
      <c r="I264" s="8" t="s">
        <v>8579</v>
      </c>
      <c r="J264" s="8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8" t="s">
        <v>1273</v>
      </c>
      <c r="E265" s="8" t="s">
        <v>8099</v>
      </c>
      <c r="F265" s="8"/>
      <c r="H265" s="8"/>
      <c r="I265" s="8" t="s">
        <v>8720</v>
      </c>
      <c r="J265" s="8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8" t="s">
        <v>587</v>
      </c>
      <c r="E266" s="8" t="s">
        <v>8099</v>
      </c>
      <c r="F266" s="8"/>
      <c r="H266" s="8"/>
      <c r="I266" s="8" t="s">
        <v>8722</v>
      </c>
      <c r="J266" s="8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8" t="s">
        <v>1607</v>
      </c>
      <c r="E267" s="8" t="s">
        <v>8</v>
      </c>
      <c r="F267" s="8"/>
      <c r="H267" s="8"/>
      <c r="I267" s="8" t="s">
        <v>8822</v>
      </c>
      <c r="J267" s="8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8" t="s">
        <v>1607</v>
      </c>
      <c r="E268" s="8" t="s">
        <v>8</v>
      </c>
      <c r="F268" s="8"/>
      <c r="H268" s="8"/>
      <c r="I268" s="8" t="s">
        <v>8824</v>
      </c>
      <c r="J268" s="8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8" t="s">
        <v>1607</v>
      </c>
      <c r="E269" s="8" t="s">
        <v>8</v>
      </c>
      <c r="F269" s="8"/>
      <c r="H269" s="8"/>
      <c r="I269" s="8" t="s">
        <v>8926</v>
      </c>
      <c r="J269" s="8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8" t="s">
        <v>4</v>
      </c>
      <c r="E270" s="8" t="s">
        <v>8099</v>
      </c>
      <c r="F270" s="8"/>
      <c r="H270" s="8"/>
      <c r="I270" s="8" t="s">
        <v>8928</v>
      </c>
      <c r="J270" s="8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8" t="s">
        <v>136</v>
      </c>
      <c r="E271" s="8" t="s">
        <v>86</v>
      </c>
      <c r="F271" s="8" t="s">
        <v>60</v>
      </c>
      <c r="G271">
        <v>1</v>
      </c>
      <c r="H271" s="8" t="s">
        <v>2461</v>
      </c>
      <c r="I271" s="8" t="s">
        <v>9144</v>
      </c>
      <c r="J271" s="8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8" t="s">
        <v>136</v>
      </c>
      <c r="E272" s="8" t="s">
        <v>86</v>
      </c>
      <c r="F272" s="8" t="s">
        <v>58</v>
      </c>
      <c r="H272" s="8" t="s">
        <v>2461</v>
      </c>
      <c r="I272" s="8" t="s">
        <v>9146</v>
      </c>
      <c r="J272" s="8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8" t="s">
        <v>136</v>
      </c>
      <c r="E273" s="8" t="s">
        <v>86</v>
      </c>
      <c r="F273" s="8" t="s">
        <v>58</v>
      </c>
      <c r="H273" s="8" t="s">
        <v>2461</v>
      </c>
      <c r="I273" s="8" t="s">
        <v>9148</v>
      </c>
      <c r="J273" s="8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8" t="s">
        <v>470</v>
      </c>
      <c r="E274" s="8" t="s">
        <v>468</v>
      </c>
      <c r="F274" s="8" t="s">
        <v>2345</v>
      </c>
      <c r="H274" s="8" t="s">
        <v>8715</v>
      </c>
      <c r="I274" s="8" t="s">
        <v>9150</v>
      </c>
      <c r="J274" s="8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8" t="s">
        <v>470</v>
      </c>
      <c r="E275" s="8" t="s">
        <v>468</v>
      </c>
      <c r="F275" s="8" t="s">
        <v>2345</v>
      </c>
      <c r="H275" s="8" t="s">
        <v>8715</v>
      </c>
      <c r="I275" s="8" t="s">
        <v>9152</v>
      </c>
      <c r="J275" s="8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8" t="s">
        <v>470</v>
      </c>
      <c r="E276" s="8" t="s">
        <v>468</v>
      </c>
      <c r="F276" s="8" t="s">
        <v>2345</v>
      </c>
      <c r="H276" s="8" t="s">
        <v>8715</v>
      </c>
      <c r="I276" s="8" t="s">
        <v>9154</v>
      </c>
      <c r="J276" s="8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8" t="s">
        <v>470</v>
      </c>
      <c r="E277" s="8" t="s">
        <v>468</v>
      </c>
      <c r="F277" s="8" t="s">
        <v>2345</v>
      </c>
      <c r="H277" s="8" t="s">
        <v>8715</v>
      </c>
      <c r="I277" s="8" t="s">
        <v>9156</v>
      </c>
      <c r="J277" s="8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8" t="s">
        <v>1607</v>
      </c>
      <c r="E278" s="8" t="s">
        <v>8</v>
      </c>
      <c r="F278" s="8"/>
      <c r="H278" s="8"/>
      <c r="I278" s="8" t="s">
        <v>9326</v>
      </c>
      <c r="J278" s="8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8" t="s">
        <v>1607</v>
      </c>
      <c r="E279" s="8" t="s">
        <v>8</v>
      </c>
      <c r="F279" s="8"/>
      <c r="H279" s="8"/>
      <c r="I279" s="8" t="s">
        <v>9413</v>
      </c>
      <c r="J279" s="8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8" t="s">
        <v>1607</v>
      </c>
      <c r="E280" s="8" t="s">
        <v>8</v>
      </c>
      <c r="F280" s="8"/>
      <c r="H280" s="8"/>
      <c r="I280" s="8" t="s">
        <v>10604</v>
      </c>
      <c r="J280" s="8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8" t="s">
        <v>1607</v>
      </c>
      <c r="E281" s="8" t="s">
        <v>8</v>
      </c>
      <c r="F281" s="8"/>
      <c r="H281" s="8"/>
      <c r="I281" s="8" t="s">
        <v>10606</v>
      </c>
      <c r="J281" s="8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8" t="s">
        <v>1607</v>
      </c>
      <c r="E282" s="8" t="s">
        <v>8</v>
      </c>
      <c r="F282" s="8"/>
      <c r="H282" s="8"/>
      <c r="I282" s="8" t="s">
        <v>13491</v>
      </c>
      <c r="J282" s="8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8" t="s">
        <v>13845</v>
      </c>
      <c r="E283" s="8" t="s">
        <v>86</v>
      </c>
      <c r="F283" s="8"/>
      <c r="H283" s="8"/>
      <c r="I283" s="8" t="s">
        <v>13494</v>
      </c>
      <c r="J283" s="8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8" t="s">
        <v>13846</v>
      </c>
      <c r="E284" s="8" t="s">
        <v>86</v>
      </c>
      <c r="F284" s="8"/>
      <c r="H284" s="8"/>
      <c r="I284" s="8" t="s">
        <v>13497</v>
      </c>
      <c r="J284" s="8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8" t="s">
        <v>1607</v>
      </c>
      <c r="E285" s="8" t="s">
        <v>8</v>
      </c>
      <c r="F285" s="8"/>
      <c r="H285" s="8"/>
      <c r="I285" s="8" t="s">
        <v>13906</v>
      </c>
      <c r="J285" s="8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8" t="s">
        <v>1607</v>
      </c>
      <c r="E286" s="8" t="s">
        <v>8</v>
      </c>
      <c r="F286" s="8"/>
      <c r="H286" s="8"/>
      <c r="I286" s="8" t="s">
        <v>13909</v>
      </c>
      <c r="J286" s="8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8" t="s">
        <v>4</v>
      </c>
      <c r="E287" s="8" t="s">
        <v>16651</v>
      </c>
      <c r="F287" s="8"/>
      <c r="H287" s="8"/>
      <c r="I287" s="8" t="s">
        <v>14096</v>
      </c>
      <c r="J287" s="8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8" t="s">
        <v>4</v>
      </c>
      <c r="E288" s="8" t="s">
        <v>16652</v>
      </c>
      <c r="F288" s="8"/>
      <c r="H288" s="8"/>
      <c r="I288" s="8" t="s">
        <v>14099</v>
      </c>
      <c r="J288" s="8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8" t="s">
        <v>9140</v>
      </c>
      <c r="E289" s="8" t="s">
        <v>86</v>
      </c>
      <c r="F289" s="8"/>
      <c r="H289" s="8"/>
      <c r="I289" s="8" t="s">
        <v>14102</v>
      </c>
      <c r="J289" s="8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8" t="s">
        <v>1607</v>
      </c>
      <c r="E290" s="8" t="s">
        <v>8</v>
      </c>
      <c r="F290" s="8"/>
      <c r="H290" s="8"/>
      <c r="I290" s="8" t="s">
        <v>14105</v>
      </c>
      <c r="J290" s="8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8" t="s">
        <v>1607</v>
      </c>
      <c r="E291" s="8" t="s">
        <v>8</v>
      </c>
      <c r="F291" s="8"/>
      <c r="H291" s="8"/>
      <c r="I291" s="8" t="s">
        <v>14108</v>
      </c>
      <c r="J291" s="8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8" t="s">
        <v>4</v>
      </c>
      <c r="E292" s="8" t="s">
        <v>16651</v>
      </c>
      <c r="F292" s="8"/>
      <c r="H292" s="8"/>
      <c r="I292" s="8" t="s">
        <v>14111</v>
      </c>
      <c r="J292" s="8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8" t="s">
        <v>1607</v>
      </c>
      <c r="E293" s="8" t="s">
        <v>8</v>
      </c>
      <c r="F293" s="8"/>
      <c r="H293" s="8"/>
      <c r="I293" s="8" t="s">
        <v>14114</v>
      </c>
      <c r="J293" s="8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8" t="s">
        <v>1607</v>
      </c>
      <c r="E294" s="8" t="s">
        <v>8</v>
      </c>
      <c r="F294" s="8"/>
      <c r="H294" s="8"/>
      <c r="I294" s="8" t="s">
        <v>14117</v>
      </c>
      <c r="J294" s="8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8" t="s">
        <v>4</v>
      </c>
      <c r="E295" s="8" t="s">
        <v>16651</v>
      </c>
      <c r="F295" s="8"/>
      <c r="H295" s="8"/>
      <c r="I295" s="8" t="s">
        <v>14120</v>
      </c>
      <c r="J295" s="8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8" t="s">
        <v>1607</v>
      </c>
      <c r="E296" s="8" t="s">
        <v>8</v>
      </c>
      <c r="F296" s="8"/>
      <c r="H296" s="8"/>
      <c r="I296" s="8" t="s">
        <v>14123</v>
      </c>
      <c r="J296" s="8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8" t="s">
        <v>4</v>
      </c>
      <c r="E297" s="8" t="s">
        <v>8</v>
      </c>
      <c r="F297" s="8"/>
      <c r="H297" s="8"/>
      <c r="I297" s="8" t="s">
        <v>14126</v>
      </c>
      <c r="J297" s="8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8" t="s">
        <v>1607</v>
      </c>
      <c r="E298" s="8" t="s">
        <v>8</v>
      </c>
      <c r="F298" s="8"/>
      <c r="H298" s="8"/>
      <c r="I298" s="8" t="s">
        <v>14129</v>
      </c>
      <c r="J298" s="8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8" t="s">
        <v>4</v>
      </c>
      <c r="E299" s="8" t="s">
        <v>8</v>
      </c>
      <c r="F299" s="8"/>
      <c r="H299" s="8"/>
      <c r="I299" s="8" t="s">
        <v>16692</v>
      </c>
      <c r="J299" s="8" t="s">
        <v>12794</v>
      </c>
      <c r="K299" t="s">
        <v>16693</v>
      </c>
      <c r="L299" t="s">
        <v>16694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8" t="s">
        <v>1607</v>
      </c>
      <c r="E300" s="8" t="s">
        <v>8</v>
      </c>
      <c r="F300" s="8"/>
      <c r="H300" s="8"/>
      <c r="I300" s="8" t="s">
        <v>16695</v>
      </c>
      <c r="J300" s="8" t="s">
        <v>12794</v>
      </c>
      <c r="K300" t="s">
        <v>16696</v>
      </c>
      <c r="L300" t="s">
        <v>16697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8" t="s">
        <v>4</v>
      </c>
      <c r="E301" s="8" t="s">
        <v>8</v>
      </c>
      <c r="F301" s="8"/>
      <c r="H301" s="8"/>
      <c r="I301" s="8" t="s">
        <v>16698</v>
      </c>
      <c r="J301" s="8" t="s">
        <v>12794</v>
      </c>
      <c r="K301" t="s">
        <v>16699</v>
      </c>
      <c r="L301" t="s">
        <v>16700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8" t="s">
        <v>1607</v>
      </c>
      <c r="E302" s="8" t="s">
        <v>8</v>
      </c>
      <c r="F302" s="8"/>
      <c r="H302" s="8"/>
      <c r="I302" s="8" t="s">
        <v>16701</v>
      </c>
      <c r="J302" s="8" t="s">
        <v>12794</v>
      </c>
      <c r="K302" t="s">
        <v>16702</v>
      </c>
      <c r="L302" t="s">
        <v>16703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8" t="s">
        <v>4</v>
      </c>
      <c r="E303" s="8" t="s">
        <v>8</v>
      </c>
      <c r="F303" s="8"/>
      <c r="H303" s="8"/>
      <c r="I303" s="8" t="s">
        <v>16704</v>
      </c>
      <c r="J303" s="8" t="s">
        <v>12794</v>
      </c>
      <c r="K303" t="s">
        <v>16705</v>
      </c>
      <c r="L303" t="s">
        <v>16706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8" t="s">
        <v>1607</v>
      </c>
      <c r="E304" s="8" t="s">
        <v>8</v>
      </c>
      <c r="F304" s="8"/>
      <c r="H304" s="8"/>
      <c r="I304" s="8" t="s">
        <v>16707</v>
      </c>
      <c r="J304" s="8" t="s">
        <v>12794</v>
      </c>
      <c r="K304" t="s">
        <v>16708</v>
      </c>
      <c r="L304" t="s">
        <v>16709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8" t="s">
        <v>13845</v>
      </c>
      <c r="E305" s="8" t="s">
        <v>86</v>
      </c>
      <c r="F305" s="8"/>
      <c r="H305" s="8"/>
      <c r="I305" s="8" t="s">
        <v>17491</v>
      </c>
      <c r="J305" s="8" t="s">
        <v>12794</v>
      </c>
      <c r="K305" t="s">
        <v>17492</v>
      </c>
      <c r="L305" t="s">
        <v>17493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8" t="s">
        <v>17896</v>
      </c>
      <c r="E306" s="8" t="s">
        <v>1274</v>
      </c>
      <c r="F306" s="8"/>
      <c r="H306" s="8"/>
      <c r="I306" s="8" t="s">
        <v>17494</v>
      </c>
      <c r="J306" s="8" t="s">
        <v>12794</v>
      </c>
      <c r="K306" t="s">
        <v>17495</v>
      </c>
      <c r="L306" t="s">
        <v>17496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8" t="s">
        <v>9140</v>
      </c>
      <c r="E307" s="8" t="s">
        <v>86</v>
      </c>
      <c r="F307" s="8"/>
      <c r="H307" s="8"/>
      <c r="I307" s="8" t="s">
        <v>17497</v>
      </c>
      <c r="J307" s="8" t="s">
        <v>12794</v>
      </c>
      <c r="K307" t="s">
        <v>17498</v>
      </c>
      <c r="L307" t="s">
        <v>17499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8" t="s">
        <v>4</v>
      </c>
      <c r="E308" s="8" t="s">
        <v>8</v>
      </c>
      <c r="F308" s="8"/>
      <c r="H308" s="8"/>
      <c r="I308" s="8" t="s">
        <v>17500</v>
      </c>
      <c r="J308" s="8" t="s">
        <v>12794</v>
      </c>
      <c r="K308" t="s">
        <v>17501</v>
      </c>
      <c r="L308" t="s">
        <v>17502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8" t="s">
        <v>17896</v>
      </c>
      <c r="E309" s="8" t="s">
        <v>86</v>
      </c>
      <c r="F309" s="8"/>
      <c r="H309" s="8"/>
      <c r="I309" s="8" t="s">
        <v>17917</v>
      </c>
      <c r="J309" s="8" t="s">
        <v>12794</v>
      </c>
      <c r="K309" t="s">
        <v>17918</v>
      </c>
      <c r="L309" t="s">
        <v>17919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8" t="s">
        <v>4</v>
      </c>
      <c r="E310" s="8" t="s">
        <v>8</v>
      </c>
      <c r="F310" s="8"/>
      <c r="H310" s="8"/>
      <c r="I310" s="8" t="s">
        <v>17920</v>
      </c>
      <c r="J310" s="8" t="s">
        <v>12794</v>
      </c>
      <c r="K310" t="s">
        <v>17921</v>
      </c>
      <c r="L310" t="s">
        <v>17922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s="8" t="s">
        <v>4</v>
      </c>
      <c r="E311" s="8" t="s">
        <v>16651</v>
      </c>
      <c r="F311" s="8"/>
      <c r="H311" s="8"/>
      <c r="I311" s="8" t="s">
        <v>18354</v>
      </c>
      <c r="J311" s="8" t="s">
        <v>12794</v>
      </c>
      <c r="K311" t="s">
        <v>18355</v>
      </c>
      <c r="L311" t="s">
        <v>18356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s="8" t="s">
        <v>1607</v>
      </c>
      <c r="E312" s="8" t="s">
        <v>8</v>
      </c>
      <c r="F312" s="8"/>
      <c r="H312" s="8"/>
      <c r="I312" s="8" t="s">
        <v>18357</v>
      </c>
      <c r="J312" s="8" t="s">
        <v>12794</v>
      </c>
      <c r="K312" t="s">
        <v>18358</v>
      </c>
      <c r="L312" t="s">
        <v>18359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s="8" t="s">
        <v>4</v>
      </c>
      <c r="E313" s="8" t="s">
        <v>8</v>
      </c>
      <c r="F313" s="8"/>
      <c r="H313" s="8"/>
      <c r="I313" s="8" t="s">
        <v>18892</v>
      </c>
      <c r="J313" s="8" t="s">
        <v>12794</v>
      </c>
      <c r="K313" t="s">
        <v>18893</v>
      </c>
      <c r="L313" t="s">
        <v>18894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s="8" t="s">
        <v>1607</v>
      </c>
      <c r="E314" s="8" t="s">
        <v>8</v>
      </c>
      <c r="F314" s="8"/>
      <c r="H314" s="8"/>
      <c r="I314" s="8" t="s">
        <v>18895</v>
      </c>
      <c r="J314" s="8" t="s">
        <v>12794</v>
      </c>
      <c r="K314" t="s">
        <v>18896</v>
      </c>
      <c r="L314" t="s">
        <v>18897</v>
      </c>
      <c r="M314" s="2" t="str">
        <f>HYPERLINK(склад2въезд14[[#This Row],[RelativePath]])</f>
        <v>2 Поката пилорама\GA3948333_8_20260313T172808Z.jpg</v>
      </c>
    </row>
  </sheetData>
  <conditionalFormatting sqref="D315:D325 E315:E328 G2:H314 D2:E314">
    <cfRule type="containsText" dxfId="861" priority="14" operator="containsText" text="Выезд с территории">
      <formula>NOT(ISERROR(SEARCH("Выезд с территории",D2)))</formula>
    </cfRule>
  </conditionalFormatting>
  <conditionalFormatting sqref="F2:F314">
    <cfRule type="notContainsText" dxfId="860" priority="13" operator="notContains" text="порожний">
      <formula>ISERROR(SEARCH("порожний",F2))</formula>
    </cfRule>
  </conditionalFormatting>
  <conditionalFormatting sqref="E2:E328">
    <cfRule type="containsText" dxfId="859" priority="11" operator="containsText" text="Газель базы">
      <formula>NOT(ISERROR(SEARCH("Газель базы",E2)))</formula>
    </cfRule>
    <cfRule type="containsText" dxfId="858" priority="12" operator="containsText" text="Погрузчик базы">
      <formula>NOT(ISERROR(SEARCH("Погрузчик базы",E2)))</formula>
    </cfRule>
  </conditionalFormatting>
  <conditionalFormatting sqref="E2:E328">
    <cfRule type="containsText" dxfId="857" priority="10" operator="containsText" text="Трактор базы">
      <formula>NOT(ISERROR(SEARCH("Трактор базы",E2)))</formula>
    </cfRule>
  </conditionalFormatting>
  <conditionalFormatting sqref="A2:C314">
    <cfRule type="expression" dxfId="856" priority="9">
      <formula>$A2="пн"</formula>
    </cfRule>
  </conditionalFormatting>
  <conditionalFormatting sqref="A2:C316">
    <cfRule type="expression" dxfId="855" priority="3">
      <formula>$A2="вс"</formula>
    </cfRule>
    <cfRule type="expression" dxfId="854" priority="4">
      <formula>$A2="сб"</formula>
    </cfRule>
    <cfRule type="expression" dxfId="853" priority="5">
      <formula>$A2="пт"</formula>
    </cfRule>
    <cfRule type="expression" dxfId="852" priority="6">
      <formula>$A2="чт"</formula>
    </cfRule>
    <cfRule type="expression" dxfId="851" priority="7">
      <formula>$A2="ср"</formula>
    </cfRule>
    <cfRule type="expression" dxfId="850" priority="8">
      <formula>$A2="вт"</formula>
    </cfRule>
  </conditionalFormatting>
  <conditionalFormatting sqref="D2:D325">
    <cfRule type="containsText" dxfId="84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5">
    <cfRule type="containsText" dxfId="84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224"/>
  <sheetViews>
    <sheetView tabSelected="1" zoomScale="90" zoomScaleNormal="90" workbookViewId="0">
      <pane ySplit="1" topLeftCell="A200" activePane="bottomLeft" state="frozen"/>
      <selection pane="bottomLeft" activeCell="I221" sqref="I221:I22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3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8" t="s">
        <v>4</v>
      </c>
      <c r="E2" s="8" t="s">
        <v>8</v>
      </c>
      <c r="F2" s="8"/>
      <c r="H2" s="8"/>
      <c r="I2" s="8" t="s">
        <v>168</v>
      </c>
      <c r="J2" s="8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8" t="s">
        <v>4</v>
      </c>
      <c r="E3" s="8" t="s">
        <v>8</v>
      </c>
      <c r="F3" s="8"/>
      <c r="H3" s="8"/>
      <c r="I3" s="8" t="s">
        <v>171</v>
      </c>
      <c r="J3" s="8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8" t="s">
        <v>4</v>
      </c>
      <c r="E4" s="8" t="s">
        <v>8</v>
      </c>
      <c r="F4" s="8"/>
      <c r="H4" s="8"/>
      <c r="I4" s="8" t="s">
        <v>173</v>
      </c>
      <c r="J4" s="8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8" t="s">
        <v>4</v>
      </c>
      <c r="E5" s="8" t="s">
        <v>8</v>
      </c>
      <c r="F5" s="8"/>
      <c r="H5" s="8"/>
      <c r="I5" s="8" t="s">
        <v>175</v>
      </c>
      <c r="J5" s="8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8" t="s">
        <v>4</v>
      </c>
      <c r="E6" s="8" t="s">
        <v>8</v>
      </c>
      <c r="F6" s="8"/>
      <c r="H6" s="8"/>
      <c r="I6" s="8" t="s">
        <v>177</v>
      </c>
      <c r="J6" s="8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8" t="s">
        <v>4</v>
      </c>
      <c r="E7" s="8" t="s">
        <v>8</v>
      </c>
      <c r="F7" s="8"/>
      <c r="H7" s="8"/>
      <c r="I7" s="8" t="s">
        <v>179</v>
      </c>
      <c r="J7" s="8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8" t="s">
        <v>4</v>
      </c>
      <c r="E8" s="8" t="s">
        <v>8</v>
      </c>
      <c r="F8" s="8"/>
      <c r="H8" s="8"/>
      <c r="I8" s="8" t="s">
        <v>181</v>
      </c>
      <c r="J8" s="8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8" t="s">
        <v>4</v>
      </c>
      <c r="E9" s="8" t="s">
        <v>8</v>
      </c>
      <c r="F9" s="8"/>
      <c r="H9" s="8"/>
      <c r="I9" s="8" t="s">
        <v>183</v>
      </c>
      <c r="J9" s="8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8" t="s">
        <v>4</v>
      </c>
      <c r="E10" s="8" t="s">
        <v>8</v>
      </c>
      <c r="F10" s="8"/>
      <c r="H10" s="8"/>
      <c r="I10" s="8" t="s">
        <v>185</v>
      </c>
      <c r="J10" s="8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8" t="s">
        <v>4</v>
      </c>
      <c r="E11" s="8" t="s">
        <v>8</v>
      </c>
      <c r="F11" s="8"/>
      <c r="H11" s="8"/>
      <c r="I11" s="8" t="s">
        <v>187</v>
      </c>
      <c r="J11" s="8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8" t="s">
        <v>4</v>
      </c>
      <c r="E12" s="8" t="s">
        <v>8</v>
      </c>
      <c r="F12" s="8"/>
      <c r="H12" s="8"/>
      <c r="I12" s="8" t="s">
        <v>189</v>
      </c>
      <c r="J12" s="8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8" t="s">
        <v>4</v>
      </c>
      <c r="E13" s="8" t="s">
        <v>8</v>
      </c>
      <c r="F13" s="8"/>
      <c r="H13" s="8"/>
      <c r="I13" s="8" t="s">
        <v>191</v>
      </c>
      <c r="J13" s="8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8" t="s">
        <v>4</v>
      </c>
      <c r="E14" s="8" t="s">
        <v>8</v>
      </c>
      <c r="F14" s="8"/>
      <c r="H14" s="8"/>
      <c r="I14" s="8" t="s">
        <v>193</v>
      </c>
      <c r="J14" s="8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8" t="s">
        <v>4</v>
      </c>
      <c r="E15" s="8" t="s">
        <v>8</v>
      </c>
      <c r="F15" s="8"/>
      <c r="H15" s="8"/>
      <c r="I15" s="8" t="s">
        <v>195</v>
      </c>
      <c r="J15" s="8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8" t="s">
        <v>4</v>
      </c>
      <c r="E16" s="8" t="s">
        <v>8</v>
      </c>
      <c r="F16" s="8"/>
      <c r="H16" s="8"/>
      <c r="I16" s="8" t="s">
        <v>197</v>
      </c>
      <c r="J16" s="8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8" t="s">
        <v>226</v>
      </c>
      <c r="E17" s="8" t="s">
        <v>66</v>
      </c>
      <c r="F17" s="8" t="s">
        <v>225</v>
      </c>
      <c r="H17" s="8"/>
      <c r="I17" s="8" t="s">
        <v>199</v>
      </c>
      <c r="J17" s="8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8" t="s">
        <v>4</v>
      </c>
      <c r="E18" s="8" t="s">
        <v>8</v>
      </c>
      <c r="F18" s="8"/>
      <c r="H18" s="8"/>
      <c r="I18" s="8" t="s">
        <v>201</v>
      </c>
      <c r="J18" s="8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8" t="s">
        <v>4</v>
      </c>
      <c r="E19" s="8" t="s">
        <v>8</v>
      </c>
      <c r="F19" s="8"/>
      <c r="H19" s="8"/>
      <c r="I19" s="8" t="s">
        <v>203</v>
      </c>
      <c r="J19" s="8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8" t="s">
        <v>4</v>
      </c>
      <c r="E20" s="8" t="s">
        <v>8</v>
      </c>
      <c r="F20" s="8"/>
      <c r="H20" s="8"/>
      <c r="I20" s="8" t="s">
        <v>205</v>
      </c>
      <c r="J20" s="8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8" t="s">
        <v>4</v>
      </c>
      <c r="E21" s="8" t="s">
        <v>8</v>
      </c>
      <c r="F21" s="8"/>
      <c r="H21" s="8"/>
      <c r="I21" s="8" t="s">
        <v>207</v>
      </c>
      <c r="J21" s="8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8" t="s">
        <v>4</v>
      </c>
      <c r="E22" s="8" t="s">
        <v>8</v>
      </c>
      <c r="F22" s="8"/>
      <c r="H22" s="8"/>
      <c r="I22" s="8" t="s">
        <v>209</v>
      </c>
      <c r="J22" s="8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8" t="s">
        <v>4</v>
      </c>
      <c r="E23" s="8" t="s">
        <v>8</v>
      </c>
      <c r="F23" s="8"/>
      <c r="H23" s="8"/>
      <c r="I23" s="8" t="s">
        <v>211</v>
      </c>
      <c r="J23" s="8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8" t="s">
        <v>4</v>
      </c>
      <c r="E24" s="8" t="s">
        <v>8</v>
      </c>
      <c r="F24" s="8"/>
      <c r="H24" s="8"/>
      <c r="I24" s="8" t="s">
        <v>213</v>
      </c>
      <c r="J24" s="8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8" t="s">
        <v>4</v>
      </c>
      <c r="E25" s="8" t="s">
        <v>8</v>
      </c>
      <c r="F25" s="8"/>
      <c r="H25" s="8"/>
      <c r="I25" s="8" t="s">
        <v>215</v>
      </c>
      <c r="J25" s="8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8" t="s">
        <v>4</v>
      </c>
      <c r="E26" s="8" t="s">
        <v>8</v>
      </c>
      <c r="F26" s="8"/>
      <c r="H26" s="8"/>
      <c r="I26" s="8" t="s">
        <v>217</v>
      </c>
      <c r="J26" s="8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8" t="s">
        <v>227</v>
      </c>
      <c r="E27" s="8" t="s">
        <v>66</v>
      </c>
      <c r="F27" s="8" t="s">
        <v>88</v>
      </c>
      <c r="H27" s="8"/>
      <c r="I27" s="8" t="s">
        <v>219</v>
      </c>
      <c r="J27" s="8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8" t="s">
        <v>4</v>
      </c>
      <c r="E28" s="8" t="s">
        <v>8</v>
      </c>
      <c r="F28" s="8"/>
      <c r="H28" s="8"/>
      <c r="I28" s="8" t="s">
        <v>221</v>
      </c>
      <c r="J28" s="8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8" t="s">
        <v>4</v>
      </c>
      <c r="E29" s="8" t="s">
        <v>8</v>
      </c>
      <c r="F29" s="8"/>
      <c r="H29" s="8"/>
      <c r="I29" s="8" t="s">
        <v>223</v>
      </c>
      <c r="J29" s="8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8" t="s">
        <v>4</v>
      </c>
      <c r="E30" s="8" t="s">
        <v>8</v>
      </c>
      <c r="F30" s="8"/>
      <c r="H30" s="8"/>
      <c r="I30" s="8" t="s">
        <v>974</v>
      </c>
      <c r="J30" s="8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8" t="s">
        <v>4</v>
      </c>
      <c r="E31" s="8" t="s">
        <v>1608</v>
      </c>
      <c r="F31" s="8"/>
      <c r="H31" s="8" t="s">
        <v>1609</v>
      </c>
      <c r="I31" s="8" t="s">
        <v>976</v>
      </c>
      <c r="J31" s="8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8" t="s">
        <v>4</v>
      </c>
      <c r="E32" s="8" t="s">
        <v>1608</v>
      </c>
      <c r="F32" s="8"/>
      <c r="H32" s="8" t="s">
        <v>1610</v>
      </c>
      <c r="I32" s="8" t="s">
        <v>978</v>
      </c>
      <c r="J32" s="8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8" t="s">
        <v>4</v>
      </c>
      <c r="E33" s="8" t="s">
        <v>56</v>
      </c>
      <c r="F33" s="8"/>
      <c r="H33" s="8" t="s">
        <v>1611</v>
      </c>
      <c r="I33" s="8" t="s">
        <v>980</v>
      </c>
      <c r="J33" s="8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8" t="s">
        <v>4</v>
      </c>
      <c r="E34" s="8" t="s">
        <v>8</v>
      </c>
      <c r="F34" s="8"/>
      <c r="H34" s="8"/>
      <c r="I34" s="8" t="s">
        <v>982</v>
      </c>
      <c r="J34" s="8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8" t="s">
        <v>4</v>
      </c>
      <c r="E35" s="8" t="s">
        <v>8</v>
      </c>
      <c r="F35" s="8"/>
      <c r="H35" s="8" t="s">
        <v>1292</v>
      </c>
      <c r="I35" s="8" t="s">
        <v>984</v>
      </c>
      <c r="J35" s="8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8" t="s">
        <v>4</v>
      </c>
      <c r="E36" s="8" t="s">
        <v>8</v>
      </c>
      <c r="F36" s="8"/>
      <c r="H36" s="8" t="s">
        <v>1612</v>
      </c>
      <c r="I36" s="8" t="s">
        <v>986</v>
      </c>
      <c r="J36" s="8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8" t="s">
        <v>4</v>
      </c>
      <c r="E37" s="8" t="s">
        <v>8</v>
      </c>
      <c r="F37" s="8"/>
      <c r="H37" s="8" t="s">
        <v>1607</v>
      </c>
      <c r="I37" s="8" t="s">
        <v>988</v>
      </c>
      <c r="J37" s="8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8" t="s">
        <v>4</v>
      </c>
      <c r="E38" s="8" t="s">
        <v>8</v>
      </c>
      <c r="F38" s="8"/>
      <c r="H38" s="8" t="s">
        <v>1292</v>
      </c>
      <c r="I38" s="8" t="s">
        <v>990</v>
      </c>
      <c r="J38" s="8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8" t="s">
        <v>1607</v>
      </c>
      <c r="E39" s="8"/>
      <c r="F39" s="8"/>
      <c r="H39" s="8"/>
      <c r="I39" s="8" t="s">
        <v>1659</v>
      </c>
      <c r="J39" s="8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8" t="s">
        <v>4</v>
      </c>
      <c r="E40" s="8" t="s">
        <v>8</v>
      </c>
      <c r="F40" s="8"/>
      <c r="H40" s="8"/>
      <c r="I40" s="8" t="s">
        <v>1661</v>
      </c>
      <c r="J40" s="8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8" t="s">
        <v>226</v>
      </c>
      <c r="E41" s="8" t="s">
        <v>2343</v>
      </c>
      <c r="F41" s="8" t="s">
        <v>58</v>
      </c>
      <c r="H41" s="8" t="s">
        <v>2344</v>
      </c>
      <c r="I41" s="8" t="s">
        <v>1663</v>
      </c>
      <c r="J41" s="8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8" t="s">
        <v>4</v>
      </c>
      <c r="E42" s="8" t="s">
        <v>8</v>
      </c>
      <c r="F42" s="8"/>
      <c r="H42" s="8"/>
      <c r="I42" s="8" t="s">
        <v>1666</v>
      </c>
      <c r="J42" s="8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8" t="s">
        <v>4</v>
      </c>
      <c r="E43" s="8" t="s">
        <v>8</v>
      </c>
      <c r="F43" s="8"/>
      <c r="H43" s="8"/>
      <c r="I43" s="8" t="s">
        <v>1668</v>
      </c>
      <c r="J43" s="8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8" t="s">
        <v>4</v>
      </c>
      <c r="E44" s="8" t="s">
        <v>8</v>
      </c>
      <c r="F44" s="8"/>
      <c r="H44" s="8"/>
      <c r="I44" s="8" t="s">
        <v>1670</v>
      </c>
      <c r="J44" s="8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8" t="s">
        <v>226</v>
      </c>
      <c r="E45" s="8" t="s">
        <v>2343</v>
      </c>
      <c r="F45" s="8" t="s">
        <v>2345</v>
      </c>
      <c r="H45" s="8" t="s">
        <v>3368</v>
      </c>
      <c r="I45" s="8" t="s">
        <v>1672</v>
      </c>
      <c r="J45" s="8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8" t="s">
        <v>4</v>
      </c>
      <c r="E46" s="8" t="s">
        <v>8</v>
      </c>
      <c r="F46" s="8"/>
      <c r="H46" s="8"/>
      <c r="I46" s="8" t="s">
        <v>1675</v>
      </c>
      <c r="J46" s="8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8" t="s">
        <v>1607</v>
      </c>
      <c r="E47" s="8"/>
      <c r="F47" s="8"/>
      <c r="H47" s="8"/>
      <c r="I47" s="8" t="s">
        <v>1677</v>
      </c>
      <c r="J47" s="8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8" t="s">
        <v>1607</v>
      </c>
      <c r="E48" s="8"/>
      <c r="F48" s="8"/>
      <c r="H48" s="8"/>
      <c r="I48" s="8" t="s">
        <v>1679</v>
      </c>
      <c r="J48" s="8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8" t="s">
        <v>4</v>
      </c>
      <c r="E49" s="8" t="s">
        <v>8</v>
      </c>
      <c r="F49" s="8"/>
      <c r="H49" s="8"/>
      <c r="I49" s="8" t="s">
        <v>2624</v>
      </c>
      <c r="J49" s="8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8" t="s">
        <v>4</v>
      </c>
      <c r="E50" s="8" t="s">
        <v>8</v>
      </c>
      <c r="F50" s="8"/>
      <c r="H50" s="8"/>
      <c r="I50" s="8" t="s">
        <v>2626</v>
      </c>
      <c r="J50" s="8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2628</v>
      </c>
      <c r="J51" s="8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8" t="s">
        <v>4</v>
      </c>
      <c r="E52" s="8" t="s">
        <v>70</v>
      </c>
      <c r="F52" s="8" t="s">
        <v>51</v>
      </c>
      <c r="H52" s="8" t="s">
        <v>3369</v>
      </c>
      <c r="I52" s="8" t="s">
        <v>2630</v>
      </c>
      <c r="J52" s="8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8" t="s">
        <v>4</v>
      </c>
      <c r="E53" s="8" t="s">
        <v>8</v>
      </c>
      <c r="F53" s="8"/>
      <c r="H53" s="8"/>
      <c r="I53" s="8" t="s">
        <v>2632</v>
      </c>
      <c r="J53" s="8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8" t="s">
        <v>1607</v>
      </c>
      <c r="E54" s="8"/>
      <c r="F54" s="8"/>
      <c r="H54" s="8"/>
      <c r="I54" s="8" t="s">
        <v>2634</v>
      </c>
      <c r="J54" s="8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8" t="s">
        <v>4</v>
      </c>
      <c r="E55" s="8" t="s">
        <v>3357</v>
      </c>
      <c r="F55" s="8" t="s">
        <v>58</v>
      </c>
      <c r="H55" s="8"/>
      <c r="I55" s="8" t="s">
        <v>2636</v>
      </c>
      <c r="J55" s="8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8" t="s">
        <v>4</v>
      </c>
      <c r="E56" s="8" t="s">
        <v>8</v>
      </c>
      <c r="F56" s="8"/>
      <c r="H56" s="8"/>
      <c r="I56" s="8" t="s">
        <v>2638</v>
      </c>
      <c r="J56" s="8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8" t="s">
        <v>4</v>
      </c>
      <c r="E57" s="8" t="s">
        <v>8</v>
      </c>
      <c r="F57" s="8"/>
      <c r="H57" s="8"/>
      <c r="I57" s="8" t="s">
        <v>2640</v>
      </c>
      <c r="J57" s="8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8" t="s">
        <v>1607</v>
      </c>
      <c r="E58" s="8"/>
      <c r="F58" s="8"/>
      <c r="H58" s="8"/>
      <c r="I58" s="8" t="s">
        <v>2642</v>
      </c>
      <c r="J58" s="8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8" t="s">
        <v>4</v>
      </c>
      <c r="E59" s="8" t="s">
        <v>8</v>
      </c>
      <c r="F59" s="8"/>
      <c r="H59" s="8"/>
      <c r="I59" s="8" t="s">
        <v>2644</v>
      </c>
      <c r="J59" s="8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8" t="s">
        <v>1607</v>
      </c>
      <c r="E60" s="8"/>
      <c r="F60" s="8"/>
      <c r="H60" s="8"/>
      <c r="I60" s="8" t="s">
        <v>2646</v>
      </c>
      <c r="J60" s="8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8" t="s">
        <v>4</v>
      </c>
      <c r="E61" s="8" t="s">
        <v>8</v>
      </c>
      <c r="F61" s="8"/>
      <c r="H61" s="8"/>
      <c r="I61" s="8" t="s">
        <v>2648</v>
      </c>
      <c r="J61" s="8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8" t="s">
        <v>226</v>
      </c>
      <c r="E62" s="8" t="s">
        <v>2343</v>
      </c>
      <c r="F62" s="8" t="s">
        <v>53</v>
      </c>
      <c r="G62">
        <v>4</v>
      </c>
      <c r="H62" s="8"/>
      <c r="I62" s="8" t="s">
        <v>2650</v>
      </c>
      <c r="J62" s="8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8" t="s">
        <v>4</v>
      </c>
      <c r="E63" s="8" t="s">
        <v>3359</v>
      </c>
      <c r="F63" s="8" t="s">
        <v>3361</v>
      </c>
      <c r="H63" s="8"/>
      <c r="I63" s="8" t="s">
        <v>2653</v>
      </c>
      <c r="J63" s="8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8" t="s">
        <v>1607</v>
      </c>
      <c r="E64" s="8"/>
      <c r="F64" s="8"/>
      <c r="H64" s="8"/>
      <c r="I64" s="8" t="s">
        <v>3423</v>
      </c>
      <c r="J64" s="8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8" t="s">
        <v>4</v>
      </c>
      <c r="E65" s="8" t="s">
        <v>8</v>
      </c>
      <c r="F65" s="8"/>
      <c r="H65" s="8"/>
      <c r="I65" s="8" t="s">
        <v>3665</v>
      </c>
      <c r="J65" s="8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8" t="s">
        <v>4</v>
      </c>
      <c r="E66" s="8" t="s">
        <v>3359</v>
      </c>
      <c r="F66" s="8"/>
      <c r="H66" s="8" t="s">
        <v>4083</v>
      </c>
      <c r="I66" s="8" t="s">
        <v>3667</v>
      </c>
      <c r="J66" s="8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8" t="s">
        <v>4</v>
      </c>
      <c r="E67" s="8" t="s">
        <v>8</v>
      </c>
      <c r="F67" s="8"/>
      <c r="H67" s="8"/>
      <c r="I67" s="8" t="s">
        <v>3669</v>
      </c>
      <c r="J67" s="8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8" t="s">
        <v>4</v>
      </c>
      <c r="E68" s="8" t="s">
        <v>8</v>
      </c>
      <c r="F68" s="8"/>
      <c r="H68" s="8"/>
      <c r="I68" s="8" t="s">
        <v>3671</v>
      </c>
      <c r="J68" s="8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8" t="s">
        <v>226</v>
      </c>
      <c r="E69" s="8" t="s">
        <v>2343</v>
      </c>
      <c r="F69" s="8" t="s">
        <v>53</v>
      </c>
      <c r="G69">
        <v>3</v>
      </c>
      <c r="H69" s="8"/>
      <c r="I69" s="8" t="s">
        <v>4080</v>
      </c>
      <c r="J69" s="8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8" t="s">
        <v>4</v>
      </c>
      <c r="E70" s="8" t="s">
        <v>8</v>
      </c>
      <c r="F70" s="8"/>
      <c r="H70" s="8"/>
      <c r="I70" s="8" t="s">
        <v>3673</v>
      </c>
      <c r="J70" s="8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8" t="s">
        <v>1607</v>
      </c>
      <c r="E71" s="8"/>
      <c r="F71" s="8"/>
      <c r="H71" s="8"/>
      <c r="I71" s="8" t="s">
        <v>3675</v>
      </c>
      <c r="J71" s="8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8" t="s">
        <v>4</v>
      </c>
      <c r="E72" s="8" t="s">
        <v>4235</v>
      </c>
      <c r="F72" s="8" t="s">
        <v>1276</v>
      </c>
      <c r="H72" s="8"/>
      <c r="I72" s="8" t="s">
        <v>4135</v>
      </c>
      <c r="J72" s="8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8" t="s">
        <v>4</v>
      </c>
      <c r="E73" s="8" t="s">
        <v>8</v>
      </c>
      <c r="F73" s="8"/>
      <c r="H73" s="8"/>
      <c r="I73" s="8" t="s">
        <v>4248</v>
      </c>
      <c r="J73" s="8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8" t="s">
        <v>1607</v>
      </c>
      <c r="E74" s="8"/>
      <c r="F74" s="8"/>
      <c r="H74" s="8"/>
      <c r="I74" s="8" t="s">
        <v>4250</v>
      </c>
      <c r="J74" s="8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8" t="s">
        <v>4</v>
      </c>
      <c r="E75" s="8" t="s">
        <v>8</v>
      </c>
      <c r="F75" s="8"/>
      <c r="H75" s="8"/>
      <c r="I75" s="8" t="s">
        <v>4548</v>
      </c>
      <c r="J75" s="8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8" t="s">
        <v>4</v>
      </c>
      <c r="E76" s="8" t="s">
        <v>8</v>
      </c>
      <c r="F76" s="8"/>
      <c r="H76" s="8"/>
      <c r="I76" s="8" t="s">
        <v>4550</v>
      </c>
      <c r="J76" s="8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8" t="s">
        <v>4</v>
      </c>
      <c r="E77" s="8" t="s">
        <v>8</v>
      </c>
      <c r="F77" s="8"/>
      <c r="H77" s="8"/>
      <c r="I77" s="8" t="s">
        <v>4552</v>
      </c>
      <c r="J77" s="8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8" t="s">
        <v>1607</v>
      </c>
      <c r="E78" s="8" t="s">
        <v>8</v>
      </c>
      <c r="F78" s="8"/>
      <c r="H78" s="8"/>
      <c r="I78" s="8" t="s">
        <v>4554</v>
      </c>
      <c r="J78" s="8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8" t="s">
        <v>4</v>
      </c>
      <c r="E79" s="8" t="s">
        <v>8</v>
      </c>
      <c r="F79" s="8"/>
      <c r="H79" s="8"/>
      <c r="I79" s="8" t="s">
        <v>4667</v>
      </c>
      <c r="J79" s="8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8" t="s">
        <v>1607</v>
      </c>
      <c r="E80" s="8" t="s">
        <v>8</v>
      </c>
      <c r="F80" s="8"/>
      <c r="H80" s="8"/>
      <c r="I80" s="8" t="s">
        <v>4669</v>
      </c>
      <c r="J80" s="8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8" t="s">
        <v>1607</v>
      </c>
      <c r="E81" s="8" t="s">
        <v>8</v>
      </c>
      <c r="F81" s="8"/>
      <c r="H81" s="8"/>
      <c r="I81" s="8" t="s">
        <v>4671</v>
      </c>
      <c r="J81" s="8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8" t="s">
        <v>4</v>
      </c>
      <c r="E82" s="8" t="s">
        <v>8</v>
      </c>
      <c r="F82" s="8"/>
      <c r="H82" s="8"/>
      <c r="I82" s="8" t="s">
        <v>4837</v>
      </c>
      <c r="J82" s="8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8" t="s">
        <v>4</v>
      </c>
      <c r="E83" s="8" t="s">
        <v>8</v>
      </c>
      <c r="F83" s="8"/>
      <c r="H83" s="8"/>
      <c r="I83" s="8" t="s">
        <v>4839</v>
      </c>
      <c r="J83" s="8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8" t="s">
        <v>4</v>
      </c>
      <c r="E84" s="8" t="s">
        <v>8</v>
      </c>
      <c r="F84" s="8"/>
      <c r="H84" s="8"/>
      <c r="I84" s="8" t="s">
        <v>4841</v>
      </c>
      <c r="J84" s="8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8" t="s">
        <v>1607</v>
      </c>
      <c r="E85" s="8" t="s">
        <v>8</v>
      </c>
      <c r="F85" s="8"/>
      <c r="H85" s="8"/>
      <c r="I85" s="8" t="s">
        <v>4944</v>
      </c>
      <c r="J85" s="8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8" t="s">
        <v>4</v>
      </c>
      <c r="E86" s="8" t="s">
        <v>8</v>
      </c>
      <c r="F86" s="8"/>
      <c r="H86" s="8"/>
      <c r="I86" s="8" t="s">
        <v>5040</v>
      </c>
      <c r="J86" s="8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8" t="s">
        <v>4</v>
      </c>
      <c r="E87" s="8" t="s">
        <v>8</v>
      </c>
      <c r="F87" s="8"/>
      <c r="H87" s="8"/>
      <c r="I87" s="8" t="s">
        <v>5236</v>
      </c>
      <c r="J87" s="8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8" t="s">
        <v>1607</v>
      </c>
      <c r="E88" s="8" t="s">
        <v>8</v>
      </c>
      <c r="F88" s="8"/>
      <c r="H88" s="8"/>
      <c r="I88" s="8" t="s">
        <v>5312</v>
      </c>
      <c r="J88" s="8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8" t="s">
        <v>1607</v>
      </c>
      <c r="E89" s="8" t="s">
        <v>8</v>
      </c>
      <c r="F89" s="8"/>
      <c r="H89" s="8"/>
      <c r="I89" s="8" t="s">
        <v>5314</v>
      </c>
      <c r="J89" s="8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8" t="s">
        <v>1607</v>
      </c>
      <c r="E90" s="8" t="s">
        <v>8</v>
      </c>
      <c r="F90" s="8"/>
      <c r="H90" s="8"/>
      <c r="I90" s="8" t="s">
        <v>5506</v>
      </c>
      <c r="J90" s="8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8" t="s">
        <v>1607</v>
      </c>
      <c r="E91" s="8" t="s">
        <v>8</v>
      </c>
      <c r="F91" s="8"/>
      <c r="H91" s="8"/>
      <c r="I91" s="8" t="s">
        <v>5508</v>
      </c>
      <c r="J91" s="8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8" t="s">
        <v>1607</v>
      </c>
      <c r="E92" s="8" t="s">
        <v>8</v>
      </c>
      <c r="F92" s="8"/>
      <c r="H92" s="8"/>
      <c r="I92" s="8" t="s">
        <v>5707</v>
      </c>
      <c r="J92" s="8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8" t="s">
        <v>1607</v>
      </c>
      <c r="E93" s="8" t="s">
        <v>8</v>
      </c>
      <c r="F93" s="8"/>
      <c r="H93" s="8"/>
      <c r="I93" s="8" t="s">
        <v>5772</v>
      </c>
      <c r="J93" s="8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8" t="s">
        <v>4</v>
      </c>
      <c r="E94" s="8" t="s">
        <v>8</v>
      </c>
      <c r="F94" s="8"/>
      <c r="H94" s="8"/>
      <c r="I94" s="8" t="s">
        <v>5774</v>
      </c>
      <c r="J94" s="8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8" t="s">
        <v>4</v>
      </c>
      <c r="E95" s="8" t="s">
        <v>5903</v>
      </c>
      <c r="F95" s="8" t="s">
        <v>51</v>
      </c>
      <c r="H95" s="8"/>
      <c r="I95" s="8" t="s">
        <v>5776</v>
      </c>
      <c r="J95" s="8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8" t="s">
        <v>1607</v>
      </c>
      <c r="E96" s="8" t="s">
        <v>8</v>
      </c>
      <c r="F96" s="8"/>
      <c r="H96" s="8"/>
      <c r="I96" s="8" t="s">
        <v>5951</v>
      </c>
      <c r="J96" s="8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8" t="s">
        <v>4</v>
      </c>
      <c r="E97" s="8" t="s">
        <v>6154</v>
      </c>
      <c r="F97" s="8" t="s">
        <v>60</v>
      </c>
      <c r="H97" s="8"/>
      <c r="I97" s="8" t="s">
        <v>5953</v>
      </c>
      <c r="J97" s="8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8" t="s">
        <v>4</v>
      </c>
      <c r="E98" s="8" t="s">
        <v>6154</v>
      </c>
      <c r="F98" s="8" t="s">
        <v>51</v>
      </c>
      <c r="H98" s="8"/>
      <c r="I98" s="8" t="s">
        <v>5955</v>
      </c>
      <c r="J98" s="8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8" t="s">
        <v>1607</v>
      </c>
      <c r="E99" s="8" t="s">
        <v>8</v>
      </c>
      <c r="F99" s="8"/>
      <c r="H99" s="8"/>
      <c r="I99" s="8" t="s">
        <v>5957</v>
      </c>
      <c r="J99" s="8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8" t="s">
        <v>226</v>
      </c>
      <c r="E100" s="8" t="s">
        <v>2343</v>
      </c>
      <c r="F100" s="8" t="s">
        <v>5697</v>
      </c>
      <c r="H100" s="8"/>
      <c r="I100" s="8" t="s">
        <v>6248</v>
      </c>
      <c r="J100" s="8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8" t="s">
        <v>226</v>
      </c>
      <c r="E101" s="8" t="s">
        <v>2343</v>
      </c>
      <c r="F101" s="8" t="s">
        <v>5697</v>
      </c>
      <c r="H101" s="8" t="s">
        <v>2352</v>
      </c>
      <c r="I101" s="8" t="s">
        <v>6251</v>
      </c>
      <c r="J101" s="8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8" t="s">
        <v>226</v>
      </c>
      <c r="E102" s="8" t="s">
        <v>2343</v>
      </c>
      <c r="F102" s="8" t="s">
        <v>5697</v>
      </c>
      <c r="H102" s="8" t="s">
        <v>2352</v>
      </c>
      <c r="I102" s="8" t="s">
        <v>6254</v>
      </c>
      <c r="J102" s="8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8" t="s">
        <v>1607</v>
      </c>
      <c r="E103" s="8" t="s">
        <v>8</v>
      </c>
      <c r="F103" s="8"/>
      <c r="H103" s="8"/>
      <c r="I103" s="8" t="s">
        <v>6353</v>
      </c>
      <c r="J103" s="8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8" t="s">
        <v>1607</v>
      </c>
      <c r="E104" s="8" t="s">
        <v>8</v>
      </c>
      <c r="F104" s="8"/>
      <c r="H104" s="8"/>
      <c r="I104" s="8" t="s">
        <v>6355</v>
      </c>
      <c r="J104" s="8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8" t="s">
        <v>4</v>
      </c>
      <c r="E105" s="8" t="s">
        <v>468</v>
      </c>
      <c r="F105" s="8"/>
      <c r="H105" s="8"/>
      <c r="I105" s="8" t="s">
        <v>6357</v>
      </c>
      <c r="J105" s="8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8" t="s">
        <v>1607</v>
      </c>
      <c r="E106" s="8" t="s">
        <v>8</v>
      </c>
      <c r="F106" s="8"/>
      <c r="H106" s="8"/>
      <c r="I106" s="8" t="s">
        <v>6359</v>
      </c>
      <c r="J106" s="8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8" t="s">
        <v>1607</v>
      </c>
      <c r="E107" s="8" t="s">
        <v>8</v>
      </c>
      <c r="F107" s="8"/>
      <c r="H107" s="8"/>
      <c r="I107" s="8" t="s">
        <v>6490</v>
      </c>
      <c r="J107" s="8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8" t="s">
        <v>1607</v>
      </c>
      <c r="E108" s="8" t="s">
        <v>8</v>
      </c>
      <c r="F108" s="8"/>
      <c r="H108" s="8"/>
      <c r="I108" s="8" t="s">
        <v>6492</v>
      </c>
      <c r="J108" s="8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8" t="s">
        <v>1607</v>
      </c>
      <c r="E109" s="8" t="s">
        <v>8</v>
      </c>
      <c r="F109" s="8"/>
      <c r="H109" s="8"/>
      <c r="I109" s="8" t="s">
        <v>6494</v>
      </c>
      <c r="J109" s="8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8" t="s">
        <v>1607</v>
      </c>
      <c r="E110" s="8" t="s">
        <v>8</v>
      </c>
      <c r="F110" s="8"/>
      <c r="H110" s="8"/>
      <c r="I110" s="8" t="s">
        <v>6496</v>
      </c>
      <c r="J110" s="8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8" t="s">
        <v>1607</v>
      </c>
      <c r="E111" s="8" t="s">
        <v>8</v>
      </c>
      <c r="F111" s="8"/>
      <c r="H111" s="8"/>
      <c r="I111" s="8" t="s">
        <v>6704</v>
      </c>
      <c r="J111" s="8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8" t="s">
        <v>1607</v>
      </c>
      <c r="E112" s="8" t="s">
        <v>8</v>
      </c>
      <c r="F112" s="8"/>
      <c r="H112" s="8"/>
      <c r="I112" s="8" t="s">
        <v>6706</v>
      </c>
      <c r="J112" s="8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8" t="s">
        <v>1607</v>
      </c>
      <c r="E113" s="8" t="s">
        <v>8</v>
      </c>
      <c r="F113" s="8"/>
      <c r="H113" s="8"/>
      <c r="I113" s="8" t="s">
        <v>6708</v>
      </c>
      <c r="J113" s="8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8" t="s">
        <v>1607</v>
      </c>
      <c r="E114" s="8" t="s">
        <v>8</v>
      </c>
      <c r="F114" s="8"/>
      <c r="H114" s="8"/>
      <c r="I114" s="8" t="s">
        <v>6893</v>
      </c>
      <c r="J114" s="8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8" t="s">
        <v>4</v>
      </c>
      <c r="E115" s="8" t="s">
        <v>7045</v>
      </c>
      <c r="F115" s="8"/>
      <c r="H115" s="8"/>
      <c r="I115" s="8" t="s">
        <v>6895</v>
      </c>
      <c r="J115" s="8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8" t="s">
        <v>4</v>
      </c>
      <c r="E116" s="8" t="s">
        <v>7045</v>
      </c>
      <c r="F116" s="8"/>
      <c r="H116" s="8"/>
      <c r="I116" s="8" t="s">
        <v>6897</v>
      </c>
      <c r="J116" s="8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8" t="s">
        <v>4</v>
      </c>
      <c r="E117" s="8" t="s">
        <v>7045</v>
      </c>
      <c r="F117" s="8"/>
      <c r="H117" s="8"/>
      <c r="I117" s="8" t="s">
        <v>6899</v>
      </c>
      <c r="J117" s="8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8" t="s">
        <v>4</v>
      </c>
      <c r="E118" s="8" t="s">
        <v>7045</v>
      </c>
      <c r="F118" s="8"/>
      <c r="H118" s="8"/>
      <c r="I118" s="8" t="s">
        <v>6901</v>
      </c>
      <c r="J118" s="8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8" t="s">
        <v>4</v>
      </c>
      <c r="E119" s="8" t="s">
        <v>7045</v>
      </c>
      <c r="F119" s="8"/>
      <c r="H119" s="8"/>
      <c r="I119" s="8" t="s">
        <v>6903</v>
      </c>
      <c r="J119" s="8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8" t="s">
        <v>1607</v>
      </c>
      <c r="E120" s="8" t="s">
        <v>8</v>
      </c>
      <c r="F120" s="8"/>
      <c r="H120" s="8"/>
      <c r="I120" s="8" t="s">
        <v>6905</v>
      </c>
      <c r="J120" s="8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8" t="s">
        <v>4</v>
      </c>
      <c r="E121" s="8" t="s">
        <v>7045</v>
      </c>
      <c r="F121" s="8"/>
      <c r="H121" s="8"/>
      <c r="I121" s="8" t="s">
        <v>7180</v>
      </c>
      <c r="J121" s="8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8" t="s">
        <v>226</v>
      </c>
      <c r="E122" s="8" t="s">
        <v>7341</v>
      </c>
      <c r="F122" s="8" t="s">
        <v>7342</v>
      </c>
      <c r="H122" s="8"/>
      <c r="I122" s="8" t="s">
        <v>7183</v>
      </c>
      <c r="J122" s="8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8" t="s">
        <v>226</v>
      </c>
      <c r="E123" s="8" t="s">
        <v>7341</v>
      </c>
      <c r="F123" s="8" t="s">
        <v>7342</v>
      </c>
      <c r="H123" s="8" t="s">
        <v>2352</v>
      </c>
      <c r="I123" s="8" t="s">
        <v>7186</v>
      </c>
      <c r="J123" s="8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8" t="s">
        <v>4</v>
      </c>
      <c r="E124" s="8" t="s">
        <v>7045</v>
      </c>
      <c r="F124" s="8"/>
      <c r="H124" s="8"/>
      <c r="I124" s="8" t="s">
        <v>7189</v>
      </c>
      <c r="J124" s="8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8" t="s">
        <v>4</v>
      </c>
      <c r="E125" s="8" t="s">
        <v>7045</v>
      </c>
      <c r="F125" s="8"/>
      <c r="H125" s="8"/>
      <c r="I125" s="8" t="s">
        <v>7385</v>
      </c>
      <c r="J125" s="8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8" t="s">
        <v>4</v>
      </c>
      <c r="E126" s="8" t="s">
        <v>7045</v>
      </c>
      <c r="F126" s="8"/>
      <c r="H126" s="8"/>
      <c r="I126" s="8" t="s">
        <v>7468</v>
      </c>
      <c r="J126" s="8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8" t="s">
        <v>4</v>
      </c>
      <c r="E127" s="8" t="s">
        <v>7045</v>
      </c>
      <c r="F127" s="8"/>
      <c r="H127" s="8"/>
      <c r="I127" s="8" t="s">
        <v>7470</v>
      </c>
      <c r="J127" s="8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8" t="s">
        <v>4</v>
      </c>
      <c r="E128" s="8" t="s">
        <v>7045</v>
      </c>
      <c r="F128" s="8"/>
      <c r="H128" s="8"/>
      <c r="I128" s="8" t="s">
        <v>7472</v>
      </c>
      <c r="J128" s="8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8" t="s">
        <v>4</v>
      </c>
      <c r="E129" s="8" t="s">
        <v>7739</v>
      </c>
      <c r="F129" s="8"/>
      <c r="H129" s="8"/>
      <c r="I129" s="8" t="s">
        <v>7661</v>
      </c>
      <c r="J129" s="8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8" t="s">
        <v>1607</v>
      </c>
      <c r="E130" s="8" t="s">
        <v>8</v>
      </c>
      <c r="F130" s="8"/>
      <c r="H130" s="8"/>
      <c r="I130" s="8" t="s">
        <v>7663</v>
      </c>
      <c r="J130" s="8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8" t="s">
        <v>4</v>
      </c>
      <c r="E131" s="8" t="s">
        <v>7045</v>
      </c>
      <c r="F131" s="8"/>
      <c r="H131" s="8"/>
      <c r="I131" s="8" t="s">
        <v>7770</v>
      </c>
      <c r="J131" s="8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8" t="s">
        <v>4</v>
      </c>
      <c r="E132" s="8" t="s">
        <v>7045</v>
      </c>
      <c r="F132" s="8"/>
      <c r="H132" s="8"/>
      <c r="I132" s="8" t="s">
        <v>7772</v>
      </c>
      <c r="J132" s="8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8" t="s">
        <v>4</v>
      </c>
      <c r="E133" s="8" t="s">
        <v>7045</v>
      </c>
      <c r="F133" s="8"/>
      <c r="H133" s="8"/>
      <c r="I133" s="8" t="s">
        <v>7955</v>
      </c>
      <c r="J133" s="8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8" t="s">
        <v>4</v>
      </c>
      <c r="E134" s="8" t="s">
        <v>7045</v>
      </c>
      <c r="F134" s="8"/>
      <c r="H134" s="8"/>
      <c r="I134" s="8" t="s">
        <v>7957</v>
      </c>
      <c r="J134" s="8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8" t="s">
        <v>4</v>
      </c>
      <c r="E135" s="8" t="s">
        <v>7045</v>
      </c>
      <c r="F135" s="8"/>
      <c r="H135" s="8"/>
      <c r="I135" s="8" t="s">
        <v>7959</v>
      </c>
      <c r="J135" s="8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8" t="s">
        <v>4</v>
      </c>
      <c r="E136" s="8" t="s">
        <v>7045</v>
      </c>
      <c r="F136" s="8"/>
      <c r="H136" s="8"/>
      <c r="I136" s="8" t="s">
        <v>8126</v>
      </c>
      <c r="J136" s="8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8" t="s">
        <v>1607</v>
      </c>
      <c r="E137" s="8" t="s">
        <v>8</v>
      </c>
      <c r="F137" s="8"/>
      <c r="H137" s="8"/>
      <c r="I137" s="8" t="s">
        <v>8440</v>
      </c>
      <c r="J137" s="8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8" t="s">
        <v>1607</v>
      </c>
      <c r="E138" s="8" t="s">
        <v>8</v>
      </c>
      <c r="F138" s="8"/>
      <c r="H138" s="8"/>
      <c r="I138" s="8" t="s">
        <v>8409</v>
      </c>
      <c r="J138" s="8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8" t="s">
        <v>4</v>
      </c>
      <c r="E139" s="8" t="s">
        <v>7045</v>
      </c>
      <c r="F139" s="8"/>
      <c r="H139" s="8"/>
      <c r="I139" s="8" t="s">
        <v>8468</v>
      </c>
      <c r="J139" s="8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8" t="s">
        <v>4</v>
      </c>
      <c r="E140" s="8" t="s">
        <v>7045</v>
      </c>
      <c r="F140" s="8"/>
      <c r="H140" s="8"/>
      <c r="I140" s="8" t="s">
        <v>8470</v>
      </c>
      <c r="J140" s="8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8" t="s">
        <v>4</v>
      </c>
      <c r="E141" s="8" t="s">
        <v>7045</v>
      </c>
      <c r="F141" s="8"/>
      <c r="H141" s="8"/>
      <c r="I141" s="8" t="s">
        <v>8606</v>
      </c>
      <c r="J141" s="8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8" t="s">
        <v>4</v>
      </c>
      <c r="E142" s="8" t="s">
        <v>7045</v>
      </c>
      <c r="F142" s="8"/>
      <c r="H142" s="8"/>
      <c r="I142" s="8" t="s">
        <v>8608</v>
      </c>
      <c r="J142" s="8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8" t="s">
        <v>4</v>
      </c>
      <c r="E143" s="8" t="s">
        <v>7045</v>
      </c>
      <c r="F143" s="8"/>
      <c r="H143" s="8"/>
      <c r="I143" s="8" t="s">
        <v>8724</v>
      </c>
      <c r="J143" s="8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8" t="s">
        <v>4</v>
      </c>
      <c r="E144" s="8" t="s">
        <v>7045</v>
      </c>
      <c r="F144" s="8"/>
      <c r="H144" s="8"/>
      <c r="I144" s="8" t="s">
        <v>8726</v>
      </c>
      <c r="J144" s="8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8" t="s">
        <v>4</v>
      </c>
      <c r="E145" s="8" t="s">
        <v>8912</v>
      </c>
      <c r="F145" s="8"/>
      <c r="H145" s="8"/>
      <c r="I145" s="8" t="s">
        <v>8854</v>
      </c>
      <c r="J145" s="8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8" t="s">
        <v>1607</v>
      </c>
      <c r="E146" s="8" t="s">
        <v>8</v>
      </c>
      <c r="F146" s="8"/>
      <c r="H146" s="8"/>
      <c r="I146" s="8" t="s">
        <v>8856</v>
      </c>
      <c r="J146" s="8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8" t="s">
        <v>4</v>
      </c>
      <c r="E147" s="8" t="s">
        <v>7045</v>
      </c>
      <c r="F147" s="8"/>
      <c r="H147" s="8"/>
      <c r="I147" s="8" t="s">
        <v>8952</v>
      </c>
      <c r="J147" s="8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8" t="s">
        <v>4</v>
      </c>
      <c r="E148" s="8" t="s">
        <v>7045</v>
      </c>
      <c r="F148" s="8"/>
      <c r="H148" s="8"/>
      <c r="I148" s="8" t="s">
        <v>8954</v>
      </c>
      <c r="J148" s="8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8" t="s">
        <v>4</v>
      </c>
      <c r="E149" s="8" t="s">
        <v>7045</v>
      </c>
      <c r="F149" s="8"/>
      <c r="H149" s="8"/>
      <c r="I149" s="8" t="s">
        <v>8956</v>
      </c>
      <c r="J149" s="8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8" t="s">
        <v>4</v>
      </c>
      <c r="E150" s="8" t="s">
        <v>7045</v>
      </c>
      <c r="F150" s="8"/>
      <c r="H150" s="8"/>
      <c r="I150" s="8" t="s">
        <v>9254</v>
      </c>
      <c r="J150" s="8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8" t="s">
        <v>226</v>
      </c>
      <c r="E151" s="8" t="s">
        <v>70</v>
      </c>
      <c r="F151" s="8" t="s">
        <v>9302</v>
      </c>
      <c r="G151">
        <v>2</v>
      </c>
      <c r="H151" s="8"/>
      <c r="I151" s="8" t="s">
        <v>9256</v>
      </c>
      <c r="J151" s="8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8" t="s">
        <v>587</v>
      </c>
      <c r="E152" s="8" t="s">
        <v>70</v>
      </c>
      <c r="F152" s="8" t="s">
        <v>9302</v>
      </c>
      <c r="H152" s="8"/>
      <c r="I152" s="8" t="s">
        <v>9259</v>
      </c>
      <c r="J152" s="8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8" t="s">
        <v>1273</v>
      </c>
      <c r="E153" s="8" t="s">
        <v>70</v>
      </c>
      <c r="F153" s="8"/>
      <c r="H153" s="8"/>
      <c r="I153" s="8" t="s">
        <v>9261</v>
      </c>
      <c r="J153" s="8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8" t="s">
        <v>227</v>
      </c>
      <c r="E154" s="8" t="s">
        <v>70</v>
      </c>
      <c r="F154" s="8" t="s">
        <v>9302</v>
      </c>
      <c r="G154">
        <v>2</v>
      </c>
      <c r="H154" s="8"/>
      <c r="I154" s="8" t="s">
        <v>9263</v>
      </c>
      <c r="J154" s="8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8" t="s">
        <v>587</v>
      </c>
      <c r="E155" s="8" t="s">
        <v>70</v>
      </c>
      <c r="F155" s="8"/>
      <c r="H155" s="8"/>
      <c r="I155" s="8" t="s">
        <v>9265</v>
      </c>
      <c r="J155" s="8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8" t="s">
        <v>1273</v>
      </c>
      <c r="E156" s="8" t="s">
        <v>66</v>
      </c>
      <c r="F156" s="8"/>
      <c r="H156" s="8"/>
      <c r="I156" s="8" t="s">
        <v>9267</v>
      </c>
      <c r="J156" s="8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8" t="s">
        <v>4921</v>
      </c>
      <c r="E157" s="8" t="s">
        <v>66</v>
      </c>
      <c r="F157" s="8"/>
      <c r="H157" s="8"/>
      <c r="I157" s="8" t="s">
        <v>9269</v>
      </c>
      <c r="J157" s="8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8" t="s">
        <v>587</v>
      </c>
      <c r="E158" s="8" t="s">
        <v>66</v>
      </c>
      <c r="F158" s="8"/>
      <c r="H158" s="8"/>
      <c r="I158" s="8" t="s">
        <v>9271</v>
      </c>
      <c r="J158" s="8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8" t="s">
        <v>4</v>
      </c>
      <c r="E159" s="8" t="s">
        <v>7045</v>
      </c>
      <c r="F159" s="8"/>
      <c r="H159" s="8"/>
      <c r="I159" s="8" t="s">
        <v>9273</v>
      </c>
      <c r="J159" s="8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8" t="s">
        <v>4921</v>
      </c>
      <c r="E160" s="8" t="s">
        <v>9421</v>
      </c>
      <c r="F160" s="8"/>
      <c r="H160" s="8"/>
      <c r="I160" s="8" t="s">
        <v>9328</v>
      </c>
      <c r="J160" s="8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8" t="s">
        <v>1607</v>
      </c>
      <c r="E161" s="8" t="s">
        <v>8</v>
      </c>
      <c r="F161" s="8"/>
      <c r="H161" s="8"/>
      <c r="I161" s="8" t="s">
        <v>9330</v>
      </c>
      <c r="J161" s="8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8" t="s">
        <v>4</v>
      </c>
      <c r="E162" s="8" t="s">
        <v>7045</v>
      </c>
      <c r="F162" s="8"/>
      <c r="H162" s="8"/>
      <c r="I162" s="8" t="s">
        <v>10600</v>
      </c>
      <c r="J162" s="8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8" t="s">
        <v>4</v>
      </c>
      <c r="E163" s="8" t="s">
        <v>7045</v>
      </c>
      <c r="F163" s="8"/>
      <c r="H163" s="8"/>
      <c r="I163" s="8" t="s">
        <v>10602</v>
      </c>
      <c r="J163" s="8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8" t="s">
        <v>4</v>
      </c>
      <c r="E164" s="8" t="s">
        <v>7045</v>
      </c>
      <c r="F164" s="8"/>
      <c r="H164" s="8"/>
      <c r="I164" s="8" t="s">
        <v>13608</v>
      </c>
      <c r="J164" s="8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8" t="s">
        <v>4</v>
      </c>
      <c r="E165" s="8" t="s">
        <v>7045</v>
      </c>
      <c r="F165" s="8"/>
      <c r="H165" s="8"/>
      <c r="I165" s="8" t="s">
        <v>13611</v>
      </c>
      <c r="J165" s="8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8" t="s">
        <v>1607</v>
      </c>
      <c r="E166" s="8" t="s">
        <v>8</v>
      </c>
      <c r="F166" s="8"/>
      <c r="H166" s="8"/>
      <c r="I166" s="8" t="s">
        <v>13933</v>
      </c>
      <c r="J166" s="8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8" t="s">
        <v>1607</v>
      </c>
      <c r="E167" s="8" t="s">
        <v>8</v>
      </c>
      <c r="F167" s="8"/>
      <c r="H167" s="8"/>
      <c r="I167" s="8" t="s">
        <v>13936</v>
      </c>
      <c r="J167" s="8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8" t="s">
        <v>4</v>
      </c>
      <c r="E168" s="8" t="s">
        <v>7045</v>
      </c>
      <c r="F168" s="8"/>
      <c r="H168" s="8"/>
      <c r="I168" s="8" t="s">
        <v>14313</v>
      </c>
      <c r="J168" s="8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8" t="s">
        <v>4</v>
      </c>
      <c r="E169" s="8" t="s">
        <v>7045</v>
      </c>
      <c r="F169" s="8"/>
      <c r="H169" s="8"/>
      <c r="I169" s="8" t="s">
        <v>14316</v>
      </c>
      <c r="J169" s="8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8" t="s">
        <v>4</v>
      </c>
      <c r="E170" s="8" t="s">
        <v>7045</v>
      </c>
      <c r="F170" s="8"/>
      <c r="H170" s="8"/>
      <c r="I170" s="8" t="s">
        <v>16189</v>
      </c>
      <c r="J170" s="8" t="s">
        <v>10903</v>
      </c>
      <c r="K170" t="s">
        <v>16190</v>
      </c>
      <c r="L170" t="s">
        <v>16191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8" t="s">
        <v>4</v>
      </c>
      <c r="E171" s="8" t="s">
        <v>7045</v>
      </c>
      <c r="F171" s="8"/>
      <c r="H171" s="8"/>
      <c r="I171" s="8" t="s">
        <v>14319</v>
      </c>
      <c r="J171" s="8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8" t="s">
        <v>4</v>
      </c>
      <c r="E172" s="8" t="s">
        <v>7045</v>
      </c>
      <c r="F172" s="8"/>
      <c r="H172" s="8"/>
      <c r="I172" s="8" t="s">
        <v>14322</v>
      </c>
      <c r="J172" s="8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8" t="s">
        <v>4</v>
      </c>
      <c r="E173" s="8" t="s">
        <v>7045</v>
      </c>
      <c r="F173" s="8"/>
      <c r="H173" s="8"/>
      <c r="I173" s="8" t="s">
        <v>14325</v>
      </c>
      <c r="J173" s="8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8" t="s">
        <v>4</v>
      </c>
      <c r="E174" s="8" t="s">
        <v>8</v>
      </c>
      <c r="F174" s="8"/>
      <c r="H174" s="8"/>
      <c r="I174" s="8" t="s">
        <v>14328</v>
      </c>
      <c r="J174" s="8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8" t="s">
        <v>4</v>
      </c>
      <c r="E175" s="8" t="s">
        <v>11066</v>
      </c>
      <c r="F175" s="8"/>
      <c r="H175" s="8"/>
      <c r="I175" s="8" t="s">
        <v>14331</v>
      </c>
      <c r="J175" s="8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8" t="s">
        <v>4</v>
      </c>
      <c r="E176" s="8" t="s">
        <v>16653</v>
      </c>
      <c r="F176" s="8"/>
      <c r="H176" s="8"/>
      <c r="I176" s="8" t="s">
        <v>14334</v>
      </c>
      <c r="J176" s="8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8" t="s">
        <v>16654</v>
      </c>
      <c r="E177" s="8" t="s">
        <v>16653</v>
      </c>
      <c r="F177" s="8"/>
      <c r="H177" s="8" t="s">
        <v>16655</v>
      </c>
      <c r="I177" s="8" t="s">
        <v>14337</v>
      </c>
      <c r="J177" s="8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8" t="s">
        <v>587</v>
      </c>
      <c r="E178" s="8" t="s">
        <v>16653</v>
      </c>
      <c r="F178" s="8"/>
      <c r="H178" s="8"/>
      <c r="I178" s="8" t="s">
        <v>14340</v>
      </c>
      <c r="J178" s="8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8" t="s">
        <v>3390</v>
      </c>
      <c r="E179" s="8" t="s">
        <v>86</v>
      </c>
      <c r="F179" s="8"/>
      <c r="H179" s="8"/>
      <c r="I179" s="8" t="s">
        <v>14343</v>
      </c>
      <c r="J179" s="8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8" t="s">
        <v>4</v>
      </c>
      <c r="E180" s="8" t="s">
        <v>8</v>
      </c>
      <c r="F180" s="8"/>
      <c r="H180" s="8"/>
      <c r="I180" s="8" t="s">
        <v>14346</v>
      </c>
      <c r="J180" s="8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8" t="s">
        <v>4</v>
      </c>
      <c r="E181" s="8" t="s">
        <v>8</v>
      </c>
      <c r="F181" s="8"/>
      <c r="H181" s="8"/>
      <c r="I181" s="8" t="s">
        <v>14349</v>
      </c>
      <c r="J181" s="8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8" t="s">
        <v>4</v>
      </c>
      <c r="E182" s="8" t="s">
        <v>7045</v>
      </c>
      <c r="F182" s="8"/>
      <c r="H182" s="8"/>
      <c r="I182" s="8" t="s">
        <v>14352</v>
      </c>
      <c r="J182" s="8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8" t="s">
        <v>4</v>
      </c>
      <c r="E183" s="8" t="s">
        <v>7045</v>
      </c>
      <c r="F183" s="8"/>
      <c r="H183" s="8"/>
      <c r="I183" s="8" t="s">
        <v>14355</v>
      </c>
      <c r="J183" s="8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8" t="s">
        <v>137</v>
      </c>
      <c r="E184" s="8" t="s">
        <v>16656</v>
      </c>
      <c r="F184" s="8"/>
      <c r="H184" s="8"/>
      <c r="I184" s="8" t="s">
        <v>14358</v>
      </c>
      <c r="J184" s="8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8" t="s">
        <v>4</v>
      </c>
      <c r="E185" s="8" t="s">
        <v>7045</v>
      </c>
      <c r="F185" s="8"/>
      <c r="H185" s="8"/>
      <c r="I185" s="8" t="s">
        <v>14361</v>
      </c>
      <c r="J185" s="8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8" t="s">
        <v>4</v>
      </c>
      <c r="E186" s="8" t="s">
        <v>8</v>
      </c>
      <c r="F186" s="8"/>
      <c r="H186" s="8"/>
      <c r="I186" s="8" t="s">
        <v>14364</v>
      </c>
      <c r="J186" s="8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8" t="s">
        <v>1273</v>
      </c>
      <c r="E187" s="8" t="s">
        <v>16661</v>
      </c>
      <c r="F187" s="8"/>
      <c r="H187" s="8"/>
      <c r="I187" s="8" t="s">
        <v>14367</v>
      </c>
      <c r="J187" s="8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8" t="s">
        <v>9596</v>
      </c>
      <c r="E188" s="8" t="s">
        <v>16661</v>
      </c>
      <c r="F188" s="8"/>
      <c r="H188" s="8"/>
      <c r="I188" s="8" t="s">
        <v>14370</v>
      </c>
      <c r="J188" s="8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8" t="s">
        <v>587</v>
      </c>
      <c r="E189" s="8" t="s">
        <v>16661</v>
      </c>
      <c r="F189" s="8" t="s">
        <v>16657</v>
      </c>
      <c r="H189" s="8"/>
      <c r="I189" s="8" t="s">
        <v>14373</v>
      </c>
      <c r="J189" s="8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8" t="s">
        <v>4</v>
      </c>
      <c r="E190" s="8" t="s">
        <v>8</v>
      </c>
      <c r="F190" s="8"/>
      <c r="H190" s="8"/>
      <c r="I190" s="8" t="s">
        <v>14376</v>
      </c>
      <c r="J190" s="8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8" t="s">
        <v>1273</v>
      </c>
      <c r="E191" s="8" t="s">
        <v>70</v>
      </c>
      <c r="F191" s="8"/>
      <c r="H191" s="8"/>
      <c r="I191" s="8" t="s">
        <v>14379</v>
      </c>
      <c r="J191" s="8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8" t="s">
        <v>16658</v>
      </c>
      <c r="E192" s="8" t="s">
        <v>70</v>
      </c>
      <c r="F192" s="8"/>
      <c r="H192" s="8"/>
      <c r="I192" s="8" t="s">
        <v>14382</v>
      </c>
      <c r="J192" s="8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8" t="s">
        <v>16658</v>
      </c>
      <c r="E193" s="8" t="s">
        <v>70</v>
      </c>
      <c r="F193" s="8"/>
      <c r="H193" s="8" t="s">
        <v>2352</v>
      </c>
      <c r="I193" s="8" t="s">
        <v>14385</v>
      </c>
      <c r="J193" s="8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8" t="s">
        <v>587</v>
      </c>
      <c r="E194" s="8" t="s">
        <v>70</v>
      </c>
      <c r="F194" s="8"/>
      <c r="H194" s="8"/>
      <c r="I194" s="8" t="s">
        <v>14388</v>
      </c>
      <c r="J194" s="8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8" t="s">
        <v>4</v>
      </c>
      <c r="E195" s="8" t="s">
        <v>8</v>
      </c>
      <c r="F195" s="8"/>
      <c r="H195" s="8"/>
      <c r="I195" s="8" t="s">
        <v>14391</v>
      </c>
      <c r="J195" s="8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8" t="s">
        <v>16659</v>
      </c>
      <c r="E196" s="8" t="s">
        <v>86</v>
      </c>
      <c r="F196" s="8"/>
      <c r="H196" s="8"/>
      <c r="I196" s="8" t="s">
        <v>14394</v>
      </c>
      <c r="J196" s="8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8" t="s">
        <v>16659</v>
      </c>
      <c r="E197" s="8" t="s">
        <v>86</v>
      </c>
      <c r="F197" s="8"/>
      <c r="H197" s="8" t="s">
        <v>2352</v>
      </c>
      <c r="I197" s="8" t="s">
        <v>14397</v>
      </c>
      <c r="J197" s="8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8" t="s">
        <v>1273</v>
      </c>
      <c r="E198" s="8" t="s">
        <v>70</v>
      </c>
      <c r="F198" s="8"/>
      <c r="H198" s="8"/>
      <c r="I198" s="8" t="s">
        <v>14400</v>
      </c>
      <c r="J198" s="8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8" t="s">
        <v>16660</v>
      </c>
      <c r="E199" s="8" t="s">
        <v>70</v>
      </c>
      <c r="F199" s="8"/>
      <c r="H199" s="8"/>
      <c r="I199" s="8" t="s">
        <v>14403</v>
      </c>
      <c r="J199" s="8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8" t="s">
        <v>16659</v>
      </c>
      <c r="E200" s="8" t="s">
        <v>86</v>
      </c>
      <c r="F200" s="8"/>
      <c r="H200" s="8"/>
      <c r="I200" s="8" t="s">
        <v>14406</v>
      </c>
      <c r="J200" s="8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8" t="s">
        <v>16659</v>
      </c>
      <c r="E201" s="8" t="s">
        <v>86</v>
      </c>
      <c r="F201" s="8"/>
      <c r="H201" s="8" t="s">
        <v>2352</v>
      </c>
      <c r="I201" s="8" t="s">
        <v>14409</v>
      </c>
      <c r="J201" s="8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8" t="s">
        <v>587</v>
      </c>
      <c r="E202" s="8" t="s">
        <v>70</v>
      </c>
      <c r="F202" s="8"/>
      <c r="H202" s="8"/>
      <c r="I202" s="8" t="s">
        <v>14412</v>
      </c>
      <c r="J202" s="8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8" t="s">
        <v>4</v>
      </c>
      <c r="E203" s="8" t="s">
        <v>8</v>
      </c>
      <c r="F203" s="8"/>
      <c r="H203" s="8"/>
      <c r="I203" s="8" t="s">
        <v>16731</v>
      </c>
      <c r="J203" s="8" t="s">
        <v>10903</v>
      </c>
      <c r="K203" t="s">
        <v>16732</v>
      </c>
      <c r="L203" t="s">
        <v>16733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8" t="s">
        <v>4</v>
      </c>
      <c r="E204" s="8" t="s">
        <v>8</v>
      </c>
      <c r="F204" s="8"/>
      <c r="H204" s="8"/>
      <c r="I204" s="8" t="s">
        <v>16734</v>
      </c>
      <c r="J204" s="8" t="s">
        <v>10903</v>
      </c>
      <c r="K204" t="s">
        <v>16735</v>
      </c>
      <c r="L204" t="s">
        <v>16736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8" t="s">
        <v>4</v>
      </c>
      <c r="E205" s="8" t="s">
        <v>8</v>
      </c>
      <c r="F205" s="8"/>
      <c r="H205" s="8"/>
      <c r="I205" s="8" t="s">
        <v>16737</v>
      </c>
      <c r="J205" s="8" t="s">
        <v>10903</v>
      </c>
      <c r="K205" t="s">
        <v>16738</v>
      </c>
      <c r="L205" t="s">
        <v>16739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8" t="s">
        <v>1607</v>
      </c>
      <c r="E206" s="8" t="s">
        <v>8</v>
      </c>
      <c r="F206" s="8"/>
      <c r="H206" s="8"/>
      <c r="I206" s="8" t="s">
        <v>16740</v>
      </c>
      <c r="J206" s="8" t="s">
        <v>10903</v>
      </c>
      <c r="K206" t="s">
        <v>16741</v>
      </c>
      <c r="L206" t="s">
        <v>16742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8" t="s">
        <v>1607</v>
      </c>
      <c r="E207" s="8" t="s">
        <v>8</v>
      </c>
      <c r="F207" s="8"/>
      <c r="H207" s="8"/>
      <c r="I207" s="8" t="s">
        <v>16743</v>
      </c>
      <c r="J207" s="8" t="s">
        <v>10903</v>
      </c>
      <c r="K207" t="s">
        <v>16744</v>
      </c>
      <c r="L207" t="s">
        <v>16745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8" t="s">
        <v>1607</v>
      </c>
      <c r="E208" s="8" t="s">
        <v>8</v>
      </c>
      <c r="F208" s="8"/>
      <c r="H208" s="8"/>
      <c r="I208" s="8" t="s">
        <v>16746</v>
      </c>
      <c r="J208" s="8" t="s">
        <v>10903</v>
      </c>
      <c r="K208" t="s">
        <v>16747</v>
      </c>
      <c r="L208" t="s">
        <v>16748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8" t="s">
        <v>4</v>
      </c>
      <c r="E209" s="8" t="s">
        <v>8</v>
      </c>
      <c r="F209" s="8"/>
      <c r="H209" s="8"/>
      <c r="I209" s="8" t="s">
        <v>16749</v>
      </c>
      <c r="J209" s="8" t="s">
        <v>10903</v>
      </c>
      <c r="K209" t="s">
        <v>16750</v>
      </c>
      <c r="L209" t="s">
        <v>16751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8" t="s">
        <v>4</v>
      </c>
      <c r="E210" s="8" t="s">
        <v>7045</v>
      </c>
      <c r="F210" s="8"/>
      <c r="H210" s="8"/>
      <c r="I210" s="8" t="s">
        <v>17503</v>
      </c>
      <c r="J210" s="8" t="s">
        <v>10903</v>
      </c>
      <c r="K210" t="s">
        <v>17504</v>
      </c>
      <c r="L210" t="s">
        <v>17505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8" t="s">
        <v>587</v>
      </c>
      <c r="E211" s="8" t="s">
        <v>70</v>
      </c>
      <c r="F211" s="8" t="s">
        <v>17897</v>
      </c>
      <c r="H211" s="8"/>
      <c r="I211" s="8" t="s">
        <v>17506</v>
      </c>
      <c r="J211" s="8" t="s">
        <v>10903</v>
      </c>
      <c r="K211" t="s">
        <v>17507</v>
      </c>
      <c r="L211" t="s">
        <v>17508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8" t="s">
        <v>1273</v>
      </c>
      <c r="E212" s="8" t="s">
        <v>17898</v>
      </c>
      <c r="F212" s="8"/>
      <c r="H212" s="8" t="s">
        <v>17899</v>
      </c>
      <c r="I212" s="8" t="s">
        <v>17509</v>
      </c>
      <c r="J212" s="8" t="s">
        <v>10903</v>
      </c>
      <c r="K212" t="s">
        <v>17510</v>
      </c>
      <c r="L212" t="s">
        <v>17511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8" t="s">
        <v>587</v>
      </c>
      <c r="E213" s="8" t="s">
        <v>11066</v>
      </c>
      <c r="F213" s="8" t="s">
        <v>17900</v>
      </c>
      <c r="H213" s="8"/>
      <c r="I213" s="8" t="s">
        <v>17512</v>
      </c>
      <c r="J213" s="8" t="s">
        <v>10903</v>
      </c>
      <c r="K213" t="s">
        <v>17513</v>
      </c>
      <c r="L213" t="s">
        <v>17514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8" t="s">
        <v>4</v>
      </c>
      <c r="E214" s="8" t="s">
        <v>8</v>
      </c>
      <c r="F214" s="8"/>
      <c r="H214" s="8"/>
      <c r="I214" s="8" t="s">
        <v>17515</v>
      </c>
      <c r="J214" s="8" t="s">
        <v>10903</v>
      </c>
      <c r="K214" t="s">
        <v>17516</v>
      </c>
      <c r="L214" t="s">
        <v>17517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8" t="s">
        <v>4</v>
      </c>
      <c r="E215" s="8" t="s">
        <v>7045</v>
      </c>
      <c r="F215" s="8"/>
      <c r="H215" s="8"/>
      <c r="I215" s="8" t="s">
        <v>17941</v>
      </c>
      <c r="J215" s="8" t="s">
        <v>10903</v>
      </c>
      <c r="K215" t="s">
        <v>17942</v>
      </c>
      <c r="L215" t="s">
        <v>17943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8" t="s">
        <v>4</v>
      </c>
      <c r="E216" s="8" t="s">
        <v>7045</v>
      </c>
      <c r="F216" s="8"/>
      <c r="H216" s="8"/>
      <c r="I216" s="8" t="s">
        <v>17944</v>
      </c>
      <c r="J216" s="8" t="s">
        <v>10903</v>
      </c>
      <c r="K216" t="s">
        <v>17945</v>
      </c>
      <c r="L216" t="s">
        <v>17946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8" t="s">
        <v>4</v>
      </c>
      <c r="E217" s="8" t="s">
        <v>8</v>
      </c>
      <c r="F217" s="8"/>
      <c r="H217" s="8"/>
      <c r="I217" s="8" t="s">
        <v>17947</v>
      </c>
      <c r="J217" s="8" t="s">
        <v>10903</v>
      </c>
      <c r="K217" t="s">
        <v>17948</v>
      </c>
      <c r="L217" t="s">
        <v>17949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s="8" t="s">
        <v>4</v>
      </c>
      <c r="E218" s="8" t="s">
        <v>7045</v>
      </c>
      <c r="F218" s="8"/>
      <c r="H218" s="8"/>
      <c r="I218" s="8" t="s">
        <v>18396</v>
      </c>
      <c r="J218" s="8" t="s">
        <v>10903</v>
      </c>
      <c r="K218" t="s">
        <v>18397</v>
      </c>
      <c r="L218" t="s">
        <v>18398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s="8" t="s">
        <v>4</v>
      </c>
      <c r="E219" s="8" t="s">
        <v>7045</v>
      </c>
      <c r="F219" s="8"/>
      <c r="H219" s="8"/>
      <c r="I219" s="8" t="s">
        <v>18399</v>
      </c>
      <c r="J219" s="8" t="s">
        <v>10903</v>
      </c>
      <c r="K219" t="s">
        <v>18400</v>
      </c>
      <c r="L219" t="s">
        <v>18401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s="8" t="s">
        <v>4</v>
      </c>
      <c r="E220" s="8" t="s">
        <v>7045</v>
      </c>
      <c r="F220" s="8"/>
      <c r="H220" s="8"/>
      <c r="I220" s="8" t="s">
        <v>18402</v>
      </c>
      <c r="J220" s="8" t="s">
        <v>10903</v>
      </c>
      <c r="K220" t="s">
        <v>18403</v>
      </c>
      <c r="L220" t="s">
        <v>18404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s="8" t="s">
        <v>4</v>
      </c>
      <c r="E221" s="8" t="s">
        <v>7045</v>
      </c>
      <c r="F221" s="8"/>
      <c r="H221" s="8"/>
      <c r="I221" s="8" t="s">
        <v>18907</v>
      </c>
      <c r="J221" s="8" t="s">
        <v>10903</v>
      </c>
      <c r="K221" t="s">
        <v>18908</v>
      </c>
      <c r="L221" t="s">
        <v>18909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s="8" t="s">
        <v>4</v>
      </c>
      <c r="E222" s="8" t="s">
        <v>7045</v>
      </c>
      <c r="F222" s="8"/>
      <c r="H222" s="8"/>
      <c r="I222" s="8" t="s">
        <v>18910</v>
      </c>
      <c r="J222" s="8" t="s">
        <v>10903</v>
      </c>
      <c r="K222" t="s">
        <v>18911</v>
      </c>
      <c r="L222" t="s">
        <v>18912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s="8" t="s">
        <v>4</v>
      </c>
      <c r="E223" s="8" t="s">
        <v>7045</v>
      </c>
      <c r="F223" s="8"/>
      <c r="H223" s="8"/>
      <c r="I223" s="8" t="s">
        <v>18913</v>
      </c>
      <c r="J223" s="8" t="s">
        <v>10903</v>
      </c>
      <c r="K223" t="s">
        <v>18914</v>
      </c>
      <c r="L223" t="s">
        <v>18915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s="8" t="s">
        <v>4</v>
      </c>
      <c r="E224" s="8" t="s">
        <v>8</v>
      </c>
      <c r="F224" s="8"/>
      <c r="H224" s="8"/>
      <c r="I224" s="8" t="s">
        <v>18916</v>
      </c>
      <c r="J224" s="8" t="s">
        <v>10903</v>
      </c>
      <c r="K224" t="s">
        <v>18917</v>
      </c>
      <c r="L224" t="s">
        <v>18918</v>
      </c>
      <c r="M224" s="2" t="str">
        <f>HYPERLINK(склад2въезд18[[#This Row],[RelativePath]])</f>
        <v>3 Парковка офиса\GA3948333_3_20260313T183138Z.jpg</v>
      </c>
    </row>
  </sheetData>
  <conditionalFormatting sqref="D225:D235 E225:E238 G2:H224 D2:E224">
    <cfRule type="containsText" dxfId="847" priority="14" operator="containsText" text="Выезд с территории">
      <formula>NOT(ISERROR(SEARCH("Выезд с территории",D2)))</formula>
    </cfRule>
  </conditionalFormatting>
  <conditionalFormatting sqref="F2:F224">
    <cfRule type="notContainsText" dxfId="846" priority="13" operator="notContains" text="порожний">
      <formula>ISERROR(SEARCH("порожний",F2))</formula>
    </cfRule>
  </conditionalFormatting>
  <conditionalFormatting sqref="E2:E238">
    <cfRule type="containsText" dxfId="845" priority="11" operator="containsText" text="Газель базы">
      <formula>NOT(ISERROR(SEARCH("Газель базы",E2)))</formula>
    </cfRule>
    <cfRule type="containsText" dxfId="844" priority="12" operator="containsText" text="Погрузчик базы">
      <formula>NOT(ISERROR(SEARCH("Погрузчик базы",E2)))</formula>
    </cfRule>
  </conditionalFormatting>
  <conditionalFormatting sqref="E2:E238">
    <cfRule type="containsText" dxfId="843" priority="10" operator="containsText" text="Трактор базы">
      <formula>NOT(ISERROR(SEARCH("Трактор базы",E2)))</formula>
    </cfRule>
  </conditionalFormatting>
  <conditionalFormatting sqref="A2:C224">
    <cfRule type="expression" dxfId="842" priority="9">
      <formula>$A2="пн"</formula>
    </cfRule>
  </conditionalFormatting>
  <conditionalFormatting sqref="A2:C226">
    <cfRule type="expression" dxfId="841" priority="3">
      <formula>$A2="вс"</formula>
    </cfRule>
    <cfRule type="expression" dxfId="840" priority="4">
      <formula>$A2="сб"</formula>
    </cfRule>
    <cfRule type="expression" dxfId="839" priority="5">
      <formula>$A2="пт"</formula>
    </cfRule>
    <cfRule type="expression" dxfId="838" priority="6">
      <formula>$A2="чт"</formula>
    </cfRule>
    <cfRule type="expression" dxfId="837" priority="7">
      <formula>$A2="ср"</formula>
    </cfRule>
    <cfRule type="expression" dxfId="836" priority="8">
      <formula>$A2="вт"</formula>
    </cfRule>
  </conditionalFormatting>
  <conditionalFormatting sqref="D2:D235">
    <cfRule type="containsText" dxfId="8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5">
    <cfRule type="containsText" dxfId="8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299"/>
  <sheetViews>
    <sheetView zoomScale="90" zoomScaleNormal="90" workbookViewId="0">
      <pane ySplit="1" topLeftCell="A280" activePane="bottomLeft" state="frozen"/>
      <selection pane="bottomLeft" activeCell="I297" sqref="I297:I2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228</v>
      </c>
      <c r="J2" s="8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232</v>
      </c>
      <c r="J3" s="8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235</v>
      </c>
      <c r="J4" s="8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238</v>
      </c>
      <c r="J5" s="8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8" t="s">
        <v>4</v>
      </c>
      <c r="E6" s="8" t="s">
        <v>8</v>
      </c>
      <c r="F6" s="8"/>
      <c r="H6" s="8" t="s">
        <v>268</v>
      </c>
      <c r="I6" s="8" t="s">
        <v>241</v>
      </c>
      <c r="J6" s="8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8" t="s">
        <v>4</v>
      </c>
      <c r="E7" s="8" t="s">
        <v>8</v>
      </c>
      <c r="F7" s="8"/>
      <c r="H7" s="8" t="s">
        <v>268</v>
      </c>
      <c r="I7" s="8" t="s">
        <v>244</v>
      </c>
      <c r="J7" s="8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8" t="s">
        <v>4</v>
      </c>
      <c r="E8" s="8" t="s">
        <v>8</v>
      </c>
      <c r="F8" s="8"/>
      <c r="H8" s="8" t="s">
        <v>269</v>
      </c>
      <c r="I8" s="8" t="s">
        <v>247</v>
      </c>
      <c r="J8" s="8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250</v>
      </c>
      <c r="J9" s="8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253</v>
      </c>
      <c r="J10" s="8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8" t="s">
        <v>4</v>
      </c>
      <c r="E11" s="8" t="s">
        <v>8</v>
      </c>
      <c r="F11" s="8"/>
      <c r="H11" s="8" t="s">
        <v>268</v>
      </c>
      <c r="I11" s="8" t="s">
        <v>256</v>
      </c>
      <c r="J11" s="8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259</v>
      </c>
      <c r="J12" s="8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262</v>
      </c>
      <c r="J13" s="8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265</v>
      </c>
      <c r="J14" s="8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8" t="s">
        <v>4</v>
      </c>
      <c r="E15" s="8" t="s">
        <v>8</v>
      </c>
      <c r="F15" s="8"/>
      <c r="H15" s="8" t="s">
        <v>1612</v>
      </c>
      <c r="I15" s="8" t="s">
        <v>992</v>
      </c>
      <c r="J15" s="8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8" t="s">
        <v>1273</v>
      </c>
      <c r="E16" s="8" t="s">
        <v>56</v>
      </c>
      <c r="F16" s="8" t="s">
        <v>1613</v>
      </c>
      <c r="G16">
        <v>1</v>
      </c>
      <c r="H16" s="8"/>
      <c r="I16" s="8" t="s">
        <v>995</v>
      </c>
      <c r="J16" s="8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8" t="s">
        <v>887</v>
      </c>
      <c r="E17" s="8" t="s">
        <v>70</v>
      </c>
      <c r="F17" s="8" t="s">
        <v>1613</v>
      </c>
      <c r="H17" s="8" t="s">
        <v>1614</v>
      </c>
      <c r="I17" s="8" t="s">
        <v>998</v>
      </c>
      <c r="J17" s="8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8" t="s">
        <v>1615</v>
      </c>
      <c r="E18" s="8" t="s">
        <v>70</v>
      </c>
      <c r="F18" s="8" t="s">
        <v>1613</v>
      </c>
      <c r="H18" s="8" t="s">
        <v>1614</v>
      </c>
      <c r="I18" s="8" t="s">
        <v>1001</v>
      </c>
      <c r="J18" s="8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8" t="s">
        <v>587</v>
      </c>
      <c r="E19" s="8" t="s">
        <v>70</v>
      </c>
      <c r="F19" s="8" t="s">
        <v>1613</v>
      </c>
      <c r="H19" s="8"/>
      <c r="I19" s="8" t="s">
        <v>1004</v>
      </c>
      <c r="J19" s="8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8" t="s">
        <v>1273</v>
      </c>
      <c r="E20" s="8" t="s">
        <v>1604</v>
      </c>
      <c r="F20" s="8"/>
      <c r="H20" s="8"/>
      <c r="I20" s="8" t="s">
        <v>1007</v>
      </c>
      <c r="J20" s="8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8" t="s">
        <v>587</v>
      </c>
      <c r="E21" s="8" t="s">
        <v>1604</v>
      </c>
      <c r="F21" s="8"/>
      <c r="H21" s="8"/>
      <c r="I21" s="8" t="s">
        <v>1010</v>
      </c>
      <c r="J21" s="8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8" t="s">
        <v>1273</v>
      </c>
      <c r="E22" s="8" t="s">
        <v>1605</v>
      </c>
      <c r="F22" s="8"/>
      <c r="H22" s="8"/>
      <c r="I22" s="8" t="s">
        <v>1013</v>
      </c>
      <c r="J22" s="8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8" t="s">
        <v>1273</v>
      </c>
      <c r="E23" s="8" t="s">
        <v>70</v>
      </c>
      <c r="F23" s="8" t="s">
        <v>1613</v>
      </c>
      <c r="H23" s="8"/>
      <c r="I23" s="8" t="s">
        <v>1016</v>
      </c>
      <c r="J23" s="8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8" t="s">
        <v>4</v>
      </c>
      <c r="E24" s="8" t="s">
        <v>8</v>
      </c>
      <c r="F24" s="8"/>
      <c r="H24" s="8"/>
      <c r="I24" s="8" t="s">
        <v>1019</v>
      </c>
      <c r="J24" s="8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8" t="s">
        <v>1616</v>
      </c>
      <c r="E25" s="8" t="s">
        <v>56</v>
      </c>
      <c r="F25" s="8"/>
      <c r="H25" s="8"/>
      <c r="I25" s="8" t="s">
        <v>1022</v>
      </c>
      <c r="J25" s="8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8" t="s">
        <v>226</v>
      </c>
      <c r="E26" s="8" t="s">
        <v>56</v>
      </c>
      <c r="F26" s="8" t="s">
        <v>165</v>
      </c>
      <c r="H26" s="8"/>
      <c r="I26" s="8" t="s">
        <v>1025</v>
      </c>
      <c r="J26" s="8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8" t="s">
        <v>587</v>
      </c>
      <c r="E27" s="8" t="s">
        <v>1605</v>
      </c>
      <c r="F27" s="8"/>
      <c r="H27" s="8"/>
      <c r="I27" s="8" t="s">
        <v>1028</v>
      </c>
      <c r="J27" s="8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8" t="s">
        <v>587</v>
      </c>
      <c r="E28" s="8" t="s">
        <v>56</v>
      </c>
      <c r="F28" s="8" t="s">
        <v>165</v>
      </c>
      <c r="H28" s="8"/>
      <c r="I28" s="8" t="s">
        <v>1031</v>
      </c>
      <c r="J28" s="8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8" t="s">
        <v>4</v>
      </c>
      <c r="E29" s="8" t="s">
        <v>8</v>
      </c>
      <c r="F29" s="8"/>
      <c r="H29" s="8"/>
      <c r="I29" s="8" t="s">
        <v>1034</v>
      </c>
      <c r="J29" s="8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8" t="s">
        <v>4</v>
      </c>
      <c r="E30" s="8" t="s">
        <v>8</v>
      </c>
      <c r="F30" s="8"/>
      <c r="H30" s="8" t="s">
        <v>1292</v>
      </c>
      <c r="I30" s="8" t="s">
        <v>1037</v>
      </c>
      <c r="J30" s="8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8" t="s">
        <v>4</v>
      </c>
      <c r="E31" s="8" t="s">
        <v>8</v>
      </c>
      <c r="F31" s="8"/>
      <c r="H31" s="8" t="s">
        <v>1612</v>
      </c>
      <c r="I31" s="8" t="s">
        <v>1040</v>
      </c>
      <c r="J31" s="8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8" t="s">
        <v>4</v>
      </c>
      <c r="E32" s="8" t="s">
        <v>8</v>
      </c>
      <c r="F32" s="8"/>
      <c r="H32" s="8" t="s">
        <v>1607</v>
      </c>
      <c r="I32" s="8" t="s">
        <v>1043</v>
      </c>
      <c r="J32" s="8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8" t="s">
        <v>4</v>
      </c>
      <c r="E33" s="8" t="s">
        <v>8</v>
      </c>
      <c r="F33" s="8"/>
      <c r="H33" s="8" t="s">
        <v>1292</v>
      </c>
      <c r="I33" s="8" t="s">
        <v>1046</v>
      </c>
      <c r="J33" s="8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8" t="s">
        <v>1607</v>
      </c>
      <c r="E34" s="8"/>
      <c r="F34" s="8"/>
      <c r="H34" s="8"/>
      <c r="I34" s="8" t="s">
        <v>1720</v>
      </c>
      <c r="J34" s="8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8" t="s">
        <v>4</v>
      </c>
      <c r="E35" s="8" t="s">
        <v>2343</v>
      </c>
      <c r="F35" s="8" t="s">
        <v>58</v>
      </c>
      <c r="H35" s="8"/>
      <c r="I35" s="8" t="s">
        <v>1723</v>
      </c>
      <c r="J35" s="8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8" t="s">
        <v>4</v>
      </c>
      <c r="E36" s="8" t="s">
        <v>8</v>
      </c>
      <c r="F36" s="8"/>
      <c r="H36" s="8" t="s">
        <v>2347</v>
      </c>
      <c r="I36" s="8" t="s">
        <v>1726</v>
      </c>
      <c r="J36" s="8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8" t="s">
        <v>1607</v>
      </c>
      <c r="E37" s="8"/>
      <c r="F37" s="8"/>
      <c r="H37" s="8"/>
      <c r="I37" s="8" t="s">
        <v>1729</v>
      </c>
      <c r="J37" s="8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8" t="s">
        <v>1607</v>
      </c>
      <c r="E38" s="8"/>
      <c r="F38" s="8"/>
      <c r="H38" s="8"/>
      <c r="I38" s="8" t="s">
        <v>1732</v>
      </c>
      <c r="J38" s="8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8" t="s">
        <v>1607</v>
      </c>
      <c r="E39" s="8"/>
      <c r="F39" s="8"/>
      <c r="H39" s="8"/>
      <c r="I39" s="8" t="s">
        <v>1735</v>
      </c>
      <c r="J39" s="8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8" t="s">
        <v>1607</v>
      </c>
      <c r="E40" s="8"/>
      <c r="F40" s="8"/>
      <c r="H40" s="8"/>
      <c r="I40" s="8" t="s">
        <v>1738</v>
      </c>
      <c r="J40" s="8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8" t="s">
        <v>4</v>
      </c>
      <c r="E41" s="8" t="s">
        <v>8</v>
      </c>
      <c r="F41" s="8"/>
      <c r="H41" s="8"/>
      <c r="I41" s="8" t="s">
        <v>2655</v>
      </c>
      <c r="J41" s="8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2658</v>
      </c>
      <c r="J42" s="8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2661</v>
      </c>
      <c r="J43" s="8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8" t="s">
        <v>4</v>
      </c>
      <c r="E44" s="8" t="s">
        <v>8</v>
      </c>
      <c r="F44" s="8"/>
      <c r="H44" s="8"/>
      <c r="I44" s="8" t="s">
        <v>2664</v>
      </c>
      <c r="J44" s="8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8" t="s">
        <v>4</v>
      </c>
      <c r="E45" s="8" t="s">
        <v>8</v>
      </c>
      <c r="F45" s="8"/>
      <c r="H45" s="8"/>
      <c r="I45" s="8" t="s">
        <v>2667</v>
      </c>
      <c r="J45" s="8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8" t="s">
        <v>4</v>
      </c>
      <c r="E46" s="8" t="s">
        <v>8</v>
      </c>
      <c r="F46" s="8"/>
      <c r="H46" s="8"/>
      <c r="I46" s="8" t="s">
        <v>2670</v>
      </c>
      <c r="J46" s="8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8" t="s">
        <v>4</v>
      </c>
      <c r="E47" s="8" t="s">
        <v>8</v>
      </c>
      <c r="F47" s="8"/>
      <c r="H47" s="8"/>
      <c r="I47" s="8" t="s">
        <v>2673</v>
      </c>
      <c r="J47" s="8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8" t="s">
        <v>4</v>
      </c>
      <c r="E48" s="8" t="s">
        <v>3359</v>
      </c>
      <c r="F48" s="8" t="s">
        <v>3361</v>
      </c>
      <c r="H48" s="8" t="s">
        <v>3370</v>
      </c>
      <c r="I48" s="8" t="s">
        <v>2676</v>
      </c>
      <c r="J48" s="8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8" t="s">
        <v>587</v>
      </c>
      <c r="E49" s="8" t="s">
        <v>55</v>
      </c>
      <c r="F49" s="8" t="s">
        <v>51</v>
      </c>
      <c r="H49" s="8"/>
      <c r="I49" s="8" t="s">
        <v>3425</v>
      </c>
      <c r="J49" s="8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8" t="s">
        <v>1273</v>
      </c>
      <c r="E50" s="8" t="s">
        <v>55</v>
      </c>
      <c r="F50" s="8" t="s">
        <v>51</v>
      </c>
      <c r="H50" s="8"/>
      <c r="I50" s="8" t="s">
        <v>3428</v>
      </c>
      <c r="J50" s="8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8" t="s">
        <v>227</v>
      </c>
      <c r="E51" s="8" t="s">
        <v>3359</v>
      </c>
      <c r="F51" s="8" t="s">
        <v>4087</v>
      </c>
      <c r="H51" s="8"/>
      <c r="I51" s="8" t="s">
        <v>3557</v>
      </c>
      <c r="J51" s="8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8" t="s">
        <v>227</v>
      </c>
      <c r="E52" s="8" t="s">
        <v>3359</v>
      </c>
      <c r="F52" s="8" t="s">
        <v>4087</v>
      </c>
      <c r="H52" s="8"/>
      <c r="I52" s="8" t="s">
        <v>3560</v>
      </c>
      <c r="J52" s="8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8" t="s">
        <v>587</v>
      </c>
      <c r="E53" s="8" t="s">
        <v>3359</v>
      </c>
      <c r="F53" s="8"/>
      <c r="H53" s="8"/>
      <c r="I53" s="8" t="s">
        <v>3563</v>
      </c>
      <c r="J53" s="8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8" t="s">
        <v>226</v>
      </c>
      <c r="E54" s="8" t="s">
        <v>70</v>
      </c>
      <c r="F54" s="8" t="s">
        <v>4087</v>
      </c>
      <c r="H54" s="8" t="s">
        <v>4088</v>
      </c>
      <c r="I54" s="8" t="s">
        <v>3566</v>
      </c>
      <c r="J54" s="8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8" t="s">
        <v>227</v>
      </c>
      <c r="E55" s="8" t="s">
        <v>70</v>
      </c>
      <c r="F55" s="8" t="s">
        <v>4087</v>
      </c>
      <c r="H55" s="8" t="s">
        <v>4088</v>
      </c>
      <c r="I55" s="8" t="s">
        <v>4084</v>
      </c>
      <c r="J55" s="8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8" t="s">
        <v>587</v>
      </c>
      <c r="E56" s="8" t="s">
        <v>70</v>
      </c>
      <c r="F56" s="8"/>
      <c r="H56" s="8"/>
      <c r="I56" s="8" t="s">
        <v>3569</v>
      </c>
      <c r="J56" s="8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8" t="s">
        <v>1607</v>
      </c>
      <c r="E57" s="8" t="s">
        <v>8</v>
      </c>
      <c r="F57" s="8"/>
      <c r="H57" s="8"/>
      <c r="I57" s="8" t="s">
        <v>3572</v>
      </c>
      <c r="J57" s="8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8" t="s">
        <v>226</v>
      </c>
      <c r="E58" s="8" t="s">
        <v>70</v>
      </c>
      <c r="F58" s="8" t="s">
        <v>4087</v>
      </c>
      <c r="H58" s="8" t="s">
        <v>4089</v>
      </c>
      <c r="I58" s="8" t="s">
        <v>3575</v>
      </c>
      <c r="J58" s="8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8" t="s">
        <v>226</v>
      </c>
      <c r="E59" s="8" t="s">
        <v>70</v>
      </c>
      <c r="F59" s="8" t="s">
        <v>4087</v>
      </c>
      <c r="H59" s="8" t="s">
        <v>2352</v>
      </c>
      <c r="I59" s="8" t="s">
        <v>3578</v>
      </c>
      <c r="J59" s="8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8" t="s">
        <v>226</v>
      </c>
      <c r="E60" s="8" t="s">
        <v>70</v>
      </c>
      <c r="F60" s="8" t="s">
        <v>4087</v>
      </c>
      <c r="H60" s="8" t="s">
        <v>2352</v>
      </c>
      <c r="I60" s="8" t="s">
        <v>3581</v>
      </c>
      <c r="J60" s="8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8" t="s">
        <v>226</v>
      </c>
      <c r="E61" s="8" t="s">
        <v>70</v>
      </c>
      <c r="F61" s="8" t="s">
        <v>4087</v>
      </c>
      <c r="H61" s="8" t="s">
        <v>4090</v>
      </c>
      <c r="I61" s="8" t="s">
        <v>3584</v>
      </c>
      <c r="J61" s="8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8" t="s">
        <v>587</v>
      </c>
      <c r="E62" s="8" t="s">
        <v>70</v>
      </c>
      <c r="F62" s="8"/>
      <c r="H62" s="8"/>
      <c r="I62" s="8" t="s">
        <v>3587</v>
      </c>
      <c r="J62" s="8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8" t="s">
        <v>4</v>
      </c>
      <c r="E63" s="8" t="s">
        <v>8</v>
      </c>
      <c r="F63" s="8"/>
      <c r="H63" s="8"/>
      <c r="I63" s="8" t="s">
        <v>3590</v>
      </c>
      <c r="J63" s="8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8" t="s">
        <v>1607</v>
      </c>
      <c r="E64" s="8" t="s">
        <v>8</v>
      </c>
      <c r="F64" s="8"/>
      <c r="H64" s="8"/>
      <c r="I64" s="8" t="s">
        <v>3593</v>
      </c>
      <c r="J64" s="8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8" t="s">
        <v>4</v>
      </c>
      <c r="E65" s="8" t="s">
        <v>8</v>
      </c>
      <c r="F65" s="8"/>
      <c r="H65" s="8"/>
      <c r="I65" s="8" t="s">
        <v>4208</v>
      </c>
      <c r="J65" s="8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8" t="s">
        <v>1607</v>
      </c>
      <c r="E66" s="8" t="s">
        <v>8</v>
      </c>
      <c r="F66" s="8"/>
      <c r="H66" s="8"/>
      <c r="I66" s="8" t="s">
        <v>4262</v>
      </c>
      <c r="J66" s="8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8" t="s">
        <v>227</v>
      </c>
      <c r="E67" s="8" t="s">
        <v>4413</v>
      </c>
      <c r="F67" s="8" t="s">
        <v>4923</v>
      </c>
      <c r="H67" s="8"/>
      <c r="I67" s="8" t="s">
        <v>4556</v>
      </c>
      <c r="J67" s="8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8" t="s">
        <v>227</v>
      </c>
      <c r="E68" s="8" t="s">
        <v>4413</v>
      </c>
      <c r="F68" s="8" t="s">
        <v>4923</v>
      </c>
      <c r="H68" s="8" t="s">
        <v>2352</v>
      </c>
      <c r="I68" s="8" t="s">
        <v>4559</v>
      </c>
      <c r="J68" s="8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8" t="s">
        <v>227</v>
      </c>
      <c r="E69" s="8" t="s">
        <v>4413</v>
      </c>
      <c r="F69" s="8" t="s">
        <v>4923</v>
      </c>
      <c r="H69" s="8" t="s">
        <v>2352</v>
      </c>
      <c r="I69" s="8" t="s">
        <v>4562</v>
      </c>
      <c r="J69" s="8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8" t="s">
        <v>1607</v>
      </c>
      <c r="E70" s="8" t="s">
        <v>8</v>
      </c>
      <c r="F70" s="8"/>
      <c r="H70" s="8"/>
      <c r="I70" s="8" t="s">
        <v>4565</v>
      </c>
      <c r="J70" s="8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8" t="s">
        <v>4</v>
      </c>
      <c r="E71" s="8" t="s">
        <v>8</v>
      </c>
      <c r="F71" s="8"/>
      <c r="H71" s="8"/>
      <c r="I71" s="8" t="s">
        <v>4651</v>
      </c>
      <c r="J71" s="8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8" t="s">
        <v>4</v>
      </c>
      <c r="E72" s="8" t="s">
        <v>8</v>
      </c>
      <c r="F72" s="8"/>
      <c r="H72" s="8"/>
      <c r="I72" s="8" t="s">
        <v>4654</v>
      </c>
      <c r="J72" s="8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8" t="s">
        <v>4</v>
      </c>
      <c r="E73" s="8" t="s">
        <v>8</v>
      </c>
      <c r="F73" s="8"/>
      <c r="H73" s="8"/>
      <c r="I73" s="8" t="s">
        <v>4657</v>
      </c>
      <c r="J73" s="8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8" t="s">
        <v>1273</v>
      </c>
      <c r="E74" s="8" t="s">
        <v>55</v>
      </c>
      <c r="F74" s="8" t="s">
        <v>51</v>
      </c>
      <c r="H74" s="8"/>
      <c r="I74" s="8" t="s">
        <v>4660</v>
      </c>
      <c r="J74" s="8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8" t="s">
        <v>4</v>
      </c>
      <c r="E75" s="8" t="s">
        <v>4917</v>
      </c>
      <c r="F75" s="8" t="s">
        <v>58</v>
      </c>
      <c r="H75" s="8"/>
      <c r="I75" s="8" t="s">
        <v>4816</v>
      </c>
      <c r="J75" s="8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8" t="s">
        <v>4</v>
      </c>
      <c r="E76" s="8" t="s">
        <v>4917</v>
      </c>
      <c r="F76" s="8" t="s">
        <v>58</v>
      </c>
      <c r="H76" s="8" t="s">
        <v>3370</v>
      </c>
      <c r="I76" s="8" t="s">
        <v>4819</v>
      </c>
      <c r="J76" s="8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8" t="s">
        <v>1273</v>
      </c>
      <c r="E77" s="8" t="s">
        <v>4916</v>
      </c>
      <c r="F77" s="8" t="s">
        <v>51</v>
      </c>
      <c r="H77" s="8"/>
      <c r="I77" s="8" t="s">
        <v>4822</v>
      </c>
      <c r="J77" s="8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8" t="s">
        <v>1273</v>
      </c>
      <c r="E78" s="8" t="s">
        <v>4915</v>
      </c>
      <c r="F78" s="8" t="s">
        <v>51</v>
      </c>
      <c r="H78" s="8"/>
      <c r="I78" s="8" t="s">
        <v>4825</v>
      </c>
      <c r="J78" s="8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8" t="s">
        <v>587</v>
      </c>
      <c r="E79" s="8" t="s">
        <v>4916</v>
      </c>
      <c r="F79" s="8" t="s">
        <v>51</v>
      </c>
      <c r="H79" s="8"/>
      <c r="I79" s="8" t="s">
        <v>4828</v>
      </c>
      <c r="J79" s="8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8" t="s">
        <v>587</v>
      </c>
      <c r="E80" s="8" t="s">
        <v>4915</v>
      </c>
      <c r="F80" s="8" t="s">
        <v>51</v>
      </c>
      <c r="H80" s="8"/>
      <c r="I80" s="8" t="s">
        <v>4831</v>
      </c>
      <c r="J80" s="8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8" t="s">
        <v>1273</v>
      </c>
      <c r="E81" s="8" t="s">
        <v>4917</v>
      </c>
      <c r="F81" s="8" t="s">
        <v>58</v>
      </c>
      <c r="H81" s="8"/>
      <c r="I81" s="8" t="s">
        <v>4834</v>
      </c>
      <c r="J81" s="8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8" t="s">
        <v>1607</v>
      </c>
      <c r="E82" s="8" t="s">
        <v>8</v>
      </c>
      <c r="F82" s="8"/>
      <c r="H82" s="8"/>
      <c r="I82" s="8" t="s">
        <v>4911</v>
      </c>
      <c r="J82" s="8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8" t="s">
        <v>4924</v>
      </c>
      <c r="E83" s="8" t="s">
        <v>4917</v>
      </c>
      <c r="F83" s="8" t="s">
        <v>58</v>
      </c>
      <c r="H83" s="8"/>
      <c r="I83" s="8" t="s">
        <v>4911</v>
      </c>
      <c r="J83" s="8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8" t="s">
        <v>1607</v>
      </c>
      <c r="E84" s="8" t="s">
        <v>8</v>
      </c>
      <c r="F84" s="8"/>
      <c r="H84" s="8"/>
      <c r="I84" s="8" t="s">
        <v>4948</v>
      </c>
      <c r="J84" s="8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8" t="s">
        <v>4</v>
      </c>
      <c r="E85" s="8" t="s">
        <v>8</v>
      </c>
      <c r="F85" s="8"/>
      <c r="H85" s="8"/>
      <c r="I85" s="8" t="s">
        <v>5061</v>
      </c>
      <c r="J85" s="8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8" t="s">
        <v>226</v>
      </c>
      <c r="E86" s="8" t="s">
        <v>70</v>
      </c>
      <c r="F86" s="8" t="s">
        <v>5058</v>
      </c>
      <c r="H86" s="8"/>
      <c r="I86" s="8" t="s">
        <v>5027</v>
      </c>
      <c r="J86" s="8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8" t="s">
        <v>1273</v>
      </c>
      <c r="E87" s="8" t="s">
        <v>5310</v>
      </c>
      <c r="F87" s="8" t="s">
        <v>51</v>
      </c>
      <c r="H87" s="8"/>
      <c r="I87" s="8" t="s">
        <v>5226</v>
      </c>
      <c r="J87" s="8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8" t="s">
        <v>226</v>
      </c>
      <c r="E88" s="8" t="s">
        <v>5310</v>
      </c>
      <c r="F88" s="8" t="s">
        <v>5311</v>
      </c>
      <c r="H88" s="8"/>
      <c r="I88" s="8" t="s">
        <v>5229</v>
      </c>
      <c r="J88" s="8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8" t="s">
        <v>4</v>
      </c>
      <c r="E89" s="8" t="s">
        <v>5471</v>
      </c>
      <c r="F89" s="8"/>
      <c r="H89" s="8"/>
      <c r="I89" s="8" t="s">
        <v>5342</v>
      </c>
      <c r="J89" s="8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8" t="s">
        <v>587</v>
      </c>
      <c r="E90" s="8" t="s">
        <v>4940</v>
      </c>
      <c r="F90" s="8" t="s">
        <v>51</v>
      </c>
      <c r="H90" s="8"/>
      <c r="I90" s="8" t="s">
        <v>5345</v>
      </c>
      <c r="J90" s="8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8" t="s">
        <v>1273</v>
      </c>
      <c r="E91" s="8" t="s">
        <v>4940</v>
      </c>
      <c r="F91" s="8" t="s">
        <v>51</v>
      </c>
      <c r="H91" s="8"/>
      <c r="I91" s="8" t="s">
        <v>5348</v>
      </c>
      <c r="J91" s="8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8" t="s">
        <v>1607</v>
      </c>
      <c r="E92" s="8" t="s">
        <v>8</v>
      </c>
      <c r="F92" s="8"/>
      <c r="H92" s="8"/>
      <c r="I92" s="8" t="s">
        <v>5500</v>
      </c>
      <c r="J92" s="8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8" t="s">
        <v>1607</v>
      </c>
      <c r="E93" s="8" t="s">
        <v>8</v>
      </c>
      <c r="F93" s="8"/>
      <c r="H93" s="8"/>
      <c r="I93" s="8" t="s">
        <v>5503</v>
      </c>
      <c r="J93" s="8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8" t="s">
        <v>1607</v>
      </c>
      <c r="E94" s="8" t="s">
        <v>8</v>
      </c>
      <c r="F94" s="8"/>
      <c r="H94" s="8"/>
      <c r="I94" s="8" t="s">
        <v>5709</v>
      </c>
      <c r="J94" s="8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8" t="s">
        <v>1607</v>
      </c>
      <c r="E95" s="8" t="s">
        <v>8</v>
      </c>
      <c r="F95" s="8"/>
      <c r="H95" s="8"/>
      <c r="I95" s="8" t="s">
        <v>5743</v>
      </c>
      <c r="J95" s="8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8" t="s">
        <v>1273</v>
      </c>
      <c r="E96" s="8" t="s">
        <v>5903</v>
      </c>
      <c r="F96" s="8" t="s">
        <v>60</v>
      </c>
      <c r="H96" s="8"/>
      <c r="I96" s="8" t="s">
        <v>5746</v>
      </c>
      <c r="J96" s="8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8" t="s">
        <v>3381</v>
      </c>
      <c r="E97" s="8" t="s">
        <v>5903</v>
      </c>
      <c r="F97" s="8" t="s">
        <v>60</v>
      </c>
      <c r="H97" s="8"/>
      <c r="I97" s="8" t="s">
        <v>5749</v>
      </c>
      <c r="J97" s="8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8" t="s">
        <v>227</v>
      </c>
      <c r="E98" s="8" t="s">
        <v>5903</v>
      </c>
      <c r="F98" s="8" t="s">
        <v>60</v>
      </c>
      <c r="H98" s="8"/>
      <c r="I98" s="8" t="s">
        <v>5752</v>
      </c>
      <c r="J98" s="8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8" t="s">
        <v>587</v>
      </c>
      <c r="E99" s="8" t="s">
        <v>5903</v>
      </c>
      <c r="F99" s="8" t="s">
        <v>51</v>
      </c>
      <c r="H99" s="8"/>
      <c r="I99" s="8" t="s">
        <v>5755</v>
      </c>
      <c r="J99" s="8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8" t="s">
        <v>1607</v>
      </c>
      <c r="E100" s="8" t="s">
        <v>8</v>
      </c>
      <c r="F100" s="8"/>
      <c r="H100" s="8"/>
      <c r="I100" s="8" t="s">
        <v>6016</v>
      </c>
      <c r="J100" s="8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8" t="s">
        <v>1273</v>
      </c>
      <c r="E101" s="8" t="s">
        <v>6154</v>
      </c>
      <c r="F101" s="8" t="s">
        <v>60</v>
      </c>
      <c r="H101" s="8"/>
      <c r="I101" s="8" t="s">
        <v>6019</v>
      </c>
      <c r="J101" s="8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8" t="s">
        <v>4921</v>
      </c>
      <c r="E102" s="8" t="s">
        <v>6154</v>
      </c>
      <c r="F102" s="8" t="s">
        <v>60</v>
      </c>
      <c r="H102" s="8"/>
      <c r="I102" s="8" t="s">
        <v>6022</v>
      </c>
      <c r="J102" s="8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8" t="s">
        <v>587</v>
      </c>
      <c r="E103" s="8" t="s">
        <v>6154</v>
      </c>
      <c r="F103" s="8" t="s">
        <v>51</v>
      </c>
      <c r="H103" s="8"/>
      <c r="I103" s="8" t="s">
        <v>6025</v>
      </c>
      <c r="J103" s="8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8" t="s">
        <v>1607</v>
      </c>
      <c r="E104" s="8" t="s">
        <v>8</v>
      </c>
      <c r="F104" s="8"/>
      <c r="H104" s="8"/>
      <c r="I104" s="8" t="s">
        <v>6028</v>
      </c>
      <c r="J104" s="8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8" t="s">
        <v>1607</v>
      </c>
      <c r="E105" s="8" t="s">
        <v>8</v>
      </c>
      <c r="F105" s="8"/>
      <c r="H105" s="8"/>
      <c r="I105" s="8" t="s">
        <v>6257</v>
      </c>
      <c r="J105" s="8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8" t="s">
        <v>6436</v>
      </c>
      <c r="E106" s="8" t="s">
        <v>5310</v>
      </c>
      <c r="F106" s="8" t="s">
        <v>4070</v>
      </c>
      <c r="H106" s="8"/>
      <c r="I106" s="8" t="s">
        <v>6392</v>
      </c>
      <c r="J106" s="8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8" t="s">
        <v>4</v>
      </c>
      <c r="E107" s="8" t="s">
        <v>5310</v>
      </c>
      <c r="F107" s="8" t="s">
        <v>4070</v>
      </c>
      <c r="H107" s="8" t="s">
        <v>6437</v>
      </c>
      <c r="I107" s="8" t="s">
        <v>6395</v>
      </c>
      <c r="J107" s="8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8" t="s">
        <v>1607</v>
      </c>
      <c r="E108" s="8" t="s">
        <v>8</v>
      </c>
      <c r="F108" s="8"/>
      <c r="H108" s="8"/>
      <c r="I108" s="8" t="s">
        <v>6398</v>
      </c>
      <c r="J108" s="8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8" t="s">
        <v>4</v>
      </c>
      <c r="E109" s="8" t="s">
        <v>3358</v>
      </c>
      <c r="F109" s="8" t="s">
        <v>4070</v>
      </c>
      <c r="H109" s="8"/>
      <c r="I109" s="8" t="s">
        <v>6398</v>
      </c>
      <c r="J109" s="8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8" t="s">
        <v>4</v>
      </c>
      <c r="E110" s="8" t="s">
        <v>8</v>
      </c>
      <c r="F110" s="8"/>
      <c r="H110" s="8" t="s">
        <v>6438</v>
      </c>
      <c r="I110" s="8" t="s">
        <v>6401</v>
      </c>
      <c r="J110" s="8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8" t="s">
        <v>587</v>
      </c>
      <c r="E111" s="8" t="s">
        <v>4940</v>
      </c>
      <c r="F111" s="8" t="s">
        <v>51</v>
      </c>
      <c r="H111" s="8"/>
      <c r="I111" s="8" t="s">
        <v>6404</v>
      </c>
      <c r="J111" s="8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8" t="s">
        <v>1273</v>
      </c>
      <c r="E112" s="8" t="s">
        <v>6435</v>
      </c>
      <c r="F112" s="8"/>
      <c r="H112" s="8"/>
      <c r="I112" s="8" t="s">
        <v>6407</v>
      </c>
      <c r="J112" s="8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8" t="s">
        <v>587</v>
      </c>
      <c r="E113" s="8" t="s">
        <v>6435</v>
      </c>
      <c r="F113" s="8"/>
      <c r="H113" s="8"/>
      <c r="I113" s="8" t="s">
        <v>6410</v>
      </c>
      <c r="J113" s="8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8" t="s">
        <v>1273</v>
      </c>
      <c r="E114" s="8" t="s">
        <v>4940</v>
      </c>
      <c r="F114" s="8"/>
      <c r="H114" s="8"/>
      <c r="I114" s="8" t="s">
        <v>6413</v>
      </c>
      <c r="J114" s="8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8" t="s">
        <v>4</v>
      </c>
      <c r="E115" s="8" t="s">
        <v>1274</v>
      </c>
      <c r="F115" s="8" t="s">
        <v>6658</v>
      </c>
      <c r="H115" s="8"/>
      <c r="I115" s="8" t="s">
        <v>6472</v>
      </c>
      <c r="J115" s="8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8" t="s">
        <v>4</v>
      </c>
      <c r="E116" s="8" t="s">
        <v>8</v>
      </c>
      <c r="F116" s="8"/>
      <c r="H116" s="8"/>
      <c r="I116" s="8" t="s">
        <v>6475</v>
      </c>
      <c r="J116" s="8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8" t="s">
        <v>1607</v>
      </c>
      <c r="E117" s="8" t="s">
        <v>8</v>
      </c>
      <c r="F117" s="8"/>
      <c r="H117" s="8"/>
      <c r="I117" s="8" t="s">
        <v>6478</v>
      </c>
      <c r="J117" s="8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8" t="s">
        <v>1607</v>
      </c>
      <c r="E118" s="8" t="s">
        <v>8</v>
      </c>
      <c r="F118" s="8"/>
      <c r="H118" s="8"/>
      <c r="I118" s="8" t="s">
        <v>6481</v>
      </c>
      <c r="J118" s="8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8" t="s">
        <v>1607</v>
      </c>
      <c r="E119" s="8" t="s">
        <v>8</v>
      </c>
      <c r="F119" s="8"/>
      <c r="H119" s="8"/>
      <c r="I119" s="8" t="s">
        <v>6484</v>
      </c>
      <c r="J119" s="8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8" t="s">
        <v>1607</v>
      </c>
      <c r="E120" s="8" t="s">
        <v>8</v>
      </c>
      <c r="F120" s="8"/>
      <c r="H120" s="8"/>
      <c r="I120" s="8" t="s">
        <v>6487</v>
      </c>
      <c r="J120" s="8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8" t="s">
        <v>1607</v>
      </c>
      <c r="E121" s="8" t="s">
        <v>8</v>
      </c>
      <c r="F121" s="8"/>
      <c r="H121" s="8"/>
      <c r="I121" s="8" t="s">
        <v>6719</v>
      </c>
      <c r="J121" s="8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8" t="s">
        <v>1607</v>
      </c>
      <c r="E122" s="8" t="s">
        <v>8</v>
      </c>
      <c r="F122" s="8"/>
      <c r="H122" s="8"/>
      <c r="I122" s="8" t="s">
        <v>6722</v>
      </c>
      <c r="J122" s="8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8" t="s">
        <v>1607</v>
      </c>
      <c r="E123" s="8" t="s">
        <v>8</v>
      </c>
      <c r="F123" s="8"/>
      <c r="H123" s="8"/>
      <c r="I123" s="8" t="s">
        <v>6725</v>
      </c>
      <c r="J123" s="8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8" t="s">
        <v>1607</v>
      </c>
      <c r="E124" s="8" t="s">
        <v>8</v>
      </c>
      <c r="F124" s="8"/>
      <c r="H124" s="8"/>
      <c r="I124" s="8" t="s">
        <v>6907</v>
      </c>
      <c r="J124" s="8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8" t="s">
        <v>4</v>
      </c>
      <c r="E125" s="8" t="s">
        <v>8</v>
      </c>
      <c r="F125" s="8"/>
      <c r="H125" s="8"/>
      <c r="I125" s="8" t="s">
        <v>6910</v>
      </c>
      <c r="J125" s="8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8" t="s">
        <v>4</v>
      </c>
      <c r="E126" s="8" t="s">
        <v>8</v>
      </c>
      <c r="F126" s="8"/>
      <c r="H126" s="8"/>
      <c r="I126" s="8" t="s">
        <v>6913</v>
      </c>
      <c r="J126" s="8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8" t="s">
        <v>4</v>
      </c>
      <c r="E127" s="8" t="s">
        <v>8</v>
      </c>
      <c r="F127" s="8"/>
      <c r="H127" s="8"/>
      <c r="I127" s="8" t="s">
        <v>6916</v>
      </c>
      <c r="J127" s="8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8" t="s">
        <v>4</v>
      </c>
      <c r="E128" s="8" t="s">
        <v>1274</v>
      </c>
      <c r="F128" s="8"/>
      <c r="H128" s="8"/>
      <c r="I128" s="8" t="s">
        <v>6919</v>
      </c>
      <c r="J128" s="8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8" t="s">
        <v>4</v>
      </c>
      <c r="E129" s="8" t="s">
        <v>7045</v>
      </c>
      <c r="F129" s="8"/>
      <c r="H129" s="8"/>
      <c r="I129" s="8" t="s">
        <v>6922</v>
      </c>
      <c r="J129" s="8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8" t="s">
        <v>4</v>
      </c>
      <c r="E130" s="8" t="s">
        <v>7045</v>
      </c>
      <c r="F130" s="8"/>
      <c r="H130" s="8"/>
      <c r="I130" s="8" t="s">
        <v>6925</v>
      </c>
      <c r="J130" s="8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8" t="s">
        <v>1273</v>
      </c>
      <c r="E131" s="8" t="s">
        <v>7043</v>
      </c>
      <c r="F131" s="8"/>
      <c r="H131" s="8"/>
      <c r="I131" s="8" t="s">
        <v>6928</v>
      </c>
      <c r="J131" s="8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8" t="s">
        <v>1273</v>
      </c>
      <c r="E132" s="8" t="s">
        <v>7044</v>
      </c>
      <c r="F132" s="8"/>
      <c r="H132" s="8"/>
      <c r="I132" s="8" t="s">
        <v>6931</v>
      </c>
      <c r="J132" s="8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8" t="s">
        <v>587</v>
      </c>
      <c r="E133" s="8" t="s">
        <v>7044</v>
      </c>
      <c r="F133" s="8"/>
      <c r="H133" s="8"/>
      <c r="I133" s="8" t="s">
        <v>6934</v>
      </c>
      <c r="J133" s="8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8" t="s">
        <v>587</v>
      </c>
      <c r="E134" s="8" t="s">
        <v>7043</v>
      </c>
      <c r="F134" s="8"/>
      <c r="H134" s="8"/>
      <c r="I134" s="8" t="s">
        <v>6937</v>
      </c>
      <c r="J134" s="8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8" t="s">
        <v>1607</v>
      </c>
      <c r="E135" s="8" t="s">
        <v>8</v>
      </c>
      <c r="F135" s="8"/>
      <c r="H135" s="8"/>
      <c r="I135" s="8" t="s">
        <v>6940</v>
      </c>
      <c r="J135" s="8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8" t="s">
        <v>4</v>
      </c>
      <c r="E136" s="8" t="s">
        <v>7046</v>
      </c>
      <c r="F136" s="8"/>
      <c r="H136" s="8"/>
      <c r="I136" s="8" t="s">
        <v>6943</v>
      </c>
      <c r="J136" s="8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8" t="s">
        <v>4</v>
      </c>
      <c r="E137" s="8" t="s">
        <v>7045</v>
      </c>
      <c r="F137" s="8"/>
      <c r="H137" s="8"/>
      <c r="I137" s="8" t="s">
        <v>7191</v>
      </c>
      <c r="J137" s="8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8" t="s">
        <v>4</v>
      </c>
      <c r="E138" s="8" t="s">
        <v>7045</v>
      </c>
      <c r="F138" s="8"/>
      <c r="H138" s="8"/>
      <c r="I138" s="8" t="s">
        <v>7194</v>
      </c>
      <c r="J138" s="8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8" t="s">
        <v>4</v>
      </c>
      <c r="E139" s="8" t="s">
        <v>7045</v>
      </c>
      <c r="F139" s="8"/>
      <c r="H139" s="8"/>
      <c r="I139" s="8" t="s">
        <v>7395</v>
      </c>
      <c r="J139" s="8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8" t="s">
        <v>4</v>
      </c>
      <c r="E140" s="8" t="s">
        <v>7045</v>
      </c>
      <c r="F140" s="8"/>
      <c r="H140" s="8"/>
      <c r="I140" s="8" t="s">
        <v>7474</v>
      </c>
      <c r="J140" s="8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8" t="s">
        <v>4</v>
      </c>
      <c r="E141" s="8" t="s">
        <v>7489</v>
      </c>
      <c r="F141" s="8"/>
      <c r="H141" s="8"/>
      <c r="I141" s="8" t="s">
        <v>7477</v>
      </c>
      <c r="J141" s="8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8" t="s">
        <v>136</v>
      </c>
      <c r="E142" s="8" t="s">
        <v>4396</v>
      </c>
      <c r="F142" s="8" t="s">
        <v>465</v>
      </c>
      <c r="H142" s="8"/>
      <c r="I142" s="8" t="s">
        <v>7480</v>
      </c>
      <c r="J142" s="8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8" t="s">
        <v>136</v>
      </c>
      <c r="E143" s="8" t="s">
        <v>4396</v>
      </c>
      <c r="F143" s="8" t="s">
        <v>465</v>
      </c>
      <c r="H143" s="8" t="s">
        <v>2352</v>
      </c>
      <c r="I143" s="8" t="s">
        <v>7483</v>
      </c>
      <c r="J143" s="8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8" t="s">
        <v>4</v>
      </c>
      <c r="E144" s="8" t="s">
        <v>7490</v>
      </c>
      <c r="F144" s="8"/>
      <c r="H144" s="8"/>
      <c r="I144" s="8" t="s">
        <v>7486</v>
      </c>
      <c r="J144" s="8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8" t="s">
        <v>4</v>
      </c>
      <c r="E145" s="8" t="s">
        <v>7045</v>
      </c>
      <c r="F145" s="8"/>
      <c r="H145" s="8"/>
      <c r="I145" s="8" t="s">
        <v>7695</v>
      </c>
      <c r="J145" s="8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8" t="s">
        <v>1607</v>
      </c>
      <c r="E146" s="8" t="s">
        <v>8</v>
      </c>
      <c r="F146" s="8"/>
      <c r="H146" s="8"/>
      <c r="I146" s="8" t="s">
        <v>7698</v>
      </c>
      <c r="J146" s="8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8" t="s">
        <v>4</v>
      </c>
      <c r="E147" s="8" t="s">
        <v>7045</v>
      </c>
      <c r="F147" s="8"/>
      <c r="H147" s="8"/>
      <c r="I147" s="8" t="s">
        <v>7774</v>
      </c>
      <c r="J147" s="8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8" t="s">
        <v>4</v>
      </c>
      <c r="E148" s="8" t="s">
        <v>7045</v>
      </c>
      <c r="F148" s="8"/>
      <c r="H148" s="8"/>
      <c r="I148" s="8" t="s">
        <v>7777</v>
      </c>
      <c r="J148" s="8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8" t="s">
        <v>4</v>
      </c>
      <c r="E149" s="8" t="s">
        <v>7045</v>
      </c>
      <c r="F149" s="8"/>
      <c r="H149" s="8"/>
      <c r="I149" s="8" t="s">
        <v>7780</v>
      </c>
      <c r="J149" s="8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8" t="s">
        <v>4</v>
      </c>
      <c r="E150" s="8" t="s">
        <v>7045</v>
      </c>
      <c r="F150" s="8"/>
      <c r="H150" s="8"/>
      <c r="I150" s="8" t="s">
        <v>8081</v>
      </c>
      <c r="J150" s="8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8" t="s">
        <v>4</v>
      </c>
      <c r="E151" s="8" t="s">
        <v>7045</v>
      </c>
      <c r="F151" s="8"/>
      <c r="H151" s="8"/>
      <c r="I151" s="8" t="s">
        <v>7961</v>
      </c>
      <c r="J151" s="8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8" t="s">
        <v>4</v>
      </c>
      <c r="E152" s="8" t="s">
        <v>7045</v>
      </c>
      <c r="F152" s="8"/>
      <c r="H152" s="8"/>
      <c r="I152" s="8" t="s">
        <v>7964</v>
      </c>
      <c r="J152" s="8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8" t="s">
        <v>4</v>
      </c>
      <c r="E153" s="8" t="s">
        <v>7045</v>
      </c>
      <c r="F153" s="8"/>
      <c r="H153" s="8"/>
      <c r="I153" s="8" t="s">
        <v>7967</v>
      </c>
      <c r="J153" s="8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8" t="s">
        <v>4</v>
      </c>
      <c r="E154" s="8" t="s">
        <v>8116</v>
      </c>
      <c r="F154" s="8"/>
      <c r="H154" s="8"/>
      <c r="I154" s="8" t="s">
        <v>8134</v>
      </c>
      <c r="J154" s="8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8" t="s">
        <v>4</v>
      </c>
      <c r="E155" s="8" t="s">
        <v>8116</v>
      </c>
      <c r="F155" s="8"/>
      <c r="H155" s="8" t="s">
        <v>8228</v>
      </c>
      <c r="I155" s="8" t="s">
        <v>8216</v>
      </c>
      <c r="J155" s="8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8" t="s">
        <v>4</v>
      </c>
      <c r="E156" s="8" t="s">
        <v>8116</v>
      </c>
      <c r="F156" s="8"/>
      <c r="H156" s="8" t="s">
        <v>8228</v>
      </c>
      <c r="I156" s="8" t="s">
        <v>8219</v>
      </c>
      <c r="J156" s="8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8" t="s">
        <v>1273</v>
      </c>
      <c r="E157" s="8" t="s">
        <v>8117</v>
      </c>
      <c r="F157" s="8" t="s">
        <v>60</v>
      </c>
      <c r="H157" s="8"/>
      <c r="I157" s="8" t="s">
        <v>8222</v>
      </c>
      <c r="J157" s="8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8" t="s">
        <v>4</v>
      </c>
      <c r="E158" s="8" t="s">
        <v>7045</v>
      </c>
      <c r="F158" s="8"/>
      <c r="H158" s="8"/>
      <c r="I158" s="8" t="s">
        <v>8225</v>
      </c>
      <c r="J158" s="8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8" t="s">
        <v>1607</v>
      </c>
      <c r="E159" s="8" t="s">
        <v>8</v>
      </c>
      <c r="F159" s="8"/>
      <c r="H159" s="8"/>
      <c r="I159" s="8" t="s">
        <v>8411</v>
      </c>
      <c r="J159" s="8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8" t="s">
        <v>1607</v>
      </c>
      <c r="E160" s="8" t="s">
        <v>8</v>
      </c>
      <c r="F160" s="8"/>
      <c r="H160" s="8"/>
      <c r="I160" s="8" t="s">
        <v>8414</v>
      </c>
      <c r="J160" s="8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8" t="s">
        <v>1607</v>
      </c>
      <c r="E161" s="8" t="s">
        <v>8</v>
      </c>
      <c r="F161" s="8"/>
      <c r="H161" s="8"/>
      <c r="I161" s="8" t="s">
        <v>8450</v>
      </c>
      <c r="J161" s="8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8" t="s">
        <v>1607</v>
      </c>
      <c r="E162" s="8" t="s">
        <v>8</v>
      </c>
      <c r="F162" s="8"/>
      <c r="H162" s="8"/>
      <c r="I162" s="8" t="s">
        <v>8453</v>
      </c>
      <c r="J162" s="8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8" t="s">
        <v>4</v>
      </c>
      <c r="E163" s="8" t="s">
        <v>8716</v>
      </c>
      <c r="F163" s="8"/>
      <c r="H163" s="8"/>
      <c r="I163" s="8" t="s">
        <v>8581</v>
      </c>
      <c r="J163" s="8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8" t="s">
        <v>4</v>
      </c>
      <c r="E164" s="8" t="s">
        <v>7045</v>
      </c>
      <c r="F164" s="8"/>
      <c r="H164" s="8"/>
      <c r="I164" s="8" t="s">
        <v>8584</v>
      </c>
      <c r="J164" s="8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8" t="s">
        <v>4</v>
      </c>
      <c r="E165" s="8" t="s">
        <v>70</v>
      </c>
      <c r="F165" s="8" t="s">
        <v>4087</v>
      </c>
      <c r="H165" s="8"/>
      <c r="I165" s="8" t="s">
        <v>8732</v>
      </c>
      <c r="J165" s="8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8" t="s">
        <v>226</v>
      </c>
      <c r="E166" s="8" t="s">
        <v>70</v>
      </c>
      <c r="F166" s="8" t="s">
        <v>4087</v>
      </c>
      <c r="H166" s="8"/>
      <c r="I166" s="8" t="s">
        <v>8735</v>
      </c>
      <c r="J166" s="8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8" t="s">
        <v>1607</v>
      </c>
      <c r="E167" s="8" t="s">
        <v>8</v>
      </c>
      <c r="F167" s="8"/>
      <c r="H167" s="8"/>
      <c r="I167" s="8" t="s">
        <v>8826</v>
      </c>
      <c r="J167" s="8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8" t="s">
        <v>1607</v>
      </c>
      <c r="E168" s="8" t="s">
        <v>8</v>
      </c>
      <c r="F168" s="8"/>
      <c r="H168" s="8"/>
      <c r="I168" s="8" t="s">
        <v>8829</v>
      </c>
      <c r="J168" s="8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8" t="s">
        <v>4</v>
      </c>
      <c r="E169" s="8" t="s">
        <v>7045</v>
      </c>
      <c r="F169" s="8"/>
      <c r="H169" s="8"/>
      <c r="I169" s="8" t="s">
        <v>8964</v>
      </c>
      <c r="J169" s="8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8" t="s">
        <v>226</v>
      </c>
      <c r="E170" s="8" t="s">
        <v>4940</v>
      </c>
      <c r="F170" s="8" t="s">
        <v>9130</v>
      </c>
      <c r="H170" s="8"/>
      <c r="I170" s="8" t="s">
        <v>8967</v>
      </c>
      <c r="J170" s="8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8" t="s">
        <v>587</v>
      </c>
      <c r="E171" s="8" t="s">
        <v>4940</v>
      </c>
      <c r="F171" s="8" t="s">
        <v>9130</v>
      </c>
      <c r="H171" s="8"/>
      <c r="I171" s="8" t="s">
        <v>8970</v>
      </c>
      <c r="J171" s="8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8" t="s">
        <v>1273</v>
      </c>
      <c r="E172" s="8" t="s">
        <v>4940</v>
      </c>
      <c r="F172" s="8"/>
      <c r="H172" s="8"/>
      <c r="I172" s="8" t="s">
        <v>8973</v>
      </c>
      <c r="J172" s="8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8" t="s">
        <v>4</v>
      </c>
      <c r="E173" s="8" t="s">
        <v>7045</v>
      </c>
      <c r="F173" s="8"/>
      <c r="H173" s="8"/>
      <c r="I173" s="8" t="s">
        <v>9174</v>
      </c>
      <c r="J173" s="8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8" t="s">
        <v>4</v>
      </c>
      <c r="E174" s="8" t="s">
        <v>7045</v>
      </c>
      <c r="F174" s="8"/>
      <c r="H174" s="8"/>
      <c r="I174" s="8" t="s">
        <v>9177</v>
      </c>
      <c r="J174" s="8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8" t="s">
        <v>4</v>
      </c>
      <c r="E175" s="8" t="s">
        <v>7045</v>
      </c>
      <c r="F175" s="8"/>
      <c r="H175" s="8"/>
      <c r="I175" s="8" t="s">
        <v>9180</v>
      </c>
      <c r="J175" s="8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8" t="s">
        <v>4</v>
      </c>
      <c r="E176" s="8" t="s">
        <v>8</v>
      </c>
      <c r="F176" s="8"/>
      <c r="H176" s="8"/>
      <c r="I176" s="8" t="s">
        <v>9332</v>
      </c>
      <c r="J176" s="8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8" t="s">
        <v>1607</v>
      </c>
      <c r="E177" s="8" t="s">
        <v>8</v>
      </c>
      <c r="F177" s="8"/>
      <c r="H177" s="8"/>
      <c r="I177" s="8" t="s">
        <v>9335</v>
      </c>
      <c r="J177" s="8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8" t="s">
        <v>4</v>
      </c>
      <c r="E178" s="8" t="s">
        <v>7045</v>
      </c>
      <c r="F178" s="8"/>
      <c r="H178" s="8"/>
      <c r="I178" s="8" t="s">
        <v>9515</v>
      </c>
      <c r="J178" s="8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8" t="s">
        <v>9596</v>
      </c>
      <c r="E179" s="8" t="s">
        <v>9597</v>
      </c>
      <c r="F179" s="8" t="s">
        <v>4070</v>
      </c>
      <c r="H179" s="8"/>
      <c r="I179" s="8" t="s">
        <v>9518</v>
      </c>
      <c r="J179" s="8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8" t="s">
        <v>62</v>
      </c>
      <c r="E180" s="8" t="s">
        <v>9597</v>
      </c>
      <c r="F180" s="8" t="s">
        <v>4070</v>
      </c>
      <c r="H180" s="8"/>
      <c r="I180" s="8" t="s">
        <v>9521</v>
      </c>
      <c r="J180" s="8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8" t="s">
        <v>9596</v>
      </c>
      <c r="E181" s="8" t="s">
        <v>3358</v>
      </c>
      <c r="F181" s="8" t="s">
        <v>4070</v>
      </c>
      <c r="H181" s="8"/>
      <c r="I181" s="8" t="s">
        <v>9524</v>
      </c>
      <c r="J181" s="8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8" t="s">
        <v>62</v>
      </c>
      <c r="E182" s="8" t="s">
        <v>3358</v>
      </c>
      <c r="F182" s="8" t="s">
        <v>4070</v>
      </c>
      <c r="H182" s="8"/>
      <c r="I182" s="8" t="s">
        <v>9527</v>
      </c>
      <c r="J182" s="8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8" t="s">
        <v>1273</v>
      </c>
      <c r="E183" s="8" t="s">
        <v>70</v>
      </c>
      <c r="F183" s="8" t="s">
        <v>4070</v>
      </c>
      <c r="H183" s="8"/>
      <c r="I183" s="8" t="s">
        <v>9530</v>
      </c>
      <c r="J183" s="8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8" t="s">
        <v>9596</v>
      </c>
      <c r="E184" s="8" t="s">
        <v>70</v>
      </c>
      <c r="F184" s="8"/>
      <c r="H184" s="8"/>
      <c r="I184" s="8" t="s">
        <v>9533</v>
      </c>
      <c r="J184" s="8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8" t="s">
        <v>9598</v>
      </c>
      <c r="E185" s="8" t="s">
        <v>70</v>
      </c>
      <c r="F185" s="8" t="s">
        <v>7464</v>
      </c>
      <c r="H185" s="8"/>
      <c r="I185" s="8" t="s">
        <v>9536</v>
      </c>
      <c r="J185" s="8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8" t="s">
        <v>587</v>
      </c>
      <c r="E186" s="8" t="s">
        <v>70</v>
      </c>
      <c r="F186" s="8" t="s">
        <v>7464</v>
      </c>
      <c r="H186" s="8"/>
      <c r="I186" s="8" t="s">
        <v>9539</v>
      </c>
      <c r="J186" s="8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8" t="s">
        <v>227</v>
      </c>
      <c r="E187" s="8" t="s">
        <v>9652</v>
      </c>
      <c r="F187" s="8" t="s">
        <v>1289</v>
      </c>
      <c r="G187">
        <v>2</v>
      </c>
      <c r="H187" s="8"/>
      <c r="I187" s="8" t="s">
        <v>9616</v>
      </c>
      <c r="J187" s="8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8" t="s">
        <v>9656</v>
      </c>
      <c r="E188" s="8" t="s">
        <v>9653</v>
      </c>
      <c r="F188" s="8"/>
      <c r="H188" s="8"/>
      <c r="I188" s="8" t="s">
        <v>9619</v>
      </c>
      <c r="J188" s="8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8" t="s">
        <v>9654</v>
      </c>
      <c r="E189" s="8" t="s">
        <v>9653</v>
      </c>
      <c r="F189" s="8"/>
      <c r="H189" s="8"/>
      <c r="I189" s="8" t="s">
        <v>9622</v>
      </c>
      <c r="J189" s="8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8" t="s">
        <v>4</v>
      </c>
      <c r="E190" s="8" t="s">
        <v>9655</v>
      </c>
      <c r="F190" s="8"/>
      <c r="H190" s="8"/>
      <c r="I190" s="8" t="s">
        <v>9625</v>
      </c>
      <c r="J190" s="8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8" t="s">
        <v>9656</v>
      </c>
      <c r="E191" s="8" t="s">
        <v>9653</v>
      </c>
      <c r="F191" s="8"/>
      <c r="H191" s="8"/>
      <c r="I191" s="8" t="s">
        <v>9628</v>
      </c>
      <c r="J191" s="8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8" t="s">
        <v>62</v>
      </c>
      <c r="E192" s="8" t="s">
        <v>9653</v>
      </c>
      <c r="F192" s="8"/>
      <c r="H192" s="8"/>
      <c r="I192" s="8" t="s">
        <v>9631</v>
      </c>
      <c r="J192" s="8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8" t="s">
        <v>1607</v>
      </c>
      <c r="E193" s="8" t="s">
        <v>8</v>
      </c>
      <c r="F193" s="8"/>
      <c r="H193" s="8"/>
      <c r="I193" s="8" t="s">
        <v>9676</v>
      </c>
      <c r="J193" s="8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8" t="s">
        <v>1607</v>
      </c>
      <c r="E194" s="8" t="s">
        <v>8</v>
      </c>
      <c r="F194" s="8"/>
      <c r="H194" s="8"/>
      <c r="I194" s="8" t="s">
        <v>9896</v>
      </c>
      <c r="J194" s="8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8" t="s">
        <v>10009</v>
      </c>
      <c r="E195" s="8" t="s">
        <v>86</v>
      </c>
      <c r="F195" s="8"/>
      <c r="H195" s="8"/>
      <c r="I195" s="8" t="s">
        <v>9899</v>
      </c>
      <c r="J195" s="8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8" t="s">
        <v>10009</v>
      </c>
      <c r="E196" s="8" t="s">
        <v>86</v>
      </c>
      <c r="F196" s="8"/>
      <c r="H196" s="8"/>
      <c r="I196" s="8" t="s">
        <v>9902</v>
      </c>
      <c r="J196" s="8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8" t="s">
        <v>10009</v>
      </c>
      <c r="E197" s="8" t="s">
        <v>86</v>
      </c>
      <c r="F197" s="8"/>
      <c r="H197" s="8"/>
      <c r="I197" s="8" t="s">
        <v>9905</v>
      </c>
      <c r="J197" s="8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8" t="s">
        <v>4</v>
      </c>
      <c r="E198" s="8" t="s">
        <v>10010</v>
      </c>
      <c r="F198" s="8"/>
      <c r="H198" s="8"/>
      <c r="I198" s="8" t="s">
        <v>9908</v>
      </c>
      <c r="J198" s="8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8" t="s">
        <v>10009</v>
      </c>
      <c r="E199" s="8" t="s">
        <v>468</v>
      </c>
      <c r="F199" s="8"/>
      <c r="H199" s="8"/>
      <c r="I199" s="8" t="s">
        <v>9911</v>
      </c>
      <c r="J199" s="8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8" t="s">
        <v>4</v>
      </c>
      <c r="E200" s="8" t="s">
        <v>10010</v>
      </c>
      <c r="F200" s="8"/>
      <c r="H200" s="8"/>
      <c r="I200" s="8" t="s">
        <v>9914</v>
      </c>
      <c r="J200" s="8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8" t="s">
        <v>9600</v>
      </c>
      <c r="E201" s="8"/>
      <c r="F201" s="8"/>
      <c r="H201" s="8"/>
      <c r="I201" s="8" t="s">
        <v>9917</v>
      </c>
      <c r="J201" s="8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8" t="s">
        <v>9656</v>
      </c>
      <c r="E202" s="8" t="s">
        <v>3358</v>
      </c>
      <c r="F202" s="8"/>
      <c r="H202" s="8"/>
      <c r="I202" s="8" t="s">
        <v>10012</v>
      </c>
      <c r="J202" s="8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8" t="s">
        <v>588</v>
      </c>
      <c r="E203" s="8" t="s">
        <v>86</v>
      </c>
      <c r="F203" s="8"/>
      <c r="H203" s="8"/>
      <c r="I203" s="8" t="s">
        <v>9920</v>
      </c>
      <c r="J203" s="8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8" t="s">
        <v>1273</v>
      </c>
      <c r="E204" s="8" t="s">
        <v>10011</v>
      </c>
      <c r="F204" s="8"/>
      <c r="H204" s="8"/>
      <c r="I204" s="8" t="s">
        <v>9923</v>
      </c>
      <c r="J204" s="8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8" t="s">
        <v>62</v>
      </c>
      <c r="E205" s="8" t="s">
        <v>3358</v>
      </c>
      <c r="F205" s="8"/>
      <c r="H205" s="8"/>
      <c r="I205" s="8" t="s">
        <v>9926</v>
      </c>
      <c r="J205" s="8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8" t="s">
        <v>9656</v>
      </c>
      <c r="E206" s="8" t="s">
        <v>10011</v>
      </c>
      <c r="F206" s="8"/>
      <c r="H206" s="8"/>
      <c r="I206" s="8" t="s">
        <v>9929</v>
      </c>
      <c r="J206" s="8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8" t="s">
        <v>62</v>
      </c>
      <c r="E207" s="8" t="s">
        <v>10011</v>
      </c>
      <c r="F207" s="8"/>
      <c r="H207" s="8"/>
      <c r="I207" s="8" t="s">
        <v>9932</v>
      </c>
      <c r="J207" s="8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8" t="s">
        <v>588</v>
      </c>
      <c r="E208" s="8" t="s">
        <v>86</v>
      </c>
      <c r="F208" s="8"/>
      <c r="H208" s="8"/>
      <c r="I208" s="8" t="s">
        <v>9935</v>
      </c>
      <c r="J208" s="8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8" t="s">
        <v>588</v>
      </c>
      <c r="E209" s="8" t="s">
        <v>86</v>
      </c>
      <c r="F209" s="8"/>
      <c r="H209" s="8"/>
      <c r="I209" s="8" t="s">
        <v>10082</v>
      </c>
      <c r="J209" s="8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8" t="s">
        <v>9656</v>
      </c>
      <c r="E210" s="8" t="s">
        <v>3358</v>
      </c>
      <c r="F210" s="8"/>
      <c r="H210" s="8"/>
      <c r="I210" s="8" t="s">
        <v>10085</v>
      </c>
      <c r="J210" s="8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8" t="s">
        <v>9656</v>
      </c>
      <c r="E211" s="8" t="s">
        <v>10130</v>
      </c>
      <c r="F211" s="8"/>
      <c r="H211" s="8" t="s">
        <v>10131</v>
      </c>
      <c r="I211" s="8" t="s">
        <v>10088</v>
      </c>
      <c r="J211" s="8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8" t="s">
        <v>62</v>
      </c>
      <c r="E212" s="8" t="s">
        <v>3358</v>
      </c>
      <c r="F212" s="8"/>
      <c r="H212" s="8"/>
      <c r="I212" s="8" t="s">
        <v>10091</v>
      </c>
      <c r="J212" s="8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8" t="s">
        <v>9656</v>
      </c>
      <c r="E213" s="8" t="s">
        <v>10132</v>
      </c>
      <c r="F213" s="8"/>
      <c r="H213" s="8"/>
      <c r="I213" s="8" t="s">
        <v>10094</v>
      </c>
      <c r="J213" s="8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8" t="s">
        <v>62</v>
      </c>
      <c r="E214" s="8" t="s">
        <v>10132</v>
      </c>
      <c r="F214" s="8" t="s">
        <v>10236</v>
      </c>
      <c r="H214" s="8"/>
      <c r="I214" s="8" t="s">
        <v>10097</v>
      </c>
      <c r="J214" s="8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8" t="s">
        <v>9656</v>
      </c>
      <c r="E215" s="8" t="s">
        <v>10132</v>
      </c>
      <c r="F215" s="8"/>
      <c r="H215" s="8"/>
      <c r="I215" s="8" t="s">
        <v>10143</v>
      </c>
      <c r="J215" s="8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8" t="s">
        <v>10237</v>
      </c>
      <c r="E216" s="8" t="s">
        <v>10132</v>
      </c>
      <c r="F216" s="8"/>
      <c r="H216" s="8"/>
      <c r="I216" s="8" t="s">
        <v>10146</v>
      </c>
      <c r="J216" s="8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8" t="s">
        <v>4921</v>
      </c>
      <c r="E217" s="8" t="s">
        <v>10132</v>
      </c>
      <c r="F217" s="8"/>
      <c r="H217" s="8"/>
      <c r="I217" s="8" t="s">
        <v>10149</v>
      </c>
      <c r="J217" s="8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8" t="s">
        <v>1273</v>
      </c>
      <c r="E218" s="8" t="s">
        <v>10415</v>
      </c>
      <c r="F218" s="8"/>
      <c r="H218" s="8"/>
      <c r="I218" s="8" t="s">
        <v>10244</v>
      </c>
      <c r="J218" s="8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8" t="s">
        <v>4921</v>
      </c>
      <c r="E219" s="8" t="s">
        <v>10415</v>
      </c>
      <c r="F219" s="8"/>
      <c r="H219" s="8"/>
      <c r="I219" s="8" t="s">
        <v>10247</v>
      </c>
      <c r="J219" s="8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8" t="s">
        <v>62</v>
      </c>
      <c r="E220" s="8" t="s">
        <v>10415</v>
      </c>
      <c r="F220" s="8"/>
      <c r="H220" s="8"/>
      <c r="I220" s="8" t="s">
        <v>10250</v>
      </c>
      <c r="J220" s="8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8" t="s">
        <v>1273</v>
      </c>
      <c r="E221" s="8" t="s">
        <v>10130</v>
      </c>
      <c r="F221" s="8"/>
      <c r="H221" s="8"/>
      <c r="I221" s="8" t="s">
        <v>10253</v>
      </c>
      <c r="J221" s="8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8" t="s">
        <v>62</v>
      </c>
      <c r="E222" s="8" t="s">
        <v>10130</v>
      </c>
      <c r="F222" s="8"/>
      <c r="H222" s="8"/>
      <c r="I222" s="8" t="s">
        <v>10256</v>
      </c>
      <c r="J222" s="8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8" t="s">
        <v>9596</v>
      </c>
      <c r="E223" s="8" t="s">
        <v>10416</v>
      </c>
      <c r="F223" s="8"/>
      <c r="H223" s="8"/>
      <c r="I223" s="8" t="s">
        <v>10259</v>
      </c>
      <c r="J223" s="8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8" t="s">
        <v>62</v>
      </c>
      <c r="E224" s="8" t="s">
        <v>10416</v>
      </c>
      <c r="F224" s="8"/>
      <c r="H224" s="8"/>
      <c r="I224" s="8" t="s">
        <v>10262</v>
      </c>
      <c r="J224" s="8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8" t="s">
        <v>4</v>
      </c>
      <c r="E225" s="8" t="s">
        <v>8</v>
      </c>
      <c r="F225" s="8"/>
      <c r="H225" s="8"/>
      <c r="I225" s="8" t="s">
        <v>10265</v>
      </c>
      <c r="J225" s="8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8" t="s">
        <v>1607</v>
      </c>
      <c r="E226" s="8" t="s">
        <v>8</v>
      </c>
      <c r="F226" s="8"/>
      <c r="H226" s="8"/>
      <c r="I226" s="8" t="s">
        <v>10268</v>
      </c>
      <c r="J226" s="8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8" t="s">
        <v>1273</v>
      </c>
      <c r="E227" s="8" t="s">
        <v>3356</v>
      </c>
      <c r="F227" s="8"/>
      <c r="H227" s="8"/>
      <c r="I227" s="8" t="s">
        <v>10417</v>
      </c>
      <c r="J227" s="8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8" t="s">
        <v>9596</v>
      </c>
      <c r="E228" s="8" t="s">
        <v>10565</v>
      </c>
      <c r="F228" s="8" t="s">
        <v>51</v>
      </c>
      <c r="H228" s="8"/>
      <c r="I228" s="8" t="s">
        <v>10420</v>
      </c>
      <c r="J228" s="8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8" t="s">
        <v>9596</v>
      </c>
      <c r="E229" s="8" t="s">
        <v>10566</v>
      </c>
      <c r="F229" s="8" t="s">
        <v>51</v>
      </c>
      <c r="H229" s="8"/>
      <c r="I229" s="8" t="s">
        <v>10423</v>
      </c>
      <c r="J229" s="8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8" t="s">
        <v>62</v>
      </c>
      <c r="E230" s="8" t="s">
        <v>3356</v>
      </c>
      <c r="F230" s="8"/>
      <c r="H230" s="8"/>
      <c r="I230" s="8" t="s">
        <v>10426</v>
      </c>
      <c r="J230" s="8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8" t="s">
        <v>62</v>
      </c>
      <c r="E231" s="8" t="s">
        <v>10566</v>
      </c>
      <c r="F231" s="8" t="s">
        <v>586</v>
      </c>
      <c r="H231" s="8"/>
      <c r="I231" s="8" t="s">
        <v>10429</v>
      </c>
      <c r="J231" s="8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8" t="s">
        <v>62</v>
      </c>
      <c r="E232" s="8" t="s">
        <v>10565</v>
      </c>
      <c r="F232" s="8" t="s">
        <v>586</v>
      </c>
      <c r="H232" s="8"/>
      <c r="I232" s="8" t="s">
        <v>10432</v>
      </c>
      <c r="J232" s="8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8" t="s">
        <v>4921</v>
      </c>
      <c r="E233" s="8" t="s">
        <v>11067</v>
      </c>
      <c r="F233" s="8"/>
      <c r="H233" s="8"/>
      <c r="I233" s="8" t="s">
        <v>10608</v>
      </c>
      <c r="J233" s="8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8" t="s">
        <v>9596</v>
      </c>
      <c r="E234" s="8" t="s">
        <v>11067</v>
      </c>
      <c r="F234" s="8"/>
      <c r="H234" s="8"/>
      <c r="I234" s="8" t="s">
        <v>10611</v>
      </c>
      <c r="J234" s="8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8" t="s">
        <v>4921</v>
      </c>
      <c r="E235" s="8" t="s">
        <v>11068</v>
      </c>
      <c r="F235" s="8" t="s">
        <v>60</v>
      </c>
      <c r="H235" s="8"/>
      <c r="I235" s="8" t="s">
        <v>10614</v>
      </c>
      <c r="J235" s="8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8" t="s">
        <v>4921</v>
      </c>
      <c r="E236" s="8" t="s">
        <v>11068</v>
      </c>
      <c r="F236" s="8" t="s">
        <v>60</v>
      </c>
      <c r="H236" s="8" t="s">
        <v>2352</v>
      </c>
      <c r="I236" s="8" t="s">
        <v>10617</v>
      </c>
      <c r="J236" s="8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8" t="s">
        <v>227</v>
      </c>
      <c r="E237" s="8" t="s">
        <v>11068</v>
      </c>
      <c r="F237" s="8" t="s">
        <v>60</v>
      </c>
      <c r="H237" s="8" t="s">
        <v>2352</v>
      </c>
      <c r="I237" s="8" t="s">
        <v>10620</v>
      </c>
      <c r="J237" s="8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8" t="s">
        <v>227</v>
      </c>
      <c r="E238" s="8" t="s">
        <v>11068</v>
      </c>
      <c r="F238" s="8" t="s">
        <v>60</v>
      </c>
      <c r="H238" s="8" t="s">
        <v>2352</v>
      </c>
      <c r="I238" s="8" t="s">
        <v>10623</v>
      </c>
      <c r="J238" s="8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8" t="s">
        <v>227</v>
      </c>
      <c r="E239" s="8" t="s">
        <v>11068</v>
      </c>
      <c r="F239" s="8" t="s">
        <v>60</v>
      </c>
      <c r="H239" s="8" t="s">
        <v>2352</v>
      </c>
      <c r="I239" s="8" t="s">
        <v>10626</v>
      </c>
      <c r="J239" s="8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8" t="s">
        <v>227</v>
      </c>
      <c r="E240" s="8" t="s">
        <v>11068</v>
      </c>
      <c r="F240" s="8" t="s">
        <v>60</v>
      </c>
      <c r="H240" s="8" t="s">
        <v>2352</v>
      </c>
      <c r="I240" s="8" t="s">
        <v>10629</v>
      </c>
      <c r="J240" s="8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8" t="s">
        <v>227</v>
      </c>
      <c r="E241" s="8" t="s">
        <v>11068</v>
      </c>
      <c r="F241" s="8" t="s">
        <v>60</v>
      </c>
      <c r="H241" s="8" t="s">
        <v>2352</v>
      </c>
      <c r="I241" s="8" t="s">
        <v>10632</v>
      </c>
      <c r="J241" s="8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8" t="s">
        <v>227</v>
      </c>
      <c r="E242" s="8" t="s">
        <v>11068</v>
      </c>
      <c r="F242" s="8" t="s">
        <v>60</v>
      </c>
      <c r="H242" s="8" t="s">
        <v>2352</v>
      </c>
      <c r="I242" s="8" t="s">
        <v>10635</v>
      </c>
      <c r="J242" s="8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8" t="s">
        <v>227</v>
      </c>
      <c r="E243" s="8" t="s">
        <v>11068</v>
      </c>
      <c r="F243" s="8" t="s">
        <v>60</v>
      </c>
      <c r="H243" s="8" t="s">
        <v>2352</v>
      </c>
      <c r="I243" s="8" t="s">
        <v>10638</v>
      </c>
      <c r="J243" s="8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8" t="s">
        <v>227</v>
      </c>
      <c r="E244" s="8" t="s">
        <v>11068</v>
      </c>
      <c r="F244" s="8" t="s">
        <v>60</v>
      </c>
      <c r="H244" s="8" t="s">
        <v>2352</v>
      </c>
      <c r="I244" s="8" t="s">
        <v>10641</v>
      </c>
      <c r="J244" s="8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8" t="s">
        <v>227</v>
      </c>
      <c r="E245" s="8" t="s">
        <v>11068</v>
      </c>
      <c r="F245" s="8" t="s">
        <v>60</v>
      </c>
      <c r="H245" s="8" t="s">
        <v>2352</v>
      </c>
      <c r="I245" s="8" t="s">
        <v>10644</v>
      </c>
      <c r="J245" s="8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8" t="s">
        <v>227</v>
      </c>
      <c r="E246" s="8" t="s">
        <v>11068</v>
      </c>
      <c r="F246" s="8" t="s">
        <v>60</v>
      </c>
      <c r="H246" s="8" t="s">
        <v>2352</v>
      </c>
      <c r="I246" s="8" t="s">
        <v>10647</v>
      </c>
      <c r="J246" s="8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8" t="s">
        <v>227</v>
      </c>
      <c r="E247" s="8" t="s">
        <v>11068</v>
      </c>
      <c r="F247" s="8" t="s">
        <v>60</v>
      </c>
      <c r="H247" s="8" t="s">
        <v>2352</v>
      </c>
      <c r="I247" s="8" t="s">
        <v>10650</v>
      </c>
      <c r="J247" s="8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8" t="s">
        <v>227</v>
      </c>
      <c r="E248" s="8" t="s">
        <v>11068</v>
      </c>
      <c r="F248" s="8" t="s">
        <v>60</v>
      </c>
      <c r="H248" s="8" t="s">
        <v>2352</v>
      </c>
      <c r="I248" s="8" t="s">
        <v>10653</v>
      </c>
      <c r="J248" s="8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8" t="s">
        <v>227</v>
      </c>
      <c r="E249" s="8" t="s">
        <v>11068</v>
      </c>
      <c r="F249" s="8" t="s">
        <v>60</v>
      </c>
      <c r="H249" s="8" t="s">
        <v>2352</v>
      </c>
      <c r="I249" s="8" t="s">
        <v>10656</v>
      </c>
      <c r="J249" s="8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8" t="s">
        <v>227</v>
      </c>
      <c r="E250" s="8" t="s">
        <v>11068</v>
      </c>
      <c r="F250" s="8" t="s">
        <v>60</v>
      </c>
      <c r="H250" s="8" t="s">
        <v>2352</v>
      </c>
      <c r="I250" s="8" t="s">
        <v>10659</v>
      </c>
      <c r="J250" s="8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8" t="s">
        <v>227</v>
      </c>
      <c r="E251" s="8" t="s">
        <v>11068</v>
      </c>
      <c r="F251" s="8" t="s">
        <v>60</v>
      </c>
      <c r="H251" s="8" t="s">
        <v>2352</v>
      </c>
      <c r="I251" s="8" t="s">
        <v>10662</v>
      </c>
      <c r="J251" s="8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8" t="s">
        <v>227</v>
      </c>
      <c r="E252" s="8" t="s">
        <v>11068</v>
      </c>
      <c r="F252" s="8" t="s">
        <v>60</v>
      </c>
      <c r="H252" s="8" t="s">
        <v>2352</v>
      </c>
      <c r="I252" s="8" t="s">
        <v>10665</v>
      </c>
      <c r="J252" s="8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8" t="s">
        <v>227</v>
      </c>
      <c r="E253" s="8" t="s">
        <v>11068</v>
      </c>
      <c r="F253" s="8" t="s">
        <v>60</v>
      </c>
      <c r="H253" s="8" t="s">
        <v>2352</v>
      </c>
      <c r="I253" s="8" t="s">
        <v>10668</v>
      </c>
      <c r="J253" s="8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8" t="s">
        <v>227</v>
      </c>
      <c r="E254" s="8" t="s">
        <v>11068</v>
      </c>
      <c r="F254" s="8" t="s">
        <v>60</v>
      </c>
      <c r="H254" s="8" t="s">
        <v>2352</v>
      </c>
      <c r="I254" s="8" t="s">
        <v>10671</v>
      </c>
      <c r="J254" s="8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8" t="s">
        <v>227</v>
      </c>
      <c r="E255" s="8" t="s">
        <v>11068</v>
      </c>
      <c r="F255" s="8" t="s">
        <v>60</v>
      </c>
      <c r="H255" s="8" t="s">
        <v>2352</v>
      </c>
      <c r="I255" s="8" t="s">
        <v>10674</v>
      </c>
      <c r="J255" s="8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8" t="s">
        <v>227</v>
      </c>
      <c r="E256" s="8" t="s">
        <v>11068</v>
      </c>
      <c r="F256" s="8" t="s">
        <v>60</v>
      </c>
      <c r="H256" s="8" t="s">
        <v>2352</v>
      </c>
      <c r="I256" s="8" t="s">
        <v>10677</v>
      </c>
      <c r="J256" s="8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8" t="s">
        <v>227</v>
      </c>
      <c r="E257" s="8" t="s">
        <v>11068</v>
      </c>
      <c r="F257" s="8" t="s">
        <v>60</v>
      </c>
      <c r="H257" s="8" t="s">
        <v>2352</v>
      </c>
      <c r="I257" s="8" t="s">
        <v>10680</v>
      </c>
      <c r="J257" s="8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8" t="s">
        <v>4921</v>
      </c>
      <c r="E258" s="8" t="s">
        <v>11068</v>
      </c>
      <c r="F258" s="8" t="s">
        <v>51</v>
      </c>
      <c r="H258" s="8"/>
      <c r="I258" s="8" t="s">
        <v>10683</v>
      </c>
      <c r="J258" s="8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8" t="s">
        <v>587</v>
      </c>
      <c r="E259" s="8" t="s">
        <v>11068</v>
      </c>
      <c r="F259" s="8" t="s">
        <v>51</v>
      </c>
      <c r="H259" s="8"/>
      <c r="I259" s="8" t="s">
        <v>10686</v>
      </c>
      <c r="J259" s="8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8" t="s">
        <v>4</v>
      </c>
      <c r="E260" s="8" t="s">
        <v>8</v>
      </c>
      <c r="F260" s="8"/>
      <c r="H260" s="8"/>
      <c r="I260" s="8" t="s">
        <v>10689</v>
      </c>
      <c r="J260" s="8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8" t="s">
        <v>13847</v>
      </c>
      <c r="E261" s="8" t="s">
        <v>468</v>
      </c>
      <c r="F261" s="8"/>
      <c r="H261" s="8"/>
      <c r="I261" s="8" t="s">
        <v>13753</v>
      </c>
      <c r="J261" s="8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8" t="s">
        <v>13848</v>
      </c>
      <c r="E262" s="8" t="s">
        <v>86</v>
      </c>
      <c r="F262" s="8"/>
      <c r="H262" s="8"/>
      <c r="I262" s="8" t="s">
        <v>13756</v>
      </c>
      <c r="J262" s="8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8" t="s">
        <v>13849</v>
      </c>
      <c r="E263" s="8" t="s">
        <v>86</v>
      </c>
      <c r="F263" s="8"/>
      <c r="H263" s="8"/>
      <c r="I263" s="8" t="s">
        <v>13759</v>
      </c>
      <c r="J263" s="8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8" t="s">
        <v>13847</v>
      </c>
      <c r="E264" s="8" t="s">
        <v>468</v>
      </c>
      <c r="F264" s="8"/>
      <c r="H264" s="8"/>
      <c r="I264" s="8" t="s">
        <v>13762</v>
      </c>
      <c r="J264" s="8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8" t="s">
        <v>4</v>
      </c>
      <c r="E265" s="8" t="s">
        <v>8</v>
      </c>
      <c r="F265" s="8"/>
      <c r="H265" s="8"/>
      <c r="I265" s="8" t="s">
        <v>13765</v>
      </c>
      <c r="J265" s="8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8" t="s">
        <v>4</v>
      </c>
      <c r="E266" s="8" t="s">
        <v>8</v>
      </c>
      <c r="F266" s="8"/>
      <c r="H266" s="8"/>
      <c r="I266" s="8" t="s">
        <v>13768</v>
      </c>
      <c r="J266" s="8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8" t="s">
        <v>13847</v>
      </c>
      <c r="E267" s="8" t="s">
        <v>468</v>
      </c>
      <c r="F267" s="8"/>
      <c r="H267" s="8"/>
      <c r="I267" s="8" t="s">
        <v>13771</v>
      </c>
      <c r="J267" s="8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8" t="s">
        <v>4</v>
      </c>
      <c r="E268" s="8" t="s">
        <v>8</v>
      </c>
      <c r="F268" s="8"/>
      <c r="H268" s="8"/>
      <c r="I268" s="8" t="s">
        <v>13774</v>
      </c>
      <c r="J268" s="8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8" t="s">
        <v>4</v>
      </c>
      <c r="E269" s="8" t="s">
        <v>8</v>
      </c>
      <c r="F269" s="8"/>
      <c r="H269" s="8"/>
      <c r="I269" s="8" t="s">
        <v>13918</v>
      </c>
      <c r="J269" s="8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8" t="s">
        <v>4</v>
      </c>
      <c r="E270" s="8" t="s">
        <v>8</v>
      </c>
      <c r="F270" s="8"/>
      <c r="H270" s="8"/>
      <c r="I270" s="8" t="s">
        <v>13921</v>
      </c>
      <c r="J270" s="8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8" t="s">
        <v>4</v>
      </c>
      <c r="E271" s="8" t="s">
        <v>8</v>
      </c>
      <c r="F271" s="8"/>
      <c r="H271" s="8"/>
      <c r="I271" s="8" t="s">
        <v>13924</v>
      </c>
      <c r="J271" s="8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8" t="s">
        <v>4</v>
      </c>
      <c r="E272" s="8" t="s">
        <v>8</v>
      </c>
      <c r="F272" s="8"/>
      <c r="H272" s="8"/>
      <c r="I272" s="8" t="s">
        <v>14867</v>
      </c>
      <c r="J272" s="8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8" t="s">
        <v>4</v>
      </c>
      <c r="E273" s="8" t="s">
        <v>8</v>
      </c>
      <c r="F273" s="8"/>
      <c r="H273" s="8"/>
      <c r="I273" s="8" t="s">
        <v>14870</v>
      </c>
      <c r="J273" s="8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8" t="s">
        <v>4</v>
      </c>
      <c r="E274" s="8" t="s">
        <v>8</v>
      </c>
      <c r="F274" s="8"/>
      <c r="H274" s="8"/>
      <c r="I274" s="8" t="s">
        <v>14873</v>
      </c>
      <c r="J274" s="8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8" t="s">
        <v>4</v>
      </c>
      <c r="E275" s="8" t="s">
        <v>12</v>
      </c>
      <c r="F275" s="8"/>
      <c r="H275" s="8"/>
      <c r="I275" s="8" t="s">
        <v>14876</v>
      </c>
      <c r="J275" s="8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8" t="s">
        <v>4</v>
      </c>
      <c r="E276" s="8" t="s">
        <v>12</v>
      </c>
      <c r="F276" s="8"/>
      <c r="H276" s="8"/>
      <c r="I276" s="8" t="s">
        <v>14879</v>
      </c>
      <c r="J276" s="8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8" t="s">
        <v>4</v>
      </c>
      <c r="E277" s="8" t="s">
        <v>8</v>
      </c>
      <c r="F277" s="8"/>
      <c r="H277" s="8"/>
      <c r="I277" s="8" t="s">
        <v>14882</v>
      </c>
      <c r="J277" s="8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8" t="s">
        <v>4</v>
      </c>
      <c r="E278" s="8" t="s">
        <v>8</v>
      </c>
      <c r="F278" s="8"/>
      <c r="H278" s="8"/>
      <c r="I278" s="8" t="s">
        <v>14885</v>
      </c>
      <c r="J278" s="8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8" t="s">
        <v>4</v>
      </c>
      <c r="E279" s="8" t="s">
        <v>16653</v>
      </c>
      <c r="F279" s="8"/>
      <c r="H279" s="8"/>
      <c r="I279" s="8" t="s">
        <v>14888</v>
      </c>
      <c r="J279" s="8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8" t="s">
        <v>4</v>
      </c>
      <c r="E280" s="8" t="s">
        <v>8</v>
      </c>
      <c r="F280" s="8"/>
      <c r="H280" s="8"/>
      <c r="I280" s="8" t="s">
        <v>14891</v>
      </c>
      <c r="J280" s="8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8" t="s">
        <v>4</v>
      </c>
      <c r="E281" s="8" t="s">
        <v>16661</v>
      </c>
      <c r="F281" s="8" t="s">
        <v>51</v>
      </c>
      <c r="H281" s="8"/>
      <c r="I281" s="8" t="s">
        <v>14894</v>
      </c>
      <c r="J281" s="8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8" t="s">
        <v>4</v>
      </c>
      <c r="E282" s="8" t="s">
        <v>16661</v>
      </c>
      <c r="F282" s="8" t="s">
        <v>16657</v>
      </c>
      <c r="H282" s="8"/>
      <c r="I282" s="8" t="s">
        <v>14897</v>
      </c>
      <c r="J282" s="8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8" t="s">
        <v>4</v>
      </c>
      <c r="E283" s="8" t="s">
        <v>8</v>
      </c>
      <c r="F283" s="8"/>
      <c r="H283" s="8"/>
      <c r="I283" s="8" t="s">
        <v>14900</v>
      </c>
      <c r="J283" s="8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8" t="s">
        <v>16662</v>
      </c>
      <c r="E284" s="8" t="s">
        <v>86</v>
      </c>
      <c r="F284" s="8"/>
      <c r="H284" s="8"/>
      <c r="I284" s="8" t="s">
        <v>14903</v>
      </c>
      <c r="J284" s="8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8" t="s">
        <v>4</v>
      </c>
      <c r="E285" s="8" t="s">
        <v>8</v>
      </c>
      <c r="F285" s="8"/>
      <c r="H285" s="8"/>
      <c r="I285" s="8" t="s">
        <v>14906</v>
      </c>
      <c r="J285" s="8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8" t="s">
        <v>4</v>
      </c>
      <c r="E286" s="8" t="s">
        <v>8</v>
      </c>
      <c r="F286" s="8"/>
      <c r="H286" s="8"/>
      <c r="I286" s="8" t="s">
        <v>14909</v>
      </c>
      <c r="J286" s="8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8" t="s">
        <v>4</v>
      </c>
      <c r="E287" s="8" t="s">
        <v>8</v>
      </c>
      <c r="F287" s="8"/>
      <c r="H287" s="8"/>
      <c r="I287" s="8" t="s">
        <v>16719</v>
      </c>
      <c r="J287" s="8" t="s">
        <v>2403</v>
      </c>
      <c r="K287" t="s">
        <v>16720</v>
      </c>
      <c r="L287" t="s">
        <v>16721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8" t="s">
        <v>4</v>
      </c>
      <c r="E288" s="8" t="s">
        <v>8</v>
      </c>
      <c r="F288" s="8"/>
      <c r="H288" s="8"/>
      <c r="I288" s="8" t="s">
        <v>16722</v>
      </c>
      <c r="J288" s="8" t="s">
        <v>2403</v>
      </c>
      <c r="K288" t="s">
        <v>16723</v>
      </c>
      <c r="L288" t="s">
        <v>16724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8" t="s">
        <v>4</v>
      </c>
      <c r="E289" s="8" t="s">
        <v>8</v>
      </c>
      <c r="F289" s="8"/>
      <c r="H289" s="8"/>
      <c r="I289" s="8" t="s">
        <v>16725</v>
      </c>
      <c r="J289" s="8" t="s">
        <v>2403</v>
      </c>
      <c r="K289" t="s">
        <v>16726</v>
      </c>
      <c r="L289" t="s">
        <v>16727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8" t="s">
        <v>4</v>
      </c>
      <c r="E290" s="8" t="s">
        <v>8</v>
      </c>
      <c r="F290" s="8"/>
      <c r="H290" s="8"/>
      <c r="I290" s="8" t="s">
        <v>16728</v>
      </c>
      <c r="J290" s="8" t="s">
        <v>2403</v>
      </c>
      <c r="K290" t="s">
        <v>16729</v>
      </c>
      <c r="L290" t="s">
        <v>16730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8" t="s">
        <v>4</v>
      </c>
      <c r="E291" s="8" t="s">
        <v>8</v>
      </c>
      <c r="F291" s="8"/>
      <c r="H291" s="8"/>
      <c r="I291" s="8" t="s">
        <v>17524</v>
      </c>
      <c r="J291" s="8" t="s">
        <v>2403</v>
      </c>
      <c r="K291" t="s">
        <v>17525</v>
      </c>
      <c r="L291" t="s">
        <v>17526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8" t="s">
        <v>1607</v>
      </c>
      <c r="E292" s="8" t="s">
        <v>8</v>
      </c>
      <c r="F292" s="8"/>
      <c r="H292" s="8"/>
      <c r="I292" s="8" t="s">
        <v>17527</v>
      </c>
      <c r="J292" s="8" t="s">
        <v>2403</v>
      </c>
      <c r="K292" t="s">
        <v>17528</v>
      </c>
      <c r="L292" t="s">
        <v>17529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8" t="s">
        <v>4</v>
      </c>
      <c r="E293" s="8" t="s">
        <v>8</v>
      </c>
      <c r="F293" s="8"/>
      <c r="H293" s="8"/>
      <c r="I293" s="8" t="s">
        <v>17950</v>
      </c>
      <c r="J293" s="8" t="s">
        <v>2403</v>
      </c>
      <c r="K293" t="s">
        <v>17951</v>
      </c>
      <c r="L293" t="s">
        <v>17952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8" t="s">
        <v>4</v>
      </c>
      <c r="E294" s="8" t="s">
        <v>8</v>
      </c>
      <c r="F294" s="8"/>
      <c r="H294" s="8"/>
      <c r="I294" s="8" t="s">
        <v>17953</v>
      </c>
      <c r="J294" s="8" t="s">
        <v>2403</v>
      </c>
      <c r="K294" t="s">
        <v>17954</v>
      </c>
      <c r="L294" t="s">
        <v>17955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s="8" t="s">
        <v>588</v>
      </c>
      <c r="E295" s="8" t="s">
        <v>86</v>
      </c>
      <c r="F295" s="8"/>
      <c r="H295" s="8"/>
      <c r="I295" s="8" t="s">
        <v>18405</v>
      </c>
      <c r="J295" s="8" t="s">
        <v>2403</v>
      </c>
      <c r="K295" t="s">
        <v>18406</v>
      </c>
      <c r="L295" t="s">
        <v>18407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s="8" t="s">
        <v>4</v>
      </c>
      <c r="E296" s="8" t="s">
        <v>8</v>
      </c>
      <c r="F296" s="8"/>
      <c r="H296" s="8"/>
      <c r="I296" s="8" t="s">
        <v>18408</v>
      </c>
      <c r="J296" s="8" t="s">
        <v>2403</v>
      </c>
      <c r="K296" t="s">
        <v>18409</v>
      </c>
      <c r="L296" t="s">
        <v>18410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s="8" t="s">
        <v>4</v>
      </c>
      <c r="E297" s="8" t="s">
        <v>7045</v>
      </c>
      <c r="F297" s="8"/>
      <c r="H297" s="8"/>
      <c r="I297" s="8" t="s">
        <v>18898</v>
      </c>
      <c r="J297" s="8" t="s">
        <v>2403</v>
      </c>
      <c r="K297" t="s">
        <v>18899</v>
      </c>
      <c r="L297" t="s">
        <v>18900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s="8" t="s">
        <v>4</v>
      </c>
      <c r="E298" s="8" t="s">
        <v>7045</v>
      </c>
      <c r="F298" s="8"/>
      <c r="H298" s="8"/>
      <c r="I298" s="8" t="s">
        <v>18901</v>
      </c>
      <c r="J298" s="8" t="s">
        <v>2403</v>
      </c>
      <c r="K298" t="s">
        <v>18902</v>
      </c>
      <c r="L298" t="s">
        <v>18903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s="8" t="s">
        <v>4</v>
      </c>
      <c r="E299" s="8" t="s">
        <v>7045</v>
      </c>
      <c r="F299" s="8"/>
      <c r="H299" s="8"/>
      <c r="I299" s="8" t="s">
        <v>18904</v>
      </c>
      <c r="J299" s="8" t="s">
        <v>2403</v>
      </c>
      <c r="K299" t="s">
        <v>18905</v>
      </c>
      <c r="L299" t="s">
        <v>18906</v>
      </c>
      <c r="M299" s="2" t="str">
        <f>HYPERLINK(склад2въезд13[[#This Row],[RelativePath]])</f>
        <v>4 Крыльцо офиса\K07156189_21_20260313T163233Z.jpg</v>
      </c>
    </row>
  </sheetData>
  <conditionalFormatting sqref="D300:D310 E300:E313 G2:H299 D2:E299">
    <cfRule type="containsText" dxfId="833" priority="14" operator="containsText" text="Выезд с территории">
      <formula>NOT(ISERROR(SEARCH("Выезд с территории",D2)))</formula>
    </cfRule>
  </conditionalFormatting>
  <conditionalFormatting sqref="F2:F299">
    <cfRule type="notContainsText" dxfId="832" priority="13" operator="notContains" text="порожний">
      <formula>ISERROR(SEARCH("порожний",F2))</formula>
    </cfRule>
  </conditionalFormatting>
  <conditionalFormatting sqref="E2:E313">
    <cfRule type="containsText" dxfId="831" priority="11" operator="containsText" text="Газель базы">
      <formula>NOT(ISERROR(SEARCH("Газель базы",E2)))</formula>
    </cfRule>
    <cfRule type="containsText" dxfId="830" priority="12" operator="containsText" text="Погрузчик базы">
      <formula>NOT(ISERROR(SEARCH("Погрузчик базы",E2)))</formula>
    </cfRule>
  </conditionalFormatting>
  <conditionalFormatting sqref="E2:E313">
    <cfRule type="containsText" dxfId="829" priority="10" operator="containsText" text="Трактор базы">
      <formula>NOT(ISERROR(SEARCH("Трактор базы",E2)))</formula>
    </cfRule>
  </conditionalFormatting>
  <conditionalFormatting sqref="A2:C299">
    <cfRule type="expression" dxfId="828" priority="9">
      <formula>$A2="пн"</formula>
    </cfRule>
  </conditionalFormatting>
  <conditionalFormatting sqref="A2:C301">
    <cfRule type="expression" dxfId="827" priority="3">
      <formula>$A2="вс"</formula>
    </cfRule>
    <cfRule type="expression" dxfId="826" priority="4">
      <formula>$A2="сб"</formula>
    </cfRule>
    <cfRule type="expression" dxfId="825" priority="5">
      <formula>$A2="пт"</formula>
    </cfRule>
    <cfRule type="expression" dxfId="824" priority="6">
      <formula>$A2="чт"</formula>
    </cfRule>
    <cfRule type="expression" dxfId="823" priority="7">
      <formula>$A2="ср"</formula>
    </cfRule>
    <cfRule type="expression" dxfId="822" priority="8">
      <formula>$A2="вт"</formula>
    </cfRule>
  </conditionalFormatting>
  <conditionalFormatting sqref="D2:D310">
    <cfRule type="containsText" dxfId="82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0">
    <cfRule type="containsText" dxfId="82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401"/>
  <sheetViews>
    <sheetView zoomScale="90" zoomScaleNormal="90" workbookViewId="0">
      <pane ySplit="1" topLeftCell="A382" activePane="bottomLeft" state="frozen"/>
      <selection pane="bottomLeft" activeCell="I398" sqref="I398:I40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270</v>
      </c>
      <c r="J2" s="8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8" t="s">
        <v>397</v>
      </c>
      <c r="E3" s="8" t="s">
        <v>398</v>
      </c>
      <c r="F3" s="8"/>
      <c r="H3" s="8"/>
      <c r="I3" s="8" t="s">
        <v>274</v>
      </c>
      <c r="J3" s="8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8" t="s">
        <v>7</v>
      </c>
      <c r="E4" s="8" t="s">
        <v>398</v>
      </c>
      <c r="F4" s="8"/>
      <c r="H4" s="8"/>
      <c r="I4" s="8" t="s">
        <v>277</v>
      </c>
      <c r="J4" s="8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8" t="s">
        <v>4</v>
      </c>
      <c r="E5" s="8" t="s">
        <v>400</v>
      </c>
      <c r="F5" s="8"/>
      <c r="H5" s="8"/>
      <c r="I5" s="8" t="s">
        <v>280</v>
      </c>
      <c r="J5" s="8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8" t="s">
        <v>4</v>
      </c>
      <c r="E6" s="8" t="s">
        <v>399</v>
      </c>
      <c r="F6" s="8"/>
      <c r="H6" s="8"/>
      <c r="I6" s="8" t="s">
        <v>283</v>
      </c>
      <c r="J6" s="8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8" t="s">
        <v>4</v>
      </c>
      <c r="E7" s="8" t="s">
        <v>399</v>
      </c>
      <c r="F7" s="8"/>
      <c r="H7" s="8"/>
      <c r="I7" s="8" t="s">
        <v>286</v>
      </c>
      <c r="J7" s="8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8" t="s">
        <v>4</v>
      </c>
      <c r="E8" s="8" t="s">
        <v>400</v>
      </c>
      <c r="F8" s="8"/>
      <c r="H8" s="8"/>
      <c r="I8" s="8" t="s">
        <v>289</v>
      </c>
      <c r="J8" s="8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8" t="s">
        <v>4</v>
      </c>
      <c r="E9" s="8" t="s">
        <v>401</v>
      </c>
      <c r="F9" s="8"/>
      <c r="H9" s="8"/>
      <c r="I9" s="8" t="s">
        <v>292</v>
      </c>
      <c r="J9" s="8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295</v>
      </c>
      <c r="J10" s="8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8" t="s">
        <v>4</v>
      </c>
      <c r="E11" s="8" t="s">
        <v>402</v>
      </c>
      <c r="F11" s="8"/>
      <c r="H11" s="8"/>
      <c r="I11" s="8" t="s">
        <v>298</v>
      </c>
      <c r="J11" s="8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8" t="s">
        <v>1607</v>
      </c>
      <c r="E12" s="8" t="s">
        <v>8</v>
      </c>
      <c r="F12" s="8"/>
      <c r="H12" s="8"/>
      <c r="I12" s="8" t="s">
        <v>301</v>
      </c>
      <c r="J12" s="8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8" t="s">
        <v>404</v>
      </c>
      <c r="E13" s="8" t="s">
        <v>67</v>
      </c>
      <c r="F13" s="8"/>
      <c r="H13" s="8"/>
      <c r="I13" s="8" t="s">
        <v>301</v>
      </c>
      <c r="J13" s="8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8" t="s">
        <v>1607</v>
      </c>
      <c r="E14" s="8" t="s">
        <v>8</v>
      </c>
      <c r="F14" s="8"/>
      <c r="H14" s="8"/>
      <c r="I14" s="8" t="s">
        <v>304</v>
      </c>
      <c r="J14" s="8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8" t="s">
        <v>226</v>
      </c>
      <c r="E15" s="8" t="s">
        <v>67</v>
      </c>
      <c r="F15" s="8" t="s">
        <v>405</v>
      </c>
      <c r="H15" s="8"/>
      <c r="I15" s="8" t="s">
        <v>304</v>
      </c>
      <c r="J15" s="8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8" t="s">
        <v>226</v>
      </c>
      <c r="E16" s="8" t="s">
        <v>67</v>
      </c>
      <c r="F16" s="8" t="s">
        <v>405</v>
      </c>
      <c r="H16" s="8"/>
      <c r="I16" s="8" t="s">
        <v>307</v>
      </c>
      <c r="J16" s="8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8" t="s">
        <v>1607</v>
      </c>
      <c r="E17" s="8" t="s">
        <v>8</v>
      </c>
      <c r="F17" s="8"/>
      <c r="H17" s="8"/>
      <c r="I17" s="8" t="s">
        <v>307</v>
      </c>
      <c r="J17" s="8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8" t="s">
        <v>1607</v>
      </c>
      <c r="E18" s="8" t="s">
        <v>8</v>
      </c>
      <c r="F18" s="8"/>
      <c r="H18" s="8"/>
      <c r="I18" s="8" t="s">
        <v>310</v>
      </c>
      <c r="J18" s="8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8" t="s">
        <v>226</v>
      </c>
      <c r="E19" s="8" t="s">
        <v>67</v>
      </c>
      <c r="F19" s="8" t="s">
        <v>405</v>
      </c>
      <c r="H19" s="8"/>
      <c r="I19" s="8" t="s">
        <v>310</v>
      </c>
      <c r="J19" s="8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8" t="s">
        <v>1607</v>
      </c>
      <c r="E20" s="8" t="s">
        <v>8</v>
      </c>
      <c r="F20" s="8"/>
      <c r="H20" s="8"/>
      <c r="I20" s="8" t="s">
        <v>313</v>
      </c>
      <c r="J20" s="8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8" t="s">
        <v>226</v>
      </c>
      <c r="E21" s="8" t="s">
        <v>67</v>
      </c>
      <c r="F21" s="8" t="s">
        <v>405</v>
      </c>
      <c r="H21" s="8"/>
      <c r="I21" s="8" t="s">
        <v>313</v>
      </c>
      <c r="J21" s="8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8" t="s">
        <v>226</v>
      </c>
      <c r="E22" s="8" t="s">
        <v>67</v>
      </c>
      <c r="F22" s="8" t="s">
        <v>405</v>
      </c>
      <c r="H22" s="8"/>
      <c r="I22" s="8" t="s">
        <v>316</v>
      </c>
      <c r="J22" s="8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8" t="s">
        <v>226</v>
      </c>
      <c r="E23" s="8" t="s">
        <v>67</v>
      </c>
      <c r="F23" s="8" t="s">
        <v>405</v>
      </c>
      <c r="H23" s="8"/>
      <c r="I23" s="8" t="s">
        <v>319</v>
      </c>
      <c r="J23" s="8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8" t="s">
        <v>226</v>
      </c>
      <c r="E24" s="8" t="s">
        <v>67</v>
      </c>
      <c r="F24" s="8" t="s">
        <v>405</v>
      </c>
      <c r="H24" s="8"/>
      <c r="I24" s="8" t="s">
        <v>322</v>
      </c>
      <c r="J24" s="8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8" t="s">
        <v>226</v>
      </c>
      <c r="E25" s="8" t="s">
        <v>67</v>
      </c>
      <c r="F25" s="8" t="s">
        <v>405</v>
      </c>
      <c r="H25" s="8"/>
      <c r="I25" s="8" t="s">
        <v>325</v>
      </c>
      <c r="J25" s="8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8" t="s">
        <v>226</v>
      </c>
      <c r="E26" s="8" t="s">
        <v>67</v>
      </c>
      <c r="F26" s="8" t="s">
        <v>405</v>
      </c>
      <c r="H26" s="8"/>
      <c r="I26" s="8" t="s">
        <v>328</v>
      </c>
      <c r="J26" s="8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8" t="s">
        <v>226</v>
      </c>
      <c r="E27" s="8" t="s">
        <v>67</v>
      </c>
      <c r="F27" s="8" t="s">
        <v>405</v>
      </c>
      <c r="H27" s="8"/>
      <c r="I27" s="8" t="s">
        <v>331</v>
      </c>
      <c r="J27" s="8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8" t="s">
        <v>226</v>
      </c>
      <c r="E28" s="8" t="s">
        <v>67</v>
      </c>
      <c r="F28" s="8" t="s">
        <v>405</v>
      </c>
      <c r="H28" s="8"/>
      <c r="I28" s="8" t="s">
        <v>334</v>
      </c>
      <c r="J28" s="8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8" t="s">
        <v>226</v>
      </c>
      <c r="E29" s="8" t="s">
        <v>67</v>
      </c>
      <c r="F29" s="8" t="s">
        <v>405</v>
      </c>
      <c r="H29" s="8"/>
      <c r="I29" s="8" t="s">
        <v>337</v>
      </c>
      <c r="J29" s="8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8" t="s">
        <v>226</v>
      </c>
      <c r="E30" s="8" t="s">
        <v>67</v>
      </c>
      <c r="F30" s="8" t="s">
        <v>405</v>
      </c>
      <c r="H30" s="8"/>
      <c r="I30" s="8" t="s">
        <v>340</v>
      </c>
      <c r="J30" s="8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8" t="s">
        <v>226</v>
      </c>
      <c r="E31" s="8" t="s">
        <v>67</v>
      </c>
      <c r="F31" s="8" t="s">
        <v>405</v>
      </c>
      <c r="H31" s="8"/>
      <c r="I31" s="8" t="s">
        <v>343</v>
      </c>
      <c r="J31" s="8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8" t="s">
        <v>226</v>
      </c>
      <c r="E32" s="8" t="s">
        <v>67</v>
      </c>
      <c r="F32" s="8" t="s">
        <v>406</v>
      </c>
      <c r="H32" s="8" t="s">
        <v>407</v>
      </c>
      <c r="I32" s="8" t="s">
        <v>346</v>
      </c>
      <c r="J32" s="8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8" t="s">
        <v>408</v>
      </c>
      <c r="E33" s="8" t="s">
        <v>67</v>
      </c>
      <c r="F33" s="8" t="s">
        <v>405</v>
      </c>
      <c r="H33" s="8"/>
      <c r="I33" s="8" t="s">
        <v>349</v>
      </c>
      <c r="J33" s="8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8" t="s">
        <v>409</v>
      </c>
      <c r="E34" s="8" t="s">
        <v>67</v>
      </c>
      <c r="F34" s="8" t="s">
        <v>405</v>
      </c>
      <c r="H34" s="8"/>
      <c r="I34" s="8" t="s">
        <v>352</v>
      </c>
      <c r="J34" s="8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8" t="s">
        <v>4</v>
      </c>
      <c r="E35" s="8" t="s">
        <v>410</v>
      </c>
      <c r="F35" s="8"/>
      <c r="H35" s="8"/>
      <c r="I35" s="8" t="s">
        <v>355</v>
      </c>
      <c r="J35" s="8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8" t="s">
        <v>4</v>
      </c>
      <c r="E36" s="8" t="s">
        <v>8</v>
      </c>
      <c r="F36" s="8"/>
      <c r="H36" s="8" t="s">
        <v>5</v>
      </c>
      <c r="I36" s="8" t="s">
        <v>358</v>
      </c>
      <c r="J36" s="8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8" t="s">
        <v>4</v>
      </c>
      <c r="E37" s="8" t="s">
        <v>8</v>
      </c>
      <c r="F37" s="8"/>
      <c r="H37" s="8"/>
      <c r="I37" s="8" t="s">
        <v>361</v>
      </c>
      <c r="J37" s="8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8" t="s">
        <v>4</v>
      </c>
      <c r="E38" s="8" t="s">
        <v>414</v>
      </c>
      <c r="F38" s="8"/>
      <c r="H38" s="8" t="s">
        <v>415</v>
      </c>
      <c r="I38" s="8" t="s">
        <v>364</v>
      </c>
      <c r="J38" s="8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8" t="s">
        <v>4</v>
      </c>
      <c r="E39" s="8" t="s">
        <v>8</v>
      </c>
      <c r="F39" s="8"/>
      <c r="H39" s="8" t="s">
        <v>5</v>
      </c>
      <c r="I39" s="8" t="s">
        <v>367</v>
      </c>
      <c r="J39" s="8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8" t="s">
        <v>4</v>
      </c>
      <c r="E40" s="8" t="s">
        <v>8</v>
      </c>
      <c r="F40" s="8"/>
      <c r="H40" s="8" t="s">
        <v>411</v>
      </c>
      <c r="I40" s="8" t="s">
        <v>370</v>
      </c>
      <c r="J40" s="8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8" t="s">
        <v>4</v>
      </c>
      <c r="E41" s="8" t="s">
        <v>8</v>
      </c>
      <c r="F41" s="8"/>
      <c r="H41" s="8"/>
      <c r="I41" s="8" t="s">
        <v>373</v>
      </c>
      <c r="J41" s="8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8" t="s">
        <v>4</v>
      </c>
      <c r="E42" s="8" t="s">
        <v>8</v>
      </c>
      <c r="F42" s="8"/>
      <c r="H42" s="8" t="s">
        <v>6</v>
      </c>
      <c r="I42" s="8" t="s">
        <v>376</v>
      </c>
      <c r="J42" s="8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8" t="s">
        <v>4</v>
      </c>
      <c r="E43" s="8" t="s">
        <v>8</v>
      </c>
      <c r="F43" s="8"/>
      <c r="H43" s="8" t="s">
        <v>5</v>
      </c>
      <c r="I43" s="8" t="s">
        <v>379</v>
      </c>
      <c r="J43" s="8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8" t="s">
        <v>4</v>
      </c>
      <c r="E44" s="8" t="s">
        <v>412</v>
      </c>
      <c r="F44" s="8"/>
      <c r="H44" s="8"/>
      <c r="I44" s="8" t="s">
        <v>382</v>
      </c>
      <c r="J44" s="8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8" t="s">
        <v>4</v>
      </c>
      <c r="E45" s="8" t="s">
        <v>412</v>
      </c>
      <c r="F45" s="8"/>
      <c r="H45" s="8"/>
      <c r="I45" s="8" t="s">
        <v>385</v>
      </c>
      <c r="J45" s="8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8" t="s">
        <v>4</v>
      </c>
      <c r="E46" s="8" t="s">
        <v>416</v>
      </c>
      <c r="F46" s="8"/>
      <c r="H46" s="8" t="s">
        <v>413</v>
      </c>
      <c r="I46" s="8" t="s">
        <v>388</v>
      </c>
      <c r="J46" s="8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8" t="s">
        <v>4</v>
      </c>
      <c r="E47" s="8" t="s">
        <v>8</v>
      </c>
      <c r="F47" s="8"/>
      <c r="H47" s="8"/>
      <c r="I47" s="8" t="s">
        <v>391</v>
      </c>
      <c r="J47" s="8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8" t="s">
        <v>4</v>
      </c>
      <c r="E48" s="8" t="s">
        <v>8</v>
      </c>
      <c r="F48" s="8"/>
      <c r="H48" s="8" t="s">
        <v>6</v>
      </c>
      <c r="I48" s="8" t="s">
        <v>394</v>
      </c>
      <c r="J48" s="8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8" t="s">
        <v>4</v>
      </c>
      <c r="E49" s="8" t="s">
        <v>8</v>
      </c>
      <c r="F49" s="8"/>
      <c r="H49" s="8" t="s">
        <v>1292</v>
      </c>
      <c r="I49" s="8" t="s">
        <v>1049</v>
      </c>
      <c r="J49" s="8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8" t="s">
        <v>4</v>
      </c>
      <c r="E50" s="8" t="s">
        <v>8</v>
      </c>
      <c r="F50" s="8"/>
      <c r="H50" s="8" t="s">
        <v>1612</v>
      </c>
      <c r="I50" s="8" t="s">
        <v>1052</v>
      </c>
      <c r="J50" s="8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8" t="s">
        <v>4</v>
      </c>
      <c r="E51" s="8" t="s">
        <v>1617</v>
      </c>
      <c r="F51" s="8"/>
      <c r="H51" s="8" t="s">
        <v>1292</v>
      </c>
      <c r="I51" s="8" t="s">
        <v>1055</v>
      </c>
      <c r="J51" s="8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8" t="s">
        <v>4</v>
      </c>
      <c r="E52" s="8" t="s">
        <v>8</v>
      </c>
      <c r="F52" s="8"/>
      <c r="H52" s="8"/>
      <c r="I52" s="8" t="s">
        <v>1681</v>
      </c>
      <c r="J52" s="8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8" t="s">
        <v>4</v>
      </c>
      <c r="E53" s="8" t="s">
        <v>8</v>
      </c>
      <c r="F53" s="8"/>
      <c r="H53" s="8"/>
      <c r="I53" s="8" t="s">
        <v>1684</v>
      </c>
      <c r="J53" s="8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8" t="s">
        <v>4</v>
      </c>
      <c r="E54" s="8" t="s">
        <v>8</v>
      </c>
      <c r="F54" s="8"/>
      <c r="H54" s="8"/>
      <c r="I54" s="8" t="s">
        <v>1687</v>
      </c>
      <c r="J54" s="8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8" t="s">
        <v>4</v>
      </c>
      <c r="E55" s="8" t="s">
        <v>8</v>
      </c>
      <c r="F55" s="8"/>
      <c r="H55" s="8"/>
      <c r="I55" s="8" t="s">
        <v>1690</v>
      </c>
      <c r="J55" s="8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8" t="s">
        <v>4</v>
      </c>
      <c r="E56" s="8" t="s">
        <v>8</v>
      </c>
      <c r="F56" s="8"/>
      <c r="H56" s="8"/>
      <c r="I56" s="8" t="s">
        <v>1693</v>
      </c>
      <c r="J56" s="8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8" t="s">
        <v>4</v>
      </c>
      <c r="E57" s="8" t="s">
        <v>8</v>
      </c>
      <c r="F57" s="8"/>
      <c r="H57" s="8"/>
      <c r="I57" s="8" t="s">
        <v>1696</v>
      </c>
      <c r="J57" s="8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8" t="s">
        <v>4</v>
      </c>
      <c r="E58" s="8" t="s">
        <v>8</v>
      </c>
      <c r="F58" s="8"/>
      <c r="H58" s="8"/>
      <c r="I58" s="8" t="s">
        <v>1699</v>
      </c>
      <c r="J58" s="8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8" t="s">
        <v>4</v>
      </c>
      <c r="E59" s="8" t="s">
        <v>8</v>
      </c>
      <c r="F59" s="8"/>
      <c r="H59" s="8"/>
      <c r="I59" s="8" t="s">
        <v>2465</v>
      </c>
      <c r="J59" s="8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8" t="s">
        <v>4</v>
      </c>
      <c r="E60" s="8" t="s">
        <v>8</v>
      </c>
      <c r="F60" s="8"/>
      <c r="H60" s="8"/>
      <c r="I60" s="8" t="s">
        <v>2468</v>
      </c>
      <c r="J60" s="8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8" t="s">
        <v>4</v>
      </c>
      <c r="E61" s="8" t="s">
        <v>8</v>
      </c>
      <c r="F61" s="8"/>
      <c r="H61" s="8"/>
      <c r="I61" s="8" t="s">
        <v>2471</v>
      </c>
      <c r="J61" s="8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8" t="s">
        <v>4</v>
      </c>
      <c r="E62" s="8" t="s">
        <v>8</v>
      </c>
      <c r="F62" s="8"/>
      <c r="H62" s="8"/>
      <c r="I62" s="8" t="s">
        <v>2474</v>
      </c>
      <c r="J62" s="8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8" t="s">
        <v>4</v>
      </c>
      <c r="E63" s="8" t="s">
        <v>8</v>
      </c>
      <c r="F63" s="8"/>
      <c r="H63" s="8"/>
      <c r="I63" s="8" t="s">
        <v>2477</v>
      </c>
      <c r="J63" s="8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8" t="s">
        <v>4</v>
      </c>
      <c r="E64" s="8" t="s">
        <v>8</v>
      </c>
      <c r="F64" s="8"/>
      <c r="H64" s="8"/>
      <c r="I64" s="8" t="s">
        <v>2480</v>
      </c>
      <c r="J64" s="8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8" t="s">
        <v>4</v>
      </c>
      <c r="E65" s="8" t="s">
        <v>8</v>
      </c>
      <c r="F65" s="8"/>
      <c r="H65" s="8"/>
      <c r="I65" s="8" t="s">
        <v>2483</v>
      </c>
      <c r="J65" s="8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8" t="s">
        <v>4</v>
      </c>
      <c r="E66" s="8" t="s">
        <v>8</v>
      </c>
      <c r="F66" s="8"/>
      <c r="H66" s="8"/>
      <c r="I66" s="8" t="s">
        <v>2486</v>
      </c>
      <c r="J66" s="8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8" t="s">
        <v>1607</v>
      </c>
      <c r="E67" s="8"/>
      <c r="F67" s="8"/>
      <c r="H67" s="8"/>
      <c r="I67" s="8" t="s">
        <v>3431</v>
      </c>
      <c r="J67" s="8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8" t="s">
        <v>887</v>
      </c>
      <c r="E68" s="8" t="s">
        <v>3412</v>
      </c>
      <c r="F68" s="8" t="s">
        <v>58</v>
      </c>
      <c r="H68" s="8" t="s">
        <v>4096</v>
      </c>
      <c r="I68" s="8" t="s">
        <v>4091</v>
      </c>
      <c r="J68" s="8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8" t="s">
        <v>4</v>
      </c>
      <c r="E69" s="8" t="s">
        <v>8</v>
      </c>
      <c r="F69" s="8"/>
      <c r="H69" s="8"/>
      <c r="I69" s="8" t="s">
        <v>3596</v>
      </c>
      <c r="J69" s="8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8" t="s">
        <v>1282</v>
      </c>
      <c r="E70" s="8" t="s">
        <v>86</v>
      </c>
      <c r="F70" s="8" t="s">
        <v>165</v>
      </c>
      <c r="H70" s="8"/>
      <c r="I70" s="8" t="s">
        <v>3599</v>
      </c>
      <c r="J70" s="8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8" t="s">
        <v>4</v>
      </c>
      <c r="E71" s="8" t="s">
        <v>8</v>
      </c>
      <c r="F71" s="8"/>
      <c r="H71" s="8"/>
      <c r="I71" s="8" t="s">
        <v>3602</v>
      </c>
      <c r="J71" s="8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8" t="s">
        <v>1282</v>
      </c>
      <c r="E72" s="8" t="s">
        <v>86</v>
      </c>
      <c r="F72" s="8" t="s">
        <v>165</v>
      </c>
      <c r="H72" s="8"/>
      <c r="I72" s="8" t="s">
        <v>3605</v>
      </c>
      <c r="J72" s="8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8" t="s">
        <v>1282</v>
      </c>
      <c r="E73" s="8" t="s">
        <v>86</v>
      </c>
      <c r="F73" s="8" t="s">
        <v>4097</v>
      </c>
      <c r="H73" s="8" t="s">
        <v>4098</v>
      </c>
      <c r="I73" s="8" t="s">
        <v>3608</v>
      </c>
      <c r="J73" s="8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8" t="s">
        <v>1282</v>
      </c>
      <c r="E74" s="8" t="s">
        <v>86</v>
      </c>
      <c r="F74" s="8" t="s">
        <v>165</v>
      </c>
      <c r="H74" s="8"/>
      <c r="I74" s="8" t="s">
        <v>3611</v>
      </c>
      <c r="J74" s="8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8" t="s">
        <v>887</v>
      </c>
      <c r="E75" s="8" t="s">
        <v>3412</v>
      </c>
      <c r="F75" s="8" t="s">
        <v>60</v>
      </c>
      <c r="H75" s="8" t="s">
        <v>4096</v>
      </c>
      <c r="I75" s="8" t="s">
        <v>3614</v>
      </c>
      <c r="J75" s="8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8" t="s">
        <v>887</v>
      </c>
      <c r="E76" s="8" t="s">
        <v>3412</v>
      </c>
      <c r="F76" s="8" t="s">
        <v>60</v>
      </c>
      <c r="H76" s="8" t="s">
        <v>2352</v>
      </c>
      <c r="I76" s="8" t="s">
        <v>3617</v>
      </c>
      <c r="J76" s="8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8" t="s">
        <v>4</v>
      </c>
      <c r="E77" s="8" t="s">
        <v>8</v>
      </c>
      <c r="F77" s="8"/>
      <c r="H77" s="8" t="s">
        <v>2352</v>
      </c>
      <c r="I77" s="8" t="s">
        <v>3620</v>
      </c>
      <c r="J77" s="8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8" t="s">
        <v>4</v>
      </c>
      <c r="E78" s="8" t="s">
        <v>8</v>
      </c>
      <c r="F78" s="8"/>
      <c r="H78" s="8" t="s">
        <v>2352</v>
      </c>
      <c r="I78" s="8" t="s">
        <v>3623</v>
      </c>
      <c r="J78" s="8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8" t="s">
        <v>4</v>
      </c>
      <c r="E79" s="8" t="s">
        <v>8</v>
      </c>
      <c r="F79" s="8"/>
      <c r="H79" s="8" t="s">
        <v>2352</v>
      </c>
      <c r="I79" s="8" t="s">
        <v>3626</v>
      </c>
      <c r="J79" s="8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8" t="s">
        <v>1273</v>
      </c>
      <c r="E80" s="8" t="s">
        <v>70</v>
      </c>
      <c r="F80" s="8"/>
      <c r="H80" s="8"/>
      <c r="I80" s="8" t="s">
        <v>3629</v>
      </c>
      <c r="J80" s="8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8" t="s">
        <v>227</v>
      </c>
      <c r="E81" s="8" t="s">
        <v>70</v>
      </c>
      <c r="F81" s="8" t="s">
        <v>4087</v>
      </c>
      <c r="H81" s="8"/>
      <c r="I81" s="8" t="s">
        <v>3632</v>
      </c>
      <c r="J81" s="8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8" t="s">
        <v>403</v>
      </c>
      <c r="E82" s="8" t="s">
        <v>86</v>
      </c>
      <c r="F82" s="8" t="s">
        <v>4087</v>
      </c>
      <c r="H82" s="8"/>
      <c r="I82" s="8" t="s">
        <v>3635</v>
      </c>
      <c r="J82" s="8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8" t="s">
        <v>1282</v>
      </c>
      <c r="E83" s="8" t="s">
        <v>86</v>
      </c>
      <c r="F83" s="8" t="s">
        <v>4087</v>
      </c>
      <c r="H83" s="8"/>
      <c r="I83" s="8" t="s">
        <v>3638</v>
      </c>
      <c r="J83" s="8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8" t="s">
        <v>403</v>
      </c>
      <c r="E84" s="8" t="s">
        <v>86</v>
      </c>
      <c r="F84" s="8" t="s">
        <v>4087</v>
      </c>
      <c r="H84" s="8"/>
      <c r="I84" s="8" t="s">
        <v>4093</v>
      </c>
      <c r="J84" s="8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8" t="s">
        <v>4099</v>
      </c>
      <c r="E85" s="8"/>
      <c r="F85" s="8"/>
      <c r="H85" s="8"/>
      <c r="I85" s="8" t="s">
        <v>3641</v>
      </c>
      <c r="J85" s="8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8" t="s">
        <v>1282</v>
      </c>
      <c r="E86" s="8" t="s">
        <v>86</v>
      </c>
      <c r="F86" s="8" t="s">
        <v>4087</v>
      </c>
      <c r="H86" s="8"/>
      <c r="I86" s="8" t="s">
        <v>3644</v>
      </c>
      <c r="J86" s="8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8" t="s">
        <v>4</v>
      </c>
      <c r="E87" s="8" t="s">
        <v>8</v>
      </c>
      <c r="F87" s="8"/>
      <c r="H87" s="8"/>
      <c r="I87" s="8" t="s">
        <v>3647</v>
      </c>
      <c r="J87" s="8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8" t="s">
        <v>1273</v>
      </c>
      <c r="E88" s="8" t="s">
        <v>70</v>
      </c>
      <c r="F88" s="8"/>
      <c r="H88" s="8"/>
      <c r="I88" s="8" t="s">
        <v>3650</v>
      </c>
      <c r="J88" s="8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8" t="s">
        <v>1273</v>
      </c>
      <c r="E89" s="8" t="s">
        <v>55</v>
      </c>
      <c r="F89" s="8"/>
      <c r="H89" s="8"/>
      <c r="I89" s="8" t="s">
        <v>3653</v>
      </c>
      <c r="J89" s="8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8" t="s">
        <v>227</v>
      </c>
      <c r="E90" s="8" t="s">
        <v>70</v>
      </c>
      <c r="F90" s="8" t="s">
        <v>4087</v>
      </c>
      <c r="H90" s="8"/>
      <c r="I90" s="8" t="s">
        <v>3656</v>
      </c>
      <c r="J90" s="8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8" t="s">
        <v>4</v>
      </c>
      <c r="E91" s="8" t="s">
        <v>8</v>
      </c>
      <c r="F91" s="8"/>
      <c r="H91" s="8"/>
      <c r="I91" s="8" t="s">
        <v>3659</v>
      </c>
      <c r="J91" s="8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8" t="s">
        <v>1607</v>
      </c>
      <c r="E92" s="8"/>
      <c r="F92" s="8"/>
      <c r="H92" s="8"/>
      <c r="I92" s="8" t="s">
        <v>3662</v>
      </c>
      <c r="J92" s="8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8" t="s">
        <v>1273</v>
      </c>
      <c r="E93" s="8" t="s">
        <v>4236</v>
      </c>
      <c r="F93" s="8" t="s">
        <v>3398</v>
      </c>
      <c r="H93" s="8"/>
      <c r="I93" s="8" t="s">
        <v>4141</v>
      </c>
      <c r="J93" s="8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8" t="s">
        <v>226</v>
      </c>
      <c r="E94" s="8" t="s">
        <v>4236</v>
      </c>
      <c r="F94" s="8" t="s">
        <v>4087</v>
      </c>
      <c r="H94" s="8"/>
      <c r="I94" s="8" t="s">
        <v>4144</v>
      </c>
      <c r="J94" s="8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8" t="s">
        <v>226</v>
      </c>
      <c r="E95" s="8" t="s">
        <v>4236</v>
      </c>
      <c r="F95" s="8" t="s">
        <v>4087</v>
      </c>
      <c r="H95" s="8" t="s">
        <v>2352</v>
      </c>
      <c r="I95" s="8" t="s">
        <v>4147</v>
      </c>
      <c r="J95" s="8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8" t="s">
        <v>226</v>
      </c>
      <c r="E96" s="8" t="s">
        <v>4236</v>
      </c>
      <c r="F96" s="8" t="s">
        <v>4087</v>
      </c>
      <c r="H96" s="8" t="s">
        <v>2352</v>
      </c>
      <c r="I96" s="8" t="s">
        <v>4150</v>
      </c>
      <c r="J96" s="8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8" t="s">
        <v>226</v>
      </c>
      <c r="E97" s="8" t="s">
        <v>4236</v>
      </c>
      <c r="F97" s="8" t="s">
        <v>4087</v>
      </c>
      <c r="H97" s="8" t="s">
        <v>2352</v>
      </c>
      <c r="I97" s="8" t="s">
        <v>4153</v>
      </c>
      <c r="J97" s="8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8" t="s">
        <v>226</v>
      </c>
      <c r="E98" s="8" t="s">
        <v>4236</v>
      </c>
      <c r="F98" s="8" t="s">
        <v>4087</v>
      </c>
      <c r="H98" s="8" t="s">
        <v>2352</v>
      </c>
      <c r="I98" s="8" t="s">
        <v>4156</v>
      </c>
      <c r="J98" s="8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8" t="s">
        <v>226</v>
      </c>
      <c r="E99" s="8" t="s">
        <v>4236</v>
      </c>
      <c r="F99" s="8" t="s">
        <v>4087</v>
      </c>
      <c r="H99" s="8" t="s">
        <v>2352</v>
      </c>
      <c r="I99" s="8" t="s">
        <v>4159</v>
      </c>
      <c r="J99" s="8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8" t="s">
        <v>3397</v>
      </c>
      <c r="E100" s="8" t="s">
        <v>4236</v>
      </c>
      <c r="F100" s="8" t="s">
        <v>1276</v>
      </c>
      <c r="H100" s="8"/>
      <c r="I100" s="8" t="s">
        <v>4162</v>
      </c>
      <c r="J100" s="8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8" t="s">
        <v>587</v>
      </c>
      <c r="E101" s="8" t="s">
        <v>4236</v>
      </c>
      <c r="F101" s="8" t="s">
        <v>1276</v>
      </c>
      <c r="H101" s="8"/>
      <c r="I101" s="8" t="s">
        <v>4165</v>
      </c>
      <c r="J101" s="8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8" t="s">
        <v>4</v>
      </c>
      <c r="E102" s="8" t="s">
        <v>8</v>
      </c>
      <c r="F102" s="8"/>
      <c r="H102" s="8"/>
      <c r="I102" s="8" t="s">
        <v>4265</v>
      </c>
      <c r="J102" s="8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8" t="s">
        <v>1607</v>
      </c>
      <c r="E103" s="8" t="s">
        <v>8</v>
      </c>
      <c r="F103" s="8"/>
      <c r="H103" s="8"/>
      <c r="I103" s="8" t="s">
        <v>4268</v>
      </c>
      <c r="J103" s="8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8" t="s">
        <v>1607</v>
      </c>
      <c r="E104" s="8" t="s">
        <v>8</v>
      </c>
      <c r="F104" s="8"/>
      <c r="H104" s="8"/>
      <c r="I104" s="8" t="s">
        <v>4568</v>
      </c>
      <c r="J104" s="8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8" t="s">
        <v>4</v>
      </c>
      <c r="E105" s="8" t="s">
        <v>1274</v>
      </c>
      <c r="F105" s="8" t="s">
        <v>4925</v>
      </c>
      <c r="H105" s="8"/>
      <c r="I105" s="8" t="s">
        <v>4571</v>
      </c>
      <c r="J105" s="8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8" t="s">
        <v>1607</v>
      </c>
      <c r="E106" s="8" t="s">
        <v>8</v>
      </c>
      <c r="F106" s="8"/>
      <c r="H106" s="8"/>
      <c r="I106" s="8" t="s">
        <v>4574</v>
      </c>
      <c r="J106" s="8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8" t="s">
        <v>1607</v>
      </c>
      <c r="E107" s="8" t="s">
        <v>8</v>
      </c>
      <c r="F107" s="8"/>
      <c r="H107" s="8"/>
      <c r="I107" s="8" t="s">
        <v>4673</v>
      </c>
      <c r="J107" s="8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8" t="s">
        <v>4</v>
      </c>
      <c r="E108" s="8" t="s">
        <v>55</v>
      </c>
      <c r="F108" s="8" t="s">
        <v>51</v>
      </c>
      <c r="H108" s="8"/>
      <c r="I108" s="8" t="s">
        <v>4676</v>
      </c>
      <c r="J108" s="8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8" t="s">
        <v>587</v>
      </c>
      <c r="E109" s="8" t="s">
        <v>55</v>
      </c>
      <c r="F109" s="8" t="s">
        <v>51</v>
      </c>
      <c r="H109" s="8" t="s">
        <v>4926</v>
      </c>
      <c r="I109" s="8" t="s">
        <v>4679</v>
      </c>
      <c r="J109" s="8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8" t="s">
        <v>4</v>
      </c>
      <c r="E110" s="8" t="s">
        <v>8</v>
      </c>
      <c r="F110" s="8"/>
      <c r="H110" s="8"/>
      <c r="I110" s="8" t="s">
        <v>4682</v>
      </c>
      <c r="J110" s="8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8" t="s">
        <v>1607</v>
      </c>
      <c r="E111" s="8" t="s">
        <v>8</v>
      </c>
      <c r="F111" s="8"/>
      <c r="H111" s="8"/>
      <c r="I111" s="8" t="s">
        <v>4843</v>
      </c>
      <c r="J111" s="8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8" t="s">
        <v>1607</v>
      </c>
      <c r="E112" s="8" t="s">
        <v>8</v>
      </c>
      <c r="F112" s="8"/>
      <c r="H112" s="8"/>
      <c r="I112" s="8" t="s">
        <v>4951</v>
      </c>
      <c r="J112" s="8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8" t="s">
        <v>1273</v>
      </c>
      <c r="E113" s="8" t="s">
        <v>70</v>
      </c>
      <c r="F113" s="8"/>
      <c r="H113" s="8"/>
      <c r="I113" s="8" t="s">
        <v>5030</v>
      </c>
      <c r="J113" s="8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8" t="s">
        <v>4</v>
      </c>
      <c r="E114" s="8" t="s">
        <v>5057</v>
      </c>
      <c r="F114" s="8"/>
      <c r="H114" s="8"/>
      <c r="I114" s="8" t="s">
        <v>5033</v>
      </c>
      <c r="J114" s="8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8" t="s">
        <v>1607</v>
      </c>
      <c r="E115" s="8" t="s">
        <v>8</v>
      </c>
      <c r="F115" s="8"/>
      <c r="H115" s="8"/>
      <c r="I115" s="8" t="s">
        <v>5241</v>
      </c>
      <c r="J115" s="8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8" t="s">
        <v>1607</v>
      </c>
      <c r="E116" s="8" t="s">
        <v>8</v>
      </c>
      <c r="F116" s="8"/>
      <c r="H116" s="8"/>
      <c r="I116" s="8" t="s">
        <v>5351</v>
      </c>
      <c r="J116" s="8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8" t="s">
        <v>4</v>
      </c>
      <c r="E117" s="8" t="s">
        <v>8</v>
      </c>
      <c r="F117" s="8"/>
      <c r="H117" s="8"/>
      <c r="I117" s="8" t="s">
        <v>5667</v>
      </c>
      <c r="J117" s="8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8" t="s">
        <v>588</v>
      </c>
      <c r="E118" s="8" t="s">
        <v>3412</v>
      </c>
      <c r="F118" s="8"/>
      <c r="H118" s="8"/>
      <c r="I118" s="8" t="s">
        <v>5670</v>
      </c>
      <c r="J118" s="8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8" t="s">
        <v>12</v>
      </c>
      <c r="E119" s="8" t="s">
        <v>1274</v>
      </c>
      <c r="F119" s="8"/>
      <c r="H119" s="8"/>
      <c r="I119" s="8" t="s">
        <v>5673</v>
      </c>
      <c r="J119" s="8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8" t="s">
        <v>4</v>
      </c>
      <c r="E120" s="8" t="s">
        <v>8</v>
      </c>
      <c r="F120" s="8"/>
      <c r="H120" s="8"/>
      <c r="I120" s="8" t="s">
        <v>5676</v>
      </c>
      <c r="J120" s="8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8" t="s">
        <v>1607</v>
      </c>
      <c r="E121" s="8" t="s">
        <v>8</v>
      </c>
      <c r="F121" s="8"/>
      <c r="H121" s="8"/>
      <c r="I121" s="8" t="s">
        <v>5679</v>
      </c>
      <c r="J121" s="8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8" t="s">
        <v>1607</v>
      </c>
      <c r="E122" s="8" t="s">
        <v>8</v>
      </c>
      <c r="F122" s="8"/>
      <c r="H122" s="8"/>
      <c r="I122" s="8" t="s">
        <v>5682</v>
      </c>
      <c r="J122" s="8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8" t="s">
        <v>1607</v>
      </c>
      <c r="E123" s="8" t="s">
        <v>8</v>
      </c>
      <c r="F123" s="8"/>
      <c r="H123" s="8"/>
      <c r="I123" s="8" t="s">
        <v>5700</v>
      </c>
      <c r="J123" s="8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8" t="s">
        <v>12</v>
      </c>
      <c r="E124" s="8" t="s">
        <v>1274</v>
      </c>
      <c r="F124" s="8"/>
      <c r="H124" s="8"/>
      <c r="I124" s="8" t="s">
        <v>5812</v>
      </c>
      <c r="J124" s="8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8" t="s">
        <v>1607</v>
      </c>
      <c r="E125" s="8" t="s">
        <v>8</v>
      </c>
      <c r="F125" s="8"/>
      <c r="H125" s="8"/>
      <c r="I125" s="8" t="s">
        <v>5815</v>
      </c>
      <c r="J125" s="8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8" t="s">
        <v>1607</v>
      </c>
      <c r="E126" s="8" t="s">
        <v>8</v>
      </c>
      <c r="F126" s="8"/>
      <c r="H126" s="8"/>
      <c r="I126" s="8" t="s">
        <v>5818</v>
      </c>
      <c r="J126" s="8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8" t="s">
        <v>3381</v>
      </c>
      <c r="E127" s="8" t="s">
        <v>5903</v>
      </c>
      <c r="F127" s="8" t="s">
        <v>60</v>
      </c>
      <c r="H127" s="8"/>
      <c r="I127" s="8" t="s">
        <v>5821</v>
      </c>
      <c r="J127" s="8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8" t="s">
        <v>3381</v>
      </c>
      <c r="E128" s="8" t="s">
        <v>5903</v>
      </c>
      <c r="F128" s="8" t="s">
        <v>60</v>
      </c>
      <c r="H128" s="8"/>
      <c r="I128" s="8" t="s">
        <v>5824</v>
      </c>
      <c r="J128" s="8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8" t="s">
        <v>227</v>
      </c>
      <c r="E129" s="8" t="s">
        <v>86</v>
      </c>
      <c r="F129" s="8" t="s">
        <v>60</v>
      </c>
      <c r="G129">
        <v>4</v>
      </c>
      <c r="H129" s="8"/>
      <c r="I129" s="8" t="s">
        <v>5827</v>
      </c>
      <c r="J129" s="8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8" t="s">
        <v>887</v>
      </c>
      <c r="E130" s="8" t="s">
        <v>86</v>
      </c>
      <c r="F130" s="8" t="s">
        <v>60</v>
      </c>
      <c r="H130" s="8" t="s">
        <v>413</v>
      </c>
      <c r="I130" s="8" t="s">
        <v>5830</v>
      </c>
      <c r="J130" s="8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8" t="s">
        <v>227</v>
      </c>
      <c r="E131" s="8" t="s">
        <v>86</v>
      </c>
      <c r="F131" s="8" t="s">
        <v>60</v>
      </c>
      <c r="G131">
        <v>1</v>
      </c>
      <c r="H131" s="8"/>
      <c r="I131" s="8" t="s">
        <v>5833</v>
      </c>
      <c r="J131" s="8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8" t="s">
        <v>227</v>
      </c>
      <c r="E132" s="8" t="s">
        <v>86</v>
      </c>
      <c r="F132" s="8" t="s">
        <v>60</v>
      </c>
      <c r="G132">
        <v>4</v>
      </c>
      <c r="H132" s="8"/>
      <c r="I132" s="8" t="s">
        <v>5836</v>
      </c>
      <c r="J132" s="8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8" t="s">
        <v>227</v>
      </c>
      <c r="E133" s="8" t="s">
        <v>86</v>
      </c>
      <c r="F133" s="8" t="s">
        <v>60</v>
      </c>
      <c r="G133">
        <v>2</v>
      </c>
      <c r="H133" s="8"/>
      <c r="I133" s="8" t="s">
        <v>5839</v>
      </c>
      <c r="J133" s="8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8" t="s">
        <v>227</v>
      </c>
      <c r="E134" s="8" t="s">
        <v>86</v>
      </c>
      <c r="F134" s="8" t="s">
        <v>60</v>
      </c>
      <c r="G134">
        <v>3</v>
      </c>
      <c r="H134" s="8"/>
      <c r="I134" s="8" t="s">
        <v>5842</v>
      </c>
      <c r="J134" s="8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8" t="s">
        <v>227</v>
      </c>
      <c r="E135" s="8" t="s">
        <v>86</v>
      </c>
      <c r="F135" s="8" t="s">
        <v>60</v>
      </c>
      <c r="G135">
        <v>3</v>
      </c>
      <c r="H135" s="8"/>
      <c r="I135" s="8" t="s">
        <v>5845</v>
      </c>
      <c r="J135" s="8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8" t="s">
        <v>227</v>
      </c>
      <c r="E136" s="8" t="s">
        <v>86</v>
      </c>
      <c r="F136" s="8" t="s">
        <v>60</v>
      </c>
      <c r="G136">
        <v>2</v>
      </c>
      <c r="H136" s="8"/>
      <c r="I136" s="8" t="s">
        <v>5848</v>
      </c>
      <c r="J136" s="8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8" t="s">
        <v>227</v>
      </c>
      <c r="E137" s="8" t="s">
        <v>86</v>
      </c>
      <c r="F137" s="8" t="s">
        <v>60</v>
      </c>
      <c r="G137">
        <v>2</v>
      </c>
      <c r="H137" s="8"/>
      <c r="I137" s="8" t="s">
        <v>5851</v>
      </c>
      <c r="J137" s="8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8" t="s">
        <v>227</v>
      </c>
      <c r="E138" s="8" t="s">
        <v>86</v>
      </c>
      <c r="F138" s="8" t="s">
        <v>60</v>
      </c>
      <c r="G138">
        <v>2</v>
      </c>
      <c r="H138" s="8"/>
      <c r="I138" s="8" t="s">
        <v>5854</v>
      </c>
      <c r="J138" s="8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8" t="s">
        <v>227</v>
      </c>
      <c r="E139" s="8" t="s">
        <v>86</v>
      </c>
      <c r="F139" s="8" t="s">
        <v>60</v>
      </c>
      <c r="G139">
        <v>1</v>
      </c>
      <c r="H139" s="8"/>
      <c r="I139" s="8" t="s">
        <v>5857</v>
      </c>
      <c r="J139" s="8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8" t="s">
        <v>227</v>
      </c>
      <c r="E140" s="8" t="s">
        <v>86</v>
      </c>
      <c r="F140" s="8" t="s">
        <v>60</v>
      </c>
      <c r="G140">
        <v>2</v>
      </c>
      <c r="H140" s="8"/>
      <c r="I140" s="8" t="s">
        <v>5860</v>
      </c>
      <c r="J140" s="8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8" t="s">
        <v>227</v>
      </c>
      <c r="E141" s="8" t="s">
        <v>86</v>
      </c>
      <c r="F141" s="8" t="s">
        <v>60</v>
      </c>
      <c r="G141">
        <v>4</v>
      </c>
      <c r="H141" s="8"/>
      <c r="I141" s="8" t="s">
        <v>5863</v>
      </c>
      <c r="J141" s="8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8" t="s">
        <v>227</v>
      </c>
      <c r="E142" s="8" t="s">
        <v>86</v>
      </c>
      <c r="F142" s="8" t="s">
        <v>60</v>
      </c>
      <c r="G142">
        <v>2</v>
      </c>
      <c r="H142" s="8"/>
      <c r="I142" s="8" t="s">
        <v>5866</v>
      </c>
      <c r="J142" s="8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8" t="s">
        <v>227</v>
      </c>
      <c r="E143" s="8" t="s">
        <v>86</v>
      </c>
      <c r="F143" s="8" t="s">
        <v>60</v>
      </c>
      <c r="G143">
        <v>2</v>
      </c>
      <c r="H143" s="8"/>
      <c r="I143" s="8" t="s">
        <v>5869</v>
      </c>
      <c r="J143" s="8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8" t="s">
        <v>227</v>
      </c>
      <c r="E144" s="8" t="s">
        <v>86</v>
      </c>
      <c r="F144" s="8" t="s">
        <v>60</v>
      </c>
      <c r="G144">
        <v>3</v>
      </c>
      <c r="H144" s="8"/>
      <c r="I144" s="8" t="s">
        <v>5872</v>
      </c>
      <c r="J144" s="8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8" t="s">
        <v>227</v>
      </c>
      <c r="E145" s="8" t="s">
        <v>86</v>
      </c>
      <c r="F145" s="8" t="s">
        <v>60</v>
      </c>
      <c r="G145">
        <v>3</v>
      </c>
      <c r="H145" s="8"/>
      <c r="I145" s="8" t="s">
        <v>5875</v>
      </c>
      <c r="J145" s="8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8" t="s">
        <v>227</v>
      </c>
      <c r="E146" s="8" t="s">
        <v>86</v>
      </c>
      <c r="F146" s="8" t="s">
        <v>60</v>
      </c>
      <c r="G146">
        <v>2</v>
      </c>
      <c r="H146" s="8"/>
      <c r="I146" s="8" t="s">
        <v>5878</v>
      </c>
      <c r="J146" s="8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8" t="s">
        <v>227</v>
      </c>
      <c r="E147" s="8" t="s">
        <v>86</v>
      </c>
      <c r="F147" s="8" t="s">
        <v>60</v>
      </c>
      <c r="G147">
        <v>4</v>
      </c>
      <c r="H147" s="8"/>
      <c r="I147" s="8" t="s">
        <v>5881</v>
      </c>
      <c r="J147" s="8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8" t="s">
        <v>227</v>
      </c>
      <c r="E148" s="8" t="s">
        <v>86</v>
      </c>
      <c r="F148" s="8" t="s">
        <v>60</v>
      </c>
      <c r="G148">
        <v>3</v>
      </c>
      <c r="H148" s="8"/>
      <c r="I148" s="8" t="s">
        <v>5884</v>
      </c>
      <c r="J148" s="8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8" t="s">
        <v>227</v>
      </c>
      <c r="E149" s="8" t="s">
        <v>86</v>
      </c>
      <c r="F149" s="8" t="s">
        <v>60</v>
      </c>
      <c r="G149">
        <v>2</v>
      </c>
      <c r="H149" s="8"/>
      <c r="I149" s="8" t="s">
        <v>5887</v>
      </c>
      <c r="J149" s="8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8" t="s">
        <v>1282</v>
      </c>
      <c r="E150" s="8" t="s">
        <v>86</v>
      </c>
      <c r="F150" s="8" t="s">
        <v>60</v>
      </c>
      <c r="H150" s="8" t="s">
        <v>6155</v>
      </c>
      <c r="I150" s="8" t="s">
        <v>6043</v>
      </c>
      <c r="J150" s="8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8" t="s">
        <v>1282</v>
      </c>
      <c r="E151" s="8" t="s">
        <v>86</v>
      </c>
      <c r="F151" s="8" t="s">
        <v>60</v>
      </c>
      <c r="H151" s="8" t="s">
        <v>6156</v>
      </c>
      <c r="I151" s="8" t="s">
        <v>6046</v>
      </c>
      <c r="J151" s="8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8" t="s">
        <v>4</v>
      </c>
      <c r="E152" s="8" t="s">
        <v>6154</v>
      </c>
      <c r="F152" s="8" t="s">
        <v>60</v>
      </c>
      <c r="H152" s="8"/>
      <c r="I152" s="8" t="s">
        <v>6049</v>
      </c>
      <c r="J152" s="8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8" t="s">
        <v>227</v>
      </c>
      <c r="E153" s="8" t="s">
        <v>86</v>
      </c>
      <c r="F153" s="8" t="s">
        <v>60</v>
      </c>
      <c r="G153">
        <v>3</v>
      </c>
      <c r="H153" s="8"/>
      <c r="I153" s="8" t="s">
        <v>6052</v>
      </c>
      <c r="J153" s="8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8" t="s">
        <v>227</v>
      </c>
      <c r="E154" s="8" t="s">
        <v>86</v>
      </c>
      <c r="F154" s="8" t="s">
        <v>60</v>
      </c>
      <c r="G154">
        <v>2</v>
      </c>
      <c r="H154" s="8"/>
      <c r="I154" s="8" t="s">
        <v>6055</v>
      </c>
      <c r="J154" s="8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8" t="s">
        <v>227</v>
      </c>
      <c r="E155" s="8" t="s">
        <v>86</v>
      </c>
      <c r="F155" s="8" t="s">
        <v>60</v>
      </c>
      <c r="G155">
        <v>2</v>
      </c>
      <c r="H155" s="8"/>
      <c r="I155" s="8" t="s">
        <v>6058</v>
      </c>
      <c r="J155" s="8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8" t="s">
        <v>227</v>
      </c>
      <c r="E156" s="8" t="s">
        <v>86</v>
      </c>
      <c r="F156" s="8" t="s">
        <v>60</v>
      </c>
      <c r="G156">
        <v>3</v>
      </c>
      <c r="H156" s="8"/>
      <c r="I156" s="8" t="s">
        <v>6061</v>
      </c>
      <c r="J156" s="8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8" t="s">
        <v>227</v>
      </c>
      <c r="E157" s="8" t="s">
        <v>86</v>
      </c>
      <c r="F157" s="8" t="s">
        <v>60</v>
      </c>
      <c r="G157">
        <v>4</v>
      </c>
      <c r="H157" s="8"/>
      <c r="I157" s="8" t="s">
        <v>6064</v>
      </c>
      <c r="J157" s="8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8" t="s">
        <v>227</v>
      </c>
      <c r="E158" s="8" t="s">
        <v>86</v>
      </c>
      <c r="F158" s="8" t="s">
        <v>60</v>
      </c>
      <c r="G158">
        <v>3</v>
      </c>
      <c r="H158" s="8"/>
      <c r="I158" s="8" t="s">
        <v>6067</v>
      </c>
      <c r="J158" s="8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8" t="s">
        <v>227</v>
      </c>
      <c r="E159" s="8" t="s">
        <v>86</v>
      </c>
      <c r="F159" s="8" t="s">
        <v>60</v>
      </c>
      <c r="G159">
        <v>3</v>
      </c>
      <c r="H159" s="8"/>
      <c r="I159" s="8" t="s">
        <v>6070</v>
      </c>
      <c r="J159" s="8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8" t="s">
        <v>227</v>
      </c>
      <c r="E160" s="8" t="s">
        <v>86</v>
      </c>
      <c r="F160" s="8" t="s">
        <v>60</v>
      </c>
      <c r="G160">
        <v>2</v>
      </c>
      <c r="H160" s="8"/>
      <c r="I160" s="8" t="s">
        <v>6073</v>
      </c>
      <c r="J160" s="8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8" t="s">
        <v>227</v>
      </c>
      <c r="E161" s="8" t="s">
        <v>86</v>
      </c>
      <c r="F161" s="8" t="s">
        <v>60</v>
      </c>
      <c r="G161">
        <v>2</v>
      </c>
      <c r="H161" s="8"/>
      <c r="I161" s="8" t="s">
        <v>6076</v>
      </c>
      <c r="J161" s="8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8" t="s">
        <v>227</v>
      </c>
      <c r="E162" s="8" t="s">
        <v>86</v>
      </c>
      <c r="F162" s="8" t="s">
        <v>60</v>
      </c>
      <c r="G162">
        <v>3</v>
      </c>
      <c r="H162" s="8"/>
      <c r="I162" s="8" t="s">
        <v>6079</v>
      </c>
      <c r="J162" s="8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8" t="s">
        <v>227</v>
      </c>
      <c r="E163" s="8" t="s">
        <v>86</v>
      </c>
      <c r="F163" s="8" t="s">
        <v>60</v>
      </c>
      <c r="G163">
        <v>3</v>
      </c>
      <c r="H163" s="8"/>
      <c r="I163" s="8" t="s">
        <v>6082</v>
      </c>
      <c r="J163" s="8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8" t="s">
        <v>227</v>
      </c>
      <c r="E164" s="8" t="s">
        <v>86</v>
      </c>
      <c r="F164" s="8" t="s">
        <v>60</v>
      </c>
      <c r="G164">
        <v>2</v>
      </c>
      <c r="H164" s="8"/>
      <c r="I164" s="8" t="s">
        <v>6085</v>
      </c>
      <c r="J164" s="8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8" t="s">
        <v>227</v>
      </c>
      <c r="E165" s="8" t="s">
        <v>86</v>
      </c>
      <c r="F165" s="8" t="s">
        <v>60</v>
      </c>
      <c r="G165">
        <v>1</v>
      </c>
      <c r="H165" s="8"/>
      <c r="I165" s="8" t="s">
        <v>6088</v>
      </c>
      <c r="J165" s="8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8" t="s">
        <v>227</v>
      </c>
      <c r="E166" s="8" t="s">
        <v>86</v>
      </c>
      <c r="F166" s="8" t="s">
        <v>60</v>
      </c>
      <c r="G166">
        <v>4</v>
      </c>
      <c r="H166" s="8"/>
      <c r="I166" s="8" t="s">
        <v>6091</v>
      </c>
      <c r="J166" s="8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8" t="s">
        <v>227</v>
      </c>
      <c r="E167" s="8" t="s">
        <v>86</v>
      </c>
      <c r="F167" s="8" t="s">
        <v>60</v>
      </c>
      <c r="G167">
        <v>3</v>
      </c>
      <c r="H167" s="8"/>
      <c r="I167" s="8" t="s">
        <v>6094</v>
      </c>
      <c r="J167" s="8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8" t="s">
        <v>227</v>
      </c>
      <c r="E168" s="8" t="s">
        <v>86</v>
      </c>
      <c r="F168" s="8" t="s">
        <v>60</v>
      </c>
      <c r="G168">
        <v>3</v>
      </c>
      <c r="H168" s="8"/>
      <c r="I168" s="8" t="s">
        <v>6097</v>
      </c>
      <c r="J168" s="8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8" t="s">
        <v>227</v>
      </c>
      <c r="E169" s="8" t="s">
        <v>86</v>
      </c>
      <c r="F169" s="8" t="s">
        <v>60</v>
      </c>
      <c r="G169">
        <v>3</v>
      </c>
      <c r="H169" s="8"/>
      <c r="I169" s="8" t="s">
        <v>6100</v>
      </c>
      <c r="J169" s="8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8" t="s">
        <v>227</v>
      </c>
      <c r="E170" s="8" t="s">
        <v>86</v>
      </c>
      <c r="F170" s="8" t="s">
        <v>60</v>
      </c>
      <c r="G170">
        <v>2</v>
      </c>
      <c r="H170" s="8"/>
      <c r="I170" s="8" t="s">
        <v>6103</v>
      </c>
      <c r="J170" s="8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8" t="s">
        <v>227</v>
      </c>
      <c r="E171" s="8" t="s">
        <v>86</v>
      </c>
      <c r="F171" s="8" t="s">
        <v>60</v>
      </c>
      <c r="G171">
        <v>3</v>
      </c>
      <c r="H171" s="8"/>
      <c r="I171" s="8" t="s">
        <v>6106</v>
      </c>
      <c r="J171" s="8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8" t="s">
        <v>227</v>
      </c>
      <c r="E172" s="8" t="s">
        <v>86</v>
      </c>
      <c r="F172" s="8" t="s">
        <v>60</v>
      </c>
      <c r="G172">
        <v>3</v>
      </c>
      <c r="H172" s="8"/>
      <c r="I172" s="8" t="s">
        <v>6109</v>
      </c>
      <c r="J172" s="8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8" t="s">
        <v>227</v>
      </c>
      <c r="E173" s="8" t="s">
        <v>86</v>
      </c>
      <c r="F173" s="8" t="s">
        <v>60</v>
      </c>
      <c r="G173">
        <v>3</v>
      </c>
      <c r="H173" s="8"/>
      <c r="I173" s="8" t="s">
        <v>6112</v>
      </c>
      <c r="J173" s="8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8" t="s">
        <v>227</v>
      </c>
      <c r="E174" s="8" t="s">
        <v>86</v>
      </c>
      <c r="F174" s="8" t="s">
        <v>60</v>
      </c>
      <c r="G174">
        <v>4</v>
      </c>
      <c r="H174" s="8"/>
      <c r="I174" s="8" t="s">
        <v>6115</v>
      </c>
      <c r="J174" s="8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8" t="s">
        <v>227</v>
      </c>
      <c r="E175" s="8" t="s">
        <v>86</v>
      </c>
      <c r="F175" s="8" t="s">
        <v>60</v>
      </c>
      <c r="G175">
        <v>2</v>
      </c>
      <c r="H175" s="8"/>
      <c r="I175" s="8" t="s">
        <v>6118</v>
      </c>
      <c r="J175" s="8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8" t="s">
        <v>4</v>
      </c>
      <c r="E176" s="8" t="s">
        <v>3358</v>
      </c>
      <c r="F176" s="8"/>
      <c r="H176" s="8"/>
      <c r="I176" s="8" t="s">
        <v>6121</v>
      </c>
      <c r="J176" s="8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8" t="s">
        <v>1607</v>
      </c>
      <c r="E177" s="8" t="s">
        <v>8</v>
      </c>
      <c r="F177" s="8"/>
      <c r="H177" s="8"/>
      <c r="I177" s="8" t="s">
        <v>6124</v>
      </c>
      <c r="J177" s="8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8" t="s">
        <v>887</v>
      </c>
      <c r="E178" s="8" t="s">
        <v>86</v>
      </c>
      <c r="F178" s="8" t="s">
        <v>60</v>
      </c>
      <c r="H178" s="8" t="s">
        <v>6298</v>
      </c>
      <c r="I178" s="8" t="s">
        <v>6260</v>
      </c>
      <c r="J178" s="8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8" t="s">
        <v>887</v>
      </c>
      <c r="E179" s="8" t="s">
        <v>86</v>
      </c>
      <c r="F179" s="8" t="s">
        <v>60</v>
      </c>
      <c r="H179" s="8" t="s">
        <v>6298</v>
      </c>
      <c r="I179" s="8" t="s">
        <v>6263</v>
      </c>
      <c r="J179" s="8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8" t="s">
        <v>887</v>
      </c>
      <c r="E180" s="8" t="s">
        <v>86</v>
      </c>
      <c r="F180" s="8" t="s">
        <v>60</v>
      </c>
      <c r="H180" s="8" t="s">
        <v>6298</v>
      </c>
      <c r="I180" s="8" t="s">
        <v>6266</v>
      </c>
      <c r="J180" s="8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8" t="s">
        <v>887</v>
      </c>
      <c r="E181" s="8" t="s">
        <v>86</v>
      </c>
      <c r="F181" s="8" t="s">
        <v>60</v>
      </c>
      <c r="H181" s="8" t="s">
        <v>6298</v>
      </c>
      <c r="I181" s="8" t="s">
        <v>6269</v>
      </c>
      <c r="J181" s="8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8" t="s">
        <v>887</v>
      </c>
      <c r="E182" s="8" t="s">
        <v>86</v>
      </c>
      <c r="F182" s="8" t="s">
        <v>60</v>
      </c>
      <c r="H182" s="8" t="s">
        <v>6298</v>
      </c>
      <c r="I182" s="8" t="s">
        <v>6272</v>
      </c>
      <c r="J182" s="8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8" t="s">
        <v>887</v>
      </c>
      <c r="E183" s="8" t="s">
        <v>86</v>
      </c>
      <c r="F183" s="8" t="s">
        <v>60</v>
      </c>
      <c r="H183" s="8" t="s">
        <v>6298</v>
      </c>
      <c r="I183" s="8" t="s">
        <v>6275</v>
      </c>
      <c r="J183" s="8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8" t="s">
        <v>887</v>
      </c>
      <c r="E184" s="8" t="s">
        <v>86</v>
      </c>
      <c r="F184" s="8" t="s">
        <v>60</v>
      </c>
      <c r="H184" s="8" t="s">
        <v>6298</v>
      </c>
      <c r="I184" s="8" t="s">
        <v>6278</v>
      </c>
      <c r="J184" s="8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8" t="s">
        <v>1607</v>
      </c>
      <c r="E185" s="8" t="s">
        <v>8</v>
      </c>
      <c r="F185" s="8"/>
      <c r="H185" s="8"/>
      <c r="I185" s="8" t="s">
        <v>6281</v>
      </c>
      <c r="J185" s="8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8" t="s">
        <v>1607</v>
      </c>
      <c r="E186" s="8" t="s">
        <v>8</v>
      </c>
      <c r="F186" s="8"/>
      <c r="H186" s="8"/>
      <c r="I186" s="8" t="s">
        <v>6338</v>
      </c>
      <c r="J186" s="8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8" t="s">
        <v>6436</v>
      </c>
      <c r="E187" s="8" t="s">
        <v>5310</v>
      </c>
      <c r="F187" s="8"/>
      <c r="H187" s="8"/>
      <c r="I187" s="8" t="s">
        <v>6341</v>
      </c>
      <c r="J187" s="8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8" t="s">
        <v>4</v>
      </c>
      <c r="E188" s="8" t="s">
        <v>6439</v>
      </c>
      <c r="F188" s="8"/>
      <c r="H188" s="8"/>
      <c r="I188" s="8" t="s">
        <v>6344</v>
      </c>
      <c r="J188" s="8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8" t="s">
        <v>4</v>
      </c>
      <c r="E189" s="8" t="s">
        <v>6439</v>
      </c>
      <c r="F189" s="8"/>
      <c r="H189" s="8"/>
      <c r="I189" s="8" t="s">
        <v>6347</v>
      </c>
      <c r="J189" s="8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8" t="s">
        <v>4</v>
      </c>
      <c r="E190" s="8" t="s">
        <v>6439</v>
      </c>
      <c r="F190" s="8"/>
      <c r="H190" s="8"/>
      <c r="I190" s="8" t="s">
        <v>6350</v>
      </c>
      <c r="J190" s="8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8" t="s">
        <v>4</v>
      </c>
      <c r="E191" s="8" t="s">
        <v>6659</v>
      </c>
      <c r="F191" s="8"/>
      <c r="H191" s="8"/>
      <c r="I191" s="8" t="s">
        <v>6613</v>
      </c>
      <c r="J191" s="8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8" t="s">
        <v>4</v>
      </c>
      <c r="E192" s="8" t="s">
        <v>6659</v>
      </c>
      <c r="F192" s="8"/>
      <c r="H192" s="8"/>
      <c r="I192" s="8" t="s">
        <v>6616</v>
      </c>
      <c r="J192" s="8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8" t="s">
        <v>1607</v>
      </c>
      <c r="E193" s="8" t="s">
        <v>8</v>
      </c>
      <c r="F193" s="8"/>
      <c r="H193" s="8"/>
      <c r="I193" s="8" t="s">
        <v>6619</v>
      </c>
      <c r="J193" s="8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8" t="s">
        <v>4</v>
      </c>
      <c r="E194" s="8" t="s">
        <v>1274</v>
      </c>
      <c r="F194" s="8" t="s">
        <v>5697</v>
      </c>
      <c r="H194" s="8"/>
      <c r="I194" s="8" t="s">
        <v>6622</v>
      </c>
      <c r="J194" s="8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8" t="s">
        <v>1607</v>
      </c>
      <c r="E195" s="8" t="s">
        <v>8</v>
      </c>
      <c r="F195" s="8"/>
      <c r="H195" s="8"/>
      <c r="I195" s="8" t="s">
        <v>6625</v>
      </c>
      <c r="J195" s="8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8" t="s">
        <v>1607</v>
      </c>
      <c r="E196" s="8" t="s">
        <v>8</v>
      </c>
      <c r="F196" s="8"/>
      <c r="H196" s="8"/>
      <c r="I196" s="8" t="s">
        <v>6628</v>
      </c>
      <c r="J196" s="8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8" t="s">
        <v>1607</v>
      </c>
      <c r="E197" s="8" t="s">
        <v>8</v>
      </c>
      <c r="F197" s="8"/>
      <c r="H197" s="8"/>
      <c r="I197" s="8" t="s">
        <v>6740</v>
      </c>
      <c r="J197" s="8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8" t="s">
        <v>4</v>
      </c>
      <c r="E198" s="8" t="s">
        <v>6788</v>
      </c>
      <c r="F198" s="8"/>
      <c r="H198" s="8" t="s">
        <v>6436</v>
      </c>
      <c r="I198" s="8" t="s">
        <v>6743</v>
      </c>
      <c r="J198" s="8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8" t="s">
        <v>1607</v>
      </c>
      <c r="E199" s="8" t="s">
        <v>8</v>
      </c>
      <c r="F199" s="8"/>
      <c r="H199" s="8"/>
      <c r="I199" s="8" t="s">
        <v>6746</v>
      </c>
      <c r="J199" s="8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8" t="s">
        <v>1607</v>
      </c>
      <c r="E200" s="8" t="s">
        <v>8</v>
      </c>
      <c r="F200" s="8"/>
      <c r="H200" s="8"/>
      <c r="I200" s="8" t="s">
        <v>6837</v>
      </c>
      <c r="J200" s="8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8" t="s">
        <v>4</v>
      </c>
      <c r="E201" s="8" t="s">
        <v>7047</v>
      </c>
      <c r="F201" s="8"/>
      <c r="H201" s="8"/>
      <c r="I201" s="8" t="s">
        <v>6840</v>
      </c>
      <c r="J201" s="8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8" t="s">
        <v>1607</v>
      </c>
      <c r="E202" s="8" t="s">
        <v>8</v>
      </c>
      <c r="F202" s="8"/>
      <c r="H202" s="8"/>
      <c r="I202" s="8" t="s">
        <v>6843</v>
      </c>
      <c r="J202" s="8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8" t="s">
        <v>1607</v>
      </c>
      <c r="E203" s="8" t="s">
        <v>8</v>
      </c>
      <c r="F203" s="8"/>
      <c r="H203" s="8"/>
      <c r="I203" s="8" t="s">
        <v>6846</v>
      </c>
      <c r="J203" s="8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8" t="s">
        <v>1607</v>
      </c>
      <c r="E204" s="8" t="s">
        <v>8</v>
      </c>
      <c r="F204" s="8"/>
      <c r="H204" s="8"/>
      <c r="I204" s="8" t="s">
        <v>6849</v>
      </c>
      <c r="J204" s="8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8" t="s">
        <v>1607</v>
      </c>
      <c r="E205" s="8" t="s">
        <v>8</v>
      </c>
      <c r="F205" s="8"/>
      <c r="H205" s="8"/>
      <c r="I205" s="8" t="s">
        <v>6852</v>
      </c>
      <c r="J205" s="8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8" t="s">
        <v>1607</v>
      </c>
      <c r="E206" s="8" t="s">
        <v>8</v>
      </c>
      <c r="F206" s="8"/>
      <c r="H206" s="8"/>
      <c r="I206" s="8" t="s">
        <v>6855</v>
      </c>
      <c r="J206" s="8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8" t="s">
        <v>4941</v>
      </c>
      <c r="E207" s="8" t="s">
        <v>4396</v>
      </c>
      <c r="F207" s="8" t="s">
        <v>7344</v>
      </c>
      <c r="H207" s="8"/>
      <c r="I207" s="8" t="s">
        <v>7092</v>
      </c>
      <c r="J207" s="8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8" t="s">
        <v>4941</v>
      </c>
      <c r="E208" s="8" t="s">
        <v>4396</v>
      </c>
      <c r="F208" s="8" t="s">
        <v>7344</v>
      </c>
      <c r="H208" s="8" t="s">
        <v>2352</v>
      </c>
      <c r="I208" s="8" t="s">
        <v>7095</v>
      </c>
      <c r="J208" s="8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8" t="s">
        <v>887</v>
      </c>
      <c r="E209" s="8" t="s">
        <v>86</v>
      </c>
      <c r="F209" s="8" t="s">
        <v>60</v>
      </c>
      <c r="H209" s="8"/>
      <c r="I209" s="8" t="s">
        <v>7098</v>
      </c>
      <c r="J209" s="8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8" t="s">
        <v>887</v>
      </c>
      <c r="E210" s="8" t="s">
        <v>86</v>
      </c>
      <c r="F210" s="8" t="s">
        <v>60</v>
      </c>
      <c r="H210" s="8" t="s">
        <v>2352</v>
      </c>
      <c r="I210" s="8" t="s">
        <v>7101</v>
      </c>
      <c r="J210" s="8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8" t="s">
        <v>887</v>
      </c>
      <c r="E211" s="8" t="s">
        <v>86</v>
      </c>
      <c r="F211" s="8" t="s">
        <v>60</v>
      </c>
      <c r="H211" s="8" t="s">
        <v>2352</v>
      </c>
      <c r="I211" s="8" t="s">
        <v>7104</v>
      </c>
      <c r="J211" s="8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8" t="s">
        <v>887</v>
      </c>
      <c r="E212" s="8" t="s">
        <v>3412</v>
      </c>
      <c r="F212" s="8" t="s">
        <v>60</v>
      </c>
      <c r="H212" s="8"/>
      <c r="I212" s="8" t="s">
        <v>7107</v>
      </c>
      <c r="J212" s="8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8" t="s">
        <v>887</v>
      </c>
      <c r="E213" s="8" t="s">
        <v>3412</v>
      </c>
      <c r="F213" s="8" t="s">
        <v>60</v>
      </c>
      <c r="H213" s="8" t="s">
        <v>2352</v>
      </c>
      <c r="I213" s="8" t="s">
        <v>7110</v>
      </c>
      <c r="J213" s="8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8" t="s">
        <v>887</v>
      </c>
      <c r="E214" s="8" t="s">
        <v>3412</v>
      </c>
      <c r="F214" s="8" t="s">
        <v>60</v>
      </c>
      <c r="H214" s="8" t="s">
        <v>2352</v>
      </c>
      <c r="I214" s="8" t="s">
        <v>7113</v>
      </c>
      <c r="J214" s="8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8" t="s">
        <v>4</v>
      </c>
      <c r="E215" s="8" t="s">
        <v>8</v>
      </c>
      <c r="F215" s="8"/>
      <c r="H215" s="8"/>
      <c r="I215" s="8" t="s">
        <v>7116</v>
      </c>
      <c r="J215" s="8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8" t="s">
        <v>4</v>
      </c>
      <c r="E216" s="8" t="s">
        <v>6439</v>
      </c>
      <c r="F216" s="8"/>
      <c r="H216" s="8"/>
      <c r="I216" s="8" t="s">
        <v>7119</v>
      </c>
      <c r="J216" s="8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8" t="s">
        <v>4</v>
      </c>
      <c r="E217" s="8" t="s">
        <v>6439</v>
      </c>
      <c r="F217" s="8"/>
      <c r="H217" s="8"/>
      <c r="I217" s="8" t="s">
        <v>7122</v>
      </c>
      <c r="J217" s="8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8" t="s">
        <v>4</v>
      </c>
      <c r="E218" s="8" t="s">
        <v>8</v>
      </c>
      <c r="F218" s="8"/>
      <c r="H218" s="8"/>
      <c r="I218" s="8" t="s">
        <v>7125</v>
      </c>
      <c r="J218" s="8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8" t="s">
        <v>4</v>
      </c>
      <c r="E219" s="8" t="s">
        <v>6439</v>
      </c>
      <c r="F219" s="8"/>
      <c r="H219" s="8"/>
      <c r="I219" s="8" t="s">
        <v>7398</v>
      </c>
      <c r="J219" s="8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8" t="s">
        <v>4</v>
      </c>
      <c r="E220" s="8" t="s">
        <v>6439</v>
      </c>
      <c r="F220" s="8"/>
      <c r="H220" s="8" t="s">
        <v>2352</v>
      </c>
      <c r="I220" s="8" t="s">
        <v>7401</v>
      </c>
      <c r="J220" s="8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8" t="s">
        <v>4</v>
      </c>
      <c r="E221" s="8" t="s">
        <v>6439</v>
      </c>
      <c r="F221" s="8"/>
      <c r="H221" s="8" t="s">
        <v>2352</v>
      </c>
      <c r="I221" s="8" t="s">
        <v>7404</v>
      </c>
      <c r="J221" s="8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8" t="s">
        <v>887</v>
      </c>
      <c r="E222" s="8" t="s">
        <v>3412</v>
      </c>
      <c r="F222" s="8" t="s">
        <v>60</v>
      </c>
      <c r="H222" s="8"/>
      <c r="I222" s="8" t="s">
        <v>7491</v>
      </c>
      <c r="J222" s="8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8" t="s">
        <v>4</v>
      </c>
      <c r="E223" s="8" t="s">
        <v>6439</v>
      </c>
      <c r="F223" s="8"/>
      <c r="H223" s="8"/>
      <c r="I223" s="8" t="s">
        <v>7494</v>
      </c>
      <c r="J223" s="8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8" t="s">
        <v>4</v>
      </c>
      <c r="E224" s="8" t="s">
        <v>6439</v>
      </c>
      <c r="F224" s="8"/>
      <c r="H224" s="8"/>
      <c r="I224" s="8" t="s">
        <v>7497</v>
      </c>
      <c r="J224" s="8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8" t="s">
        <v>4</v>
      </c>
      <c r="E225" s="8" t="s">
        <v>6439</v>
      </c>
      <c r="F225" s="8"/>
      <c r="H225" s="8"/>
      <c r="I225" s="8" t="s">
        <v>7500</v>
      </c>
      <c r="J225" s="8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8" t="s">
        <v>4</v>
      </c>
      <c r="E226" s="8" t="s">
        <v>6439</v>
      </c>
      <c r="F226" s="8"/>
      <c r="H226" s="8"/>
      <c r="I226" s="8" t="s">
        <v>7503</v>
      </c>
      <c r="J226" s="8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8" t="s">
        <v>4</v>
      </c>
      <c r="E227" s="8" t="s">
        <v>8</v>
      </c>
      <c r="F227" s="8"/>
      <c r="H227" s="8"/>
      <c r="I227" s="8" t="s">
        <v>7506</v>
      </c>
      <c r="J227" s="8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8" t="s">
        <v>4</v>
      </c>
      <c r="E228" s="8" t="s">
        <v>6439</v>
      </c>
      <c r="F228" s="8"/>
      <c r="H228" s="8"/>
      <c r="I228" s="8" t="s">
        <v>7701</v>
      </c>
      <c r="J228" s="8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8" t="s">
        <v>4</v>
      </c>
      <c r="E229" s="8" t="s">
        <v>6439</v>
      </c>
      <c r="F229" s="8"/>
      <c r="H229" s="8"/>
      <c r="I229" s="8" t="s">
        <v>7704</v>
      </c>
      <c r="J229" s="8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8" t="s">
        <v>4</v>
      </c>
      <c r="E230" s="8" t="s">
        <v>6439</v>
      </c>
      <c r="F230" s="8"/>
      <c r="H230" s="8"/>
      <c r="I230" s="8" t="s">
        <v>7707</v>
      </c>
      <c r="J230" s="8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8" t="s">
        <v>4</v>
      </c>
      <c r="E231" s="8" t="s">
        <v>7887</v>
      </c>
      <c r="F231" s="8"/>
      <c r="H231" s="8"/>
      <c r="I231" s="8" t="s">
        <v>7747</v>
      </c>
      <c r="J231" s="8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8" t="s">
        <v>4</v>
      </c>
      <c r="E232" s="8" t="s">
        <v>7887</v>
      </c>
      <c r="F232" s="8"/>
      <c r="H232" s="8"/>
      <c r="I232" s="8" t="s">
        <v>7750</v>
      </c>
      <c r="J232" s="8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8" t="s">
        <v>4</v>
      </c>
      <c r="E233" s="8" t="s">
        <v>7887</v>
      </c>
      <c r="F233" s="8"/>
      <c r="H233" s="8"/>
      <c r="I233" s="8" t="s">
        <v>7753</v>
      </c>
      <c r="J233" s="8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8" t="s">
        <v>4</v>
      </c>
      <c r="E234" s="8" t="s">
        <v>7887</v>
      </c>
      <c r="F234" s="8"/>
      <c r="H234" s="8"/>
      <c r="I234" s="8" t="s">
        <v>7756</v>
      </c>
      <c r="J234" s="8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8" t="s">
        <v>4</v>
      </c>
      <c r="E235" s="8" t="s">
        <v>7887</v>
      </c>
      <c r="F235" s="8"/>
      <c r="H235" s="8"/>
      <c r="I235" s="8" t="s">
        <v>7759</v>
      </c>
      <c r="J235" s="8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8" t="s">
        <v>4</v>
      </c>
      <c r="E236" s="8" t="s">
        <v>7887</v>
      </c>
      <c r="F236" s="8"/>
      <c r="H236" s="8"/>
      <c r="I236" s="8" t="s">
        <v>7940</v>
      </c>
      <c r="J236" s="8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8" t="s">
        <v>4</v>
      </c>
      <c r="E237" s="8" t="s">
        <v>7887</v>
      </c>
      <c r="F237" s="8"/>
      <c r="H237" s="8"/>
      <c r="I237" s="8" t="s">
        <v>7943</v>
      </c>
      <c r="J237" s="8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8" t="s">
        <v>4</v>
      </c>
      <c r="E238" s="8" t="s">
        <v>7887</v>
      </c>
      <c r="F238" s="8"/>
      <c r="H238" s="8"/>
      <c r="I238" s="8" t="s">
        <v>7946</v>
      </c>
      <c r="J238" s="8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8" t="s">
        <v>4</v>
      </c>
      <c r="E239" s="8" t="s">
        <v>7887</v>
      </c>
      <c r="F239" s="8"/>
      <c r="H239" s="8"/>
      <c r="I239" s="8" t="s">
        <v>7949</v>
      </c>
      <c r="J239" s="8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8" t="s">
        <v>4</v>
      </c>
      <c r="E240" s="8" t="s">
        <v>8</v>
      </c>
      <c r="F240" s="8"/>
      <c r="H240" s="8"/>
      <c r="I240" s="8" t="s">
        <v>7952</v>
      </c>
      <c r="J240" s="8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8" t="s">
        <v>227</v>
      </c>
      <c r="E241" s="8" t="s">
        <v>86</v>
      </c>
      <c r="F241" s="8" t="s">
        <v>60</v>
      </c>
      <c r="G241">
        <v>2</v>
      </c>
      <c r="H241" s="8" t="s">
        <v>8158</v>
      </c>
      <c r="I241" s="8" t="s">
        <v>8128</v>
      </c>
      <c r="J241" s="8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8" t="s">
        <v>227</v>
      </c>
      <c r="E242" s="8" t="s">
        <v>86</v>
      </c>
      <c r="F242" s="8" t="s">
        <v>60</v>
      </c>
      <c r="G242">
        <v>4</v>
      </c>
      <c r="H242" s="8"/>
      <c r="I242" s="8" t="s">
        <v>8131</v>
      </c>
      <c r="J242" s="8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8" t="s">
        <v>227</v>
      </c>
      <c r="E243" s="8" t="s">
        <v>86</v>
      </c>
      <c r="F243" s="8" t="s">
        <v>60</v>
      </c>
      <c r="G243">
        <v>3</v>
      </c>
      <c r="H243" s="8"/>
      <c r="I243" s="8" t="s">
        <v>8137</v>
      </c>
      <c r="J243" s="8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8" t="s">
        <v>227</v>
      </c>
      <c r="E244" s="8" t="s">
        <v>86</v>
      </c>
      <c r="F244" s="8" t="s">
        <v>60</v>
      </c>
      <c r="G244">
        <v>4</v>
      </c>
      <c r="H244" s="8"/>
      <c r="I244" s="8" t="s">
        <v>8140</v>
      </c>
      <c r="J244" s="8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8" t="s">
        <v>227</v>
      </c>
      <c r="E245" s="8" t="s">
        <v>86</v>
      </c>
      <c r="F245" s="8" t="s">
        <v>60</v>
      </c>
      <c r="G245">
        <v>3</v>
      </c>
      <c r="H245" s="8"/>
      <c r="I245" s="8" t="s">
        <v>8143</v>
      </c>
      <c r="J245" s="8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8" t="s">
        <v>227</v>
      </c>
      <c r="E246" s="8" t="s">
        <v>86</v>
      </c>
      <c r="F246" s="8" t="s">
        <v>60</v>
      </c>
      <c r="H246" s="8" t="s">
        <v>2352</v>
      </c>
      <c r="I246" s="8" t="s">
        <v>8146</v>
      </c>
      <c r="J246" s="8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8" t="s">
        <v>227</v>
      </c>
      <c r="E247" s="8" t="s">
        <v>86</v>
      </c>
      <c r="F247" s="8" t="s">
        <v>60</v>
      </c>
      <c r="G247">
        <v>1</v>
      </c>
      <c r="H247" s="8"/>
      <c r="I247" s="8" t="s">
        <v>8149</v>
      </c>
      <c r="J247" s="8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8" t="s">
        <v>227</v>
      </c>
      <c r="E248" s="8" t="s">
        <v>86</v>
      </c>
      <c r="F248" s="8" t="s">
        <v>60</v>
      </c>
      <c r="G248">
        <v>3</v>
      </c>
      <c r="H248" s="8"/>
      <c r="I248" s="8" t="s">
        <v>8152</v>
      </c>
      <c r="J248" s="8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8" t="s">
        <v>227</v>
      </c>
      <c r="E249" s="8" t="s">
        <v>86</v>
      </c>
      <c r="F249" s="8" t="s">
        <v>60</v>
      </c>
      <c r="G249">
        <v>3</v>
      </c>
      <c r="H249" s="8"/>
      <c r="I249" s="8" t="s">
        <v>8155</v>
      </c>
      <c r="J249" s="8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8" t="s">
        <v>227</v>
      </c>
      <c r="E250" s="8" t="s">
        <v>86</v>
      </c>
      <c r="F250" s="8" t="s">
        <v>60</v>
      </c>
      <c r="G250">
        <v>2</v>
      </c>
      <c r="H250" s="8"/>
      <c r="I250" s="8" t="s">
        <v>8159</v>
      </c>
      <c r="J250" s="8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8" t="s">
        <v>227</v>
      </c>
      <c r="E251" s="8" t="s">
        <v>86</v>
      </c>
      <c r="F251" s="8" t="s">
        <v>60</v>
      </c>
      <c r="G251">
        <v>3</v>
      </c>
      <c r="H251" s="8"/>
      <c r="I251" s="8" t="s">
        <v>8162</v>
      </c>
      <c r="J251" s="8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8" t="s">
        <v>227</v>
      </c>
      <c r="E252" s="8" t="s">
        <v>86</v>
      </c>
      <c r="F252" s="8" t="s">
        <v>60</v>
      </c>
      <c r="H252" s="8" t="s">
        <v>2352</v>
      </c>
      <c r="I252" s="8" t="s">
        <v>8165</v>
      </c>
      <c r="J252" s="8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8" t="s">
        <v>227</v>
      </c>
      <c r="E253" s="8" t="s">
        <v>86</v>
      </c>
      <c r="F253" s="8" t="s">
        <v>60</v>
      </c>
      <c r="G253">
        <v>2</v>
      </c>
      <c r="H253" s="8"/>
      <c r="I253" s="8" t="s">
        <v>8168</v>
      </c>
      <c r="J253" s="8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8" t="s">
        <v>227</v>
      </c>
      <c r="E254" s="8" t="s">
        <v>86</v>
      </c>
      <c r="F254" s="8" t="s">
        <v>60</v>
      </c>
      <c r="G254">
        <v>4</v>
      </c>
      <c r="H254" s="8"/>
      <c r="I254" s="8" t="s">
        <v>8171</v>
      </c>
      <c r="J254" s="8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8" t="s">
        <v>227</v>
      </c>
      <c r="E255" s="8" t="s">
        <v>86</v>
      </c>
      <c r="F255" s="8" t="s">
        <v>60</v>
      </c>
      <c r="G255">
        <v>1</v>
      </c>
      <c r="H255" s="8"/>
      <c r="I255" s="8" t="s">
        <v>8174</v>
      </c>
      <c r="J255" s="8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8" t="s">
        <v>227</v>
      </c>
      <c r="E256" s="8" t="s">
        <v>86</v>
      </c>
      <c r="F256" s="8" t="s">
        <v>60</v>
      </c>
      <c r="G256">
        <v>3</v>
      </c>
      <c r="H256" s="8"/>
      <c r="I256" s="8" t="s">
        <v>8177</v>
      </c>
      <c r="J256" s="8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8" t="s">
        <v>227</v>
      </c>
      <c r="E257" s="8" t="s">
        <v>86</v>
      </c>
      <c r="F257" s="8" t="s">
        <v>60</v>
      </c>
      <c r="G257">
        <v>3</v>
      </c>
      <c r="H257" s="8"/>
      <c r="I257" s="8" t="s">
        <v>8180</v>
      </c>
      <c r="J257" s="8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8" t="s">
        <v>227</v>
      </c>
      <c r="E258" s="8" t="s">
        <v>86</v>
      </c>
      <c r="F258" s="8" t="s">
        <v>60</v>
      </c>
      <c r="G258">
        <v>2</v>
      </c>
      <c r="H258" s="8"/>
      <c r="I258" s="8" t="s">
        <v>8183</v>
      </c>
      <c r="J258" s="8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8" t="s">
        <v>227</v>
      </c>
      <c r="E259" s="8" t="s">
        <v>86</v>
      </c>
      <c r="F259" s="8" t="s">
        <v>60</v>
      </c>
      <c r="G259">
        <v>2</v>
      </c>
      <c r="H259" s="8"/>
      <c r="I259" s="8" t="s">
        <v>8186</v>
      </c>
      <c r="J259" s="8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8" t="s">
        <v>227</v>
      </c>
      <c r="E260" s="8" t="s">
        <v>86</v>
      </c>
      <c r="F260" s="8" t="s">
        <v>60</v>
      </c>
      <c r="G260">
        <v>3</v>
      </c>
      <c r="H260" s="8"/>
      <c r="I260" s="8" t="s">
        <v>8189</v>
      </c>
      <c r="J260" s="8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8" t="s">
        <v>227</v>
      </c>
      <c r="E261" s="8" t="s">
        <v>86</v>
      </c>
      <c r="F261" s="8" t="s">
        <v>60</v>
      </c>
      <c r="G261">
        <v>2</v>
      </c>
      <c r="H261" s="8"/>
      <c r="I261" s="8" t="s">
        <v>8192</v>
      </c>
      <c r="J261" s="8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8" t="s">
        <v>227</v>
      </c>
      <c r="E262" s="8" t="s">
        <v>86</v>
      </c>
      <c r="F262" s="8" t="s">
        <v>60</v>
      </c>
      <c r="G262">
        <v>2</v>
      </c>
      <c r="H262" s="8"/>
      <c r="I262" s="8" t="s">
        <v>8195</v>
      </c>
      <c r="J262" s="8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8" t="s">
        <v>227</v>
      </c>
      <c r="E263" s="8" t="s">
        <v>86</v>
      </c>
      <c r="F263" s="8" t="s">
        <v>60</v>
      </c>
      <c r="G263">
        <v>3</v>
      </c>
      <c r="H263" s="8"/>
      <c r="I263" s="8" t="s">
        <v>8198</v>
      </c>
      <c r="J263" s="8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8" t="s">
        <v>227</v>
      </c>
      <c r="E264" s="8" t="s">
        <v>86</v>
      </c>
      <c r="F264" s="8" t="s">
        <v>60</v>
      </c>
      <c r="H264" s="8" t="s">
        <v>2352</v>
      </c>
      <c r="I264" s="8" t="s">
        <v>8201</v>
      </c>
      <c r="J264" s="8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8" t="s">
        <v>227</v>
      </c>
      <c r="E265" s="8" t="s">
        <v>86</v>
      </c>
      <c r="F265" s="8" t="s">
        <v>60</v>
      </c>
      <c r="G265">
        <v>4</v>
      </c>
      <c r="H265" s="8"/>
      <c r="I265" s="8" t="s">
        <v>8204</v>
      </c>
      <c r="J265" s="8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8" t="s">
        <v>227</v>
      </c>
      <c r="E266" s="8" t="s">
        <v>86</v>
      </c>
      <c r="F266" s="8" t="s">
        <v>60</v>
      </c>
      <c r="G266">
        <v>3</v>
      </c>
      <c r="H266" s="8"/>
      <c r="I266" s="8" t="s">
        <v>8207</v>
      </c>
      <c r="J266" s="8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8" t="s">
        <v>227</v>
      </c>
      <c r="E267" s="8" t="s">
        <v>86</v>
      </c>
      <c r="F267" s="8" t="s">
        <v>60</v>
      </c>
      <c r="G267">
        <v>3</v>
      </c>
      <c r="H267" s="8"/>
      <c r="I267" s="8" t="s">
        <v>8210</v>
      </c>
      <c r="J267" s="8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8" t="s">
        <v>227</v>
      </c>
      <c r="E268" s="8" t="s">
        <v>86</v>
      </c>
      <c r="F268" s="8" t="s">
        <v>60</v>
      </c>
      <c r="G268">
        <v>2</v>
      </c>
      <c r="H268" s="8"/>
      <c r="I268" s="8" t="s">
        <v>8213</v>
      </c>
      <c r="J268" s="8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8" t="s">
        <v>227</v>
      </c>
      <c r="E269" s="8" t="s">
        <v>86</v>
      </c>
      <c r="F269" s="8" t="s">
        <v>60</v>
      </c>
      <c r="G269">
        <v>2</v>
      </c>
      <c r="H269" s="8" t="s">
        <v>8295</v>
      </c>
      <c r="I269" s="8" t="s">
        <v>8229</v>
      </c>
      <c r="J269" s="8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8" t="s">
        <v>227</v>
      </c>
      <c r="E270" s="8" t="s">
        <v>86</v>
      </c>
      <c r="F270" s="8" t="s">
        <v>60</v>
      </c>
      <c r="G270">
        <v>3</v>
      </c>
      <c r="H270" s="8" t="s">
        <v>8295</v>
      </c>
      <c r="I270" s="8" t="s">
        <v>8232</v>
      </c>
      <c r="J270" s="8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8" t="s">
        <v>227</v>
      </c>
      <c r="E271" s="8" t="s">
        <v>86</v>
      </c>
      <c r="F271" s="8" t="s">
        <v>60</v>
      </c>
      <c r="G271">
        <v>3</v>
      </c>
      <c r="H271" s="8" t="s">
        <v>8295</v>
      </c>
      <c r="I271" s="8" t="s">
        <v>8235</v>
      </c>
      <c r="J271" s="8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8" t="s">
        <v>227</v>
      </c>
      <c r="E272" s="8" t="s">
        <v>86</v>
      </c>
      <c r="F272" s="8" t="s">
        <v>60</v>
      </c>
      <c r="G272">
        <v>4</v>
      </c>
      <c r="H272" s="8" t="s">
        <v>8295</v>
      </c>
      <c r="I272" s="8" t="s">
        <v>8238</v>
      </c>
      <c r="J272" s="8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8" t="s">
        <v>227</v>
      </c>
      <c r="E273" s="8" t="s">
        <v>86</v>
      </c>
      <c r="F273" s="8" t="s">
        <v>60</v>
      </c>
      <c r="G273">
        <v>4</v>
      </c>
      <c r="H273" s="8" t="s">
        <v>8295</v>
      </c>
      <c r="I273" s="8" t="s">
        <v>8241</v>
      </c>
      <c r="J273" s="8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8" t="s">
        <v>227</v>
      </c>
      <c r="E274" s="8" t="s">
        <v>86</v>
      </c>
      <c r="F274" s="8" t="s">
        <v>60</v>
      </c>
      <c r="G274">
        <v>4</v>
      </c>
      <c r="H274" s="8" t="s">
        <v>8295</v>
      </c>
      <c r="I274" s="8" t="s">
        <v>8244</v>
      </c>
      <c r="J274" s="8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8" t="s">
        <v>227</v>
      </c>
      <c r="E275" s="8" t="s">
        <v>86</v>
      </c>
      <c r="F275" s="8" t="s">
        <v>60</v>
      </c>
      <c r="G275">
        <v>5</v>
      </c>
      <c r="H275" s="8" t="s">
        <v>8295</v>
      </c>
      <c r="I275" s="8" t="s">
        <v>8247</v>
      </c>
      <c r="J275" s="8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8" t="s">
        <v>227</v>
      </c>
      <c r="E276" s="8" t="s">
        <v>86</v>
      </c>
      <c r="F276" s="8" t="s">
        <v>60</v>
      </c>
      <c r="G276">
        <v>2</v>
      </c>
      <c r="H276" s="8" t="s">
        <v>8295</v>
      </c>
      <c r="I276" s="8" t="s">
        <v>8250</v>
      </c>
      <c r="J276" s="8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8" t="s">
        <v>227</v>
      </c>
      <c r="E277" s="8" t="s">
        <v>86</v>
      </c>
      <c r="F277" s="8" t="s">
        <v>60</v>
      </c>
      <c r="G277">
        <v>3</v>
      </c>
      <c r="H277" s="8" t="s">
        <v>8295</v>
      </c>
      <c r="I277" s="8" t="s">
        <v>8253</v>
      </c>
      <c r="J277" s="8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8" t="s">
        <v>227</v>
      </c>
      <c r="E278" s="8" t="s">
        <v>86</v>
      </c>
      <c r="F278" s="8" t="s">
        <v>60</v>
      </c>
      <c r="G278">
        <v>3</v>
      </c>
      <c r="H278" s="8" t="s">
        <v>8295</v>
      </c>
      <c r="I278" s="8" t="s">
        <v>8256</v>
      </c>
      <c r="J278" s="8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8" t="s">
        <v>227</v>
      </c>
      <c r="E279" s="8" t="s">
        <v>86</v>
      </c>
      <c r="F279" s="8" t="s">
        <v>60</v>
      </c>
      <c r="G279">
        <v>3</v>
      </c>
      <c r="H279" s="8" t="s">
        <v>8295</v>
      </c>
      <c r="I279" s="8" t="s">
        <v>8259</v>
      </c>
      <c r="J279" s="8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8" t="s">
        <v>227</v>
      </c>
      <c r="E280" s="8" t="s">
        <v>86</v>
      </c>
      <c r="F280" s="8" t="s">
        <v>60</v>
      </c>
      <c r="G280">
        <v>2</v>
      </c>
      <c r="H280" s="8" t="s">
        <v>8295</v>
      </c>
      <c r="I280" s="8" t="s">
        <v>8262</v>
      </c>
      <c r="J280" s="8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8" t="s">
        <v>227</v>
      </c>
      <c r="E281" s="8" t="s">
        <v>86</v>
      </c>
      <c r="F281" s="8" t="s">
        <v>60</v>
      </c>
      <c r="G281">
        <v>2</v>
      </c>
      <c r="H281" s="8" t="s">
        <v>8295</v>
      </c>
      <c r="I281" s="8" t="s">
        <v>8265</v>
      </c>
      <c r="J281" s="8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8" t="s">
        <v>227</v>
      </c>
      <c r="E282" s="8" t="s">
        <v>86</v>
      </c>
      <c r="F282" s="8" t="s">
        <v>60</v>
      </c>
      <c r="G282">
        <v>3</v>
      </c>
      <c r="H282" s="8" t="s">
        <v>8295</v>
      </c>
      <c r="I282" s="8" t="s">
        <v>8268</v>
      </c>
      <c r="J282" s="8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8" t="s">
        <v>227</v>
      </c>
      <c r="E283" s="8" t="s">
        <v>86</v>
      </c>
      <c r="F283" s="8" t="s">
        <v>60</v>
      </c>
      <c r="G283">
        <v>3</v>
      </c>
      <c r="H283" s="8" t="s">
        <v>8295</v>
      </c>
      <c r="I283" s="8" t="s">
        <v>8271</v>
      </c>
      <c r="J283" s="8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8" t="s">
        <v>227</v>
      </c>
      <c r="E284" s="8" t="s">
        <v>86</v>
      </c>
      <c r="F284" s="8" t="s">
        <v>60</v>
      </c>
      <c r="G284">
        <v>3</v>
      </c>
      <c r="H284" s="8" t="s">
        <v>8295</v>
      </c>
      <c r="I284" s="8" t="s">
        <v>8274</v>
      </c>
      <c r="J284" s="8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8" t="s">
        <v>227</v>
      </c>
      <c r="E285" s="8" t="s">
        <v>86</v>
      </c>
      <c r="F285" s="8" t="s">
        <v>60</v>
      </c>
      <c r="G285">
        <v>2</v>
      </c>
      <c r="H285" s="8" t="s">
        <v>8295</v>
      </c>
      <c r="I285" s="8" t="s">
        <v>8277</v>
      </c>
      <c r="J285" s="8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8" t="s">
        <v>227</v>
      </c>
      <c r="E286" s="8" t="s">
        <v>86</v>
      </c>
      <c r="F286" s="8" t="s">
        <v>60</v>
      </c>
      <c r="G286">
        <v>2</v>
      </c>
      <c r="H286" s="8" t="s">
        <v>8295</v>
      </c>
      <c r="I286" s="8" t="s">
        <v>8280</v>
      </c>
      <c r="J286" s="8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8" t="s">
        <v>227</v>
      </c>
      <c r="E287" s="8" t="s">
        <v>86</v>
      </c>
      <c r="F287" s="8" t="s">
        <v>60</v>
      </c>
      <c r="G287">
        <v>2</v>
      </c>
      <c r="H287" s="8" t="s">
        <v>8295</v>
      </c>
      <c r="I287" s="8" t="s">
        <v>8283</v>
      </c>
      <c r="J287" s="8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8" t="s">
        <v>8296</v>
      </c>
      <c r="E288" s="8" t="s">
        <v>86</v>
      </c>
      <c r="F288" s="8" t="s">
        <v>8119</v>
      </c>
      <c r="G288">
        <v>1</v>
      </c>
      <c r="H288" s="8" t="s">
        <v>8297</v>
      </c>
      <c r="I288" s="8" t="s">
        <v>8286</v>
      </c>
      <c r="J288" s="8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8" t="s">
        <v>4</v>
      </c>
      <c r="E289" s="8" t="s">
        <v>7887</v>
      </c>
      <c r="F289" s="8"/>
      <c r="H289" s="8"/>
      <c r="I289" s="8" t="s">
        <v>8289</v>
      </c>
      <c r="J289" s="8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8" t="s">
        <v>4</v>
      </c>
      <c r="E290" s="8" t="s">
        <v>2348</v>
      </c>
      <c r="F290" s="8"/>
      <c r="H290" s="8"/>
      <c r="I290" s="8" t="s">
        <v>8292</v>
      </c>
      <c r="J290" s="8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8" t="s">
        <v>1607</v>
      </c>
      <c r="E291" s="8" t="s">
        <v>8</v>
      </c>
      <c r="F291" s="8"/>
      <c r="H291" s="8"/>
      <c r="I291" s="8" t="s">
        <v>8417</v>
      </c>
      <c r="J291" s="8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8" t="s">
        <v>1607</v>
      </c>
      <c r="E292" s="8" t="s">
        <v>8</v>
      </c>
      <c r="F292" s="8"/>
      <c r="H292" s="8"/>
      <c r="I292" s="8" t="s">
        <v>8420</v>
      </c>
      <c r="J292" s="8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8" t="s">
        <v>4</v>
      </c>
      <c r="E293" s="8" t="s">
        <v>2348</v>
      </c>
      <c r="F293" s="8"/>
      <c r="H293" s="8"/>
      <c r="I293" s="8" t="s">
        <v>8456</v>
      </c>
      <c r="J293" s="8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8" t="s">
        <v>4</v>
      </c>
      <c r="E294" s="8" t="s">
        <v>8520</v>
      </c>
      <c r="F294" s="8"/>
      <c r="H294" s="8"/>
      <c r="I294" s="8" t="s">
        <v>8459</v>
      </c>
      <c r="J294" s="8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8" t="s">
        <v>4</v>
      </c>
      <c r="E295" s="8" t="s">
        <v>7887</v>
      </c>
      <c r="F295" s="8"/>
      <c r="H295" s="8"/>
      <c r="I295" s="8" t="s">
        <v>8591</v>
      </c>
      <c r="J295" s="8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8" t="s">
        <v>136</v>
      </c>
      <c r="E296" s="8" t="s">
        <v>86</v>
      </c>
      <c r="F296" s="8" t="s">
        <v>60</v>
      </c>
      <c r="H296" s="8" t="s">
        <v>8717</v>
      </c>
      <c r="I296" s="8" t="s">
        <v>8594</v>
      </c>
      <c r="J296" s="8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8" t="s">
        <v>4</v>
      </c>
      <c r="E297" s="8" t="s">
        <v>2348</v>
      </c>
      <c r="F297" s="8"/>
      <c r="H297" s="8"/>
      <c r="I297" s="8" t="s">
        <v>8597</v>
      </c>
      <c r="J297" s="8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8" t="s">
        <v>4</v>
      </c>
      <c r="E298" s="8" t="s">
        <v>7887</v>
      </c>
      <c r="F298" s="8"/>
      <c r="H298" s="8"/>
      <c r="I298" s="8" t="s">
        <v>8600</v>
      </c>
      <c r="J298" s="8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8" t="s">
        <v>4</v>
      </c>
      <c r="E299" s="8" t="s">
        <v>7887</v>
      </c>
      <c r="F299" s="8"/>
      <c r="H299" s="8"/>
      <c r="I299" s="8" t="s">
        <v>8603</v>
      </c>
      <c r="J299" s="8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8" t="s">
        <v>4</v>
      </c>
      <c r="E300" s="8" t="s">
        <v>6439</v>
      </c>
      <c r="F300" s="8"/>
      <c r="H300" s="8"/>
      <c r="I300" s="8" t="s">
        <v>8738</v>
      </c>
      <c r="J300" s="8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8" t="s">
        <v>4</v>
      </c>
      <c r="E301" s="8" t="s">
        <v>6439</v>
      </c>
      <c r="F301" s="8"/>
      <c r="H301" s="8"/>
      <c r="I301" s="8" t="s">
        <v>8741</v>
      </c>
      <c r="J301" s="8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8" t="s">
        <v>4</v>
      </c>
      <c r="E302" s="8" t="s">
        <v>8</v>
      </c>
      <c r="F302" s="8"/>
      <c r="H302" s="8"/>
      <c r="I302" s="8" t="s">
        <v>8858</v>
      </c>
      <c r="J302" s="8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8" t="s">
        <v>587</v>
      </c>
      <c r="E303" s="8" t="s">
        <v>8913</v>
      </c>
      <c r="F303" s="8"/>
      <c r="H303" s="8" t="s">
        <v>8914</v>
      </c>
      <c r="I303" s="8" t="s">
        <v>8861</v>
      </c>
      <c r="J303" s="8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8" t="s">
        <v>4</v>
      </c>
      <c r="E304" s="8" t="s">
        <v>7887</v>
      </c>
      <c r="F304" s="8"/>
      <c r="H304" s="8"/>
      <c r="I304" s="8" t="s">
        <v>8864</v>
      </c>
      <c r="J304" s="8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8" t="s">
        <v>4</v>
      </c>
      <c r="E305" s="8" t="s">
        <v>7887</v>
      </c>
      <c r="F305" s="8"/>
      <c r="H305" s="8"/>
      <c r="I305" s="8" t="s">
        <v>8940</v>
      </c>
      <c r="J305" s="8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8" t="s">
        <v>4</v>
      </c>
      <c r="E306" s="8" t="s">
        <v>7887</v>
      </c>
      <c r="F306" s="8"/>
      <c r="H306" s="8"/>
      <c r="I306" s="8" t="s">
        <v>8943</v>
      </c>
      <c r="J306" s="8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8" t="s">
        <v>4</v>
      </c>
      <c r="E307" s="8" t="s">
        <v>7887</v>
      </c>
      <c r="F307" s="8"/>
      <c r="H307" s="8"/>
      <c r="I307" s="8" t="s">
        <v>8946</v>
      </c>
      <c r="J307" s="8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8" t="s">
        <v>4</v>
      </c>
      <c r="E308" s="8" t="s">
        <v>7887</v>
      </c>
      <c r="F308" s="8"/>
      <c r="H308" s="8"/>
      <c r="I308" s="8" t="s">
        <v>8949</v>
      </c>
      <c r="J308" s="8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8" t="s">
        <v>4</v>
      </c>
      <c r="E309" s="8" t="s">
        <v>8</v>
      </c>
      <c r="F309" s="8"/>
      <c r="H309" s="8"/>
      <c r="I309" s="8" t="s">
        <v>9275</v>
      </c>
      <c r="J309" s="8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8" t="s">
        <v>4</v>
      </c>
      <c r="E310" s="8" t="s">
        <v>9303</v>
      </c>
      <c r="F310" s="8"/>
      <c r="H310" s="8"/>
      <c r="I310" s="8" t="s">
        <v>9278</v>
      </c>
      <c r="J310" s="8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8" t="s">
        <v>4</v>
      </c>
      <c r="E311" s="8" t="s">
        <v>8</v>
      </c>
      <c r="F311" s="8"/>
      <c r="H311" s="8"/>
      <c r="I311" s="8" t="s">
        <v>9281</v>
      </c>
      <c r="J311" s="8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8" t="s">
        <v>1607</v>
      </c>
      <c r="E312" s="8" t="s">
        <v>8</v>
      </c>
      <c r="F312" s="8"/>
      <c r="H312" s="8"/>
      <c r="I312" s="8" t="s">
        <v>9338</v>
      </c>
      <c r="J312" s="8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8" t="s">
        <v>4</v>
      </c>
      <c r="E313" s="8" t="s">
        <v>2348</v>
      </c>
      <c r="F313" s="8"/>
      <c r="H313" s="8"/>
      <c r="I313" s="8" t="s">
        <v>9341</v>
      </c>
      <c r="J313" s="8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8" t="s">
        <v>4</v>
      </c>
      <c r="E314" s="8" t="s">
        <v>2348</v>
      </c>
      <c r="F314" s="8"/>
      <c r="H314" s="8"/>
      <c r="I314" s="8" t="s">
        <v>9542</v>
      </c>
      <c r="J314" s="8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8" t="s">
        <v>4921</v>
      </c>
      <c r="E315" s="8" t="s">
        <v>9597</v>
      </c>
      <c r="F315" s="8"/>
      <c r="H315" s="8"/>
      <c r="I315" s="8" t="s">
        <v>9545</v>
      </c>
      <c r="J315" s="8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8" t="s">
        <v>137</v>
      </c>
      <c r="E316" s="8" t="s">
        <v>9597</v>
      </c>
      <c r="F316" s="8"/>
      <c r="H316" s="8"/>
      <c r="I316" s="8" t="s">
        <v>9548</v>
      </c>
      <c r="J316" s="8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8" t="s">
        <v>166</v>
      </c>
      <c r="E317" s="8" t="s">
        <v>9597</v>
      </c>
      <c r="F317" s="8"/>
      <c r="H317" s="8"/>
      <c r="I317" s="8" t="s">
        <v>9551</v>
      </c>
      <c r="J317" s="8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8" t="s">
        <v>4</v>
      </c>
      <c r="E318" s="8" t="s">
        <v>8</v>
      </c>
      <c r="F318" s="8"/>
      <c r="H318" s="8"/>
      <c r="I318" s="8" t="s">
        <v>9554</v>
      </c>
      <c r="J318" s="8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8" t="s">
        <v>137</v>
      </c>
      <c r="E319" s="8" t="s">
        <v>3358</v>
      </c>
      <c r="F319" s="8"/>
      <c r="H319" s="8"/>
      <c r="I319" s="8" t="s">
        <v>9557</v>
      </c>
      <c r="J319" s="8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8" t="s">
        <v>166</v>
      </c>
      <c r="E320" s="8" t="s">
        <v>3358</v>
      </c>
      <c r="F320" s="8"/>
      <c r="H320" s="8"/>
      <c r="I320" s="8" t="s">
        <v>9560</v>
      </c>
      <c r="J320" s="8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8" t="s">
        <v>4</v>
      </c>
      <c r="E321" s="8" t="s">
        <v>8</v>
      </c>
      <c r="F321" s="8"/>
      <c r="H321" s="8"/>
      <c r="I321" s="8" t="s">
        <v>9563</v>
      </c>
      <c r="J321" s="8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8" t="s">
        <v>137</v>
      </c>
      <c r="E322" s="8" t="s">
        <v>70</v>
      </c>
      <c r="F322" s="8"/>
      <c r="H322" s="8"/>
      <c r="I322" s="8" t="s">
        <v>9566</v>
      </c>
      <c r="J322" s="8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8" t="s">
        <v>4</v>
      </c>
      <c r="E323" s="8" t="s">
        <v>8</v>
      </c>
      <c r="F323" s="8"/>
      <c r="H323" s="8"/>
      <c r="I323" s="8" t="s">
        <v>9569</v>
      </c>
      <c r="J323" s="8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8" t="s">
        <v>588</v>
      </c>
      <c r="E324" s="8" t="s">
        <v>86</v>
      </c>
      <c r="F324" s="8"/>
      <c r="H324" s="8"/>
      <c r="I324" s="8" t="s">
        <v>9634</v>
      </c>
      <c r="J324" s="8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8" t="s">
        <v>9596</v>
      </c>
      <c r="E325" s="8" t="s">
        <v>9653</v>
      </c>
      <c r="F325" s="8"/>
      <c r="H325" s="8"/>
      <c r="I325" s="8" t="s">
        <v>9637</v>
      </c>
      <c r="J325" s="8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8" t="s">
        <v>166</v>
      </c>
      <c r="E326" s="8" t="s">
        <v>9653</v>
      </c>
      <c r="F326" s="8"/>
      <c r="H326" s="8"/>
      <c r="I326" s="8" t="s">
        <v>9640</v>
      </c>
      <c r="J326" s="8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8" t="s">
        <v>1607</v>
      </c>
      <c r="E327" s="8" t="s">
        <v>8</v>
      </c>
      <c r="F327" s="8"/>
      <c r="H327" s="8"/>
      <c r="I327" s="8" t="s">
        <v>9667</v>
      </c>
      <c r="J327" s="8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8" t="s">
        <v>4</v>
      </c>
      <c r="E328" s="8" t="s">
        <v>8528</v>
      </c>
      <c r="F328" s="8"/>
      <c r="H328" s="8"/>
      <c r="I328" s="8" t="s">
        <v>9679</v>
      </c>
      <c r="J328" s="8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8" t="s">
        <v>588</v>
      </c>
      <c r="E329" s="8" t="s">
        <v>86</v>
      </c>
      <c r="F329" s="8"/>
      <c r="H329" s="8"/>
      <c r="I329" s="8" t="s">
        <v>9829</v>
      </c>
      <c r="J329" s="8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8" t="s">
        <v>10015</v>
      </c>
      <c r="E330" s="8" t="s">
        <v>86</v>
      </c>
      <c r="F330" s="8"/>
      <c r="H330" s="8"/>
      <c r="I330" s="8" t="s">
        <v>9832</v>
      </c>
      <c r="J330" s="8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8" t="s">
        <v>9600</v>
      </c>
      <c r="E331" s="8"/>
      <c r="F331" s="8"/>
      <c r="H331" s="8"/>
      <c r="I331" s="8" t="s">
        <v>9835</v>
      </c>
      <c r="J331" s="8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8" t="s">
        <v>9596</v>
      </c>
      <c r="E332" s="8" t="s">
        <v>10016</v>
      </c>
      <c r="F332" s="8"/>
      <c r="H332" s="8"/>
      <c r="I332" s="8" t="s">
        <v>9838</v>
      </c>
      <c r="J332" s="8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8" t="s">
        <v>62</v>
      </c>
      <c r="E333" s="8" t="s">
        <v>10016</v>
      </c>
      <c r="F333" s="8" t="s">
        <v>10017</v>
      </c>
      <c r="H333" s="8" t="s">
        <v>10018</v>
      </c>
      <c r="I333" s="8" t="s">
        <v>9841</v>
      </c>
      <c r="J333" s="8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8" t="s">
        <v>137</v>
      </c>
      <c r="E334" s="8" t="s">
        <v>3358</v>
      </c>
      <c r="F334" s="8"/>
      <c r="H334" s="8"/>
      <c r="I334" s="8" t="s">
        <v>9844</v>
      </c>
      <c r="J334" s="8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8" t="s">
        <v>10019</v>
      </c>
      <c r="E335" s="8" t="s">
        <v>86</v>
      </c>
      <c r="F335" s="8"/>
      <c r="H335" s="8"/>
      <c r="I335" s="8" t="s">
        <v>9847</v>
      </c>
      <c r="J335" s="8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8" t="s">
        <v>588</v>
      </c>
      <c r="E336" s="8" t="s">
        <v>86</v>
      </c>
      <c r="F336" s="8"/>
      <c r="H336" s="8"/>
      <c r="I336" s="8" t="s">
        <v>10067</v>
      </c>
      <c r="J336" s="8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8" t="s">
        <v>137</v>
      </c>
      <c r="E337" s="8" t="s">
        <v>3358</v>
      </c>
      <c r="F337" s="8"/>
      <c r="H337" s="8"/>
      <c r="I337" s="8" t="s">
        <v>10070</v>
      </c>
      <c r="J337" s="8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8" t="s">
        <v>4921</v>
      </c>
      <c r="E338" s="8" t="s">
        <v>3358</v>
      </c>
      <c r="F338" s="8"/>
      <c r="H338" s="8"/>
      <c r="I338" s="8" t="s">
        <v>10073</v>
      </c>
      <c r="J338" s="8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8" t="s">
        <v>137</v>
      </c>
      <c r="E339" s="8" t="s">
        <v>10132</v>
      </c>
      <c r="F339" s="8"/>
      <c r="H339" s="8"/>
      <c r="I339" s="8" t="s">
        <v>10076</v>
      </c>
      <c r="J339" s="8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8" t="s">
        <v>62</v>
      </c>
      <c r="E340" s="8" t="s">
        <v>10130</v>
      </c>
      <c r="F340" s="8"/>
      <c r="H340" s="8" t="s">
        <v>10131</v>
      </c>
      <c r="I340" s="8" t="s">
        <v>10079</v>
      </c>
      <c r="J340" s="8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8" t="s">
        <v>10238</v>
      </c>
      <c r="E341" s="8" t="s">
        <v>10132</v>
      </c>
      <c r="F341" s="8"/>
      <c r="H341" s="8"/>
      <c r="I341" s="8" t="s">
        <v>10164</v>
      </c>
      <c r="J341" s="8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8" t="s">
        <v>4</v>
      </c>
      <c r="E342" s="8" t="s">
        <v>8</v>
      </c>
      <c r="F342" s="8"/>
      <c r="H342" s="8"/>
      <c r="I342" s="8" t="s">
        <v>10167</v>
      </c>
      <c r="J342" s="8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8" t="s">
        <v>4921</v>
      </c>
      <c r="E343" s="8" t="s">
        <v>10416</v>
      </c>
      <c r="F343" s="8"/>
      <c r="H343" s="8"/>
      <c r="I343" s="8" t="s">
        <v>10355</v>
      </c>
      <c r="J343" s="8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8" t="s">
        <v>4</v>
      </c>
      <c r="E344" s="8" t="s">
        <v>8</v>
      </c>
      <c r="F344" s="8"/>
      <c r="H344" s="8"/>
      <c r="I344" s="8" t="s">
        <v>10358</v>
      </c>
      <c r="J344" s="8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8" t="s">
        <v>1607</v>
      </c>
      <c r="E345" s="8" t="s">
        <v>8</v>
      </c>
      <c r="F345" s="8"/>
      <c r="H345" s="8"/>
      <c r="I345" s="8" t="s">
        <v>10361</v>
      </c>
      <c r="J345" s="8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8" t="s">
        <v>226</v>
      </c>
      <c r="E346" s="8" t="s">
        <v>10565</v>
      </c>
      <c r="F346" s="8" t="s">
        <v>586</v>
      </c>
      <c r="H346" s="8"/>
      <c r="I346" s="8" t="s">
        <v>10436</v>
      </c>
      <c r="J346" s="8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8" t="s">
        <v>226</v>
      </c>
      <c r="E347" s="8" t="s">
        <v>10565</v>
      </c>
      <c r="F347" s="8" t="s">
        <v>586</v>
      </c>
      <c r="H347" s="8" t="s">
        <v>2352</v>
      </c>
      <c r="I347" s="8" t="s">
        <v>10439</v>
      </c>
      <c r="J347" s="8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8" t="s">
        <v>226</v>
      </c>
      <c r="E348" s="8" t="s">
        <v>10565</v>
      </c>
      <c r="F348" s="8" t="s">
        <v>586</v>
      </c>
      <c r="H348" s="8" t="s">
        <v>2352</v>
      </c>
      <c r="I348" s="8" t="s">
        <v>10442</v>
      </c>
      <c r="J348" s="8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8" t="s">
        <v>10567</v>
      </c>
      <c r="E349" s="8" t="s">
        <v>10565</v>
      </c>
      <c r="F349" s="8" t="s">
        <v>586</v>
      </c>
      <c r="H349" s="8"/>
      <c r="I349" s="8" t="s">
        <v>10445</v>
      </c>
      <c r="J349" s="8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8" t="s">
        <v>10568</v>
      </c>
      <c r="E350" s="8" t="s">
        <v>10566</v>
      </c>
      <c r="F350" s="8" t="s">
        <v>51</v>
      </c>
      <c r="H350" s="8"/>
      <c r="I350" s="8" t="s">
        <v>10448</v>
      </c>
      <c r="J350" s="8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8" t="s">
        <v>4</v>
      </c>
      <c r="E351" s="8" t="s">
        <v>10569</v>
      </c>
      <c r="F351" s="8"/>
      <c r="H351" s="8"/>
      <c r="I351" s="8" t="s">
        <v>10451</v>
      </c>
      <c r="J351" s="8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8" t="s">
        <v>10570</v>
      </c>
      <c r="E352" s="8" t="s">
        <v>10566</v>
      </c>
      <c r="F352" s="8" t="s">
        <v>586</v>
      </c>
      <c r="H352" s="8"/>
      <c r="I352" s="8" t="s">
        <v>10454</v>
      </c>
      <c r="J352" s="8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8" t="s">
        <v>10570</v>
      </c>
      <c r="E353" s="8" t="s">
        <v>10565</v>
      </c>
      <c r="F353" s="8" t="s">
        <v>586</v>
      </c>
      <c r="H353" s="8"/>
      <c r="I353" s="8" t="s">
        <v>10457</v>
      </c>
      <c r="J353" s="8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8" t="s">
        <v>4</v>
      </c>
      <c r="E354" s="8" t="s">
        <v>11072</v>
      </c>
      <c r="F354" s="8"/>
      <c r="H354" s="8"/>
      <c r="I354" s="8" t="s">
        <v>10692</v>
      </c>
      <c r="J354" s="8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8" t="s">
        <v>587</v>
      </c>
      <c r="E355" s="8" t="s">
        <v>11072</v>
      </c>
      <c r="F355" s="8"/>
      <c r="H355" s="8"/>
      <c r="I355" s="8" t="s">
        <v>10695</v>
      </c>
      <c r="J355" s="8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8" t="s">
        <v>4</v>
      </c>
      <c r="E356" s="8" t="s">
        <v>11073</v>
      </c>
      <c r="F356" s="8"/>
      <c r="H356" s="8"/>
      <c r="I356" s="8" t="s">
        <v>10698</v>
      </c>
      <c r="J356" s="8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8" t="s">
        <v>4</v>
      </c>
      <c r="E357" s="8" t="s">
        <v>11073</v>
      </c>
      <c r="F357" s="8"/>
      <c r="H357" s="8"/>
      <c r="I357" s="8" t="s">
        <v>10701</v>
      </c>
      <c r="J357" s="8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8" t="s">
        <v>4</v>
      </c>
      <c r="E358" s="8" t="s">
        <v>8</v>
      </c>
      <c r="F358" s="8"/>
      <c r="H358" s="8"/>
      <c r="I358" s="8" t="s">
        <v>10704</v>
      </c>
      <c r="J358" s="8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8" t="s">
        <v>4</v>
      </c>
      <c r="E359" s="8" t="s">
        <v>8</v>
      </c>
      <c r="F359" s="8"/>
      <c r="H359" s="8"/>
      <c r="I359" s="8" t="s">
        <v>13500</v>
      </c>
      <c r="J359" s="8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8" t="s">
        <v>4</v>
      </c>
      <c r="E360" s="8" t="s">
        <v>8</v>
      </c>
      <c r="F360" s="8"/>
      <c r="H360" s="8" t="s">
        <v>2352</v>
      </c>
      <c r="I360" s="8" t="s">
        <v>13503</v>
      </c>
      <c r="J360" s="8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8" t="s">
        <v>4</v>
      </c>
      <c r="E361" s="8" t="s">
        <v>8</v>
      </c>
      <c r="F361" s="8"/>
      <c r="H361" s="8"/>
      <c r="I361" s="8" t="s">
        <v>13506</v>
      </c>
      <c r="J361" s="8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8" t="s">
        <v>1607</v>
      </c>
      <c r="E362" s="8" t="s">
        <v>8</v>
      </c>
      <c r="F362" s="8"/>
      <c r="H362" s="8"/>
      <c r="I362" s="8" t="s">
        <v>14044</v>
      </c>
      <c r="J362" s="8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8" t="s">
        <v>1607</v>
      </c>
      <c r="E363" s="8" t="s">
        <v>8</v>
      </c>
      <c r="F363" s="8"/>
      <c r="H363" s="8"/>
      <c r="I363" s="8" t="s">
        <v>14047</v>
      </c>
      <c r="J363" s="8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8" t="s">
        <v>4</v>
      </c>
      <c r="E364" s="8" t="s">
        <v>8</v>
      </c>
      <c r="F364" s="8"/>
      <c r="H364" s="8"/>
      <c r="I364" s="8" t="s">
        <v>14132</v>
      </c>
      <c r="J364" s="8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8" t="s">
        <v>4</v>
      </c>
      <c r="E365" s="8" t="s">
        <v>8</v>
      </c>
      <c r="F365" s="8"/>
      <c r="H365" s="8"/>
      <c r="I365" s="8" t="s">
        <v>14135</v>
      </c>
      <c r="J365" s="8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8" t="s">
        <v>4</v>
      </c>
      <c r="E366" s="8" t="s">
        <v>8</v>
      </c>
      <c r="F366" s="8"/>
      <c r="H366" s="8"/>
      <c r="I366" s="8" t="s">
        <v>14138</v>
      </c>
      <c r="J366" s="8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8" t="s">
        <v>4</v>
      </c>
      <c r="E367" s="8" t="s">
        <v>8</v>
      </c>
      <c r="F367" s="8"/>
      <c r="H367" s="8"/>
      <c r="I367" s="8" t="s">
        <v>14141</v>
      </c>
      <c r="J367" s="8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8" t="s">
        <v>4</v>
      </c>
      <c r="E368" s="8" t="s">
        <v>8</v>
      </c>
      <c r="F368" s="8"/>
      <c r="H368" s="8"/>
      <c r="I368" s="8" t="s">
        <v>14144</v>
      </c>
      <c r="J368" s="8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8" t="s">
        <v>4</v>
      </c>
      <c r="E369" s="8" t="s">
        <v>8</v>
      </c>
      <c r="F369" s="8"/>
      <c r="H369" s="8"/>
      <c r="I369" s="8" t="s">
        <v>14147</v>
      </c>
      <c r="J369" s="8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8" t="s">
        <v>9603</v>
      </c>
      <c r="E370" s="8" t="s">
        <v>86</v>
      </c>
      <c r="F370" s="8"/>
      <c r="H370" s="8"/>
      <c r="I370" s="8" t="s">
        <v>14150</v>
      </c>
      <c r="J370" s="8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8" t="s">
        <v>588</v>
      </c>
      <c r="E371" s="8" t="s">
        <v>86</v>
      </c>
      <c r="F371" s="8"/>
      <c r="H371" s="8"/>
      <c r="I371" s="8" t="s">
        <v>14153</v>
      </c>
      <c r="J371" s="8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8" t="s">
        <v>1607</v>
      </c>
      <c r="E372" s="8" t="s">
        <v>8</v>
      </c>
      <c r="F372" s="8"/>
      <c r="H372" s="8"/>
      <c r="I372" s="8" t="s">
        <v>14156</v>
      </c>
      <c r="J372" s="8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8" t="s">
        <v>137</v>
      </c>
      <c r="E373" s="8" t="s">
        <v>11066</v>
      </c>
      <c r="F373" s="8"/>
      <c r="H373" s="8"/>
      <c r="I373" s="8" t="s">
        <v>14159</v>
      </c>
      <c r="J373" s="8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8" t="s">
        <v>4</v>
      </c>
      <c r="E374" s="8" t="s">
        <v>16661</v>
      </c>
      <c r="F374" s="8" t="s">
        <v>16657</v>
      </c>
      <c r="H374" s="8"/>
      <c r="I374" s="8" t="s">
        <v>14162</v>
      </c>
      <c r="J374" s="8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8" t="s">
        <v>4</v>
      </c>
      <c r="E375" s="8" t="s">
        <v>8</v>
      </c>
      <c r="F375" s="8"/>
      <c r="H375" s="8"/>
      <c r="I375" s="8" t="s">
        <v>14165</v>
      </c>
      <c r="J375" s="8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8" t="s">
        <v>4</v>
      </c>
      <c r="E376" s="8" t="s">
        <v>8</v>
      </c>
      <c r="F376" s="8"/>
      <c r="H376" s="8"/>
      <c r="I376" s="8" t="s">
        <v>17055</v>
      </c>
      <c r="J376" s="8" t="s">
        <v>2394</v>
      </c>
      <c r="K376" t="s">
        <v>17056</v>
      </c>
      <c r="L376" t="s">
        <v>17057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8" t="s">
        <v>4</v>
      </c>
      <c r="E377" s="8" t="s">
        <v>7045</v>
      </c>
      <c r="F377" s="8"/>
      <c r="H377" s="8"/>
      <c r="I377" s="8" t="s">
        <v>17058</v>
      </c>
      <c r="J377" s="8" t="s">
        <v>2394</v>
      </c>
      <c r="K377" t="s">
        <v>17059</v>
      </c>
      <c r="L377" t="s">
        <v>17060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8" t="s">
        <v>1273</v>
      </c>
      <c r="E378" s="8" t="s">
        <v>10130</v>
      </c>
      <c r="F378" s="8"/>
      <c r="H378" s="8"/>
      <c r="I378" s="8" t="s">
        <v>17061</v>
      </c>
      <c r="J378" s="8" t="s">
        <v>2394</v>
      </c>
      <c r="K378" t="s">
        <v>17062</v>
      </c>
      <c r="L378" t="s">
        <v>17063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8" t="s">
        <v>587</v>
      </c>
      <c r="E379" s="8" t="s">
        <v>10130</v>
      </c>
      <c r="F379" s="8"/>
      <c r="H379" s="8"/>
      <c r="I379" s="8" t="s">
        <v>17064</v>
      </c>
      <c r="J379" s="8" t="s">
        <v>2394</v>
      </c>
      <c r="K379" t="s">
        <v>17065</v>
      </c>
      <c r="L379" t="s">
        <v>17066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8" t="s">
        <v>4921</v>
      </c>
      <c r="E380" s="8" t="s">
        <v>3356</v>
      </c>
      <c r="F380" s="8"/>
      <c r="H380" s="8"/>
      <c r="I380" s="8" t="s">
        <v>17067</v>
      </c>
      <c r="J380" s="8" t="s">
        <v>2394</v>
      </c>
      <c r="K380" t="s">
        <v>17068</v>
      </c>
      <c r="L380" t="s">
        <v>17069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8" t="s">
        <v>1607</v>
      </c>
      <c r="E381" s="8" t="s">
        <v>8</v>
      </c>
      <c r="F381" s="8"/>
      <c r="H381" s="8"/>
      <c r="I381" s="8" t="s">
        <v>17070</v>
      </c>
      <c r="J381" s="8" t="s">
        <v>2394</v>
      </c>
      <c r="K381" t="s">
        <v>17071</v>
      </c>
      <c r="L381" t="s">
        <v>17072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8" t="s">
        <v>1607</v>
      </c>
      <c r="E382" s="8" t="s">
        <v>8</v>
      </c>
      <c r="F382" s="8"/>
      <c r="H382" s="8"/>
      <c r="I382" s="8" t="s">
        <v>17073</v>
      </c>
      <c r="J382" s="8" t="s">
        <v>2394</v>
      </c>
      <c r="K382" t="s">
        <v>17074</v>
      </c>
      <c r="L382" t="s">
        <v>17075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8" t="s">
        <v>1607</v>
      </c>
      <c r="E383" s="8" t="s">
        <v>8</v>
      </c>
      <c r="F383" s="8"/>
      <c r="H383" s="8"/>
      <c r="I383" s="8" t="s">
        <v>17076</v>
      </c>
      <c r="J383" s="8" t="s">
        <v>2394</v>
      </c>
      <c r="K383" t="s">
        <v>17077</v>
      </c>
      <c r="L383" t="s">
        <v>17078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8" t="s">
        <v>1607</v>
      </c>
      <c r="E384" s="8" t="s">
        <v>8</v>
      </c>
      <c r="F384" s="8"/>
      <c r="H384" s="8"/>
      <c r="I384" s="8" t="s">
        <v>17079</v>
      </c>
      <c r="J384" s="8" t="s">
        <v>2394</v>
      </c>
      <c r="K384" t="s">
        <v>17080</v>
      </c>
      <c r="L384" t="s">
        <v>17081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8" t="s">
        <v>1607</v>
      </c>
      <c r="E385" s="8" t="s">
        <v>8</v>
      </c>
      <c r="F385" s="8"/>
      <c r="H385" s="8"/>
      <c r="I385" s="8" t="s">
        <v>17082</v>
      </c>
      <c r="J385" s="8" t="s">
        <v>2394</v>
      </c>
      <c r="K385" t="s">
        <v>17083</v>
      </c>
      <c r="L385" t="s">
        <v>17084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8" t="s">
        <v>1607</v>
      </c>
      <c r="E386" s="8" t="s">
        <v>8</v>
      </c>
      <c r="F386" s="8"/>
      <c r="H386" s="8"/>
      <c r="I386" s="8" t="s">
        <v>17085</v>
      </c>
      <c r="J386" s="8" t="s">
        <v>2394</v>
      </c>
      <c r="K386" t="s">
        <v>17086</v>
      </c>
      <c r="L386" t="s">
        <v>17087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8" t="s">
        <v>166</v>
      </c>
      <c r="E387" s="8" t="s">
        <v>70</v>
      </c>
      <c r="F387" s="8" t="s">
        <v>17900</v>
      </c>
      <c r="H387" s="8"/>
      <c r="I387" s="8" t="s">
        <v>17530</v>
      </c>
      <c r="J387" s="8" t="s">
        <v>2394</v>
      </c>
      <c r="K387" t="s">
        <v>17531</v>
      </c>
      <c r="L387" t="s">
        <v>17532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8" t="s">
        <v>4</v>
      </c>
      <c r="E388" s="8" t="s">
        <v>8</v>
      </c>
      <c r="F388" s="8"/>
      <c r="H388" s="8"/>
      <c r="I388" s="8" t="s">
        <v>17533</v>
      </c>
      <c r="J388" s="8" t="s">
        <v>2394</v>
      </c>
      <c r="K388" t="s">
        <v>17534</v>
      </c>
      <c r="L388" t="s">
        <v>17535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8" t="s">
        <v>4</v>
      </c>
      <c r="E389" s="8" t="s">
        <v>8</v>
      </c>
      <c r="F389" s="8"/>
      <c r="H389" s="8"/>
      <c r="I389" s="8" t="s">
        <v>17923</v>
      </c>
      <c r="J389" s="8" t="s">
        <v>2394</v>
      </c>
      <c r="K389" t="s">
        <v>17924</v>
      </c>
      <c r="L389" t="s">
        <v>17925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8" t="s">
        <v>226</v>
      </c>
      <c r="E390" s="8" t="s">
        <v>3356</v>
      </c>
      <c r="F390" s="8" t="s">
        <v>53</v>
      </c>
      <c r="H390" s="8"/>
      <c r="I390" s="8" t="s">
        <v>17926</v>
      </c>
      <c r="J390" s="8" t="s">
        <v>2394</v>
      </c>
      <c r="K390" t="s">
        <v>17927</v>
      </c>
      <c r="L390" t="s">
        <v>17928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8" t="s">
        <v>226</v>
      </c>
      <c r="E391" s="8" t="s">
        <v>3356</v>
      </c>
      <c r="F391" s="8" t="s">
        <v>53</v>
      </c>
      <c r="H391" s="8"/>
      <c r="I391" s="8" t="s">
        <v>17929</v>
      </c>
      <c r="J391" s="8" t="s">
        <v>2394</v>
      </c>
      <c r="K391" t="s">
        <v>17930</v>
      </c>
      <c r="L391" t="s">
        <v>17931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8" t="s">
        <v>226</v>
      </c>
      <c r="E392" s="8" t="s">
        <v>3356</v>
      </c>
      <c r="F392" s="8" t="s">
        <v>53</v>
      </c>
      <c r="H392" s="8"/>
      <c r="I392" s="8" t="s">
        <v>17932</v>
      </c>
      <c r="J392" s="8" t="s">
        <v>2394</v>
      </c>
      <c r="K392" t="s">
        <v>17933</v>
      </c>
      <c r="L392" t="s">
        <v>17934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8" t="s">
        <v>587</v>
      </c>
      <c r="E393" s="8" t="s">
        <v>3356</v>
      </c>
      <c r="F393" s="8" t="s">
        <v>53</v>
      </c>
      <c r="G393">
        <v>5</v>
      </c>
      <c r="H393" s="8"/>
      <c r="I393" s="8" t="s">
        <v>17935</v>
      </c>
      <c r="J393" s="8" t="s">
        <v>2394</v>
      </c>
      <c r="K393" t="s">
        <v>17936</v>
      </c>
      <c r="L393" t="s">
        <v>17937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s="8" t="s">
        <v>588</v>
      </c>
      <c r="E394" s="8" t="s">
        <v>86</v>
      </c>
      <c r="F394" s="8"/>
      <c r="H394" s="8"/>
      <c r="I394" s="8" t="s">
        <v>18360</v>
      </c>
      <c r="J394" s="8" t="s">
        <v>2394</v>
      </c>
      <c r="K394" t="s">
        <v>18361</v>
      </c>
      <c r="L394" t="s">
        <v>18362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s="8" t="s">
        <v>4</v>
      </c>
      <c r="E395" s="8" t="s">
        <v>8</v>
      </c>
      <c r="F395" s="8"/>
      <c r="H395" s="8"/>
      <c r="I395" s="8" t="s">
        <v>18363</v>
      </c>
      <c r="J395" s="8" t="s">
        <v>2394</v>
      </c>
      <c r="K395" t="s">
        <v>18364</v>
      </c>
      <c r="L395" t="s">
        <v>18365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s="8" t="s">
        <v>4</v>
      </c>
      <c r="E396" s="8" t="s">
        <v>468</v>
      </c>
      <c r="F396" s="8"/>
      <c r="H396" s="8"/>
      <c r="I396" s="8" t="s">
        <v>18366</v>
      </c>
      <c r="J396" s="8" t="s">
        <v>2394</v>
      </c>
      <c r="K396" t="s">
        <v>18367</v>
      </c>
      <c r="L396" t="s">
        <v>18368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s="8" t="s">
        <v>4</v>
      </c>
      <c r="E397" s="8" t="s">
        <v>8</v>
      </c>
      <c r="F397" s="8"/>
      <c r="H397" s="8"/>
      <c r="I397" s="8" t="s">
        <v>18369</v>
      </c>
      <c r="J397" s="8" t="s">
        <v>2394</v>
      </c>
      <c r="K397" t="s">
        <v>18370</v>
      </c>
      <c r="L397" t="s">
        <v>18371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s="8" t="s">
        <v>4</v>
      </c>
      <c r="E398" s="8" t="s">
        <v>8</v>
      </c>
      <c r="F398" s="8"/>
      <c r="H398" s="8"/>
      <c r="I398" s="8" t="s">
        <v>19132</v>
      </c>
      <c r="J398" s="8" t="s">
        <v>2394</v>
      </c>
      <c r="K398" t="s">
        <v>19133</v>
      </c>
      <c r="L398" t="s">
        <v>19134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s="8" t="s">
        <v>4</v>
      </c>
      <c r="E399" s="8" t="s">
        <v>8</v>
      </c>
      <c r="F399" s="8"/>
      <c r="H399" s="8"/>
      <c r="I399" s="8" t="s">
        <v>19135</v>
      </c>
      <c r="J399" s="8" t="s">
        <v>2394</v>
      </c>
      <c r="K399" t="s">
        <v>19136</v>
      </c>
      <c r="L399" t="s">
        <v>19137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s="8" t="s">
        <v>4</v>
      </c>
      <c r="E400" s="8" t="s">
        <v>8</v>
      </c>
      <c r="F400" s="8"/>
      <c r="H400" s="8"/>
      <c r="I400" s="8" t="s">
        <v>19138</v>
      </c>
      <c r="J400" s="8" t="s">
        <v>2394</v>
      </c>
      <c r="K400" t="s">
        <v>19139</v>
      </c>
      <c r="L400" t="s">
        <v>19140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s="8" t="s">
        <v>4</v>
      </c>
      <c r="E401" s="8" t="s">
        <v>8</v>
      </c>
      <c r="F401" s="8"/>
      <c r="H401" s="8"/>
      <c r="I401" s="8" t="s">
        <v>19141</v>
      </c>
      <c r="J401" s="8" t="s">
        <v>2394</v>
      </c>
      <c r="K401" t="s">
        <v>19142</v>
      </c>
      <c r="L401" t="s">
        <v>19143</v>
      </c>
      <c r="M401" s="2" t="str">
        <f>HYPERLINK(склад2въезд1319[[#This Row],[RelativePath]])</f>
        <v>5 Крыльцо общага\K07156189_22_20260313T190409Z.jpg</v>
      </c>
    </row>
  </sheetData>
  <conditionalFormatting sqref="E402:E415 D402:D412 G2:H401 D2:E401">
    <cfRule type="containsText" dxfId="819" priority="17" operator="containsText" text="Выезд с территории">
      <formula>NOT(ISERROR(SEARCH("Выезд с территории",D2)))</formula>
    </cfRule>
  </conditionalFormatting>
  <conditionalFormatting sqref="F2:F401">
    <cfRule type="notContainsText" dxfId="818" priority="16" operator="notContains" text="порожний">
      <formula>ISERROR(SEARCH("порожний",F2))</formula>
    </cfRule>
  </conditionalFormatting>
  <conditionalFormatting sqref="E2:E415">
    <cfRule type="containsText" dxfId="817" priority="14" operator="containsText" text="Газель базы">
      <formula>NOT(ISERROR(SEARCH("Газель базы",E2)))</formula>
    </cfRule>
    <cfRule type="containsText" dxfId="816" priority="15" operator="containsText" text="Погрузчик базы">
      <formula>NOT(ISERROR(SEARCH("Погрузчик базы",E2)))</formula>
    </cfRule>
  </conditionalFormatting>
  <conditionalFormatting sqref="E2:E415">
    <cfRule type="containsText" dxfId="815" priority="13" operator="containsText" text="Трактор базы">
      <formula>NOT(ISERROR(SEARCH("Трактор базы",E2)))</formula>
    </cfRule>
  </conditionalFormatting>
  <conditionalFormatting sqref="A2:C401">
    <cfRule type="expression" dxfId="814" priority="12">
      <formula>$A2="пн"</formula>
    </cfRule>
  </conditionalFormatting>
  <conditionalFormatting sqref="A2:C403">
    <cfRule type="expression" dxfId="813" priority="6">
      <formula>$A2="вс"</formula>
    </cfRule>
    <cfRule type="expression" dxfId="812" priority="7">
      <formula>$A2="сб"</formula>
    </cfRule>
    <cfRule type="expression" dxfId="811" priority="8">
      <formula>$A2="пт"</formula>
    </cfRule>
    <cfRule type="expression" dxfId="810" priority="9">
      <formula>$A2="чт"</formula>
    </cfRule>
    <cfRule type="expression" dxfId="809" priority="10">
      <formula>$A2="ср"</formula>
    </cfRule>
    <cfRule type="expression" dxfId="808" priority="11">
      <formula>$A2="вт"</formula>
    </cfRule>
  </conditionalFormatting>
  <conditionalFormatting sqref="D2:D412">
    <cfRule type="containsText" dxfId="80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2">
    <cfRule type="containsText" dxfId="806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308"/>
  <sheetViews>
    <sheetView zoomScale="90" zoomScaleNormal="90" workbookViewId="0">
      <pane ySplit="1" topLeftCell="A269" activePane="bottomLeft" state="frozen"/>
      <selection pane="bottomLeft" activeCell="I263" sqref="I263:I31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417</v>
      </c>
      <c r="J2" s="8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420</v>
      </c>
      <c r="J3" s="8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423</v>
      </c>
      <c r="J4" s="8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8" t="s">
        <v>226</v>
      </c>
      <c r="E5" s="8" t="s">
        <v>86</v>
      </c>
      <c r="F5" s="8" t="s">
        <v>465</v>
      </c>
      <c r="H5" s="8"/>
      <c r="I5" s="8" t="s">
        <v>426</v>
      </c>
      <c r="J5" s="8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8" t="s">
        <v>137</v>
      </c>
      <c r="E6" s="8" t="s">
        <v>86</v>
      </c>
      <c r="F6" s="8" t="s">
        <v>465</v>
      </c>
      <c r="H6" s="8"/>
      <c r="I6" s="8" t="s">
        <v>429</v>
      </c>
      <c r="J6" s="8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8" t="s">
        <v>4</v>
      </c>
      <c r="E7" s="8" t="s">
        <v>8</v>
      </c>
      <c r="F7" s="8"/>
      <c r="H7" s="8"/>
      <c r="I7" s="8" t="s">
        <v>432</v>
      </c>
      <c r="J7" s="8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8" t="s">
        <v>4</v>
      </c>
      <c r="E8" s="8" t="s">
        <v>8</v>
      </c>
      <c r="F8" s="8"/>
      <c r="H8" s="8"/>
      <c r="I8" s="8" t="s">
        <v>435</v>
      </c>
      <c r="J8" s="8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8" t="s">
        <v>4</v>
      </c>
      <c r="E9" s="8" t="s">
        <v>466</v>
      </c>
      <c r="F9" s="8"/>
      <c r="H9" s="8"/>
      <c r="I9" s="8" t="s">
        <v>438</v>
      </c>
      <c r="J9" s="8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441</v>
      </c>
      <c r="J10" s="8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444</v>
      </c>
      <c r="J11" s="8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8" t="s">
        <v>226</v>
      </c>
      <c r="E12" s="8" t="s">
        <v>86</v>
      </c>
      <c r="F12" s="8" t="s">
        <v>467</v>
      </c>
      <c r="H12" s="8"/>
      <c r="I12" s="8" t="s">
        <v>447</v>
      </c>
      <c r="J12" s="8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8" t="s">
        <v>226</v>
      </c>
      <c r="E13" s="8" t="s">
        <v>86</v>
      </c>
      <c r="F13" s="8" t="s">
        <v>467</v>
      </c>
      <c r="H13" s="8"/>
      <c r="I13" s="8" t="s">
        <v>450</v>
      </c>
      <c r="J13" s="8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8" t="s">
        <v>470</v>
      </c>
      <c r="E14" s="8" t="s">
        <v>468</v>
      </c>
      <c r="F14" s="8" t="s">
        <v>471</v>
      </c>
      <c r="H14" s="8"/>
      <c r="I14" s="8" t="s">
        <v>453</v>
      </c>
      <c r="J14" s="8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8" t="s">
        <v>226</v>
      </c>
      <c r="E15" s="8" t="s">
        <v>86</v>
      </c>
      <c r="F15" s="8" t="s">
        <v>469</v>
      </c>
      <c r="H15" s="8"/>
      <c r="I15" s="8" t="s">
        <v>456</v>
      </c>
      <c r="J15" s="8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8" t="s">
        <v>226</v>
      </c>
      <c r="E16" s="8" t="s">
        <v>86</v>
      </c>
      <c r="F16" s="8" t="s">
        <v>469</v>
      </c>
      <c r="H16" s="8"/>
      <c r="I16" s="8" t="s">
        <v>459</v>
      </c>
      <c r="J16" s="8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462</v>
      </c>
      <c r="J17" s="8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8" t="s">
        <v>4</v>
      </c>
      <c r="E18" s="8" t="s">
        <v>8</v>
      </c>
      <c r="F18" s="8"/>
      <c r="H18" s="8" t="s">
        <v>1612</v>
      </c>
      <c r="I18" s="8" t="s">
        <v>1618</v>
      </c>
      <c r="J18" s="8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8" t="s">
        <v>4</v>
      </c>
      <c r="E19" s="8" t="s">
        <v>8</v>
      </c>
      <c r="F19" s="8"/>
      <c r="H19" s="8" t="s">
        <v>1607</v>
      </c>
      <c r="I19" s="8" t="s">
        <v>1621</v>
      </c>
      <c r="J19" s="8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8" t="s">
        <v>4</v>
      </c>
      <c r="E20" s="8" t="s">
        <v>8</v>
      </c>
      <c r="F20" s="8"/>
      <c r="H20" s="8" t="s">
        <v>1607</v>
      </c>
      <c r="I20" s="8" t="s">
        <v>1624</v>
      </c>
      <c r="J20" s="8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8" t="s">
        <v>1607</v>
      </c>
      <c r="E21" s="8"/>
      <c r="F21" s="8"/>
      <c r="H21" s="8"/>
      <c r="I21" s="8" t="s">
        <v>1702</v>
      </c>
      <c r="J21" s="8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8" t="s">
        <v>4</v>
      </c>
      <c r="E22" s="8" t="s">
        <v>8</v>
      </c>
      <c r="F22" s="8"/>
      <c r="H22" s="8" t="s">
        <v>2348</v>
      </c>
      <c r="I22" s="8" t="s">
        <v>2350</v>
      </c>
      <c r="J22" s="8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8" t="s">
        <v>1607</v>
      </c>
      <c r="E23" s="8"/>
      <c r="F23" s="8"/>
      <c r="H23" s="8"/>
      <c r="I23" s="8" t="s">
        <v>1705</v>
      </c>
      <c r="J23" s="8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8" t="s">
        <v>1607</v>
      </c>
      <c r="E24" s="8"/>
      <c r="F24" s="8"/>
      <c r="H24" s="8"/>
      <c r="I24" s="8" t="s">
        <v>1708</v>
      </c>
      <c r="J24" s="8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8" t="s">
        <v>1607</v>
      </c>
      <c r="E25" s="8"/>
      <c r="F25" s="8"/>
      <c r="H25" s="8"/>
      <c r="I25" s="8" t="s">
        <v>1711</v>
      </c>
      <c r="J25" s="8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8" t="s">
        <v>1607</v>
      </c>
      <c r="E26" s="8"/>
      <c r="F26" s="8"/>
      <c r="H26" s="8"/>
      <c r="I26" s="8" t="s">
        <v>1714</v>
      </c>
      <c r="J26" s="8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8" t="s">
        <v>1607</v>
      </c>
      <c r="E27" s="8"/>
      <c r="F27" s="8"/>
      <c r="H27" s="8"/>
      <c r="I27" s="8" t="s">
        <v>1717</v>
      </c>
      <c r="J27" s="8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8" t="s">
        <v>4</v>
      </c>
      <c r="E28" s="8" t="s">
        <v>8</v>
      </c>
      <c r="F28" s="8"/>
      <c r="H28" s="8"/>
      <c r="I28" s="8" t="s">
        <v>2679</v>
      </c>
      <c r="J28" s="8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8" t="s">
        <v>4</v>
      </c>
      <c r="E29" s="8" t="s">
        <v>8</v>
      </c>
      <c r="F29" s="8"/>
      <c r="H29" s="8"/>
      <c r="I29" s="8" t="s">
        <v>3371</v>
      </c>
      <c r="J29" s="8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8" t="s">
        <v>4</v>
      </c>
      <c r="E30" s="8" t="s">
        <v>8</v>
      </c>
      <c r="F30" s="8"/>
      <c r="H30" s="8"/>
      <c r="I30" s="8" t="s">
        <v>2682</v>
      </c>
      <c r="J30" s="8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8" t="s">
        <v>3374</v>
      </c>
      <c r="E31" s="8" t="s">
        <v>3375</v>
      </c>
      <c r="F31" s="8"/>
      <c r="H31" s="8"/>
      <c r="I31" s="8" t="s">
        <v>2685</v>
      </c>
      <c r="J31" s="8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8" t="s">
        <v>3374</v>
      </c>
      <c r="E32" s="8" t="s">
        <v>3375</v>
      </c>
      <c r="F32" s="8"/>
      <c r="H32" s="8" t="s">
        <v>2352</v>
      </c>
      <c r="I32" s="8" t="s">
        <v>2688</v>
      </c>
      <c r="J32" s="8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8" t="s">
        <v>3374</v>
      </c>
      <c r="E33" s="8" t="s">
        <v>3375</v>
      </c>
      <c r="F33" s="8"/>
      <c r="H33" s="8" t="s">
        <v>2352</v>
      </c>
      <c r="I33" s="8" t="s">
        <v>2691</v>
      </c>
      <c r="J33" s="8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8" t="s">
        <v>3374</v>
      </c>
      <c r="E34" s="8" t="s">
        <v>3375</v>
      </c>
      <c r="F34" s="8"/>
      <c r="H34" s="8" t="s">
        <v>2352</v>
      </c>
      <c r="I34" s="8" t="s">
        <v>2694</v>
      </c>
      <c r="J34" s="8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8" t="s">
        <v>3374</v>
      </c>
      <c r="E35" s="8" t="s">
        <v>3375</v>
      </c>
      <c r="F35" s="8"/>
      <c r="H35" s="8" t="s">
        <v>2352</v>
      </c>
      <c r="I35" s="8" t="s">
        <v>2697</v>
      </c>
      <c r="J35" s="8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8" t="s">
        <v>3374</v>
      </c>
      <c r="E36" s="8" t="s">
        <v>3375</v>
      </c>
      <c r="F36" s="8"/>
      <c r="H36" s="8" t="s">
        <v>2352</v>
      </c>
      <c r="I36" s="8" t="s">
        <v>2700</v>
      </c>
      <c r="J36" s="8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8" t="s">
        <v>3374</v>
      </c>
      <c r="E37" s="8" t="s">
        <v>3375</v>
      </c>
      <c r="F37" s="8"/>
      <c r="H37" s="8" t="s">
        <v>2352</v>
      </c>
      <c r="I37" s="8" t="s">
        <v>2703</v>
      </c>
      <c r="J37" s="8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8" t="s">
        <v>3374</v>
      </c>
      <c r="E38" s="8" t="s">
        <v>3375</v>
      </c>
      <c r="F38" s="8"/>
      <c r="H38" s="8" t="s">
        <v>2352</v>
      </c>
      <c r="I38" s="8" t="s">
        <v>2706</v>
      </c>
      <c r="J38" s="8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8" t="s">
        <v>3374</v>
      </c>
      <c r="E39" s="8" t="s">
        <v>3375</v>
      </c>
      <c r="F39" s="8"/>
      <c r="H39" s="8" t="s">
        <v>2352</v>
      </c>
      <c r="I39" s="8" t="s">
        <v>2709</v>
      </c>
      <c r="J39" s="8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8" t="s">
        <v>3374</v>
      </c>
      <c r="E40" s="8" t="s">
        <v>3375</v>
      </c>
      <c r="F40" s="8"/>
      <c r="H40" s="8" t="s">
        <v>2352</v>
      </c>
      <c r="I40" s="8" t="s">
        <v>2712</v>
      </c>
      <c r="J40" s="8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8" t="s">
        <v>3374</v>
      </c>
      <c r="E41" s="8" t="s">
        <v>3375</v>
      </c>
      <c r="F41" s="8"/>
      <c r="H41" s="8" t="s">
        <v>2352</v>
      </c>
      <c r="I41" s="8" t="s">
        <v>2715</v>
      </c>
      <c r="J41" s="8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8" t="s">
        <v>3374</v>
      </c>
      <c r="E42" s="8" t="s">
        <v>3375</v>
      </c>
      <c r="F42" s="8"/>
      <c r="H42" s="8" t="s">
        <v>2352</v>
      </c>
      <c r="I42" s="8" t="s">
        <v>2718</v>
      </c>
      <c r="J42" s="8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8" t="s">
        <v>4</v>
      </c>
      <c r="E43" s="8" t="s">
        <v>8</v>
      </c>
      <c r="F43" s="8"/>
      <c r="H43" s="8"/>
      <c r="I43" s="8" t="s">
        <v>2721</v>
      </c>
      <c r="J43" s="8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8" t="s">
        <v>226</v>
      </c>
      <c r="E44" s="8" t="s">
        <v>3376</v>
      </c>
      <c r="F44" s="8"/>
      <c r="H44" s="8"/>
      <c r="I44" s="8" t="s">
        <v>2724</v>
      </c>
      <c r="J44" s="8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8" t="s">
        <v>226</v>
      </c>
      <c r="E45" s="8" t="s">
        <v>3376</v>
      </c>
      <c r="F45" s="8"/>
      <c r="H45" s="8" t="s">
        <v>2352</v>
      </c>
      <c r="I45" s="8" t="s">
        <v>2727</v>
      </c>
      <c r="J45" s="8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8" t="s">
        <v>226</v>
      </c>
      <c r="E46" s="8" t="s">
        <v>3376</v>
      </c>
      <c r="F46" s="8"/>
      <c r="H46" s="8" t="s">
        <v>2352</v>
      </c>
      <c r="I46" s="8" t="s">
        <v>2730</v>
      </c>
      <c r="J46" s="8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8" t="s">
        <v>226</v>
      </c>
      <c r="E47" s="8" t="s">
        <v>3376</v>
      </c>
      <c r="F47" s="8"/>
      <c r="H47" s="8" t="s">
        <v>2352</v>
      </c>
      <c r="I47" s="8" t="s">
        <v>2733</v>
      </c>
      <c r="J47" s="8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8" t="s">
        <v>226</v>
      </c>
      <c r="E48" s="8" t="s">
        <v>3376</v>
      </c>
      <c r="F48" s="8"/>
      <c r="H48" s="8" t="s">
        <v>2352</v>
      </c>
      <c r="I48" s="8" t="s">
        <v>2736</v>
      </c>
      <c r="J48" s="8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8" t="s">
        <v>4</v>
      </c>
      <c r="E49" s="8" t="s">
        <v>8</v>
      </c>
      <c r="F49" s="8"/>
      <c r="H49" s="8"/>
      <c r="I49" s="8" t="s">
        <v>2739</v>
      </c>
      <c r="J49" s="8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8" t="s">
        <v>1607</v>
      </c>
      <c r="E50" s="8"/>
      <c r="F50" s="8"/>
      <c r="H50" s="8"/>
      <c r="I50" s="8" t="s">
        <v>3434</v>
      </c>
      <c r="J50" s="8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8" t="s">
        <v>1282</v>
      </c>
      <c r="E51" s="8" t="s">
        <v>86</v>
      </c>
      <c r="F51" s="8" t="s">
        <v>165</v>
      </c>
      <c r="H51" s="8"/>
      <c r="I51" s="8" t="s">
        <v>4104</v>
      </c>
      <c r="J51" s="8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8" t="s">
        <v>887</v>
      </c>
      <c r="E52" s="8" t="s">
        <v>3412</v>
      </c>
      <c r="F52" s="8" t="s">
        <v>60</v>
      </c>
      <c r="H52" s="8"/>
      <c r="I52" s="8" t="s">
        <v>4106</v>
      </c>
      <c r="J52" s="8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8" t="s">
        <v>470</v>
      </c>
      <c r="E53" s="8" t="s">
        <v>1274</v>
      </c>
      <c r="F53" s="8" t="s">
        <v>58</v>
      </c>
      <c r="H53" s="8"/>
      <c r="I53" s="8" t="s">
        <v>4108</v>
      </c>
      <c r="J53" s="8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8" t="s">
        <v>1282</v>
      </c>
      <c r="E54" s="8" t="s">
        <v>86</v>
      </c>
      <c r="F54" s="8" t="s">
        <v>165</v>
      </c>
      <c r="H54" s="8"/>
      <c r="I54" s="8" t="s">
        <v>3677</v>
      </c>
      <c r="J54" s="8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8" t="s">
        <v>887</v>
      </c>
      <c r="E55" s="8" t="s">
        <v>3412</v>
      </c>
      <c r="F55" s="8" t="s">
        <v>165</v>
      </c>
      <c r="H55" s="8"/>
      <c r="I55" s="8" t="s">
        <v>3680</v>
      </c>
      <c r="J55" s="8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8" t="s">
        <v>887</v>
      </c>
      <c r="E56" s="8" t="s">
        <v>3412</v>
      </c>
      <c r="F56" s="8" t="s">
        <v>165</v>
      </c>
      <c r="H56" s="8"/>
      <c r="I56" s="8" t="s">
        <v>3683</v>
      </c>
      <c r="J56" s="8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8" t="s">
        <v>4103</v>
      </c>
      <c r="E57" s="8" t="s">
        <v>86</v>
      </c>
      <c r="F57" s="8"/>
      <c r="H57" s="8"/>
      <c r="I57" s="8" t="s">
        <v>3686</v>
      </c>
      <c r="J57" s="8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8" t="s">
        <v>4</v>
      </c>
      <c r="E58" s="8" t="s">
        <v>8</v>
      </c>
      <c r="F58" s="8"/>
      <c r="H58" s="8"/>
      <c r="I58" s="8" t="s">
        <v>3689</v>
      </c>
      <c r="J58" s="8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8" t="s">
        <v>4103</v>
      </c>
      <c r="E59" s="8" t="s">
        <v>86</v>
      </c>
      <c r="F59" s="8"/>
      <c r="H59" s="8"/>
      <c r="I59" s="8" t="s">
        <v>3692</v>
      </c>
      <c r="J59" s="8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8" t="s">
        <v>4103</v>
      </c>
      <c r="E60" s="8" t="s">
        <v>86</v>
      </c>
      <c r="F60" s="8"/>
      <c r="H60" s="8"/>
      <c r="I60" s="8" t="s">
        <v>3695</v>
      </c>
      <c r="J60" s="8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8" t="s">
        <v>1607</v>
      </c>
      <c r="E61" s="8" t="s">
        <v>8</v>
      </c>
      <c r="F61" s="8"/>
      <c r="H61" s="8"/>
      <c r="I61" s="8" t="s">
        <v>3698</v>
      </c>
      <c r="J61" s="8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8" t="s">
        <v>1607</v>
      </c>
      <c r="E62" s="8" t="s">
        <v>8</v>
      </c>
      <c r="F62" s="8"/>
      <c r="H62" s="8"/>
      <c r="I62" s="8" t="s">
        <v>4168</v>
      </c>
      <c r="J62" s="8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8" t="s">
        <v>4</v>
      </c>
      <c r="E63" s="8" t="s">
        <v>8</v>
      </c>
      <c r="F63" s="8"/>
      <c r="H63" s="8"/>
      <c r="I63" s="8" t="s">
        <v>4271</v>
      </c>
      <c r="J63" s="8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8" t="s">
        <v>1607</v>
      </c>
      <c r="E64" s="8" t="s">
        <v>8</v>
      </c>
      <c r="F64" s="8"/>
      <c r="H64" s="8"/>
      <c r="I64" s="8" t="s">
        <v>4274</v>
      </c>
      <c r="J64" s="8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8" t="s">
        <v>1607</v>
      </c>
      <c r="E65" s="8" t="s">
        <v>8</v>
      </c>
      <c r="F65" s="8"/>
      <c r="H65" s="8"/>
      <c r="I65" s="8" t="s">
        <v>4436</v>
      </c>
      <c r="J65" s="8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8" t="s">
        <v>1607</v>
      </c>
      <c r="E66" s="8" t="s">
        <v>8</v>
      </c>
      <c r="F66" s="8"/>
      <c r="H66" s="8"/>
      <c r="I66" s="8" t="s">
        <v>4439</v>
      </c>
      <c r="J66" s="8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8" t="s">
        <v>1607</v>
      </c>
      <c r="E67" s="8" t="s">
        <v>8</v>
      </c>
      <c r="F67" s="8"/>
      <c r="H67" s="8"/>
      <c r="I67" s="8" t="s">
        <v>4442</v>
      </c>
      <c r="J67" s="8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8" t="s">
        <v>1282</v>
      </c>
      <c r="E68" s="8" t="s">
        <v>86</v>
      </c>
      <c r="F68" s="8" t="s">
        <v>165</v>
      </c>
      <c r="H68" s="8"/>
      <c r="I68" s="8" t="s">
        <v>4685</v>
      </c>
      <c r="J68" s="8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8" t="s">
        <v>1282</v>
      </c>
      <c r="E69" s="8" t="s">
        <v>86</v>
      </c>
      <c r="F69" s="8" t="s">
        <v>165</v>
      </c>
      <c r="H69" s="8"/>
      <c r="I69" s="8" t="s">
        <v>4688</v>
      </c>
      <c r="J69" s="8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8" t="s">
        <v>1282</v>
      </c>
      <c r="E70" s="8" t="s">
        <v>86</v>
      </c>
      <c r="F70" s="8" t="s">
        <v>165</v>
      </c>
      <c r="H70" s="8"/>
      <c r="I70" s="8" t="s">
        <v>4691</v>
      </c>
      <c r="J70" s="8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8" t="s">
        <v>1607</v>
      </c>
      <c r="E71" s="8" t="s">
        <v>8</v>
      </c>
      <c r="F71" s="8"/>
      <c r="H71" s="8"/>
      <c r="I71" s="8" t="s">
        <v>4846</v>
      </c>
      <c r="J71" s="8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8" t="s">
        <v>1607</v>
      </c>
      <c r="E72" s="8" t="s">
        <v>8</v>
      </c>
      <c r="F72" s="8"/>
      <c r="H72" s="8"/>
      <c r="I72" s="8" t="s">
        <v>4954</v>
      </c>
      <c r="J72" s="8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8" t="s">
        <v>1607</v>
      </c>
      <c r="E73" s="8" t="s">
        <v>8</v>
      </c>
      <c r="F73" s="8"/>
      <c r="H73" s="8"/>
      <c r="I73" s="8" t="s">
        <v>5042</v>
      </c>
      <c r="J73" s="8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8" t="s">
        <v>1607</v>
      </c>
      <c r="E74" s="8" t="s">
        <v>8</v>
      </c>
      <c r="F74" s="8"/>
      <c r="H74" s="8"/>
      <c r="I74" s="8" t="s">
        <v>5244</v>
      </c>
      <c r="J74" s="8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8" t="s">
        <v>1607</v>
      </c>
      <c r="E75" s="8" t="s">
        <v>8</v>
      </c>
      <c r="F75" s="8"/>
      <c r="H75" s="8"/>
      <c r="I75" s="8" t="s">
        <v>5354</v>
      </c>
      <c r="J75" s="8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8" t="s">
        <v>1607</v>
      </c>
      <c r="E76" s="8" t="s">
        <v>8</v>
      </c>
      <c r="F76" s="8"/>
      <c r="H76" s="8"/>
      <c r="I76" s="8" t="s">
        <v>5510</v>
      </c>
      <c r="J76" s="8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8" t="s">
        <v>1607</v>
      </c>
      <c r="E77" s="8" t="s">
        <v>8</v>
      </c>
      <c r="F77" s="8"/>
      <c r="H77" s="8"/>
      <c r="I77" s="8" t="s">
        <v>5513</v>
      </c>
      <c r="J77" s="8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8" t="s">
        <v>1607</v>
      </c>
      <c r="E78" s="8" t="s">
        <v>8</v>
      </c>
      <c r="F78" s="8"/>
      <c r="H78" s="8"/>
      <c r="I78" s="8" t="s">
        <v>5516</v>
      </c>
      <c r="J78" s="8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8" t="s">
        <v>1607</v>
      </c>
      <c r="E79" s="8" t="s">
        <v>8</v>
      </c>
      <c r="F79" s="8"/>
      <c r="H79" s="8"/>
      <c r="I79" s="8" t="s">
        <v>5712</v>
      </c>
      <c r="J79" s="8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8" t="s">
        <v>1607</v>
      </c>
      <c r="E80" s="8" t="s">
        <v>8</v>
      </c>
      <c r="F80" s="8"/>
      <c r="H80" s="8"/>
      <c r="I80" s="8" t="s">
        <v>5766</v>
      </c>
      <c r="J80" s="8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8" t="s">
        <v>1607</v>
      </c>
      <c r="E81" s="8" t="s">
        <v>8</v>
      </c>
      <c r="F81" s="8"/>
      <c r="H81" s="8"/>
      <c r="I81" s="8" t="s">
        <v>5769</v>
      </c>
      <c r="J81" s="8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8" t="s">
        <v>1607</v>
      </c>
      <c r="E82" s="8" t="s">
        <v>8</v>
      </c>
      <c r="F82" s="8"/>
      <c r="H82" s="8"/>
      <c r="I82" s="8" t="s">
        <v>6142</v>
      </c>
      <c r="J82" s="8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8" t="s">
        <v>1607</v>
      </c>
      <c r="E83" s="8" t="s">
        <v>8</v>
      </c>
      <c r="F83" s="8"/>
      <c r="H83" s="8"/>
      <c r="I83" s="8" t="s">
        <v>6145</v>
      </c>
      <c r="J83" s="8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8" t="s">
        <v>227</v>
      </c>
      <c r="E84" s="8" t="s">
        <v>86</v>
      </c>
      <c r="F84" s="8" t="s">
        <v>60</v>
      </c>
      <c r="H84" s="8" t="s">
        <v>4098</v>
      </c>
      <c r="I84" s="8" t="s">
        <v>6284</v>
      </c>
      <c r="J84" s="8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8" t="s">
        <v>227</v>
      </c>
      <c r="E85" s="8" t="s">
        <v>86</v>
      </c>
      <c r="F85" s="8" t="s">
        <v>60</v>
      </c>
      <c r="H85" s="8" t="s">
        <v>2352</v>
      </c>
      <c r="I85" s="8" t="s">
        <v>6287</v>
      </c>
      <c r="J85" s="8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8" t="s">
        <v>227</v>
      </c>
      <c r="E86" s="8" t="s">
        <v>86</v>
      </c>
      <c r="F86" s="8" t="s">
        <v>60</v>
      </c>
      <c r="H86" s="8" t="s">
        <v>2352</v>
      </c>
      <c r="I86" s="8" t="s">
        <v>6290</v>
      </c>
      <c r="J86" s="8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8" t="s">
        <v>1607</v>
      </c>
      <c r="E87" s="8" t="s">
        <v>8</v>
      </c>
      <c r="F87" s="8"/>
      <c r="H87" s="8"/>
      <c r="I87" s="8" t="s">
        <v>6416</v>
      </c>
      <c r="J87" s="8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8" t="s">
        <v>1607</v>
      </c>
      <c r="E88" s="8" t="s">
        <v>8</v>
      </c>
      <c r="F88" s="8"/>
      <c r="H88" s="8"/>
      <c r="I88" s="8" t="s">
        <v>6419</v>
      </c>
      <c r="J88" s="8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8" t="s">
        <v>1607</v>
      </c>
      <c r="E89" s="8" t="s">
        <v>8</v>
      </c>
      <c r="F89" s="8"/>
      <c r="H89" s="8"/>
      <c r="I89" s="8" t="s">
        <v>6631</v>
      </c>
      <c r="J89" s="8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8" t="s">
        <v>1607</v>
      </c>
      <c r="E90" s="8" t="s">
        <v>8</v>
      </c>
      <c r="F90" s="8"/>
      <c r="H90" s="8"/>
      <c r="I90" s="8" t="s">
        <v>6634</v>
      </c>
      <c r="J90" s="8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8" t="s">
        <v>1607</v>
      </c>
      <c r="E91" s="8" t="s">
        <v>8</v>
      </c>
      <c r="F91" s="8"/>
      <c r="H91" s="8"/>
      <c r="I91" s="8" t="s">
        <v>6637</v>
      </c>
      <c r="J91" s="8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8" t="s">
        <v>1607</v>
      </c>
      <c r="E92" s="8" t="s">
        <v>8</v>
      </c>
      <c r="F92" s="8"/>
      <c r="H92" s="8"/>
      <c r="I92" s="8" t="s">
        <v>6640</v>
      </c>
      <c r="J92" s="8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8" t="s">
        <v>1607</v>
      </c>
      <c r="E93" s="8" t="s">
        <v>8</v>
      </c>
      <c r="F93" s="8"/>
      <c r="H93" s="8"/>
      <c r="I93" s="8" t="s">
        <v>6710</v>
      </c>
      <c r="J93" s="8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8" t="s">
        <v>1607</v>
      </c>
      <c r="E94" s="8" t="s">
        <v>8</v>
      </c>
      <c r="F94" s="8"/>
      <c r="H94" s="8"/>
      <c r="I94" s="8" t="s">
        <v>6713</v>
      </c>
      <c r="J94" s="8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8" t="s">
        <v>1607</v>
      </c>
      <c r="E95" s="8" t="s">
        <v>8</v>
      </c>
      <c r="F95" s="8"/>
      <c r="H95" s="8"/>
      <c r="I95" s="8" t="s">
        <v>6716</v>
      </c>
      <c r="J95" s="8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8" t="s">
        <v>1607</v>
      </c>
      <c r="E96" s="8" t="s">
        <v>8</v>
      </c>
      <c r="F96" s="8"/>
      <c r="H96" s="8"/>
      <c r="I96" s="8" t="s">
        <v>6858</v>
      </c>
      <c r="J96" s="8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8" t="s">
        <v>1607</v>
      </c>
      <c r="E97" s="8" t="s">
        <v>8</v>
      </c>
      <c r="F97" s="8"/>
      <c r="H97" s="8"/>
      <c r="I97" s="8" t="s">
        <v>6861</v>
      </c>
      <c r="J97" s="8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8" t="s">
        <v>1607</v>
      </c>
      <c r="E98" s="8" t="s">
        <v>8</v>
      </c>
      <c r="F98" s="8"/>
      <c r="H98" s="8"/>
      <c r="I98" s="8" t="s">
        <v>6864</v>
      </c>
      <c r="J98" s="8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8" t="s">
        <v>1607</v>
      </c>
      <c r="E99" s="8" t="s">
        <v>8</v>
      </c>
      <c r="F99" s="8"/>
      <c r="H99" s="8"/>
      <c r="I99" s="8" t="s">
        <v>6867</v>
      </c>
      <c r="J99" s="8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8" t="s">
        <v>1607</v>
      </c>
      <c r="E100" s="8" t="s">
        <v>8</v>
      </c>
      <c r="F100" s="8"/>
      <c r="H100" s="8"/>
      <c r="I100" s="8" t="s">
        <v>6870</v>
      </c>
      <c r="J100" s="8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8" t="s">
        <v>1607</v>
      </c>
      <c r="E101" s="8" t="s">
        <v>8</v>
      </c>
      <c r="F101" s="8"/>
      <c r="H101" s="8"/>
      <c r="I101" s="8" t="s">
        <v>6873</v>
      </c>
      <c r="J101" s="8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8" t="s">
        <v>1607</v>
      </c>
      <c r="E102" s="8" t="s">
        <v>8</v>
      </c>
      <c r="F102" s="8"/>
      <c r="H102" s="8"/>
      <c r="I102" s="8" t="s">
        <v>6876</v>
      </c>
      <c r="J102" s="8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8" t="s">
        <v>1607</v>
      </c>
      <c r="E103" s="8" t="s">
        <v>8</v>
      </c>
      <c r="F103" s="8"/>
      <c r="H103" s="8"/>
      <c r="I103" s="8" t="s">
        <v>7679</v>
      </c>
      <c r="J103" s="8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8" t="s">
        <v>7345</v>
      </c>
      <c r="E104" s="8" t="s">
        <v>4396</v>
      </c>
      <c r="F104" s="8" t="s">
        <v>7344</v>
      </c>
      <c r="H104" s="8"/>
      <c r="I104" s="8" t="s">
        <v>7197</v>
      </c>
      <c r="J104" s="8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8" t="s">
        <v>1607</v>
      </c>
      <c r="E105" s="8" t="s">
        <v>8</v>
      </c>
      <c r="F105" s="8"/>
      <c r="H105" s="8"/>
      <c r="I105" s="8" t="s">
        <v>7200</v>
      </c>
      <c r="J105" s="8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8" t="s">
        <v>1607</v>
      </c>
      <c r="E106" s="8" t="s">
        <v>8</v>
      </c>
      <c r="F106" s="8"/>
      <c r="H106" s="8"/>
      <c r="I106" s="8" t="s">
        <v>7407</v>
      </c>
      <c r="J106" s="8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8" t="s">
        <v>1607</v>
      </c>
      <c r="E107" s="8" t="s">
        <v>8</v>
      </c>
      <c r="F107" s="8"/>
      <c r="H107" s="8"/>
      <c r="I107" s="8" t="s">
        <v>7509</v>
      </c>
      <c r="J107" s="8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8" t="s">
        <v>7521</v>
      </c>
      <c r="E108" s="8" t="s">
        <v>60</v>
      </c>
      <c r="F108" s="8"/>
      <c r="H108" s="8"/>
      <c r="I108" s="8" t="s">
        <v>7512</v>
      </c>
      <c r="J108" s="8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8" t="s">
        <v>887</v>
      </c>
      <c r="E109" s="8" t="s">
        <v>3412</v>
      </c>
      <c r="F109" s="8" t="s">
        <v>60</v>
      </c>
      <c r="H109" s="8"/>
      <c r="I109" s="8" t="s">
        <v>7515</v>
      </c>
      <c r="J109" s="8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8" t="s">
        <v>4</v>
      </c>
      <c r="E110" s="8" t="s">
        <v>8</v>
      </c>
      <c r="F110" s="8"/>
      <c r="H110" s="8"/>
      <c r="I110" s="8" t="s">
        <v>7518</v>
      </c>
      <c r="J110" s="8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8" t="s">
        <v>1607</v>
      </c>
      <c r="E111" s="8" t="s">
        <v>8</v>
      </c>
      <c r="F111" s="8"/>
      <c r="H111" s="8"/>
      <c r="I111" s="8" t="s">
        <v>7682</v>
      </c>
      <c r="J111" s="8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8" t="s">
        <v>1607</v>
      </c>
      <c r="E112" s="8" t="s">
        <v>8</v>
      </c>
      <c r="F112" s="8"/>
      <c r="H112" s="8"/>
      <c r="I112" s="8" t="s">
        <v>7783</v>
      </c>
      <c r="J112" s="8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8" t="s">
        <v>1607</v>
      </c>
      <c r="E113" s="8" t="s">
        <v>8</v>
      </c>
      <c r="F113" s="8"/>
      <c r="H113" s="8"/>
      <c r="I113" s="8" t="s">
        <v>7786</v>
      </c>
      <c r="J113" s="8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8" t="s">
        <v>1607</v>
      </c>
      <c r="E114" s="8" t="s">
        <v>8</v>
      </c>
      <c r="F114" s="8"/>
      <c r="H114" s="8"/>
      <c r="I114" s="8" t="s">
        <v>7970</v>
      </c>
      <c r="J114" s="8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8" t="s">
        <v>4</v>
      </c>
      <c r="E115" s="8" t="s">
        <v>8</v>
      </c>
      <c r="F115" s="8"/>
      <c r="H115" s="8"/>
      <c r="I115" s="8" t="s">
        <v>7973</v>
      </c>
      <c r="J115" s="8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8" t="s">
        <v>4</v>
      </c>
      <c r="E116" s="8" t="s">
        <v>8</v>
      </c>
      <c r="F116" s="8"/>
      <c r="H116" s="8" t="s">
        <v>2352</v>
      </c>
      <c r="I116" s="8" t="s">
        <v>7976</v>
      </c>
      <c r="J116" s="8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8" t="s">
        <v>1607</v>
      </c>
      <c r="E117" s="8" t="s">
        <v>8</v>
      </c>
      <c r="F117" s="8"/>
      <c r="H117" s="8"/>
      <c r="I117" s="8" t="s">
        <v>8298</v>
      </c>
      <c r="J117" s="8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8" t="s">
        <v>1607</v>
      </c>
      <c r="E118" s="8" t="s">
        <v>8</v>
      </c>
      <c r="F118" s="8"/>
      <c r="H118" s="8"/>
      <c r="I118" s="8" t="s">
        <v>8423</v>
      </c>
      <c r="J118" s="8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8" t="s">
        <v>1607</v>
      </c>
      <c r="E119" s="8" t="s">
        <v>8</v>
      </c>
      <c r="F119" s="8"/>
      <c r="H119" s="8"/>
      <c r="I119" s="8" t="s">
        <v>8426</v>
      </c>
      <c r="J119" s="8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8" t="s">
        <v>1607</v>
      </c>
      <c r="E120" s="8" t="s">
        <v>8</v>
      </c>
      <c r="F120" s="8"/>
      <c r="H120" s="8"/>
      <c r="I120" s="8" t="s">
        <v>8462</v>
      </c>
      <c r="J120" s="8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8" t="s">
        <v>1607</v>
      </c>
      <c r="E121" s="8" t="s">
        <v>8</v>
      </c>
      <c r="F121" s="8"/>
      <c r="H121" s="8"/>
      <c r="I121" s="8" t="s">
        <v>8465</v>
      </c>
      <c r="J121" s="8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8" t="s">
        <v>1607</v>
      </c>
      <c r="E122" s="8" t="s">
        <v>8</v>
      </c>
      <c r="F122" s="8"/>
      <c r="H122" s="8"/>
      <c r="I122" s="8" t="s">
        <v>8636</v>
      </c>
      <c r="J122" s="8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8" t="s">
        <v>1607</v>
      </c>
      <c r="E123" s="8" t="s">
        <v>8</v>
      </c>
      <c r="F123" s="8"/>
      <c r="H123" s="8"/>
      <c r="I123" s="8" t="s">
        <v>8639</v>
      </c>
      <c r="J123" s="8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8" t="s">
        <v>1607</v>
      </c>
      <c r="E124" s="8" t="s">
        <v>8</v>
      </c>
      <c r="F124" s="8"/>
      <c r="H124" s="8"/>
      <c r="I124" s="8" t="s">
        <v>8744</v>
      </c>
      <c r="J124" s="8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8" t="s">
        <v>4</v>
      </c>
      <c r="E125" s="8" t="s">
        <v>6439</v>
      </c>
      <c r="F125" s="8"/>
      <c r="H125" s="8"/>
      <c r="I125" s="8" t="s">
        <v>8832</v>
      </c>
      <c r="J125" s="8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8" t="s">
        <v>1607</v>
      </c>
      <c r="E126" s="8" t="s">
        <v>8</v>
      </c>
      <c r="F126" s="8"/>
      <c r="H126" s="8"/>
      <c r="I126" s="8" t="s">
        <v>8835</v>
      </c>
      <c r="J126" s="8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8" t="s">
        <v>1607</v>
      </c>
      <c r="E127" s="8" t="s">
        <v>8</v>
      </c>
      <c r="F127" s="8"/>
      <c r="H127" s="8"/>
      <c r="I127" s="8" t="s">
        <v>8958</v>
      </c>
      <c r="J127" s="8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8" t="s">
        <v>4</v>
      </c>
      <c r="E128" s="8" t="s">
        <v>6439</v>
      </c>
      <c r="F128" s="8"/>
      <c r="H128" s="8"/>
      <c r="I128" s="8" t="s">
        <v>8961</v>
      </c>
      <c r="J128" s="8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8" t="s">
        <v>4</v>
      </c>
      <c r="E129" s="8" t="s">
        <v>7047</v>
      </c>
      <c r="F129" s="8"/>
      <c r="H129" s="8"/>
      <c r="I129" s="8" t="s">
        <v>9304</v>
      </c>
      <c r="J129" s="8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8" t="s">
        <v>1607</v>
      </c>
      <c r="E130" s="8" t="s">
        <v>8</v>
      </c>
      <c r="F130" s="8"/>
      <c r="H130" s="8"/>
      <c r="I130" s="8" t="s">
        <v>9284</v>
      </c>
      <c r="J130" s="8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8" t="s">
        <v>1607</v>
      </c>
      <c r="E131" s="8" t="s">
        <v>8</v>
      </c>
      <c r="F131" s="8"/>
      <c r="H131" s="8"/>
      <c r="I131" s="8" t="s">
        <v>9287</v>
      </c>
      <c r="J131" s="8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8" t="s">
        <v>1607</v>
      </c>
      <c r="E132" s="8" t="s">
        <v>8</v>
      </c>
      <c r="F132" s="8"/>
      <c r="H132" s="8"/>
      <c r="I132" s="8" t="s">
        <v>9350</v>
      </c>
      <c r="J132" s="8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8" t="s">
        <v>1607</v>
      </c>
      <c r="E133" s="8" t="s">
        <v>8</v>
      </c>
      <c r="F133" s="8"/>
      <c r="H133" s="8"/>
      <c r="I133" s="8" t="s">
        <v>9353</v>
      </c>
      <c r="J133" s="8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8" t="s">
        <v>1607</v>
      </c>
      <c r="E134" s="8" t="s">
        <v>8</v>
      </c>
      <c r="F134" s="8"/>
      <c r="H134" s="8"/>
      <c r="I134" s="8" t="s">
        <v>9572</v>
      </c>
      <c r="J134" s="8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8" t="s">
        <v>9599</v>
      </c>
      <c r="E135" s="8"/>
      <c r="F135" s="8"/>
      <c r="H135" s="8"/>
      <c r="I135" s="8" t="s">
        <v>9575</v>
      </c>
      <c r="J135" s="8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8" t="s">
        <v>9600</v>
      </c>
      <c r="E136" s="8"/>
      <c r="F136" s="8"/>
      <c r="H136" s="8"/>
      <c r="I136" s="8" t="s">
        <v>9578</v>
      </c>
      <c r="J136" s="8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8" t="s">
        <v>1607</v>
      </c>
      <c r="E137" s="8" t="s">
        <v>8</v>
      </c>
      <c r="F137" s="8"/>
      <c r="H137" s="8"/>
      <c r="I137" s="8" t="s">
        <v>9581</v>
      </c>
      <c r="J137" s="8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8" t="s">
        <v>4</v>
      </c>
      <c r="E138" s="8" t="s">
        <v>6439</v>
      </c>
      <c r="F138" s="8"/>
      <c r="H138" s="8"/>
      <c r="I138" s="8" t="s">
        <v>9584</v>
      </c>
      <c r="J138" s="8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8" t="s">
        <v>4</v>
      </c>
      <c r="E139" s="8" t="s">
        <v>8</v>
      </c>
      <c r="F139" s="8"/>
      <c r="H139" s="8"/>
      <c r="I139" s="8" t="s">
        <v>9587</v>
      </c>
      <c r="J139" s="8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8" t="s">
        <v>4</v>
      </c>
      <c r="E140" s="8" t="s">
        <v>6439</v>
      </c>
      <c r="F140" s="8"/>
      <c r="H140" s="8"/>
      <c r="I140" s="8" t="s">
        <v>9590</v>
      </c>
      <c r="J140" s="8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8" t="s">
        <v>4</v>
      </c>
      <c r="E141" s="8" t="s">
        <v>6439</v>
      </c>
      <c r="F141" s="8"/>
      <c r="H141" s="8"/>
      <c r="I141" s="8" t="s">
        <v>9593</v>
      </c>
      <c r="J141" s="8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8" t="s">
        <v>4</v>
      </c>
      <c r="E142" s="8" t="s">
        <v>6439</v>
      </c>
      <c r="F142" s="8"/>
      <c r="H142" s="8"/>
      <c r="I142" s="8" t="s">
        <v>9643</v>
      </c>
      <c r="J142" s="8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8" t="s">
        <v>4</v>
      </c>
      <c r="E143" s="8" t="s">
        <v>8</v>
      </c>
      <c r="F143" s="8"/>
      <c r="H143" s="8"/>
      <c r="I143" s="8" t="s">
        <v>9646</v>
      </c>
      <c r="J143" s="8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8" t="s">
        <v>4</v>
      </c>
      <c r="E144" s="8" t="s">
        <v>6439</v>
      </c>
      <c r="F144" s="8"/>
      <c r="H144" s="8"/>
      <c r="I144" s="8" t="s">
        <v>9649</v>
      </c>
      <c r="J144" s="8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8" t="s">
        <v>4</v>
      </c>
      <c r="E145" s="8" t="s">
        <v>6439</v>
      </c>
      <c r="F145" s="8"/>
      <c r="H145" s="8"/>
      <c r="I145" s="8" t="s">
        <v>9670</v>
      </c>
      <c r="J145" s="8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8" t="s">
        <v>4</v>
      </c>
      <c r="E146" s="8" t="s">
        <v>8</v>
      </c>
      <c r="F146" s="8"/>
      <c r="H146" s="8" t="s">
        <v>2352</v>
      </c>
      <c r="I146" s="8" t="s">
        <v>9673</v>
      </c>
      <c r="J146" s="8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8" t="s">
        <v>10020</v>
      </c>
      <c r="E147" s="8"/>
      <c r="F147" s="8"/>
      <c r="H147" s="8"/>
      <c r="I147" s="8" t="s">
        <v>9971</v>
      </c>
      <c r="J147" s="8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8" t="s">
        <v>10020</v>
      </c>
      <c r="E148" s="8"/>
      <c r="F148" s="8"/>
      <c r="H148" s="8"/>
      <c r="I148" s="8" t="s">
        <v>9974</v>
      </c>
      <c r="J148" s="8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8" t="s">
        <v>10020</v>
      </c>
      <c r="E149" s="8"/>
      <c r="F149" s="8"/>
      <c r="H149" s="8"/>
      <c r="I149" s="8" t="s">
        <v>9977</v>
      </c>
      <c r="J149" s="8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8" t="s">
        <v>10020</v>
      </c>
      <c r="E150" s="8"/>
      <c r="F150" s="8"/>
      <c r="H150" s="8"/>
      <c r="I150" s="8" t="s">
        <v>9980</v>
      </c>
      <c r="J150" s="8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8" t="s">
        <v>10020</v>
      </c>
      <c r="E151" s="8"/>
      <c r="F151" s="8"/>
      <c r="H151" s="8"/>
      <c r="I151" s="8" t="s">
        <v>9983</v>
      </c>
      <c r="J151" s="8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8" t="s">
        <v>10020</v>
      </c>
      <c r="E152" s="8"/>
      <c r="F152" s="8"/>
      <c r="H152" s="8"/>
      <c r="I152" s="8" t="s">
        <v>9986</v>
      </c>
      <c r="J152" s="8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8" t="s">
        <v>4</v>
      </c>
      <c r="E153" s="8" t="s">
        <v>8</v>
      </c>
      <c r="F153" s="8"/>
      <c r="H153" s="8"/>
      <c r="I153" s="8" t="s">
        <v>9989</v>
      </c>
      <c r="J153" s="8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8" t="s">
        <v>1607</v>
      </c>
      <c r="E154" s="8" t="s">
        <v>8</v>
      </c>
      <c r="F154" s="8"/>
      <c r="H154" s="8"/>
      <c r="I154" s="8" t="s">
        <v>9992</v>
      </c>
      <c r="J154" s="8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8" t="s">
        <v>1607</v>
      </c>
      <c r="E155" s="8" t="s">
        <v>8</v>
      </c>
      <c r="F155" s="8"/>
      <c r="H155" s="8"/>
      <c r="I155" s="8" t="s">
        <v>9995</v>
      </c>
      <c r="J155" s="8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8" t="s">
        <v>7</v>
      </c>
      <c r="E156" s="8"/>
      <c r="F156" s="8"/>
      <c r="H156" s="8"/>
      <c r="I156" s="8" t="s">
        <v>10100</v>
      </c>
      <c r="J156" s="8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8" t="s">
        <v>7365</v>
      </c>
      <c r="E157" s="8" t="s">
        <v>86</v>
      </c>
      <c r="F157" s="8"/>
      <c r="H157" s="8" t="s">
        <v>10133</v>
      </c>
      <c r="I157" s="8" t="s">
        <v>10103</v>
      </c>
      <c r="J157" s="8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8" t="s">
        <v>7365</v>
      </c>
      <c r="E158" s="8" t="s">
        <v>86</v>
      </c>
      <c r="F158" s="8"/>
      <c r="H158" s="8" t="s">
        <v>2352</v>
      </c>
      <c r="I158" s="8" t="s">
        <v>10106</v>
      </c>
      <c r="J158" s="8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8" t="s">
        <v>9600</v>
      </c>
      <c r="E159" s="8"/>
      <c r="F159" s="8"/>
      <c r="H159" s="8"/>
      <c r="I159" s="8" t="s">
        <v>10109</v>
      </c>
      <c r="J159" s="8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8" t="s">
        <v>588</v>
      </c>
      <c r="E160" s="8" t="s">
        <v>86</v>
      </c>
      <c r="F160" s="8"/>
      <c r="H160" s="8"/>
      <c r="I160" s="8" t="s">
        <v>10170</v>
      </c>
      <c r="J160" s="8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8" t="s">
        <v>7365</v>
      </c>
      <c r="E161" s="8" t="s">
        <v>86</v>
      </c>
      <c r="F161" s="8"/>
      <c r="H161" s="8"/>
      <c r="I161" s="8" t="s">
        <v>10173</v>
      </c>
      <c r="J161" s="8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8" t="s">
        <v>7</v>
      </c>
      <c r="E162" s="8"/>
      <c r="F162" s="8"/>
      <c r="H162" s="8"/>
      <c r="I162" s="8" t="s">
        <v>10176</v>
      </c>
      <c r="J162" s="8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8" t="s">
        <v>4</v>
      </c>
      <c r="E163" s="8" t="s">
        <v>8</v>
      </c>
      <c r="F163" s="8"/>
      <c r="H163" s="8"/>
      <c r="I163" s="8" t="s">
        <v>10179</v>
      </c>
      <c r="J163" s="8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8" t="s">
        <v>10020</v>
      </c>
      <c r="E164" s="8"/>
      <c r="F164" s="8"/>
      <c r="H164" s="8"/>
      <c r="I164" s="8" t="s">
        <v>10364</v>
      </c>
      <c r="J164" s="8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8" t="s">
        <v>10020</v>
      </c>
      <c r="E165" s="8"/>
      <c r="F165" s="8"/>
      <c r="H165" s="8"/>
      <c r="I165" s="8" t="s">
        <v>10367</v>
      </c>
      <c r="J165" s="8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8" t="s">
        <v>10020</v>
      </c>
      <c r="E166" s="8"/>
      <c r="F166" s="8"/>
      <c r="H166" s="8"/>
      <c r="I166" s="8" t="s">
        <v>10370</v>
      </c>
      <c r="J166" s="8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8" t="s">
        <v>10020</v>
      </c>
      <c r="E167" s="8"/>
      <c r="F167" s="8"/>
      <c r="H167" s="8"/>
      <c r="I167" s="8" t="s">
        <v>10373</v>
      </c>
      <c r="J167" s="8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8" t="s">
        <v>4</v>
      </c>
      <c r="E168" s="8" t="s">
        <v>8</v>
      </c>
      <c r="F168" s="8"/>
      <c r="H168" s="8"/>
      <c r="I168" s="8" t="s">
        <v>10376</v>
      </c>
      <c r="J168" s="8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8" t="s">
        <v>10020</v>
      </c>
      <c r="E169" s="8"/>
      <c r="F169" s="8"/>
      <c r="H169" s="8"/>
      <c r="I169" s="8" t="s">
        <v>10379</v>
      </c>
      <c r="J169" s="8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8" t="s">
        <v>10020</v>
      </c>
      <c r="E170" s="8"/>
      <c r="F170" s="8"/>
      <c r="H170" s="8"/>
      <c r="I170" s="8" t="s">
        <v>10382</v>
      </c>
      <c r="J170" s="8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8" t="s">
        <v>10020</v>
      </c>
      <c r="E171" s="8"/>
      <c r="F171" s="8"/>
      <c r="H171" s="8"/>
      <c r="I171" s="8" t="s">
        <v>10385</v>
      </c>
      <c r="J171" s="8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8" t="s">
        <v>4</v>
      </c>
      <c r="E172" s="8" t="s">
        <v>8</v>
      </c>
      <c r="F172" s="8"/>
      <c r="H172" s="8"/>
      <c r="I172" s="8" t="s">
        <v>10388</v>
      </c>
      <c r="J172" s="8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8" t="s">
        <v>10571</v>
      </c>
      <c r="E173" s="8"/>
      <c r="F173" s="8"/>
      <c r="H173" s="8"/>
      <c r="I173" s="8" t="s">
        <v>10460</v>
      </c>
      <c r="J173" s="8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8" t="s">
        <v>1273</v>
      </c>
      <c r="E174" s="8" t="s">
        <v>10565</v>
      </c>
      <c r="F174" s="8" t="s">
        <v>586</v>
      </c>
      <c r="H174" s="8"/>
      <c r="I174" s="8" t="s">
        <v>10463</v>
      </c>
      <c r="J174" s="8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8" t="s">
        <v>226</v>
      </c>
      <c r="E175" s="8" t="s">
        <v>10565</v>
      </c>
      <c r="F175" s="8" t="s">
        <v>586</v>
      </c>
      <c r="H175" s="8"/>
      <c r="I175" s="8" t="s">
        <v>10466</v>
      </c>
      <c r="J175" s="8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8" t="s">
        <v>226</v>
      </c>
      <c r="E176" s="8" t="s">
        <v>10565</v>
      </c>
      <c r="F176" s="8" t="s">
        <v>586</v>
      </c>
      <c r="H176" s="8" t="s">
        <v>2352</v>
      </c>
      <c r="I176" s="8" t="s">
        <v>10469</v>
      </c>
      <c r="J176" s="8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8" t="s">
        <v>10572</v>
      </c>
      <c r="E177" s="8" t="s">
        <v>10565</v>
      </c>
      <c r="F177" s="8"/>
      <c r="H177" s="8"/>
      <c r="I177" s="8" t="s">
        <v>10472</v>
      </c>
      <c r="J177" s="8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8" t="s">
        <v>226</v>
      </c>
      <c r="E178" s="8" t="s">
        <v>10566</v>
      </c>
      <c r="F178" s="8" t="s">
        <v>586</v>
      </c>
      <c r="H178" s="8"/>
      <c r="I178" s="8" t="s">
        <v>10475</v>
      </c>
      <c r="J178" s="8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8" t="s">
        <v>226</v>
      </c>
      <c r="E179" s="8" t="s">
        <v>10566</v>
      </c>
      <c r="F179" s="8" t="s">
        <v>586</v>
      </c>
      <c r="H179" s="8" t="s">
        <v>2352</v>
      </c>
      <c r="I179" s="8" t="s">
        <v>10478</v>
      </c>
      <c r="J179" s="8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8" t="s">
        <v>226</v>
      </c>
      <c r="E180" s="8" t="s">
        <v>10566</v>
      </c>
      <c r="F180" s="8" t="s">
        <v>586</v>
      </c>
      <c r="H180" s="8" t="s">
        <v>2352</v>
      </c>
      <c r="I180" s="8" t="s">
        <v>10481</v>
      </c>
      <c r="J180" s="8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8" t="s">
        <v>226</v>
      </c>
      <c r="E181" s="8" t="s">
        <v>10565</v>
      </c>
      <c r="F181" s="8" t="s">
        <v>586</v>
      </c>
      <c r="H181" s="8" t="s">
        <v>2352</v>
      </c>
      <c r="I181" s="8" t="s">
        <v>10484</v>
      </c>
      <c r="J181" s="8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8" t="s">
        <v>226</v>
      </c>
      <c r="E182" s="8" t="s">
        <v>10565</v>
      </c>
      <c r="F182" s="8" t="s">
        <v>586</v>
      </c>
      <c r="H182" s="8" t="s">
        <v>2352</v>
      </c>
      <c r="I182" s="8" t="s">
        <v>10487</v>
      </c>
      <c r="J182" s="8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8" t="s">
        <v>226</v>
      </c>
      <c r="E183" s="8" t="s">
        <v>10565</v>
      </c>
      <c r="F183" s="8" t="s">
        <v>586</v>
      </c>
      <c r="H183" s="8" t="s">
        <v>2352</v>
      </c>
      <c r="I183" s="8" t="s">
        <v>10490</v>
      </c>
      <c r="J183" s="8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8" t="s">
        <v>226</v>
      </c>
      <c r="E184" s="8" t="s">
        <v>10565</v>
      </c>
      <c r="F184" s="8" t="s">
        <v>586</v>
      </c>
      <c r="H184" s="8" t="s">
        <v>2352</v>
      </c>
      <c r="I184" s="8" t="s">
        <v>10493</v>
      </c>
      <c r="J184" s="8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8" t="s">
        <v>226</v>
      </c>
      <c r="E185" s="8" t="s">
        <v>10565</v>
      </c>
      <c r="F185" s="8" t="s">
        <v>586</v>
      </c>
      <c r="H185" s="8" t="s">
        <v>2352</v>
      </c>
      <c r="I185" s="8" t="s">
        <v>10496</v>
      </c>
      <c r="J185" s="8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8" t="s">
        <v>226</v>
      </c>
      <c r="E186" s="8" t="s">
        <v>10566</v>
      </c>
      <c r="F186" s="8" t="s">
        <v>586</v>
      </c>
      <c r="H186" s="8" t="s">
        <v>2352</v>
      </c>
      <c r="I186" s="8" t="s">
        <v>10499</v>
      </c>
      <c r="J186" s="8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8" t="s">
        <v>226</v>
      </c>
      <c r="E187" s="8" t="s">
        <v>10566</v>
      </c>
      <c r="F187" s="8" t="s">
        <v>586</v>
      </c>
      <c r="H187" s="8" t="s">
        <v>2352</v>
      </c>
      <c r="I187" s="8" t="s">
        <v>10502</v>
      </c>
      <c r="J187" s="8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8" t="s">
        <v>226</v>
      </c>
      <c r="E188" s="8" t="s">
        <v>10566</v>
      </c>
      <c r="F188" s="8" t="s">
        <v>586</v>
      </c>
      <c r="H188" s="8" t="s">
        <v>2352</v>
      </c>
      <c r="I188" s="8" t="s">
        <v>10505</v>
      </c>
      <c r="J188" s="8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8" t="s">
        <v>226</v>
      </c>
      <c r="E189" s="8" t="s">
        <v>10566</v>
      </c>
      <c r="F189" s="8" t="s">
        <v>586</v>
      </c>
      <c r="H189" s="8" t="s">
        <v>2352</v>
      </c>
      <c r="I189" s="8" t="s">
        <v>10508</v>
      </c>
      <c r="J189" s="8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8" t="s">
        <v>226</v>
      </c>
      <c r="E190" s="8" t="s">
        <v>10566</v>
      </c>
      <c r="F190" s="8" t="s">
        <v>586</v>
      </c>
      <c r="H190" s="8" t="s">
        <v>2352</v>
      </c>
      <c r="I190" s="8" t="s">
        <v>10511</v>
      </c>
      <c r="J190" s="8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8" t="s">
        <v>226</v>
      </c>
      <c r="E191" s="8" t="s">
        <v>10566</v>
      </c>
      <c r="F191" s="8" t="s">
        <v>586</v>
      </c>
      <c r="H191" s="8" t="s">
        <v>2352</v>
      </c>
      <c r="I191" s="8" t="s">
        <v>10514</v>
      </c>
      <c r="J191" s="8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8" t="s">
        <v>226</v>
      </c>
      <c r="E192" s="8" t="s">
        <v>10566</v>
      </c>
      <c r="F192" s="8" t="s">
        <v>586</v>
      </c>
      <c r="H192" s="8" t="s">
        <v>2352</v>
      </c>
      <c r="I192" s="8" t="s">
        <v>10517</v>
      </c>
      <c r="J192" s="8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8" t="s">
        <v>3397</v>
      </c>
      <c r="E193" s="8"/>
      <c r="F193" s="8"/>
      <c r="H193" s="8"/>
      <c r="I193" s="8" t="s">
        <v>10520</v>
      </c>
      <c r="J193" s="8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8" t="s">
        <v>587</v>
      </c>
      <c r="E194" s="8" t="s">
        <v>10566</v>
      </c>
      <c r="F194" s="8" t="s">
        <v>586</v>
      </c>
      <c r="H194" s="8"/>
      <c r="I194" s="8" t="s">
        <v>10523</v>
      </c>
      <c r="J194" s="8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8" t="s">
        <v>587</v>
      </c>
      <c r="E195" s="8" t="s">
        <v>10565</v>
      </c>
      <c r="F195" s="8" t="s">
        <v>586</v>
      </c>
      <c r="H195" s="8"/>
      <c r="I195" s="8" t="s">
        <v>10526</v>
      </c>
      <c r="J195" s="8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8" t="s">
        <v>7</v>
      </c>
      <c r="E196" s="8"/>
      <c r="F196" s="8"/>
      <c r="H196" s="8"/>
      <c r="I196" s="8" t="s">
        <v>10529</v>
      </c>
      <c r="J196" s="8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8" t="s">
        <v>1539</v>
      </c>
      <c r="E197" s="8"/>
      <c r="F197" s="8"/>
      <c r="H197" s="8"/>
      <c r="I197" s="8" t="s">
        <v>10532</v>
      </c>
      <c r="J197" s="8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8" t="s">
        <v>4</v>
      </c>
      <c r="E198" s="8" t="s">
        <v>8</v>
      </c>
      <c r="F198" s="8"/>
      <c r="H198" s="8"/>
      <c r="I198" s="8" t="s">
        <v>10535</v>
      </c>
      <c r="J198" s="8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8" t="s">
        <v>1539</v>
      </c>
      <c r="E199" s="8"/>
      <c r="F199" s="8"/>
      <c r="H199" s="8"/>
      <c r="I199" s="8" t="s">
        <v>10707</v>
      </c>
      <c r="J199" s="8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8" t="s">
        <v>1539</v>
      </c>
      <c r="E200" s="8"/>
      <c r="F200" s="8"/>
      <c r="H200" s="8"/>
      <c r="I200" s="8" t="s">
        <v>10710</v>
      </c>
      <c r="J200" s="8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8" t="s">
        <v>1539</v>
      </c>
      <c r="E201" s="8"/>
      <c r="F201" s="8"/>
      <c r="H201" s="8"/>
      <c r="I201" s="8" t="s">
        <v>10713</v>
      </c>
      <c r="J201" s="8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8" t="s">
        <v>7</v>
      </c>
      <c r="E202" s="8"/>
      <c r="F202" s="8"/>
      <c r="H202" s="8"/>
      <c r="I202" s="8" t="s">
        <v>10716</v>
      </c>
      <c r="J202" s="8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8" t="s">
        <v>7</v>
      </c>
      <c r="E203" s="8"/>
      <c r="F203" s="8"/>
      <c r="H203" s="8"/>
      <c r="I203" s="8" t="s">
        <v>10719</v>
      </c>
      <c r="J203" s="8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8" t="s">
        <v>4</v>
      </c>
      <c r="E204" s="8" t="s">
        <v>8</v>
      </c>
      <c r="F204" s="8"/>
      <c r="H204" s="8"/>
      <c r="I204" s="8" t="s">
        <v>10722</v>
      </c>
      <c r="J204" s="8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8" t="s">
        <v>588</v>
      </c>
      <c r="E205" s="8" t="s">
        <v>86</v>
      </c>
      <c r="F205" s="8"/>
      <c r="H205" s="8"/>
      <c r="I205" s="8" t="s">
        <v>13777</v>
      </c>
      <c r="J205" s="8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8" t="s">
        <v>588</v>
      </c>
      <c r="E206" s="8" t="s">
        <v>86</v>
      </c>
      <c r="F206" s="8"/>
      <c r="H206" s="8"/>
      <c r="I206" s="8" t="s">
        <v>13780</v>
      </c>
      <c r="J206" s="8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8" t="s">
        <v>4</v>
      </c>
      <c r="E207" s="8" t="s">
        <v>8</v>
      </c>
      <c r="F207" s="8"/>
      <c r="H207" s="8"/>
      <c r="I207" s="8" t="s">
        <v>13783</v>
      </c>
      <c r="J207" s="8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8" t="s">
        <v>1607</v>
      </c>
      <c r="E208" s="8" t="s">
        <v>8</v>
      </c>
      <c r="F208" s="8"/>
      <c r="H208" s="8"/>
      <c r="I208" s="8" t="s">
        <v>13786</v>
      </c>
      <c r="J208" s="8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8" t="s">
        <v>4</v>
      </c>
      <c r="E209" s="8" t="s">
        <v>8</v>
      </c>
      <c r="F209" s="8"/>
      <c r="H209" s="8"/>
      <c r="I209" s="8" t="s">
        <v>14050</v>
      </c>
      <c r="J209" s="8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8" t="s">
        <v>14077</v>
      </c>
      <c r="E210" s="8" t="s">
        <v>8</v>
      </c>
      <c r="F210" s="8"/>
      <c r="H210" s="8"/>
      <c r="I210" s="8" t="s">
        <v>14053</v>
      </c>
      <c r="J210" s="8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8" t="s">
        <v>14077</v>
      </c>
      <c r="E211" s="8" t="s">
        <v>8</v>
      </c>
      <c r="F211" s="8"/>
      <c r="H211" s="8"/>
      <c r="I211" s="8" t="s">
        <v>14056</v>
      </c>
      <c r="J211" s="8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8" t="s">
        <v>4</v>
      </c>
      <c r="E212" s="8" t="s">
        <v>8</v>
      </c>
      <c r="F212" s="8"/>
      <c r="H212" s="8"/>
      <c r="I212" s="8" t="s">
        <v>14059</v>
      </c>
      <c r="J212" s="8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8" t="s">
        <v>1607</v>
      </c>
      <c r="E213" s="8" t="s">
        <v>8</v>
      </c>
      <c r="F213" s="8"/>
      <c r="H213" s="8"/>
      <c r="I213" s="8" t="s">
        <v>14062</v>
      </c>
      <c r="J213" s="8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8" t="s">
        <v>4</v>
      </c>
      <c r="E214" s="8" t="s">
        <v>8</v>
      </c>
      <c r="F214" s="8"/>
      <c r="H214" s="8"/>
      <c r="I214" s="8" t="s">
        <v>14945</v>
      </c>
      <c r="J214" s="8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8" t="s">
        <v>1607</v>
      </c>
      <c r="E215" s="8" t="s">
        <v>8</v>
      </c>
      <c r="F215" s="8"/>
      <c r="H215" s="8"/>
      <c r="I215" s="8" t="s">
        <v>14948</v>
      </c>
      <c r="J215" s="8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8" t="s">
        <v>4</v>
      </c>
      <c r="E216" s="8" t="s">
        <v>8</v>
      </c>
      <c r="F216" s="8"/>
      <c r="H216" s="8"/>
      <c r="I216" s="8" t="s">
        <v>14951</v>
      </c>
      <c r="J216" s="8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8" t="s">
        <v>1607</v>
      </c>
      <c r="E217" s="8" t="s">
        <v>8</v>
      </c>
      <c r="F217" s="8"/>
      <c r="H217" s="8"/>
      <c r="I217" s="8" t="s">
        <v>14954</v>
      </c>
      <c r="J217" s="8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8" t="s">
        <v>4</v>
      </c>
      <c r="E218" s="8" t="s">
        <v>8</v>
      </c>
      <c r="F218" s="8"/>
      <c r="H218" s="8"/>
      <c r="I218" s="8" t="s">
        <v>14957</v>
      </c>
      <c r="J218" s="8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8" t="s">
        <v>7</v>
      </c>
      <c r="E219" s="8"/>
      <c r="F219" s="8"/>
      <c r="H219" s="8"/>
      <c r="I219" s="8" t="s">
        <v>14960</v>
      </c>
      <c r="J219" s="8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8" t="s">
        <v>588</v>
      </c>
      <c r="E220" s="8" t="s">
        <v>86</v>
      </c>
      <c r="F220" s="8"/>
      <c r="H220" s="8"/>
      <c r="I220" s="8" t="s">
        <v>14963</v>
      </c>
      <c r="J220" s="8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8" t="s">
        <v>1539</v>
      </c>
      <c r="E221" s="8"/>
      <c r="F221" s="8"/>
      <c r="H221" s="8"/>
      <c r="I221" s="8" t="s">
        <v>14966</v>
      </c>
      <c r="J221" s="8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8" t="s">
        <v>1539</v>
      </c>
      <c r="E222" s="8"/>
      <c r="F222" s="8"/>
      <c r="H222" s="8"/>
      <c r="I222" s="8" t="s">
        <v>14969</v>
      </c>
      <c r="J222" s="8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8" t="s">
        <v>4</v>
      </c>
      <c r="E223" s="8" t="s">
        <v>8</v>
      </c>
      <c r="F223" s="8"/>
      <c r="H223" s="8"/>
      <c r="I223" s="8" t="s">
        <v>14972</v>
      </c>
      <c r="J223" s="8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8" t="s">
        <v>4</v>
      </c>
      <c r="E224" s="8" t="s">
        <v>8</v>
      </c>
      <c r="F224" s="8"/>
      <c r="H224" s="8"/>
      <c r="I224" s="8" t="s">
        <v>14975</v>
      </c>
      <c r="J224" s="8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8" t="s">
        <v>1539</v>
      </c>
      <c r="E225" s="8"/>
      <c r="F225" s="8"/>
      <c r="H225" s="8"/>
      <c r="I225" s="8" t="s">
        <v>14978</v>
      </c>
      <c r="J225" s="8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8" t="s">
        <v>4</v>
      </c>
      <c r="E226" s="8" t="s">
        <v>8</v>
      </c>
      <c r="F226" s="8"/>
      <c r="H226" s="8"/>
      <c r="I226" s="8" t="s">
        <v>14981</v>
      </c>
      <c r="J226" s="8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8" t="s">
        <v>1539</v>
      </c>
      <c r="E227" s="8"/>
      <c r="F227" s="8"/>
      <c r="H227" s="8"/>
      <c r="I227" s="8" t="s">
        <v>14984</v>
      </c>
      <c r="J227" s="8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8" t="s">
        <v>1539</v>
      </c>
      <c r="E228" s="8"/>
      <c r="F228" s="8"/>
      <c r="H228" s="8"/>
      <c r="I228" s="8" t="s">
        <v>14987</v>
      </c>
      <c r="J228" s="8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8" t="s">
        <v>4</v>
      </c>
      <c r="E229" s="8" t="s">
        <v>8</v>
      </c>
      <c r="F229" s="8"/>
      <c r="H229" s="8"/>
      <c r="I229" s="8" t="s">
        <v>14990</v>
      </c>
      <c r="J229" s="8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8" t="s">
        <v>4</v>
      </c>
      <c r="E230" s="8" t="s">
        <v>8</v>
      </c>
      <c r="F230" s="8"/>
      <c r="H230" s="8"/>
      <c r="I230" s="8" t="s">
        <v>14993</v>
      </c>
      <c r="J230" s="8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8" t="s">
        <v>7</v>
      </c>
      <c r="E231" s="8"/>
      <c r="F231" s="8"/>
      <c r="H231" s="8"/>
      <c r="I231" s="8" t="s">
        <v>14996</v>
      </c>
      <c r="J231" s="8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8" t="s">
        <v>7</v>
      </c>
      <c r="E232" s="8"/>
      <c r="F232" s="8"/>
      <c r="H232" s="8"/>
      <c r="I232" s="8" t="s">
        <v>14999</v>
      </c>
      <c r="J232" s="8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8" t="s">
        <v>4</v>
      </c>
      <c r="E233" s="8" t="s">
        <v>8</v>
      </c>
      <c r="F233" s="8"/>
      <c r="H233" s="8"/>
      <c r="I233" s="8" t="s">
        <v>15002</v>
      </c>
      <c r="J233" s="8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8" t="s">
        <v>4</v>
      </c>
      <c r="E234" s="8" t="s">
        <v>8</v>
      </c>
      <c r="F234" s="8"/>
      <c r="H234" s="8"/>
      <c r="I234" s="8" t="s">
        <v>16782</v>
      </c>
      <c r="J234" s="8" t="s">
        <v>2395</v>
      </c>
      <c r="K234" t="s">
        <v>16783</v>
      </c>
      <c r="L234" t="s">
        <v>16784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8" t="s">
        <v>7</v>
      </c>
      <c r="E235" s="8"/>
      <c r="F235" s="8"/>
      <c r="H235" s="8"/>
      <c r="I235" s="8" t="s">
        <v>16785</v>
      </c>
      <c r="J235" s="8" t="s">
        <v>2395</v>
      </c>
      <c r="K235" t="s">
        <v>16786</v>
      </c>
      <c r="L235" t="s">
        <v>16787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8" t="s">
        <v>4</v>
      </c>
      <c r="E236" s="8" t="s">
        <v>8</v>
      </c>
      <c r="F236" s="8"/>
      <c r="H236" s="8"/>
      <c r="I236" s="8" t="s">
        <v>16788</v>
      </c>
      <c r="J236" s="8" t="s">
        <v>2395</v>
      </c>
      <c r="K236" t="s">
        <v>16789</v>
      </c>
      <c r="L236" t="s">
        <v>16790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8" t="s">
        <v>4</v>
      </c>
      <c r="E237" s="8" t="s">
        <v>8</v>
      </c>
      <c r="F237" s="8"/>
      <c r="H237" s="8"/>
      <c r="I237" s="8" t="s">
        <v>16791</v>
      </c>
      <c r="J237" s="8" t="s">
        <v>2395</v>
      </c>
      <c r="K237" t="s">
        <v>16792</v>
      </c>
      <c r="L237" t="s">
        <v>16793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8" t="s">
        <v>1607</v>
      </c>
      <c r="E238" s="8" t="s">
        <v>8</v>
      </c>
      <c r="F238" s="8"/>
      <c r="H238" s="8"/>
      <c r="I238" s="8" t="s">
        <v>16794</v>
      </c>
      <c r="J238" s="8" t="s">
        <v>2395</v>
      </c>
      <c r="K238" t="s">
        <v>16795</v>
      </c>
      <c r="L238" t="s">
        <v>16796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8" t="s">
        <v>7</v>
      </c>
      <c r="E239" s="8"/>
      <c r="F239" s="8"/>
      <c r="H239" s="8"/>
      <c r="I239" s="8" t="s">
        <v>16797</v>
      </c>
      <c r="J239" s="8" t="s">
        <v>2395</v>
      </c>
      <c r="K239" t="s">
        <v>16798</v>
      </c>
      <c r="L239" t="s">
        <v>16799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8" t="s">
        <v>4</v>
      </c>
      <c r="E240" s="8" t="s">
        <v>8</v>
      </c>
      <c r="F240" s="8"/>
      <c r="H240" s="8"/>
      <c r="I240" s="8" t="s">
        <v>16800</v>
      </c>
      <c r="J240" s="8" t="s">
        <v>2395</v>
      </c>
      <c r="K240" t="s">
        <v>16801</v>
      </c>
      <c r="L240" t="s">
        <v>16802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8" t="s">
        <v>4</v>
      </c>
      <c r="E241" s="8" t="s">
        <v>8</v>
      </c>
      <c r="F241" s="8"/>
      <c r="H241" s="8"/>
      <c r="I241" s="8" t="s">
        <v>16803</v>
      </c>
      <c r="J241" s="8" t="s">
        <v>2395</v>
      </c>
      <c r="K241" t="s">
        <v>16804</v>
      </c>
      <c r="L241" t="s">
        <v>16805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8" t="s">
        <v>1607</v>
      </c>
      <c r="E242" s="8" t="s">
        <v>8</v>
      </c>
      <c r="F242" s="8"/>
      <c r="H242" s="8"/>
      <c r="I242" s="8" t="s">
        <v>16806</v>
      </c>
      <c r="J242" s="8" t="s">
        <v>2395</v>
      </c>
      <c r="K242" t="s">
        <v>16807</v>
      </c>
      <c r="L242" t="s">
        <v>16808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8" t="s">
        <v>4</v>
      </c>
      <c r="E243" s="8" t="s">
        <v>8</v>
      </c>
      <c r="F243" s="8"/>
      <c r="H243" s="8"/>
      <c r="I243" s="8" t="s">
        <v>17536</v>
      </c>
      <c r="J243" s="8" t="s">
        <v>2395</v>
      </c>
      <c r="K243" t="s">
        <v>17537</v>
      </c>
      <c r="L243" t="s">
        <v>17538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8" t="s">
        <v>588</v>
      </c>
      <c r="E244" s="8" t="s">
        <v>86</v>
      </c>
      <c r="F244" s="8"/>
      <c r="H244" s="8"/>
      <c r="I244" s="8" t="s">
        <v>17539</v>
      </c>
      <c r="J244" s="8" t="s">
        <v>2395</v>
      </c>
      <c r="K244" t="s">
        <v>17540</v>
      </c>
      <c r="L244" t="s">
        <v>17541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8" t="s">
        <v>588</v>
      </c>
      <c r="E245" s="8" t="s">
        <v>86</v>
      </c>
      <c r="F245" s="8"/>
      <c r="H245" s="8"/>
      <c r="I245" s="8" t="s">
        <v>17542</v>
      </c>
      <c r="J245" s="8" t="s">
        <v>2395</v>
      </c>
      <c r="K245" t="s">
        <v>17543</v>
      </c>
      <c r="L245" t="s">
        <v>17544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8" t="s">
        <v>588</v>
      </c>
      <c r="E246" s="8" t="s">
        <v>86</v>
      </c>
      <c r="F246" s="8"/>
      <c r="H246" s="8"/>
      <c r="I246" s="8" t="s">
        <v>17545</v>
      </c>
      <c r="J246" s="8" t="s">
        <v>2395</v>
      </c>
      <c r="K246" t="s">
        <v>17546</v>
      </c>
      <c r="L246" t="s">
        <v>17547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8" t="s">
        <v>588</v>
      </c>
      <c r="E247" s="8" t="s">
        <v>86</v>
      </c>
      <c r="F247" s="8"/>
      <c r="H247" s="8"/>
      <c r="I247" s="8" t="s">
        <v>17548</v>
      </c>
      <c r="J247" s="8" t="s">
        <v>2395</v>
      </c>
      <c r="K247" t="s">
        <v>17549</v>
      </c>
      <c r="L247" t="s">
        <v>17550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8" t="s">
        <v>588</v>
      </c>
      <c r="E248" s="8" t="s">
        <v>86</v>
      </c>
      <c r="F248" s="8"/>
      <c r="H248" s="8"/>
      <c r="I248" s="8" t="s">
        <v>17551</v>
      </c>
      <c r="J248" s="8" t="s">
        <v>2395</v>
      </c>
      <c r="K248" t="s">
        <v>17552</v>
      </c>
      <c r="L248" t="s">
        <v>17553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8" t="s">
        <v>1539</v>
      </c>
      <c r="E249" s="8"/>
      <c r="F249" s="8"/>
      <c r="H249" s="8"/>
      <c r="I249" s="8" t="s">
        <v>17554</v>
      </c>
      <c r="J249" s="8" t="s">
        <v>2395</v>
      </c>
      <c r="K249" t="s">
        <v>17555</v>
      </c>
      <c r="L249" t="s">
        <v>17556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8" t="s">
        <v>1539</v>
      </c>
      <c r="E250" s="8"/>
      <c r="F250" s="8"/>
      <c r="H250" s="8"/>
      <c r="I250" s="8" t="s">
        <v>17557</v>
      </c>
      <c r="J250" s="8" t="s">
        <v>2395</v>
      </c>
      <c r="K250" t="s">
        <v>17558</v>
      </c>
      <c r="L250" t="s">
        <v>17559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8" t="s">
        <v>1539</v>
      </c>
      <c r="E251" s="8"/>
      <c r="F251" s="8"/>
      <c r="H251" s="8"/>
      <c r="I251" s="8" t="s">
        <v>17560</v>
      </c>
      <c r="J251" s="8" t="s">
        <v>2395</v>
      </c>
      <c r="K251" t="s">
        <v>17561</v>
      </c>
      <c r="L251" t="s">
        <v>17562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8" t="s">
        <v>1539</v>
      </c>
      <c r="E252" s="8"/>
      <c r="F252" s="8"/>
      <c r="H252" s="8"/>
      <c r="I252" s="8" t="s">
        <v>17563</v>
      </c>
      <c r="J252" s="8" t="s">
        <v>2395</v>
      </c>
      <c r="K252" t="s">
        <v>17564</v>
      </c>
      <c r="L252" t="s">
        <v>17565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8" t="s">
        <v>4</v>
      </c>
      <c r="E253" s="8" t="s">
        <v>8</v>
      </c>
      <c r="F253" s="8"/>
      <c r="H253" s="8"/>
      <c r="I253" s="8" t="s">
        <v>17566</v>
      </c>
      <c r="J253" s="8" t="s">
        <v>2395</v>
      </c>
      <c r="K253" t="s">
        <v>17567</v>
      </c>
      <c r="L253" t="s">
        <v>17568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8" t="s">
        <v>4</v>
      </c>
      <c r="E254" s="8" t="s">
        <v>8</v>
      </c>
      <c r="F254" s="8"/>
      <c r="H254" s="8"/>
      <c r="I254" s="8" t="s">
        <v>17956</v>
      </c>
      <c r="J254" s="8" t="s">
        <v>2395</v>
      </c>
      <c r="K254" t="s">
        <v>17957</v>
      </c>
      <c r="L254" t="s">
        <v>17958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8" t="s">
        <v>588</v>
      </c>
      <c r="E255" s="8" t="s">
        <v>86</v>
      </c>
      <c r="F255" s="8"/>
      <c r="H255" s="8"/>
      <c r="I255" s="8" t="s">
        <v>17959</v>
      </c>
      <c r="J255" s="8" t="s">
        <v>2395</v>
      </c>
      <c r="K255" t="s">
        <v>17960</v>
      </c>
      <c r="L255" t="s">
        <v>17961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8" t="s">
        <v>588</v>
      </c>
      <c r="E256" s="8" t="s">
        <v>86</v>
      </c>
      <c r="F256" s="8"/>
      <c r="H256" s="8"/>
      <c r="I256" s="8" t="s">
        <v>17962</v>
      </c>
      <c r="J256" s="8" t="s">
        <v>2395</v>
      </c>
      <c r="K256" t="s">
        <v>17963</v>
      </c>
      <c r="L256" t="s">
        <v>17964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8" t="s">
        <v>16677</v>
      </c>
      <c r="E257" s="8" t="s">
        <v>86</v>
      </c>
      <c r="F257" s="8"/>
      <c r="H257" s="8"/>
      <c r="I257" s="8" t="s">
        <v>17965</v>
      </c>
      <c r="J257" s="8" t="s">
        <v>2395</v>
      </c>
      <c r="K257" t="s">
        <v>17966</v>
      </c>
      <c r="L257" t="s">
        <v>17967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8" t="s">
        <v>16677</v>
      </c>
      <c r="E258" s="8" t="s">
        <v>86</v>
      </c>
      <c r="F258" s="8"/>
      <c r="H258" s="8"/>
      <c r="I258" s="8" t="s">
        <v>17968</v>
      </c>
      <c r="J258" s="8" t="s">
        <v>2395</v>
      </c>
      <c r="K258" t="s">
        <v>17969</v>
      </c>
      <c r="L258" t="s">
        <v>17970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8" t="s">
        <v>4</v>
      </c>
      <c r="E259" s="8" t="s">
        <v>8</v>
      </c>
      <c r="F259" s="8"/>
      <c r="H259" s="8"/>
      <c r="I259" s="8" t="s">
        <v>17971</v>
      </c>
      <c r="J259" s="8" t="s">
        <v>2395</v>
      </c>
      <c r="K259" t="s">
        <v>17972</v>
      </c>
      <c r="L259" t="s">
        <v>17973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s="8" t="s">
        <v>4</v>
      </c>
      <c r="E260" s="8" t="s">
        <v>8</v>
      </c>
      <c r="F260" s="8"/>
      <c r="H260" s="8"/>
      <c r="I260" s="8" t="s">
        <v>18411</v>
      </c>
      <c r="J260" s="8" t="s">
        <v>2395</v>
      </c>
      <c r="K260" t="s">
        <v>18412</v>
      </c>
      <c r="L260" t="s">
        <v>18413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s="8" t="s">
        <v>7354</v>
      </c>
      <c r="E261" s="8" t="s">
        <v>1274</v>
      </c>
      <c r="F261" s="8"/>
      <c r="H261" s="8"/>
      <c r="I261" s="8" t="s">
        <v>18414</v>
      </c>
      <c r="J261" s="8" t="s">
        <v>2395</v>
      </c>
      <c r="K261" t="s">
        <v>18415</v>
      </c>
      <c r="L261" t="s">
        <v>18416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s="8" t="s">
        <v>4</v>
      </c>
      <c r="E262" s="8" t="s">
        <v>8</v>
      </c>
      <c r="F262" s="8"/>
      <c r="H262" s="8"/>
      <c r="I262" s="8" t="s">
        <v>18417</v>
      </c>
      <c r="J262" s="8" t="s">
        <v>2395</v>
      </c>
      <c r="K262" t="s">
        <v>18418</v>
      </c>
      <c r="L262" t="s">
        <v>18419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s="8" t="s">
        <v>4</v>
      </c>
      <c r="E263" s="8" t="s">
        <v>8</v>
      </c>
      <c r="F263" s="8"/>
      <c r="H263" s="8"/>
      <c r="I263" s="8" t="s">
        <v>18940</v>
      </c>
      <c r="J263" s="8" t="s">
        <v>2395</v>
      </c>
      <c r="K263" t="s">
        <v>18941</v>
      </c>
      <c r="L263" t="s">
        <v>18942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s="8" t="s">
        <v>1273</v>
      </c>
      <c r="E264" s="8" t="s">
        <v>19391</v>
      </c>
      <c r="F264" s="8"/>
      <c r="H264" s="8"/>
      <c r="I264" s="8" t="s">
        <v>18943</v>
      </c>
      <c r="J264" s="8" t="s">
        <v>2395</v>
      </c>
      <c r="K264" t="s">
        <v>18944</v>
      </c>
      <c r="L264" t="s">
        <v>18945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s="8" t="s">
        <v>227</v>
      </c>
      <c r="E265" s="8" t="s">
        <v>19391</v>
      </c>
      <c r="F265" s="8" t="s">
        <v>60</v>
      </c>
      <c r="H265" s="8"/>
      <c r="I265" s="8" t="s">
        <v>18946</v>
      </c>
      <c r="J265" s="8" t="s">
        <v>2395</v>
      </c>
      <c r="K265" t="s">
        <v>18947</v>
      </c>
      <c r="L265" t="s">
        <v>18948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s="8" t="s">
        <v>227</v>
      </c>
      <c r="E266" s="8" t="s">
        <v>19391</v>
      </c>
      <c r="F266" s="8" t="s">
        <v>60</v>
      </c>
      <c r="H266" s="8" t="s">
        <v>2352</v>
      </c>
      <c r="I266" s="8" t="s">
        <v>18949</v>
      </c>
      <c r="J266" s="8" t="s">
        <v>2395</v>
      </c>
      <c r="K266" t="s">
        <v>18950</v>
      </c>
      <c r="L266" t="s">
        <v>18951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s="8" t="s">
        <v>227</v>
      </c>
      <c r="E267" s="8" t="s">
        <v>19391</v>
      </c>
      <c r="F267" s="8" t="s">
        <v>60</v>
      </c>
      <c r="H267" s="8" t="s">
        <v>2352</v>
      </c>
      <c r="I267" s="8" t="s">
        <v>18952</v>
      </c>
      <c r="J267" s="8" t="s">
        <v>2395</v>
      </c>
      <c r="K267" t="s">
        <v>18953</v>
      </c>
      <c r="L267" t="s">
        <v>18954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s="8" t="s">
        <v>227</v>
      </c>
      <c r="E268" s="8" t="s">
        <v>19391</v>
      </c>
      <c r="F268" s="8" t="s">
        <v>60</v>
      </c>
      <c r="H268" s="8" t="s">
        <v>2352</v>
      </c>
      <c r="I268" s="8" t="s">
        <v>18955</v>
      </c>
      <c r="J268" s="8" t="s">
        <v>2395</v>
      </c>
      <c r="K268" t="s">
        <v>18956</v>
      </c>
      <c r="L268" t="s">
        <v>18957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s="8" t="s">
        <v>227</v>
      </c>
      <c r="E269" s="8" t="s">
        <v>19391</v>
      </c>
      <c r="F269" s="8" t="s">
        <v>60</v>
      </c>
      <c r="H269" s="8" t="s">
        <v>2352</v>
      </c>
      <c r="I269" s="8" t="s">
        <v>18958</v>
      </c>
      <c r="J269" s="8" t="s">
        <v>2395</v>
      </c>
      <c r="K269" t="s">
        <v>18959</v>
      </c>
      <c r="L269" t="s">
        <v>18960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s="8" t="s">
        <v>227</v>
      </c>
      <c r="E270" s="8" t="s">
        <v>19391</v>
      </c>
      <c r="F270" s="8" t="s">
        <v>60</v>
      </c>
      <c r="H270" s="8" t="s">
        <v>2352</v>
      </c>
      <c r="I270" s="8" t="s">
        <v>18961</v>
      </c>
      <c r="J270" s="8" t="s">
        <v>2395</v>
      </c>
      <c r="K270" t="s">
        <v>18962</v>
      </c>
      <c r="L270" t="s">
        <v>18963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s="8" t="s">
        <v>227</v>
      </c>
      <c r="E271" s="8" t="s">
        <v>19391</v>
      </c>
      <c r="F271" s="8" t="s">
        <v>60</v>
      </c>
      <c r="H271" s="8" t="s">
        <v>2352</v>
      </c>
      <c r="I271" s="8" t="s">
        <v>18964</v>
      </c>
      <c r="J271" s="8" t="s">
        <v>2395</v>
      </c>
      <c r="K271" t="s">
        <v>18965</v>
      </c>
      <c r="L271" t="s">
        <v>18966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s="8" t="s">
        <v>227</v>
      </c>
      <c r="E272" s="8" t="s">
        <v>19391</v>
      </c>
      <c r="F272" s="8" t="s">
        <v>60</v>
      </c>
      <c r="H272" s="8" t="s">
        <v>2352</v>
      </c>
      <c r="I272" s="8" t="s">
        <v>18967</v>
      </c>
      <c r="J272" s="8" t="s">
        <v>2395</v>
      </c>
      <c r="K272" t="s">
        <v>18968</v>
      </c>
      <c r="L272" t="s">
        <v>18969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s="8" t="s">
        <v>227</v>
      </c>
      <c r="E273" s="8" t="s">
        <v>19391</v>
      </c>
      <c r="F273" s="8" t="s">
        <v>60</v>
      </c>
      <c r="H273" s="8" t="s">
        <v>2352</v>
      </c>
      <c r="I273" s="8" t="s">
        <v>18970</v>
      </c>
      <c r="J273" s="8" t="s">
        <v>2395</v>
      </c>
      <c r="K273" t="s">
        <v>18971</v>
      </c>
      <c r="L273" t="s">
        <v>18972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s="8" t="s">
        <v>227</v>
      </c>
      <c r="E274" s="8" t="s">
        <v>19391</v>
      </c>
      <c r="F274" s="8" t="s">
        <v>60</v>
      </c>
      <c r="H274" s="8" t="s">
        <v>2352</v>
      </c>
      <c r="I274" s="8" t="s">
        <v>18973</v>
      </c>
      <c r="J274" s="8" t="s">
        <v>2395</v>
      </c>
      <c r="K274" t="s">
        <v>18974</v>
      </c>
      <c r="L274" t="s">
        <v>18975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s="8" t="s">
        <v>227</v>
      </c>
      <c r="E275" s="8" t="s">
        <v>19391</v>
      </c>
      <c r="F275" s="8" t="s">
        <v>60</v>
      </c>
      <c r="H275" s="8" t="s">
        <v>2352</v>
      </c>
      <c r="I275" s="8" t="s">
        <v>18976</v>
      </c>
      <c r="J275" s="8" t="s">
        <v>2395</v>
      </c>
      <c r="K275" t="s">
        <v>18977</v>
      </c>
      <c r="L275" t="s">
        <v>18978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s="8" t="s">
        <v>227</v>
      </c>
      <c r="E276" s="8" t="s">
        <v>19391</v>
      </c>
      <c r="F276" s="8" t="s">
        <v>60</v>
      </c>
      <c r="H276" s="8" t="s">
        <v>2352</v>
      </c>
      <c r="I276" s="8" t="s">
        <v>18979</v>
      </c>
      <c r="J276" s="8" t="s">
        <v>2395</v>
      </c>
      <c r="K276" t="s">
        <v>18980</v>
      </c>
      <c r="L276" t="s">
        <v>18981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s="8" t="s">
        <v>227</v>
      </c>
      <c r="E277" s="8" t="s">
        <v>19391</v>
      </c>
      <c r="F277" s="8" t="s">
        <v>60</v>
      </c>
      <c r="H277" s="8" t="s">
        <v>2352</v>
      </c>
      <c r="I277" s="8" t="s">
        <v>18982</v>
      </c>
      <c r="J277" s="8" t="s">
        <v>2395</v>
      </c>
      <c r="K277" t="s">
        <v>18983</v>
      </c>
      <c r="L277" t="s">
        <v>18984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s="8" t="s">
        <v>227</v>
      </c>
      <c r="E278" s="8" t="s">
        <v>19391</v>
      </c>
      <c r="F278" s="8" t="s">
        <v>60</v>
      </c>
      <c r="H278" s="8" t="s">
        <v>2352</v>
      </c>
      <c r="I278" s="8" t="s">
        <v>18985</v>
      </c>
      <c r="J278" s="8" t="s">
        <v>2395</v>
      </c>
      <c r="K278" t="s">
        <v>18986</v>
      </c>
      <c r="L278" t="s">
        <v>18987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s="8" t="s">
        <v>227</v>
      </c>
      <c r="E279" s="8" t="s">
        <v>19391</v>
      </c>
      <c r="F279" s="8" t="s">
        <v>60</v>
      </c>
      <c r="H279" s="8" t="s">
        <v>2352</v>
      </c>
      <c r="I279" s="8" t="s">
        <v>18988</v>
      </c>
      <c r="J279" s="8" t="s">
        <v>2395</v>
      </c>
      <c r="K279" t="s">
        <v>18989</v>
      </c>
      <c r="L279" t="s">
        <v>18990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s="8" t="s">
        <v>227</v>
      </c>
      <c r="E280" s="8" t="s">
        <v>19391</v>
      </c>
      <c r="F280" s="8" t="s">
        <v>60</v>
      </c>
      <c r="H280" s="8" t="s">
        <v>2352</v>
      </c>
      <c r="I280" s="8" t="s">
        <v>18991</v>
      </c>
      <c r="J280" s="8" t="s">
        <v>2395</v>
      </c>
      <c r="K280" t="s">
        <v>18992</v>
      </c>
      <c r="L280" t="s">
        <v>18993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s="8" t="s">
        <v>227</v>
      </c>
      <c r="E281" s="8" t="s">
        <v>19391</v>
      </c>
      <c r="F281" s="8" t="s">
        <v>60</v>
      </c>
      <c r="H281" s="8" t="s">
        <v>2352</v>
      </c>
      <c r="I281" s="8" t="s">
        <v>18994</v>
      </c>
      <c r="J281" s="8" t="s">
        <v>2395</v>
      </c>
      <c r="K281" t="s">
        <v>18995</v>
      </c>
      <c r="L281" t="s">
        <v>18996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s="8" t="s">
        <v>227</v>
      </c>
      <c r="E282" s="8" t="s">
        <v>19391</v>
      </c>
      <c r="F282" s="8" t="s">
        <v>60</v>
      </c>
      <c r="H282" s="8" t="s">
        <v>2352</v>
      </c>
      <c r="I282" s="8" t="s">
        <v>18997</v>
      </c>
      <c r="J282" s="8" t="s">
        <v>2395</v>
      </c>
      <c r="K282" t="s">
        <v>18998</v>
      </c>
      <c r="L282" t="s">
        <v>18999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s="8" t="s">
        <v>227</v>
      </c>
      <c r="E283" s="8" t="s">
        <v>19391</v>
      </c>
      <c r="F283" s="8" t="s">
        <v>60</v>
      </c>
      <c r="H283" s="8" t="s">
        <v>2352</v>
      </c>
      <c r="I283" s="8" t="s">
        <v>19000</v>
      </c>
      <c r="J283" s="8" t="s">
        <v>2395</v>
      </c>
      <c r="K283" t="s">
        <v>19001</v>
      </c>
      <c r="L283" t="s">
        <v>19002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s="8" t="s">
        <v>227</v>
      </c>
      <c r="E284" s="8" t="s">
        <v>19391</v>
      </c>
      <c r="F284" s="8" t="s">
        <v>60</v>
      </c>
      <c r="H284" s="8" t="s">
        <v>2352</v>
      </c>
      <c r="I284" s="8" t="s">
        <v>19003</v>
      </c>
      <c r="J284" s="8" t="s">
        <v>2395</v>
      </c>
      <c r="K284" t="s">
        <v>19004</v>
      </c>
      <c r="L284" t="s">
        <v>19005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s="8" t="s">
        <v>227</v>
      </c>
      <c r="E285" s="8" t="s">
        <v>19391</v>
      </c>
      <c r="F285" s="8" t="s">
        <v>60</v>
      </c>
      <c r="H285" s="8" t="s">
        <v>2352</v>
      </c>
      <c r="I285" s="8" t="s">
        <v>19006</v>
      </c>
      <c r="J285" s="8" t="s">
        <v>2395</v>
      </c>
      <c r="K285" t="s">
        <v>19007</v>
      </c>
      <c r="L285" t="s">
        <v>19008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s="8" t="s">
        <v>227</v>
      </c>
      <c r="E286" s="8" t="s">
        <v>19391</v>
      </c>
      <c r="F286" s="8" t="s">
        <v>60</v>
      </c>
      <c r="H286" s="8" t="s">
        <v>2352</v>
      </c>
      <c r="I286" s="8" t="s">
        <v>19009</v>
      </c>
      <c r="J286" s="8" t="s">
        <v>2395</v>
      </c>
      <c r="K286" t="s">
        <v>19010</v>
      </c>
      <c r="L286" t="s">
        <v>19011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s="8" t="s">
        <v>227</v>
      </c>
      <c r="E287" s="8" t="s">
        <v>19391</v>
      </c>
      <c r="F287" s="8" t="s">
        <v>60</v>
      </c>
      <c r="H287" s="8" t="s">
        <v>2352</v>
      </c>
      <c r="I287" s="8" t="s">
        <v>19012</v>
      </c>
      <c r="J287" s="8" t="s">
        <v>2395</v>
      </c>
      <c r="K287" t="s">
        <v>19013</v>
      </c>
      <c r="L287" t="s">
        <v>19014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s="8" t="s">
        <v>227</v>
      </c>
      <c r="E288" s="8" t="s">
        <v>19391</v>
      </c>
      <c r="F288" s="8" t="s">
        <v>60</v>
      </c>
      <c r="H288" s="8" t="s">
        <v>2352</v>
      </c>
      <c r="I288" s="8" t="s">
        <v>19015</v>
      </c>
      <c r="J288" s="8" t="s">
        <v>2395</v>
      </c>
      <c r="K288" t="s">
        <v>19016</v>
      </c>
      <c r="L288" t="s">
        <v>19017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s="8" t="s">
        <v>19395</v>
      </c>
      <c r="E289" s="8" t="s">
        <v>86</v>
      </c>
      <c r="F289" s="8"/>
      <c r="H289" s="8"/>
      <c r="I289" s="8" t="s">
        <v>19018</v>
      </c>
      <c r="J289" s="8" t="s">
        <v>2395</v>
      </c>
      <c r="K289" t="s">
        <v>19019</v>
      </c>
      <c r="L289" t="s">
        <v>19020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s="8" t="s">
        <v>19395</v>
      </c>
      <c r="E290" s="8" t="s">
        <v>86</v>
      </c>
      <c r="F290" s="8"/>
      <c r="H290" s="8"/>
      <c r="I290" s="8" t="s">
        <v>19021</v>
      </c>
      <c r="J290" s="8" t="s">
        <v>2395</v>
      </c>
      <c r="K290" t="s">
        <v>19022</v>
      </c>
      <c r="L290" t="s">
        <v>19023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s="8" t="s">
        <v>19395</v>
      </c>
      <c r="E291" s="8" t="s">
        <v>86</v>
      </c>
      <c r="F291" s="8"/>
      <c r="H291" s="8"/>
      <c r="I291" s="8" t="s">
        <v>19024</v>
      </c>
      <c r="J291" s="8" t="s">
        <v>2395</v>
      </c>
      <c r="K291" t="s">
        <v>19025</v>
      </c>
      <c r="L291" t="s">
        <v>19026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s="8" t="s">
        <v>4</v>
      </c>
      <c r="E292" s="8" t="s">
        <v>8</v>
      </c>
      <c r="F292" s="8"/>
      <c r="H292" s="8"/>
      <c r="I292" s="8" t="s">
        <v>19027</v>
      </c>
      <c r="J292" s="8" t="s">
        <v>2395</v>
      </c>
      <c r="K292" t="s">
        <v>19028</v>
      </c>
      <c r="L292" t="s">
        <v>19029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s="8" t="s">
        <v>7365</v>
      </c>
      <c r="E293" s="8" t="s">
        <v>86</v>
      </c>
      <c r="F293" s="8"/>
      <c r="H293" s="8"/>
      <c r="I293" s="8" t="s">
        <v>19030</v>
      </c>
      <c r="J293" s="8" t="s">
        <v>2395</v>
      </c>
      <c r="K293" t="s">
        <v>19031</v>
      </c>
      <c r="L293" t="s">
        <v>19032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s="8" t="s">
        <v>19396</v>
      </c>
      <c r="E294" s="8" t="s">
        <v>19391</v>
      </c>
      <c r="F294" s="8"/>
      <c r="H294" s="8"/>
      <c r="I294" s="8" t="s">
        <v>19033</v>
      </c>
      <c r="J294" s="8" t="s">
        <v>2395</v>
      </c>
      <c r="K294" t="s">
        <v>19034</v>
      </c>
      <c r="L294" t="s">
        <v>19035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s="8" t="s">
        <v>7365</v>
      </c>
      <c r="E295" s="8" t="s">
        <v>86</v>
      </c>
      <c r="F295" s="8"/>
      <c r="H295" s="8"/>
      <c r="I295" s="8" t="s">
        <v>19036</v>
      </c>
      <c r="J295" s="8" t="s">
        <v>2395</v>
      </c>
      <c r="K295" t="s">
        <v>19037</v>
      </c>
      <c r="L295" t="s">
        <v>19038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s="8" t="s">
        <v>19396</v>
      </c>
      <c r="E296" s="8" t="s">
        <v>19391</v>
      </c>
      <c r="F296" s="8"/>
      <c r="H296" s="8"/>
      <c r="I296" s="8" t="s">
        <v>19039</v>
      </c>
      <c r="J296" s="8" t="s">
        <v>2395</v>
      </c>
      <c r="K296" t="s">
        <v>19040</v>
      </c>
      <c r="L296" t="s">
        <v>19041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s="8" t="s">
        <v>7365</v>
      </c>
      <c r="E297" s="8" t="s">
        <v>86</v>
      </c>
      <c r="F297" s="8"/>
      <c r="H297" s="8"/>
      <c r="I297" s="8" t="s">
        <v>19042</v>
      </c>
      <c r="J297" s="8" t="s">
        <v>2395</v>
      </c>
      <c r="K297" t="s">
        <v>19043</v>
      </c>
      <c r="L297" t="s">
        <v>19044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s="8" t="s">
        <v>19396</v>
      </c>
      <c r="E298" s="8" t="s">
        <v>19391</v>
      </c>
      <c r="F298" s="8"/>
      <c r="H298" s="8"/>
      <c r="I298" s="8" t="s">
        <v>19045</v>
      </c>
      <c r="J298" s="8" t="s">
        <v>2395</v>
      </c>
      <c r="K298" t="s">
        <v>19046</v>
      </c>
      <c r="L298" t="s">
        <v>19047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s="8" t="s">
        <v>7365</v>
      </c>
      <c r="E299" s="8" t="s">
        <v>86</v>
      </c>
      <c r="F299" s="8"/>
      <c r="H299" s="8"/>
      <c r="I299" s="8" t="s">
        <v>19048</v>
      </c>
      <c r="J299" s="8" t="s">
        <v>2395</v>
      </c>
      <c r="K299" t="s">
        <v>19049</v>
      </c>
      <c r="L299" t="s">
        <v>19050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s="8" t="s">
        <v>19396</v>
      </c>
      <c r="E300" s="8" t="s">
        <v>19391</v>
      </c>
      <c r="F300" s="8"/>
      <c r="H300" s="8"/>
      <c r="I300" s="8" t="s">
        <v>19051</v>
      </c>
      <c r="J300" s="8" t="s">
        <v>2395</v>
      </c>
      <c r="K300" t="s">
        <v>19052</v>
      </c>
      <c r="L300" t="s">
        <v>19053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s="8" t="s">
        <v>3397</v>
      </c>
      <c r="E301" s="8"/>
      <c r="F301" s="8"/>
      <c r="H301" s="8"/>
      <c r="I301" s="8" t="s">
        <v>19054</v>
      </c>
      <c r="J301" s="8" t="s">
        <v>2395</v>
      </c>
      <c r="K301" t="s">
        <v>19055</v>
      </c>
      <c r="L301" t="s">
        <v>19056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s="8" t="s">
        <v>587</v>
      </c>
      <c r="E302" s="8" t="s">
        <v>19391</v>
      </c>
      <c r="F302" s="8"/>
      <c r="H302" s="8"/>
      <c r="I302" s="8" t="s">
        <v>19057</v>
      </c>
      <c r="J302" s="8" t="s">
        <v>2395</v>
      </c>
      <c r="K302" t="s">
        <v>19058</v>
      </c>
      <c r="L302" t="s">
        <v>19059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s="8" t="s">
        <v>588</v>
      </c>
      <c r="E303" s="8" t="s">
        <v>19397</v>
      </c>
      <c r="F303" s="8"/>
      <c r="H303" s="8"/>
      <c r="I303" s="8" t="s">
        <v>19060</v>
      </c>
      <c r="J303" s="8" t="s">
        <v>2395</v>
      </c>
      <c r="K303" t="s">
        <v>19061</v>
      </c>
      <c r="L303" t="s">
        <v>19062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s="8" t="s">
        <v>588</v>
      </c>
      <c r="E304" s="8" t="s">
        <v>19397</v>
      </c>
      <c r="F304" s="8"/>
      <c r="H304" s="8"/>
      <c r="I304" s="8" t="s">
        <v>19063</v>
      </c>
      <c r="J304" s="8" t="s">
        <v>2395</v>
      </c>
      <c r="K304" t="s">
        <v>19064</v>
      </c>
      <c r="L304" t="s">
        <v>19065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s="8" t="s">
        <v>588</v>
      </c>
      <c r="E305" s="8" t="s">
        <v>19397</v>
      </c>
      <c r="F305" s="8"/>
      <c r="H305" s="8"/>
      <c r="I305" s="8" t="s">
        <v>19066</v>
      </c>
      <c r="J305" s="8" t="s">
        <v>2395</v>
      </c>
      <c r="K305" t="s">
        <v>19067</v>
      </c>
      <c r="L305" t="s">
        <v>19068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s="8" t="s">
        <v>1539</v>
      </c>
      <c r="E306" s="8"/>
      <c r="F306" s="8"/>
      <c r="H306" s="8"/>
      <c r="I306" s="8" t="s">
        <v>19069</v>
      </c>
      <c r="J306" s="8" t="s">
        <v>2395</v>
      </c>
      <c r="K306" t="s">
        <v>19070</v>
      </c>
      <c r="L306" t="s">
        <v>19071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s="8" t="s">
        <v>1539</v>
      </c>
      <c r="E307" s="8"/>
      <c r="F307" s="8"/>
      <c r="H307" s="8"/>
      <c r="I307" s="8" t="s">
        <v>19072</v>
      </c>
      <c r="J307" s="8" t="s">
        <v>2395</v>
      </c>
      <c r="K307" t="s">
        <v>19073</v>
      </c>
      <c r="L307" t="s">
        <v>19074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s="8" t="s">
        <v>4</v>
      </c>
      <c r="E308" s="8" t="s">
        <v>8</v>
      </c>
      <c r="F308" s="8"/>
      <c r="H308" s="8"/>
      <c r="I308" s="8" t="s">
        <v>19075</v>
      </c>
      <c r="J308" s="8" t="s">
        <v>2395</v>
      </c>
      <c r="K308" t="s">
        <v>19076</v>
      </c>
      <c r="L308" t="s">
        <v>19077</v>
      </c>
      <c r="M308" s="2" t="str">
        <f>HYPERLINK(склад2въезд131920[[#This Row],[RelativePath]])</f>
        <v>6 Площадка 1 общага\826398429_1_20260313T190544Z.jpg</v>
      </c>
    </row>
  </sheetData>
  <conditionalFormatting sqref="D309:D319 E309:E322 G2:H308 D2:E308">
    <cfRule type="containsText" dxfId="805" priority="14" operator="containsText" text="Выезд с территории">
      <formula>NOT(ISERROR(SEARCH("Выезд с территории",D2)))</formula>
    </cfRule>
  </conditionalFormatting>
  <conditionalFormatting sqref="F2:F308">
    <cfRule type="notContainsText" dxfId="804" priority="13" operator="notContains" text="порожний">
      <formula>ISERROR(SEARCH("порожний",F2))</formula>
    </cfRule>
  </conditionalFormatting>
  <conditionalFormatting sqref="E2:E322">
    <cfRule type="containsText" dxfId="803" priority="11" operator="containsText" text="Газель базы">
      <formula>NOT(ISERROR(SEARCH("Газель базы",E2)))</formula>
    </cfRule>
    <cfRule type="containsText" dxfId="802" priority="12" operator="containsText" text="Погрузчик базы">
      <formula>NOT(ISERROR(SEARCH("Погрузчик базы",E2)))</formula>
    </cfRule>
  </conditionalFormatting>
  <conditionalFormatting sqref="E2:E322">
    <cfRule type="containsText" dxfId="801" priority="10" operator="containsText" text="Трактор базы">
      <formula>NOT(ISERROR(SEARCH("Трактор базы",E2)))</formula>
    </cfRule>
  </conditionalFormatting>
  <conditionalFormatting sqref="A2:C308">
    <cfRule type="expression" dxfId="800" priority="9">
      <formula>$A2="пн"</formula>
    </cfRule>
  </conditionalFormatting>
  <conditionalFormatting sqref="A2:C310">
    <cfRule type="expression" dxfId="799" priority="3">
      <formula>$A2="вс"</formula>
    </cfRule>
    <cfRule type="expression" dxfId="798" priority="4">
      <formula>$A2="сб"</formula>
    </cfRule>
    <cfRule type="expression" dxfId="797" priority="5">
      <formula>$A2="пт"</formula>
    </cfRule>
    <cfRule type="expression" dxfId="796" priority="6">
      <formula>$A2="чт"</formula>
    </cfRule>
    <cfRule type="expression" dxfId="795" priority="7">
      <formula>$A2="ср"</formula>
    </cfRule>
    <cfRule type="expression" dxfId="794" priority="8">
      <formula>$A2="вт"</formula>
    </cfRule>
  </conditionalFormatting>
  <conditionalFormatting sqref="D2:D319">
    <cfRule type="containsText" dxfId="7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9">
    <cfRule type="containsText" dxfId="7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378"/>
  <sheetViews>
    <sheetView zoomScale="90" zoomScaleNormal="90" workbookViewId="0">
      <pane ySplit="1" topLeftCell="A359" activePane="bottomLeft" state="frozen"/>
      <selection pane="bottomLeft" activeCell="I376" sqref="I376:I37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472</v>
      </c>
      <c r="J2" s="8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8" t="s">
        <v>4</v>
      </c>
      <c r="E3" s="8" t="s">
        <v>11</v>
      </c>
      <c r="F3" s="8"/>
      <c r="H3" s="8"/>
      <c r="I3" s="8" t="s">
        <v>475</v>
      </c>
      <c r="J3" s="8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8" t="s">
        <v>4</v>
      </c>
      <c r="E4" s="8" t="s">
        <v>19</v>
      </c>
      <c r="F4" s="8"/>
      <c r="H4" s="8"/>
      <c r="I4" s="8" t="s">
        <v>478</v>
      </c>
      <c r="J4" s="8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8" t="s">
        <v>4</v>
      </c>
      <c r="E5" s="8" t="s">
        <v>19</v>
      </c>
      <c r="F5" s="8"/>
      <c r="H5" s="8"/>
      <c r="I5" s="8" t="s">
        <v>481</v>
      </c>
      <c r="J5" s="8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484</v>
      </c>
      <c r="J6" s="8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487</v>
      </c>
      <c r="J7" s="8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8" t="s">
        <v>4</v>
      </c>
      <c r="E8" s="8" t="s">
        <v>19</v>
      </c>
      <c r="F8" s="8"/>
      <c r="H8" s="8"/>
      <c r="I8" s="8" t="s">
        <v>490</v>
      </c>
      <c r="J8" s="8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8" t="s">
        <v>4</v>
      </c>
      <c r="E9" s="8" t="s">
        <v>19</v>
      </c>
      <c r="F9" s="8"/>
      <c r="H9" s="8"/>
      <c r="I9" s="8" t="s">
        <v>493</v>
      </c>
      <c r="J9" s="8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8" t="s">
        <v>585</v>
      </c>
      <c r="E10" s="8" t="s">
        <v>86</v>
      </c>
      <c r="F10" s="8" t="s">
        <v>465</v>
      </c>
      <c r="H10" s="8"/>
      <c r="I10" s="8" t="s">
        <v>496</v>
      </c>
      <c r="J10" s="8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8" t="s">
        <v>4</v>
      </c>
      <c r="E11" s="8" t="s">
        <v>19</v>
      </c>
      <c r="F11" s="8"/>
      <c r="H11" s="8"/>
      <c r="I11" s="8" t="s">
        <v>499</v>
      </c>
      <c r="J11" s="8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8" t="s">
        <v>136</v>
      </c>
      <c r="E12" s="8" t="s">
        <v>86</v>
      </c>
      <c r="F12" s="8" t="s">
        <v>586</v>
      </c>
      <c r="H12" s="8"/>
      <c r="I12" s="8" t="s">
        <v>502</v>
      </c>
      <c r="J12" s="8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8" t="s">
        <v>227</v>
      </c>
      <c r="E13" s="8" t="s">
        <v>86</v>
      </c>
      <c r="F13" s="8" t="s">
        <v>586</v>
      </c>
      <c r="H13" s="8"/>
      <c r="I13" s="8" t="s">
        <v>505</v>
      </c>
      <c r="J13" s="8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8" t="s">
        <v>226</v>
      </c>
      <c r="E14" s="8" t="s">
        <v>86</v>
      </c>
      <c r="F14" s="8" t="s">
        <v>60</v>
      </c>
      <c r="G14">
        <v>2</v>
      </c>
      <c r="H14" s="8"/>
      <c r="I14" s="8" t="s">
        <v>508</v>
      </c>
      <c r="J14" s="8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8" t="s">
        <v>587</v>
      </c>
      <c r="E15" s="8" t="s">
        <v>86</v>
      </c>
      <c r="F15" s="8" t="s">
        <v>60</v>
      </c>
      <c r="H15" s="8"/>
      <c r="I15" s="8" t="s">
        <v>511</v>
      </c>
      <c r="J15" s="8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8" t="s">
        <v>4</v>
      </c>
      <c r="E16" s="8" t="s">
        <v>12</v>
      </c>
      <c r="F16" s="8"/>
      <c r="H16" s="8"/>
      <c r="I16" s="8" t="s">
        <v>514</v>
      </c>
      <c r="J16" s="8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8" t="s">
        <v>4</v>
      </c>
      <c r="E17" s="8" t="s">
        <v>588</v>
      </c>
      <c r="F17" s="8"/>
      <c r="H17" s="8"/>
      <c r="I17" s="8" t="s">
        <v>517</v>
      </c>
      <c r="J17" s="8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520</v>
      </c>
      <c r="J18" s="8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8" t="s">
        <v>4</v>
      </c>
      <c r="E19" s="8" t="s">
        <v>589</v>
      </c>
      <c r="F19" s="8"/>
      <c r="H19" s="8"/>
      <c r="I19" s="8" t="s">
        <v>523</v>
      </c>
      <c r="J19" s="8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8" t="s">
        <v>4</v>
      </c>
      <c r="E20" s="8" t="s">
        <v>589</v>
      </c>
      <c r="F20" s="8"/>
      <c r="H20" s="8"/>
      <c r="I20" s="8" t="s">
        <v>526</v>
      </c>
      <c r="J20" s="8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8" t="s">
        <v>4</v>
      </c>
      <c r="E21" s="8" t="s">
        <v>7</v>
      </c>
      <c r="F21" s="8"/>
      <c r="H21" s="8"/>
      <c r="I21" s="8" t="s">
        <v>529</v>
      </c>
      <c r="J21" s="8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8" t="s">
        <v>4</v>
      </c>
      <c r="E22" s="8" t="s">
        <v>589</v>
      </c>
      <c r="F22" s="8"/>
      <c r="H22" s="8"/>
      <c r="I22" s="8" t="s">
        <v>532</v>
      </c>
      <c r="J22" s="8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535</v>
      </c>
      <c r="J23" s="8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8" t="s">
        <v>4</v>
      </c>
      <c r="E24" s="8" t="s">
        <v>589</v>
      </c>
      <c r="F24" s="8"/>
      <c r="H24" s="8"/>
      <c r="I24" s="8" t="s">
        <v>538</v>
      </c>
      <c r="J24" s="8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8" t="s">
        <v>4</v>
      </c>
      <c r="E25" s="8" t="s">
        <v>7</v>
      </c>
      <c r="F25" s="8"/>
      <c r="H25" s="8"/>
      <c r="I25" s="8" t="s">
        <v>540</v>
      </c>
      <c r="J25" s="8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8" t="s">
        <v>4</v>
      </c>
      <c r="E26" s="8" t="s">
        <v>7</v>
      </c>
      <c r="F26" s="8"/>
      <c r="H26" s="8"/>
      <c r="I26" s="8" t="s">
        <v>543</v>
      </c>
      <c r="J26" s="8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8" t="s">
        <v>4</v>
      </c>
      <c r="E27" s="8" t="s">
        <v>589</v>
      </c>
      <c r="F27" s="8"/>
      <c r="H27" s="8"/>
      <c r="I27" s="8" t="s">
        <v>546</v>
      </c>
      <c r="J27" s="8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8" t="s">
        <v>4</v>
      </c>
      <c r="E28" s="8" t="s">
        <v>589</v>
      </c>
      <c r="F28" s="8"/>
      <c r="H28" s="8"/>
      <c r="I28" s="8" t="s">
        <v>549</v>
      </c>
      <c r="J28" s="8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552</v>
      </c>
      <c r="J29" s="8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8" t="s">
        <v>4</v>
      </c>
      <c r="E30" s="8" t="s">
        <v>12</v>
      </c>
      <c r="F30" s="8"/>
      <c r="H30" s="8"/>
      <c r="I30" s="8" t="s">
        <v>555</v>
      </c>
      <c r="J30" s="8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8" t="s">
        <v>4</v>
      </c>
      <c r="E31" s="8" t="s">
        <v>11</v>
      </c>
      <c r="F31" s="8"/>
      <c r="H31" s="8"/>
      <c r="I31" s="8" t="s">
        <v>558</v>
      </c>
      <c r="J31" s="8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8" t="s">
        <v>4</v>
      </c>
      <c r="E32" s="8" t="s">
        <v>11</v>
      </c>
      <c r="F32" s="8"/>
      <c r="H32" s="8"/>
      <c r="I32" s="8" t="s">
        <v>561</v>
      </c>
      <c r="J32" s="8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8" t="s">
        <v>226</v>
      </c>
      <c r="E33" s="8" t="s">
        <v>86</v>
      </c>
      <c r="F33" s="8" t="s">
        <v>60</v>
      </c>
      <c r="G33">
        <v>1</v>
      </c>
      <c r="H33" s="8"/>
      <c r="I33" s="8" t="s">
        <v>564</v>
      </c>
      <c r="J33" s="8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8" t="s">
        <v>590</v>
      </c>
      <c r="E34" s="8" t="s">
        <v>86</v>
      </c>
      <c r="F34" s="8" t="s">
        <v>165</v>
      </c>
      <c r="H34" s="8"/>
      <c r="I34" s="8" t="s">
        <v>567</v>
      </c>
      <c r="J34" s="8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8" t="s">
        <v>587</v>
      </c>
      <c r="E35" s="8" t="s">
        <v>86</v>
      </c>
      <c r="F35" s="8" t="s">
        <v>165</v>
      </c>
      <c r="H35" s="8"/>
      <c r="I35" s="8" t="s">
        <v>570</v>
      </c>
      <c r="J35" s="8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8" t="s">
        <v>226</v>
      </c>
      <c r="E36" s="8" t="s">
        <v>86</v>
      </c>
      <c r="F36" s="8" t="s">
        <v>165</v>
      </c>
      <c r="H36" s="8"/>
      <c r="I36" s="8" t="s">
        <v>573</v>
      </c>
      <c r="J36" s="8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8" t="s">
        <v>587</v>
      </c>
      <c r="E37" s="8" t="s">
        <v>86</v>
      </c>
      <c r="F37" s="8" t="s">
        <v>165</v>
      </c>
      <c r="H37" s="8"/>
      <c r="I37" s="8" t="s">
        <v>576</v>
      </c>
      <c r="J37" s="8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8" t="s">
        <v>4</v>
      </c>
      <c r="E38" s="8" t="s">
        <v>11</v>
      </c>
      <c r="F38" s="8"/>
      <c r="H38" s="8"/>
      <c r="I38" s="8" t="s">
        <v>579</v>
      </c>
      <c r="J38" s="8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582</v>
      </c>
      <c r="J39" s="8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8" t="s">
        <v>4</v>
      </c>
      <c r="E40" s="8" t="s">
        <v>8</v>
      </c>
      <c r="F40" s="8"/>
      <c r="H40" s="8"/>
      <c r="I40" s="8" t="s">
        <v>905</v>
      </c>
      <c r="J40" s="8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8" t="s">
        <v>4</v>
      </c>
      <c r="E41" s="8" t="s">
        <v>8</v>
      </c>
      <c r="F41" s="8"/>
      <c r="H41" s="8" t="s">
        <v>1607</v>
      </c>
      <c r="I41" s="8" t="s">
        <v>908</v>
      </c>
      <c r="J41" s="8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8" t="s">
        <v>4</v>
      </c>
      <c r="E42" s="8" t="s">
        <v>8</v>
      </c>
      <c r="F42" s="8"/>
      <c r="H42" s="8"/>
      <c r="I42" s="8" t="s">
        <v>911</v>
      </c>
      <c r="J42" s="8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8" t="s">
        <v>4</v>
      </c>
      <c r="E43" s="8" t="s">
        <v>8</v>
      </c>
      <c r="F43" s="8"/>
      <c r="H43" s="8" t="s">
        <v>1607</v>
      </c>
      <c r="I43" s="8" t="s">
        <v>914</v>
      </c>
      <c r="J43" s="8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8" t="s">
        <v>4</v>
      </c>
      <c r="E44" s="8" t="s">
        <v>8</v>
      </c>
      <c r="F44" s="8"/>
      <c r="H44" s="8"/>
      <c r="I44" s="8" t="s">
        <v>917</v>
      </c>
      <c r="J44" s="8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8" t="s">
        <v>11</v>
      </c>
      <c r="E45" s="8"/>
      <c r="F45" s="8"/>
      <c r="H45" s="8"/>
      <c r="I45" s="8" t="s">
        <v>1741</v>
      </c>
      <c r="J45" s="8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8" t="s">
        <v>11</v>
      </c>
      <c r="E46" s="8"/>
      <c r="F46" s="8"/>
      <c r="H46" s="8"/>
      <c r="I46" s="8" t="s">
        <v>1744</v>
      </c>
      <c r="J46" s="8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8" t="s">
        <v>11</v>
      </c>
      <c r="E47" s="8"/>
      <c r="F47" s="8"/>
      <c r="H47" s="8"/>
      <c r="I47" s="8" t="s">
        <v>1747</v>
      </c>
      <c r="J47" s="8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8" t="s">
        <v>11</v>
      </c>
      <c r="E48" s="8"/>
      <c r="F48" s="8"/>
      <c r="H48" s="8"/>
      <c r="I48" s="8" t="s">
        <v>1750</v>
      </c>
      <c r="J48" s="8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8" t="s">
        <v>11</v>
      </c>
      <c r="E49" s="8"/>
      <c r="F49" s="8"/>
      <c r="H49" s="8"/>
      <c r="I49" s="8" t="s">
        <v>1753</v>
      </c>
      <c r="J49" s="8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8" t="s">
        <v>11</v>
      </c>
      <c r="E50" s="8"/>
      <c r="F50" s="8"/>
      <c r="H50" s="8"/>
      <c r="I50" s="8" t="s">
        <v>1756</v>
      </c>
      <c r="J50" s="8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8" t="s">
        <v>11</v>
      </c>
      <c r="E51" s="8"/>
      <c r="F51" s="8"/>
      <c r="H51" s="8"/>
      <c r="I51" s="8" t="s">
        <v>1759</v>
      </c>
      <c r="J51" s="8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8" t="s">
        <v>11</v>
      </c>
      <c r="E52" s="8"/>
      <c r="F52" s="8"/>
      <c r="H52" s="8"/>
      <c r="I52" s="8" t="s">
        <v>1762</v>
      </c>
      <c r="J52" s="8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8" t="s">
        <v>11</v>
      </c>
      <c r="E53" s="8"/>
      <c r="F53" s="8"/>
      <c r="H53" s="8"/>
      <c r="I53" s="8" t="s">
        <v>1765</v>
      </c>
      <c r="J53" s="8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8" t="s">
        <v>4</v>
      </c>
      <c r="E54" s="8" t="s">
        <v>8</v>
      </c>
      <c r="F54" s="8"/>
      <c r="H54" s="8" t="s">
        <v>1292</v>
      </c>
      <c r="I54" s="8" t="s">
        <v>1768</v>
      </c>
      <c r="J54" s="8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8" t="s">
        <v>11</v>
      </c>
      <c r="E55" s="8"/>
      <c r="F55" s="8"/>
      <c r="H55" s="8"/>
      <c r="I55" s="8" t="s">
        <v>1771</v>
      </c>
      <c r="J55" s="8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8" t="s">
        <v>11</v>
      </c>
      <c r="E56" s="8"/>
      <c r="F56" s="8"/>
      <c r="H56" s="8"/>
      <c r="I56" s="8" t="s">
        <v>1774</v>
      </c>
      <c r="J56" s="8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8" t="s">
        <v>11</v>
      </c>
      <c r="E57" s="8"/>
      <c r="F57" s="8"/>
      <c r="H57" s="8"/>
      <c r="I57" s="8" t="s">
        <v>1777</v>
      </c>
      <c r="J57" s="8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8" t="s">
        <v>11</v>
      </c>
      <c r="E58" s="8"/>
      <c r="F58" s="8"/>
      <c r="H58" s="8"/>
      <c r="I58" s="8" t="s">
        <v>1780</v>
      </c>
      <c r="J58" s="8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8" t="s">
        <v>11</v>
      </c>
      <c r="E59" s="8"/>
      <c r="F59" s="8"/>
      <c r="H59" s="8"/>
      <c r="I59" s="8" t="s">
        <v>1783</v>
      </c>
      <c r="J59" s="8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8" t="s">
        <v>11</v>
      </c>
      <c r="E60" s="8"/>
      <c r="F60" s="8"/>
      <c r="H60" s="8"/>
      <c r="I60" s="8" t="s">
        <v>1786</v>
      </c>
      <c r="J60" s="8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8" t="s">
        <v>11</v>
      </c>
      <c r="E61" s="8"/>
      <c r="F61" s="8"/>
      <c r="H61" s="8"/>
      <c r="I61" s="8" t="s">
        <v>1789</v>
      </c>
      <c r="J61" s="8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8" t="s">
        <v>11</v>
      </c>
      <c r="E62" s="8"/>
      <c r="F62" s="8"/>
      <c r="H62" s="8"/>
      <c r="I62" s="8" t="s">
        <v>1792</v>
      </c>
      <c r="J62" s="8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8" t="s">
        <v>11</v>
      </c>
      <c r="E63" s="8"/>
      <c r="F63" s="8"/>
      <c r="H63" s="8"/>
      <c r="I63" s="8" t="s">
        <v>1795</v>
      </c>
      <c r="J63" s="8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8" t="s">
        <v>11</v>
      </c>
      <c r="E64" s="8"/>
      <c r="F64" s="8"/>
      <c r="H64" s="8"/>
      <c r="I64" s="8" t="s">
        <v>1798</v>
      </c>
      <c r="J64" s="8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8" t="s">
        <v>11</v>
      </c>
      <c r="E65" s="8"/>
      <c r="F65" s="8"/>
      <c r="H65" s="8"/>
      <c r="I65" s="8" t="s">
        <v>1801</v>
      </c>
      <c r="J65" s="8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8" t="s">
        <v>11</v>
      </c>
      <c r="E66" s="8"/>
      <c r="F66" s="8"/>
      <c r="H66" s="8"/>
      <c r="I66" s="8" t="s">
        <v>1804</v>
      </c>
      <c r="J66" s="8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8" t="s">
        <v>11</v>
      </c>
      <c r="E67" s="8"/>
      <c r="F67" s="8"/>
      <c r="H67" s="8"/>
      <c r="I67" s="8" t="s">
        <v>1807</v>
      </c>
      <c r="J67" s="8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8" t="s">
        <v>4</v>
      </c>
      <c r="E68" s="8" t="s">
        <v>8</v>
      </c>
      <c r="F68" s="8"/>
      <c r="H68" s="8" t="s">
        <v>1292</v>
      </c>
      <c r="I68" s="8" t="s">
        <v>1810</v>
      </c>
      <c r="J68" s="8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8" t="s">
        <v>1607</v>
      </c>
      <c r="E69" s="8"/>
      <c r="F69" s="8"/>
      <c r="H69" s="8"/>
      <c r="I69" s="8" t="s">
        <v>1813</v>
      </c>
      <c r="J69" s="8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8" t="s">
        <v>1607</v>
      </c>
      <c r="E70" s="8"/>
      <c r="F70" s="8"/>
      <c r="H70" s="8"/>
      <c r="I70" s="8" t="s">
        <v>1816</v>
      </c>
      <c r="J70" s="8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8" t="s">
        <v>4</v>
      </c>
      <c r="E71" s="8" t="s">
        <v>8</v>
      </c>
      <c r="F71" s="8"/>
      <c r="H71" s="8"/>
      <c r="I71" s="8" t="s">
        <v>2742</v>
      </c>
      <c r="J71" s="8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8" t="s">
        <v>4</v>
      </c>
      <c r="E72" s="8" t="s">
        <v>8</v>
      </c>
      <c r="F72" s="8"/>
      <c r="H72" s="8"/>
      <c r="I72" s="8" t="s">
        <v>2745</v>
      </c>
      <c r="J72" s="8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8" t="s">
        <v>4</v>
      </c>
      <c r="E73" s="8" t="s">
        <v>8</v>
      </c>
      <c r="F73" s="8"/>
      <c r="H73" s="8"/>
      <c r="I73" s="8" t="s">
        <v>2748</v>
      </c>
      <c r="J73" s="8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8" t="s">
        <v>3377</v>
      </c>
      <c r="E74" s="8"/>
      <c r="F74" s="8"/>
      <c r="H74" s="8"/>
      <c r="I74" s="8" t="s">
        <v>3378</v>
      </c>
      <c r="J74" s="8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8" t="s">
        <v>4</v>
      </c>
      <c r="E75" s="8" t="s">
        <v>8</v>
      </c>
      <c r="F75" s="8"/>
      <c r="H75" s="8"/>
      <c r="I75" s="8" t="s">
        <v>2751</v>
      </c>
      <c r="J75" s="8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8" t="s">
        <v>3374</v>
      </c>
      <c r="E76" s="8" t="s">
        <v>3375</v>
      </c>
      <c r="F76" s="8"/>
      <c r="H76" s="8"/>
      <c r="I76" s="8" t="s">
        <v>2754</v>
      </c>
      <c r="J76" s="8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8" t="s">
        <v>3374</v>
      </c>
      <c r="E77" s="8" t="s">
        <v>3375</v>
      </c>
      <c r="F77" s="8"/>
      <c r="H77" s="8" t="s">
        <v>2352</v>
      </c>
      <c r="I77" s="8" t="s">
        <v>2757</v>
      </c>
      <c r="J77" s="8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8" t="s">
        <v>3374</v>
      </c>
      <c r="E78" s="8" t="s">
        <v>3375</v>
      </c>
      <c r="F78" s="8"/>
      <c r="H78" s="8" t="s">
        <v>2352</v>
      </c>
      <c r="I78" s="8" t="s">
        <v>2760</v>
      </c>
      <c r="J78" s="8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8" t="s">
        <v>3374</v>
      </c>
      <c r="E79" s="8" t="s">
        <v>3375</v>
      </c>
      <c r="F79" s="8"/>
      <c r="H79" s="8" t="s">
        <v>2352</v>
      </c>
      <c r="I79" s="8" t="s">
        <v>2763</v>
      </c>
      <c r="J79" s="8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8" t="s">
        <v>3374</v>
      </c>
      <c r="E80" s="8" t="s">
        <v>3375</v>
      </c>
      <c r="F80" s="8"/>
      <c r="H80" s="8" t="s">
        <v>2352</v>
      </c>
      <c r="I80" s="8" t="s">
        <v>2766</v>
      </c>
      <c r="J80" s="8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8" t="s">
        <v>3374</v>
      </c>
      <c r="E81" s="8" t="s">
        <v>3375</v>
      </c>
      <c r="F81" s="8"/>
      <c r="H81" s="8" t="s">
        <v>2352</v>
      </c>
      <c r="I81" s="8" t="s">
        <v>2769</v>
      </c>
      <c r="J81" s="8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8" t="s">
        <v>3374</v>
      </c>
      <c r="E82" s="8" t="s">
        <v>3375</v>
      </c>
      <c r="F82" s="8"/>
      <c r="H82" s="8" t="s">
        <v>2352</v>
      </c>
      <c r="I82" s="8" t="s">
        <v>2772</v>
      </c>
      <c r="J82" s="8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8" t="s">
        <v>3374</v>
      </c>
      <c r="E83" s="8" t="s">
        <v>3375</v>
      </c>
      <c r="F83" s="8"/>
      <c r="H83" s="8" t="s">
        <v>2352</v>
      </c>
      <c r="I83" s="8" t="s">
        <v>2775</v>
      </c>
      <c r="J83" s="8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8" t="s">
        <v>3374</v>
      </c>
      <c r="E84" s="8" t="s">
        <v>3375</v>
      </c>
      <c r="F84" s="8"/>
      <c r="H84" s="8" t="s">
        <v>2352</v>
      </c>
      <c r="I84" s="8" t="s">
        <v>2778</v>
      </c>
      <c r="J84" s="8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8" t="s">
        <v>3374</v>
      </c>
      <c r="E85" s="8" t="s">
        <v>3375</v>
      </c>
      <c r="F85" s="8"/>
      <c r="H85" s="8" t="s">
        <v>2352</v>
      </c>
      <c r="I85" s="8" t="s">
        <v>2781</v>
      </c>
      <c r="J85" s="8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8" t="s">
        <v>3374</v>
      </c>
      <c r="E86" s="8" t="s">
        <v>3375</v>
      </c>
      <c r="F86" s="8"/>
      <c r="H86" s="8" t="s">
        <v>2352</v>
      </c>
      <c r="I86" s="8" t="s">
        <v>2784</v>
      </c>
      <c r="J86" s="8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8" t="s">
        <v>3374</v>
      </c>
      <c r="E87" s="8" t="s">
        <v>3375</v>
      </c>
      <c r="F87" s="8"/>
      <c r="H87" s="8" t="s">
        <v>2352</v>
      </c>
      <c r="I87" s="8" t="s">
        <v>2787</v>
      </c>
      <c r="J87" s="8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8" t="s">
        <v>3374</v>
      </c>
      <c r="E88" s="8" t="s">
        <v>3375</v>
      </c>
      <c r="F88" s="8"/>
      <c r="H88" s="8" t="s">
        <v>2352</v>
      </c>
      <c r="I88" s="8" t="s">
        <v>2790</v>
      </c>
      <c r="J88" s="8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8" t="s">
        <v>3374</v>
      </c>
      <c r="E89" s="8" t="s">
        <v>3375</v>
      </c>
      <c r="F89" s="8"/>
      <c r="H89" s="8" t="s">
        <v>2352</v>
      </c>
      <c r="I89" s="8" t="s">
        <v>2793</v>
      </c>
      <c r="J89" s="8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8" t="s">
        <v>3374</v>
      </c>
      <c r="E90" s="8" t="s">
        <v>3375</v>
      </c>
      <c r="F90" s="8"/>
      <c r="H90" s="8" t="s">
        <v>2352</v>
      </c>
      <c r="I90" s="8" t="s">
        <v>2796</v>
      </c>
      <c r="J90" s="8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8" t="s">
        <v>3374</v>
      </c>
      <c r="E91" s="8" t="s">
        <v>3375</v>
      </c>
      <c r="F91" s="8"/>
      <c r="H91" s="8" t="s">
        <v>2352</v>
      </c>
      <c r="I91" s="8" t="s">
        <v>2799</v>
      </c>
      <c r="J91" s="8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8" t="s">
        <v>3374</v>
      </c>
      <c r="E92" s="8" t="s">
        <v>3375</v>
      </c>
      <c r="F92" s="8"/>
      <c r="H92" s="8" t="s">
        <v>2352</v>
      </c>
      <c r="I92" s="8" t="s">
        <v>2802</v>
      </c>
      <c r="J92" s="8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8" t="s">
        <v>3374</v>
      </c>
      <c r="E93" s="8" t="s">
        <v>3375</v>
      </c>
      <c r="F93" s="8"/>
      <c r="H93" s="8" t="s">
        <v>2352</v>
      </c>
      <c r="I93" s="8" t="s">
        <v>2805</v>
      </c>
      <c r="J93" s="8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8" t="s">
        <v>3374</v>
      </c>
      <c r="E94" s="8" t="s">
        <v>3375</v>
      </c>
      <c r="F94" s="8"/>
      <c r="H94" s="8" t="s">
        <v>2352</v>
      </c>
      <c r="I94" s="8" t="s">
        <v>2808</v>
      </c>
      <c r="J94" s="8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8" t="s">
        <v>3374</v>
      </c>
      <c r="E95" s="8" t="s">
        <v>3375</v>
      </c>
      <c r="F95" s="8"/>
      <c r="H95" s="8" t="s">
        <v>2352</v>
      </c>
      <c r="I95" s="8" t="s">
        <v>2811</v>
      </c>
      <c r="J95" s="8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8" t="s">
        <v>3381</v>
      </c>
      <c r="E96" s="8" t="s">
        <v>3376</v>
      </c>
      <c r="F96" s="8"/>
      <c r="H96" s="8"/>
      <c r="I96" s="8" t="s">
        <v>2814</v>
      </c>
      <c r="J96" s="8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8" t="s">
        <v>3381</v>
      </c>
      <c r="E97" s="8" t="s">
        <v>3376</v>
      </c>
      <c r="F97" s="8"/>
      <c r="H97" s="8" t="s">
        <v>2352</v>
      </c>
      <c r="I97" s="8" t="s">
        <v>2817</v>
      </c>
      <c r="J97" s="8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8" t="s">
        <v>3381</v>
      </c>
      <c r="E98" s="8" t="s">
        <v>3376</v>
      </c>
      <c r="F98" s="8"/>
      <c r="H98" s="8" t="s">
        <v>2352</v>
      </c>
      <c r="I98" s="8" t="s">
        <v>2820</v>
      </c>
      <c r="J98" s="8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8" t="s">
        <v>3381</v>
      </c>
      <c r="E99" s="8" t="s">
        <v>3376</v>
      </c>
      <c r="F99" s="8"/>
      <c r="H99" s="8" t="s">
        <v>2352</v>
      </c>
      <c r="I99" s="8" t="s">
        <v>2823</v>
      </c>
      <c r="J99" s="8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8" t="s">
        <v>3381</v>
      </c>
      <c r="E100" s="8" t="s">
        <v>3376</v>
      </c>
      <c r="F100" s="8"/>
      <c r="H100" s="8" t="s">
        <v>2352</v>
      </c>
      <c r="I100" s="8" t="s">
        <v>2826</v>
      </c>
      <c r="J100" s="8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8" t="s">
        <v>3381</v>
      </c>
      <c r="E101" s="8" t="s">
        <v>3376</v>
      </c>
      <c r="F101" s="8"/>
      <c r="H101" s="8" t="s">
        <v>2352</v>
      </c>
      <c r="I101" s="8" t="s">
        <v>2829</v>
      </c>
      <c r="J101" s="8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8" t="s">
        <v>4</v>
      </c>
      <c r="E102" s="8" t="s">
        <v>8</v>
      </c>
      <c r="F102" s="8"/>
      <c r="H102" s="8"/>
      <c r="I102" s="8" t="s">
        <v>2832</v>
      </c>
      <c r="J102" s="8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8" t="s">
        <v>1273</v>
      </c>
      <c r="E103" s="8" t="s">
        <v>3359</v>
      </c>
      <c r="F103" s="8"/>
      <c r="H103" s="8"/>
      <c r="I103" s="8" t="s">
        <v>2835</v>
      </c>
      <c r="J103" s="8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8" t="s">
        <v>1273</v>
      </c>
      <c r="E104" s="8" t="s">
        <v>3382</v>
      </c>
      <c r="F104" s="8"/>
      <c r="H104" s="8"/>
      <c r="I104" s="8" t="s">
        <v>2838</v>
      </c>
      <c r="J104" s="8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8" t="s">
        <v>226</v>
      </c>
      <c r="E105" s="8" t="s">
        <v>3382</v>
      </c>
      <c r="F105" s="8" t="s">
        <v>3376</v>
      </c>
      <c r="H105" s="8"/>
      <c r="I105" s="8" t="s">
        <v>2841</v>
      </c>
      <c r="J105" s="8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8" t="s">
        <v>226</v>
      </c>
      <c r="E106" s="8" t="s">
        <v>3382</v>
      </c>
      <c r="F106" s="8" t="s">
        <v>3376</v>
      </c>
      <c r="H106" s="8" t="s">
        <v>2352</v>
      </c>
      <c r="I106" s="8" t="s">
        <v>2844</v>
      </c>
      <c r="J106" s="8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8" t="s">
        <v>226</v>
      </c>
      <c r="E107" s="8" t="s">
        <v>3382</v>
      </c>
      <c r="F107" s="8" t="s">
        <v>3376</v>
      </c>
      <c r="H107" s="8" t="s">
        <v>2352</v>
      </c>
      <c r="I107" s="8" t="s">
        <v>2847</v>
      </c>
      <c r="J107" s="8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8" t="s">
        <v>226</v>
      </c>
      <c r="E108" s="8" t="s">
        <v>3382</v>
      </c>
      <c r="F108" s="8" t="s">
        <v>3376</v>
      </c>
      <c r="H108" s="8" t="s">
        <v>2352</v>
      </c>
      <c r="I108" s="8" t="s">
        <v>2850</v>
      </c>
      <c r="J108" s="8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8" t="s">
        <v>226</v>
      </c>
      <c r="E109" s="8" t="s">
        <v>3382</v>
      </c>
      <c r="F109" s="8" t="s">
        <v>3376</v>
      </c>
      <c r="H109" s="8" t="s">
        <v>2352</v>
      </c>
      <c r="I109" s="8" t="s">
        <v>2853</v>
      </c>
      <c r="J109" s="8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8" t="s">
        <v>226</v>
      </c>
      <c r="E110" s="8" t="s">
        <v>3382</v>
      </c>
      <c r="F110" s="8" t="s">
        <v>3376</v>
      </c>
      <c r="H110" s="8" t="s">
        <v>2352</v>
      </c>
      <c r="I110" s="8" t="s">
        <v>2856</v>
      </c>
      <c r="J110" s="8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8" t="s">
        <v>226</v>
      </c>
      <c r="E111" s="8" t="s">
        <v>3382</v>
      </c>
      <c r="F111" s="8" t="s">
        <v>3376</v>
      </c>
      <c r="H111" s="8" t="s">
        <v>2352</v>
      </c>
      <c r="I111" s="8" t="s">
        <v>2859</v>
      </c>
      <c r="J111" s="8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8" t="s">
        <v>226</v>
      </c>
      <c r="E112" s="8" t="s">
        <v>3382</v>
      </c>
      <c r="F112" s="8" t="s">
        <v>3376</v>
      </c>
      <c r="H112" s="8" t="s">
        <v>2352</v>
      </c>
      <c r="I112" s="8" t="s">
        <v>2862</v>
      </c>
      <c r="J112" s="8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8" t="s">
        <v>226</v>
      </c>
      <c r="E113" s="8" t="s">
        <v>3382</v>
      </c>
      <c r="F113" s="8" t="s">
        <v>3376</v>
      </c>
      <c r="H113" s="8" t="s">
        <v>2352</v>
      </c>
      <c r="I113" s="8" t="s">
        <v>2865</v>
      </c>
      <c r="J113" s="8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8" t="s">
        <v>226</v>
      </c>
      <c r="E114" s="8" t="s">
        <v>3382</v>
      </c>
      <c r="F114" s="8" t="s">
        <v>3376</v>
      </c>
      <c r="H114" s="8" t="s">
        <v>2352</v>
      </c>
      <c r="I114" s="8" t="s">
        <v>2868</v>
      </c>
      <c r="J114" s="8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8" t="s">
        <v>226</v>
      </c>
      <c r="E115" s="8" t="s">
        <v>3382</v>
      </c>
      <c r="F115" s="8" t="s">
        <v>3376</v>
      </c>
      <c r="H115" s="8" t="s">
        <v>2352</v>
      </c>
      <c r="I115" s="8" t="s">
        <v>2871</v>
      </c>
      <c r="J115" s="8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8" t="s">
        <v>226</v>
      </c>
      <c r="E116" s="8" t="s">
        <v>3382</v>
      </c>
      <c r="F116" s="8" t="s">
        <v>3376</v>
      </c>
      <c r="H116" s="8" t="s">
        <v>2352</v>
      </c>
      <c r="I116" s="8" t="s">
        <v>2874</v>
      </c>
      <c r="J116" s="8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8" t="s">
        <v>226</v>
      </c>
      <c r="E117" s="8" t="s">
        <v>3382</v>
      </c>
      <c r="F117" s="8" t="s">
        <v>3376</v>
      </c>
      <c r="H117" s="8" t="s">
        <v>2352</v>
      </c>
      <c r="I117" s="8" t="s">
        <v>2877</v>
      </c>
      <c r="J117" s="8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8" t="s">
        <v>226</v>
      </c>
      <c r="E118" s="8" t="s">
        <v>3382</v>
      </c>
      <c r="F118" s="8" t="s">
        <v>3376</v>
      </c>
      <c r="H118" s="8" t="s">
        <v>2352</v>
      </c>
      <c r="I118" s="8" t="s">
        <v>2880</v>
      </c>
      <c r="J118" s="8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8" t="s">
        <v>587</v>
      </c>
      <c r="E119" s="8" t="s">
        <v>3382</v>
      </c>
      <c r="F119" s="8" t="s">
        <v>3376</v>
      </c>
      <c r="H119" s="8" t="s">
        <v>3383</v>
      </c>
      <c r="I119" s="8" t="s">
        <v>2883</v>
      </c>
      <c r="J119" s="8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8" t="s">
        <v>226</v>
      </c>
      <c r="E120" s="8" t="s">
        <v>3359</v>
      </c>
      <c r="F120" s="8" t="s">
        <v>3376</v>
      </c>
      <c r="H120" s="8"/>
      <c r="I120" s="8" t="s">
        <v>2886</v>
      </c>
      <c r="J120" s="8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8" t="s">
        <v>226</v>
      </c>
      <c r="E121" s="8" t="s">
        <v>3359</v>
      </c>
      <c r="F121" s="8" t="s">
        <v>3376</v>
      </c>
      <c r="H121" s="8" t="s">
        <v>2352</v>
      </c>
      <c r="I121" s="8" t="s">
        <v>2889</v>
      </c>
      <c r="J121" s="8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8" t="s">
        <v>226</v>
      </c>
      <c r="E122" s="8" t="s">
        <v>3359</v>
      </c>
      <c r="F122" s="8" t="s">
        <v>3376</v>
      </c>
      <c r="H122" s="8" t="s">
        <v>2352</v>
      </c>
      <c r="I122" s="8" t="s">
        <v>2892</v>
      </c>
      <c r="J122" s="8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8" t="s">
        <v>226</v>
      </c>
      <c r="E123" s="8" t="s">
        <v>3359</v>
      </c>
      <c r="F123" s="8" t="s">
        <v>3376</v>
      </c>
      <c r="H123" s="8" t="s">
        <v>2352</v>
      </c>
      <c r="I123" s="8" t="s">
        <v>2895</v>
      </c>
      <c r="J123" s="8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8" t="s">
        <v>226</v>
      </c>
      <c r="E124" s="8" t="s">
        <v>3359</v>
      </c>
      <c r="F124" s="8" t="s">
        <v>3376</v>
      </c>
      <c r="H124" s="8" t="s">
        <v>2352</v>
      </c>
      <c r="I124" s="8" t="s">
        <v>2898</v>
      </c>
      <c r="J124" s="8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8" t="s">
        <v>226</v>
      </c>
      <c r="E125" s="8" t="s">
        <v>3359</v>
      </c>
      <c r="F125" s="8" t="s">
        <v>3376</v>
      </c>
      <c r="H125" s="8" t="s">
        <v>2352</v>
      </c>
      <c r="I125" s="8" t="s">
        <v>2901</v>
      </c>
      <c r="J125" s="8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8" t="s">
        <v>226</v>
      </c>
      <c r="E126" s="8" t="s">
        <v>3359</v>
      </c>
      <c r="F126" s="8" t="s">
        <v>3376</v>
      </c>
      <c r="H126" s="8" t="s">
        <v>2352</v>
      </c>
      <c r="I126" s="8" t="s">
        <v>2904</v>
      </c>
      <c r="J126" s="8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8" t="s">
        <v>226</v>
      </c>
      <c r="E127" s="8" t="s">
        <v>3359</v>
      </c>
      <c r="F127" s="8" t="s">
        <v>3376</v>
      </c>
      <c r="H127" s="8" t="s">
        <v>2352</v>
      </c>
      <c r="I127" s="8" t="s">
        <v>2907</v>
      </c>
      <c r="J127" s="8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8" t="s">
        <v>226</v>
      </c>
      <c r="E128" s="8" t="s">
        <v>3359</v>
      </c>
      <c r="F128" s="8" t="s">
        <v>3376</v>
      </c>
      <c r="H128" s="8" t="s">
        <v>2352</v>
      </c>
      <c r="I128" s="8" t="s">
        <v>2910</v>
      </c>
      <c r="J128" s="8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8" t="s">
        <v>226</v>
      </c>
      <c r="E129" s="8" t="s">
        <v>3359</v>
      </c>
      <c r="F129" s="8" t="s">
        <v>3376</v>
      </c>
      <c r="H129" s="8" t="s">
        <v>2352</v>
      </c>
      <c r="I129" s="8" t="s">
        <v>2913</v>
      </c>
      <c r="J129" s="8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8" t="s">
        <v>226</v>
      </c>
      <c r="E130" s="8" t="s">
        <v>3359</v>
      </c>
      <c r="F130" s="8" t="s">
        <v>3376</v>
      </c>
      <c r="H130" s="8" t="s">
        <v>2352</v>
      </c>
      <c r="I130" s="8" t="s">
        <v>2916</v>
      </c>
      <c r="J130" s="8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8" t="s">
        <v>226</v>
      </c>
      <c r="E131" s="8" t="s">
        <v>3359</v>
      </c>
      <c r="F131" s="8" t="s">
        <v>87</v>
      </c>
      <c r="H131" s="8"/>
      <c r="I131" s="8" t="s">
        <v>2919</v>
      </c>
      <c r="J131" s="8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8" t="s">
        <v>1273</v>
      </c>
      <c r="E132" s="8" t="s">
        <v>3360</v>
      </c>
      <c r="F132" s="8"/>
      <c r="H132" s="8"/>
      <c r="I132" s="8" t="s">
        <v>2922</v>
      </c>
      <c r="J132" s="8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8" t="s">
        <v>1273</v>
      </c>
      <c r="E133" s="8" t="s">
        <v>3360</v>
      </c>
      <c r="F133" s="8"/>
      <c r="H133" s="8" t="s">
        <v>2352</v>
      </c>
      <c r="I133" s="8" t="s">
        <v>2924</v>
      </c>
      <c r="J133" s="8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8" t="s">
        <v>226</v>
      </c>
      <c r="E134" s="8" t="s">
        <v>3360</v>
      </c>
      <c r="F134" s="8" t="s">
        <v>3376</v>
      </c>
      <c r="H134" s="8"/>
      <c r="I134" s="8" t="s">
        <v>2927</v>
      </c>
      <c r="J134" s="8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8" t="s">
        <v>226</v>
      </c>
      <c r="E135" s="8" t="s">
        <v>3360</v>
      </c>
      <c r="F135" s="8" t="s">
        <v>3376</v>
      </c>
      <c r="H135" s="8" t="s">
        <v>2352</v>
      </c>
      <c r="I135" s="8" t="s">
        <v>2930</v>
      </c>
      <c r="J135" s="8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8" t="s">
        <v>226</v>
      </c>
      <c r="E136" s="8" t="s">
        <v>3360</v>
      </c>
      <c r="F136" s="8" t="s">
        <v>3376</v>
      </c>
      <c r="H136" s="8" t="s">
        <v>2352</v>
      </c>
      <c r="I136" s="8" t="s">
        <v>2933</v>
      </c>
      <c r="J136" s="8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8" t="s">
        <v>226</v>
      </c>
      <c r="E137" s="8" t="s">
        <v>3360</v>
      </c>
      <c r="F137" s="8" t="s">
        <v>3376</v>
      </c>
      <c r="H137" s="8" t="s">
        <v>2352</v>
      </c>
      <c r="I137" s="8" t="s">
        <v>2936</v>
      </c>
      <c r="J137" s="8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8" t="s">
        <v>226</v>
      </c>
      <c r="E138" s="8" t="s">
        <v>3360</v>
      </c>
      <c r="F138" s="8" t="s">
        <v>3376</v>
      </c>
      <c r="H138" s="8" t="s">
        <v>2352</v>
      </c>
      <c r="I138" s="8" t="s">
        <v>2939</v>
      </c>
      <c r="J138" s="8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8" t="s">
        <v>226</v>
      </c>
      <c r="E139" s="8" t="s">
        <v>3360</v>
      </c>
      <c r="F139" s="8" t="s">
        <v>3376</v>
      </c>
      <c r="H139" s="8" t="s">
        <v>2352</v>
      </c>
      <c r="I139" s="8" t="s">
        <v>2942</v>
      </c>
      <c r="J139" s="8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8" t="s">
        <v>226</v>
      </c>
      <c r="E140" s="8" t="s">
        <v>3360</v>
      </c>
      <c r="F140" s="8" t="s">
        <v>3376</v>
      </c>
      <c r="H140" s="8" t="s">
        <v>2352</v>
      </c>
      <c r="I140" s="8" t="s">
        <v>2945</v>
      </c>
      <c r="J140" s="8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8" t="s">
        <v>226</v>
      </c>
      <c r="E141" s="8" t="s">
        <v>3360</v>
      </c>
      <c r="F141" s="8" t="s">
        <v>3376</v>
      </c>
      <c r="H141" s="8" t="s">
        <v>2352</v>
      </c>
      <c r="I141" s="8" t="s">
        <v>2948</v>
      </c>
      <c r="J141" s="8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8" t="s">
        <v>226</v>
      </c>
      <c r="E142" s="8" t="s">
        <v>3360</v>
      </c>
      <c r="F142" s="8" t="s">
        <v>3376</v>
      </c>
      <c r="H142" s="8" t="s">
        <v>2352</v>
      </c>
      <c r="I142" s="8" t="s">
        <v>2951</v>
      </c>
      <c r="J142" s="8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8" t="s">
        <v>226</v>
      </c>
      <c r="E143" s="8" t="s">
        <v>3360</v>
      </c>
      <c r="F143" s="8" t="s">
        <v>3376</v>
      </c>
      <c r="H143" s="8" t="s">
        <v>2352</v>
      </c>
      <c r="I143" s="8" t="s">
        <v>2954</v>
      </c>
      <c r="J143" s="8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8" t="s">
        <v>226</v>
      </c>
      <c r="E144" s="8" t="s">
        <v>3360</v>
      </c>
      <c r="F144" s="8" t="s">
        <v>3376</v>
      </c>
      <c r="H144" s="8" t="s">
        <v>2352</v>
      </c>
      <c r="I144" s="8" t="s">
        <v>2957</v>
      </c>
      <c r="J144" s="8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8" t="s">
        <v>226</v>
      </c>
      <c r="E145" s="8" t="s">
        <v>3360</v>
      </c>
      <c r="F145" s="8" t="s">
        <v>3376</v>
      </c>
      <c r="H145" s="8" t="s">
        <v>2352</v>
      </c>
      <c r="I145" s="8" t="s">
        <v>2960</v>
      </c>
      <c r="J145" s="8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8" t="s">
        <v>226</v>
      </c>
      <c r="E146" s="8" t="s">
        <v>3360</v>
      </c>
      <c r="F146" s="8" t="s">
        <v>3376</v>
      </c>
      <c r="H146" s="8" t="s">
        <v>2352</v>
      </c>
      <c r="I146" s="8" t="s">
        <v>2963</v>
      </c>
      <c r="J146" s="8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8" t="s">
        <v>226</v>
      </c>
      <c r="E147" s="8" t="s">
        <v>3360</v>
      </c>
      <c r="F147" s="8" t="s">
        <v>3376</v>
      </c>
      <c r="H147" s="8" t="s">
        <v>2352</v>
      </c>
      <c r="I147" s="8" t="s">
        <v>2966</v>
      </c>
      <c r="J147" s="8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8" t="s">
        <v>226</v>
      </c>
      <c r="E148" s="8" t="s">
        <v>3360</v>
      </c>
      <c r="F148" s="8" t="s">
        <v>3376</v>
      </c>
      <c r="H148" s="8" t="s">
        <v>2352</v>
      </c>
      <c r="I148" s="8" t="s">
        <v>2969</v>
      </c>
      <c r="J148" s="8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8" t="s">
        <v>226</v>
      </c>
      <c r="E149" s="8" t="s">
        <v>3360</v>
      </c>
      <c r="F149" s="8" t="s">
        <v>3376</v>
      </c>
      <c r="H149" s="8" t="s">
        <v>2352</v>
      </c>
      <c r="I149" s="8" t="s">
        <v>2972</v>
      </c>
      <c r="J149" s="8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8" t="s">
        <v>226</v>
      </c>
      <c r="E150" s="8" t="s">
        <v>3360</v>
      </c>
      <c r="F150" s="8" t="s">
        <v>3376</v>
      </c>
      <c r="H150" s="8" t="s">
        <v>2352</v>
      </c>
      <c r="I150" s="8" t="s">
        <v>2975</v>
      </c>
      <c r="J150" s="8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8" t="s">
        <v>226</v>
      </c>
      <c r="E151" s="8" t="s">
        <v>3360</v>
      </c>
      <c r="F151" s="8" t="s">
        <v>3376</v>
      </c>
      <c r="H151" s="8" t="s">
        <v>2352</v>
      </c>
      <c r="I151" s="8" t="s">
        <v>2978</v>
      </c>
      <c r="J151" s="8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8" t="s">
        <v>226</v>
      </c>
      <c r="E152" s="8" t="s">
        <v>3360</v>
      </c>
      <c r="F152" s="8" t="s">
        <v>3376</v>
      </c>
      <c r="H152" s="8" t="s">
        <v>2352</v>
      </c>
      <c r="I152" s="8" t="s">
        <v>2981</v>
      </c>
      <c r="J152" s="8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8" t="s">
        <v>226</v>
      </c>
      <c r="E153" s="8" t="s">
        <v>3360</v>
      </c>
      <c r="F153" s="8" t="s">
        <v>3376</v>
      </c>
      <c r="H153" s="8" t="s">
        <v>2352</v>
      </c>
      <c r="I153" s="8" t="s">
        <v>2984</v>
      </c>
      <c r="J153" s="8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8" t="s">
        <v>408</v>
      </c>
      <c r="E154" s="8" t="s">
        <v>3360</v>
      </c>
      <c r="F154" s="8"/>
      <c r="H154" s="8"/>
      <c r="I154" s="8" t="s">
        <v>2987</v>
      </c>
      <c r="J154" s="8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8" t="s">
        <v>587</v>
      </c>
      <c r="E155" s="8" t="s">
        <v>3360</v>
      </c>
      <c r="F155" s="8" t="s">
        <v>3376</v>
      </c>
      <c r="H155" s="8" t="s">
        <v>3384</v>
      </c>
      <c r="I155" s="8" t="s">
        <v>2990</v>
      </c>
      <c r="J155" s="8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8" t="s">
        <v>3454</v>
      </c>
      <c r="E156" s="8" t="s">
        <v>55</v>
      </c>
      <c r="F156" s="8"/>
      <c r="H156" s="8"/>
      <c r="I156" s="8" t="s">
        <v>3437</v>
      </c>
      <c r="J156" s="8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8" t="s">
        <v>226</v>
      </c>
      <c r="E157" s="8" t="s">
        <v>86</v>
      </c>
      <c r="F157" s="8" t="s">
        <v>165</v>
      </c>
      <c r="H157" s="8"/>
      <c r="I157" s="8" t="s">
        <v>3993</v>
      </c>
      <c r="J157" s="8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8" t="s">
        <v>226</v>
      </c>
      <c r="E158" s="8" t="s">
        <v>86</v>
      </c>
      <c r="F158" s="8" t="s">
        <v>165</v>
      </c>
      <c r="H158" s="8"/>
      <c r="I158" s="8" t="s">
        <v>3996</v>
      </c>
      <c r="J158" s="8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8" t="s">
        <v>226</v>
      </c>
      <c r="E159" s="8" t="s">
        <v>86</v>
      </c>
      <c r="F159" s="8" t="s">
        <v>165</v>
      </c>
      <c r="H159" s="8"/>
      <c r="I159" s="8" t="s">
        <v>3999</v>
      </c>
      <c r="J159" s="8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8" t="s">
        <v>887</v>
      </c>
      <c r="E160" s="8" t="s">
        <v>3412</v>
      </c>
      <c r="F160" s="8" t="s">
        <v>58</v>
      </c>
      <c r="H160" s="8"/>
      <c r="I160" s="8" t="s">
        <v>4002</v>
      </c>
      <c r="J160" s="8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8" t="s">
        <v>226</v>
      </c>
      <c r="E161" s="8" t="s">
        <v>86</v>
      </c>
      <c r="F161" s="8" t="s">
        <v>165</v>
      </c>
      <c r="H161" s="8"/>
      <c r="I161" s="8" t="s">
        <v>4005</v>
      </c>
      <c r="J161" s="8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8" t="s">
        <v>887</v>
      </c>
      <c r="E162" s="8" t="s">
        <v>3412</v>
      </c>
      <c r="F162" s="8" t="s">
        <v>58</v>
      </c>
      <c r="H162" s="8"/>
      <c r="I162" s="8" t="s">
        <v>4008</v>
      </c>
      <c r="J162" s="8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8" t="s">
        <v>887</v>
      </c>
      <c r="E163" s="8" t="s">
        <v>468</v>
      </c>
      <c r="F163" s="8" t="s">
        <v>58</v>
      </c>
      <c r="H163" s="8"/>
      <c r="I163" s="8" t="s">
        <v>4011</v>
      </c>
      <c r="J163" s="8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8" t="s">
        <v>4</v>
      </c>
      <c r="E164" s="8" t="s">
        <v>8</v>
      </c>
      <c r="F164" s="8"/>
      <c r="H164" s="8"/>
      <c r="I164" s="8" t="s">
        <v>4014</v>
      </c>
      <c r="J164" s="8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8" t="s">
        <v>226</v>
      </c>
      <c r="E165" s="8" t="s">
        <v>86</v>
      </c>
      <c r="F165" s="8" t="s">
        <v>60</v>
      </c>
      <c r="H165" s="8"/>
      <c r="I165" s="8" t="s">
        <v>4017</v>
      </c>
      <c r="J165" s="8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8" t="s">
        <v>226</v>
      </c>
      <c r="E166" s="8" t="s">
        <v>86</v>
      </c>
      <c r="F166" s="8" t="s">
        <v>60</v>
      </c>
      <c r="H166" s="8"/>
      <c r="I166" s="8" t="s">
        <v>4020</v>
      </c>
      <c r="J166" s="8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8" t="s">
        <v>226</v>
      </c>
      <c r="E167" s="8" t="s">
        <v>86</v>
      </c>
      <c r="F167" s="8" t="s">
        <v>165</v>
      </c>
      <c r="H167" s="8"/>
      <c r="I167" s="8" t="s">
        <v>4023</v>
      </c>
      <c r="J167" s="8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8" t="s">
        <v>4</v>
      </c>
      <c r="E168" s="8" t="s">
        <v>8</v>
      </c>
      <c r="F168" s="8"/>
      <c r="H168" s="8"/>
      <c r="I168" s="8" t="s">
        <v>4026</v>
      </c>
      <c r="J168" s="8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8" t="s">
        <v>226</v>
      </c>
      <c r="E169" s="8" t="s">
        <v>86</v>
      </c>
      <c r="F169" s="8" t="s">
        <v>60</v>
      </c>
      <c r="H169" s="8"/>
      <c r="I169" s="8" t="s">
        <v>4029</v>
      </c>
      <c r="J169" s="8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8" t="s">
        <v>226</v>
      </c>
      <c r="E170" s="8" t="s">
        <v>86</v>
      </c>
      <c r="F170" s="8" t="s">
        <v>60</v>
      </c>
      <c r="H170" s="8"/>
      <c r="I170" s="8" t="s">
        <v>4032</v>
      </c>
      <c r="J170" s="8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8" t="s">
        <v>4</v>
      </c>
      <c r="E171" s="8" t="s">
        <v>8</v>
      </c>
      <c r="F171" s="8"/>
      <c r="H171" s="8"/>
      <c r="I171" s="8" t="s">
        <v>4035</v>
      </c>
      <c r="J171" s="8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8" t="s">
        <v>887</v>
      </c>
      <c r="E172" s="8" t="s">
        <v>3412</v>
      </c>
      <c r="F172" s="8" t="s">
        <v>60</v>
      </c>
      <c r="H172" s="8"/>
      <c r="I172" s="8" t="s">
        <v>4110</v>
      </c>
      <c r="J172" s="8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8" t="s">
        <v>887</v>
      </c>
      <c r="E173" s="8" t="s">
        <v>3412</v>
      </c>
      <c r="F173" s="8" t="s">
        <v>165</v>
      </c>
      <c r="H173" s="8"/>
      <c r="I173" s="8" t="s">
        <v>4113</v>
      </c>
      <c r="J173" s="8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8" t="s">
        <v>887</v>
      </c>
      <c r="E174" s="8" t="s">
        <v>3412</v>
      </c>
      <c r="F174" s="8" t="s">
        <v>165</v>
      </c>
      <c r="H174" s="8"/>
      <c r="I174" s="8" t="s">
        <v>4116</v>
      </c>
      <c r="J174" s="8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8" t="s">
        <v>4</v>
      </c>
      <c r="E175" s="8" t="s">
        <v>8</v>
      </c>
      <c r="F175" s="8"/>
      <c r="H175" s="8" t="s">
        <v>2352</v>
      </c>
      <c r="I175" s="8" t="s">
        <v>4119</v>
      </c>
      <c r="J175" s="8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8" t="s">
        <v>4</v>
      </c>
      <c r="E176" s="8" t="s">
        <v>8</v>
      </c>
      <c r="F176" s="8"/>
      <c r="H176" s="8" t="s">
        <v>2352</v>
      </c>
      <c r="I176" s="8" t="s">
        <v>4122</v>
      </c>
      <c r="J176" s="8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8" t="s">
        <v>4</v>
      </c>
      <c r="E177" s="8" t="s">
        <v>8</v>
      </c>
      <c r="F177" s="8"/>
      <c r="H177" s="8" t="s">
        <v>2352</v>
      </c>
      <c r="I177" s="8" t="s">
        <v>4125</v>
      </c>
      <c r="J177" s="8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8" t="s">
        <v>4</v>
      </c>
      <c r="E178" s="8" t="s">
        <v>8</v>
      </c>
      <c r="F178" s="8"/>
      <c r="H178" s="8" t="s">
        <v>2352</v>
      </c>
      <c r="I178" s="8" t="s">
        <v>4038</v>
      </c>
      <c r="J178" s="8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8" t="s">
        <v>4</v>
      </c>
      <c r="E179" s="8" t="s">
        <v>8</v>
      </c>
      <c r="F179" s="8"/>
      <c r="H179" s="8" t="s">
        <v>2352</v>
      </c>
      <c r="I179" s="8" t="s">
        <v>4041</v>
      </c>
      <c r="J179" s="8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8" t="s">
        <v>4</v>
      </c>
      <c r="E180" s="8" t="s">
        <v>8</v>
      </c>
      <c r="F180" s="8"/>
      <c r="H180" s="8" t="s">
        <v>2352</v>
      </c>
      <c r="I180" s="8" t="s">
        <v>4044</v>
      </c>
      <c r="J180" s="8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8" t="s">
        <v>226</v>
      </c>
      <c r="E181" s="8" t="s">
        <v>86</v>
      </c>
      <c r="F181" s="8" t="s">
        <v>165</v>
      </c>
      <c r="H181" s="8"/>
      <c r="I181" s="8" t="s">
        <v>4047</v>
      </c>
      <c r="J181" s="8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8" t="s">
        <v>226</v>
      </c>
      <c r="E182" s="8" t="s">
        <v>86</v>
      </c>
      <c r="F182" s="8" t="s">
        <v>165</v>
      </c>
      <c r="H182" s="8"/>
      <c r="I182" s="8" t="s">
        <v>4050</v>
      </c>
      <c r="J182" s="8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8" t="s">
        <v>226</v>
      </c>
      <c r="E183" s="8" t="s">
        <v>86</v>
      </c>
      <c r="F183" s="8" t="s">
        <v>165</v>
      </c>
      <c r="H183" s="8"/>
      <c r="I183" s="8" t="s">
        <v>4053</v>
      </c>
      <c r="J183" s="8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8" t="s">
        <v>226</v>
      </c>
      <c r="E184" s="8" t="s">
        <v>86</v>
      </c>
      <c r="F184" s="8" t="s">
        <v>165</v>
      </c>
      <c r="H184" s="8"/>
      <c r="I184" s="8" t="s">
        <v>4056</v>
      </c>
      <c r="J184" s="8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8" t="s">
        <v>226</v>
      </c>
      <c r="E185" s="8" t="s">
        <v>86</v>
      </c>
      <c r="F185" s="8" t="s">
        <v>165</v>
      </c>
      <c r="H185" s="8"/>
      <c r="I185" s="8" t="s">
        <v>4059</v>
      </c>
      <c r="J185" s="8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8" t="s">
        <v>4128</v>
      </c>
      <c r="E186" s="8"/>
      <c r="F186" s="8"/>
      <c r="H186" s="8"/>
      <c r="I186" s="8" t="s">
        <v>4062</v>
      </c>
      <c r="J186" s="8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8" t="s">
        <v>1607</v>
      </c>
      <c r="E187" s="8"/>
      <c r="F187" s="8"/>
      <c r="H187" s="8"/>
      <c r="I187" s="8" t="s">
        <v>4065</v>
      </c>
      <c r="J187" s="8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8" t="s">
        <v>1607</v>
      </c>
      <c r="E188" s="8"/>
      <c r="F188" s="8"/>
      <c r="H188" s="8"/>
      <c r="I188" s="8" t="s">
        <v>4211</v>
      </c>
      <c r="J188" s="8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8" t="s">
        <v>4</v>
      </c>
      <c r="E189" s="8" t="s">
        <v>8</v>
      </c>
      <c r="F189" s="8"/>
      <c r="H189" s="8"/>
      <c r="I189" s="8" t="s">
        <v>4277</v>
      </c>
      <c r="J189" s="8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8" t="s">
        <v>226</v>
      </c>
      <c r="E190" s="8" t="s">
        <v>86</v>
      </c>
      <c r="F190" s="8" t="s">
        <v>165</v>
      </c>
      <c r="H190" s="8"/>
      <c r="I190" s="8" t="s">
        <v>4280</v>
      </c>
      <c r="J190" s="8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8" t="s">
        <v>226</v>
      </c>
      <c r="E191" s="8" t="s">
        <v>86</v>
      </c>
      <c r="F191" s="8" t="s">
        <v>165</v>
      </c>
      <c r="H191" s="8"/>
      <c r="I191" s="8" t="s">
        <v>4283</v>
      </c>
      <c r="J191" s="8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8" t="s">
        <v>1607</v>
      </c>
      <c r="E192" s="8" t="s">
        <v>8</v>
      </c>
      <c r="F192" s="8"/>
      <c r="H192" s="8"/>
      <c r="I192" s="8" t="s">
        <v>4445</v>
      </c>
      <c r="J192" s="8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8" t="s">
        <v>1607</v>
      </c>
      <c r="E193" s="8" t="s">
        <v>8</v>
      </c>
      <c r="F193" s="8"/>
      <c r="H193" s="8"/>
      <c r="I193" s="8" t="s">
        <v>4448</v>
      </c>
      <c r="J193" s="8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8" t="s">
        <v>1607</v>
      </c>
      <c r="E194" s="8" t="s">
        <v>8</v>
      </c>
      <c r="F194" s="8"/>
      <c r="H194" s="8"/>
      <c r="I194" s="8" t="s">
        <v>4451</v>
      </c>
      <c r="J194" s="8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8" t="s">
        <v>3377</v>
      </c>
      <c r="E195" s="8"/>
      <c r="F195" s="8"/>
      <c r="H195" s="8"/>
      <c r="I195" s="8" t="s">
        <v>5046</v>
      </c>
      <c r="J195" s="8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8" t="s">
        <v>3377</v>
      </c>
      <c r="E196" s="8"/>
      <c r="F196" s="8"/>
      <c r="H196" s="8"/>
      <c r="I196" s="8" t="s">
        <v>5049</v>
      </c>
      <c r="J196" s="8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8" t="s">
        <v>3377</v>
      </c>
      <c r="E197" s="8"/>
      <c r="F197" s="8"/>
      <c r="H197" s="8"/>
      <c r="I197" s="8" t="s">
        <v>5052</v>
      </c>
      <c r="J197" s="8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8" t="s">
        <v>1607</v>
      </c>
      <c r="E198" s="8" t="s">
        <v>8</v>
      </c>
      <c r="F198" s="8"/>
      <c r="H198" s="8"/>
      <c r="I198" s="8" t="s">
        <v>5037</v>
      </c>
      <c r="J198" s="8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8" t="s">
        <v>1607</v>
      </c>
      <c r="E199" s="8" t="s">
        <v>8</v>
      </c>
      <c r="F199" s="8"/>
      <c r="H199" s="8"/>
      <c r="I199" s="8" t="s">
        <v>5238</v>
      </c>
      <c r="J199" s="8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8" t="s">
        <v>4</v>
      </c>
      <c r="E200" s="8" t="s">
        <v>5472</v>
      </c>
      <c r="F200" s="8"/>
      <c r="H200" s="8"/>
      <c r="I200" s="8" t="s">
        <v>5479</v>
      </c>
      <c r="J200" s="8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8" t="s">
        <v>1607</v>
      </c>
      <c r="E201" s="8" t="s">
        <v>8</v>
      </c>
      <c r="F201" s="8"/>
      <c r="H201" s="8"/>
      <c r="I201" s="8" t="s">
        <v>5519</v>
      </c>
      <c r="J201" s="8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8" t="s">
        <v>3377</v>
      </c>
      <c r="E202" s="8"/>
      <c r="F202" s="8"/>
      <c r="H202" s="8"/>
      <c r="I202" s="8" t="s">
        <v>5688</v>
      </c>
      <c r="J202" s="8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8" t="s">
        <v>1607</v>
      </c>
      <c r="E203" s="8" t="s">
        <v>8</v>
      </c>
      <c r="F203" s="8"/>
      <c r="H203" s="8"/>
      <c r="I203" s="8" t="s">
        <v>5522</v>
      </c>
      <c r="J203" s="8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8" t="s">
        <v>1607</v>
      </c>
      <c r="E204" s="8" t="s">
        <v>8</v>
      </c>
      <c r="F204" s="8"/>
      <c r="H204" s="8"/>
      <c r="I204" s="8" t="s">
        <v>5733</v>
      </c>
      <c r="J204" s="8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8" t="s">
        <v>1607</v>
      </c>
      <c r="E205" s="8" t="s">
        <v>8</v>
      </c>
      <c r="F205" s="8"/>
      <c r="H205" s="8"/>
      <c r="I205" s="8" t="s">
        <v>5904</v>
      </c>
      <c r="J205" s="8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8" t="s">
        <v>1607</v>
      </c>
      <c r="E206" s="8" t="s">
        <v>8</v>
      </c>
      <c r="F206" s="8"/>
      <c r="H206" s="8"/>
      <c r="I206" s="8" t="s">
        <v>5907</v>
      </c>
      <c r="J206" s="8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8" t="s">
        <v>1607</v>
      </c>
      <c r="E207" s="8" t="s">
        <v>8</v>
      </c>
      <c r="F207" s="8"/>
      <c r="H207" s="8"/>
      <c r="I207" s="8" t="s">
        <v>6148</v>
      </c>
      <c r="J207" s="8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8" t="s">
        <v>1607</v>
      </c>
      <c r="E208" s="8" t="s">
        <v>8</v>
      </c>
      <c r="F208" s="8"/>
      <c r="H208" s="8"/>
      <c r="I208" s="8" t="s">
        <v>6151</v>
      </c>
      <c r="J208" s="8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8" t="s">
        <v>1607</v>
      </c>
      <c r="E209" s="8" t="s">
        <v>8</v>
      </c>
      <c r="F209" s="8"/>
      <c r="H209" s="8"/>
      <c r="I209" s="8" t="s">
        <v>6295</v>
      </c>
      <c r="J209" s="8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8" t="s">
        <v>1607</v>
      </c>
      <c r="E210" s="8" t="s">
        <v>8</v>
      </c>
      <c r="F210" s="8"/>
      <c r="H210" s="8"/>
      <c r="I210" s="8" t="s">
        <v>6440</v>
      </c>
      <c r="J210" s="8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8" t="s">
        <v>1607</v>
      </c>
      <c r="E211" s="8" t="s">
        <v>8</v>
      </c>
      <c r="F211" s="8"/>
      <c r="H211" s="8"/>
      <c r="I211" s="8" t="s">
        <v>6443</v>
      </c>
      <c r="J211" s="8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8" t="s">
        <v>1607</v>
      </c>
      <c r="E212" s="8" t="s">
        <v>8</v>
      </c>
      <c r="F212" s="8"/>
      <c r="H212" s="8"/>
      <c r="I212" s="8" t="s">
        <v>6663</v>
      </c>
      <c r="J212" s="8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8" t="s">
        <v>1607</v>
      </c>
      <c r="E213" s="8" t="s">
        <v>8</v>
      </c>
      <c r="F213" s="8"/>
      <c r="H213" s="8"/>
      <c r="I213" s="8" t="s">
        <v>6666</v>
      </c>
      <c r="J213" s="8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8" t="s">
        <v>1607</v>
      </c>
      <c r="E214" s="8" t="s">
        <v>8</v>
      </c>
      <c r="F214" s="8"/>
      <c r="H214" s="8"/>
      <c r="I214" s="8" t="s">
        <v>6669</v>
      </c>
      <c r="J214" s="8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8" t="s">
        <v>1607</v>
      </c>
      <c r="E215" s="8" t="s">
        <v>8</v>
      </c>
      <c r="F215" s="8"/>
      <c r="H215" s="8"/>
      <c r="I215" s="8" t="s">
        <v>6675</v>
      </c>
      <c r="J215" s="8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8" t="s">
        <v>1607</v>
      </c>
      <c r="E216" s="8" t="s">
        <v>8</v>
      </c>
      <c r="F216" s="8"/>
      <c r="H216" s="8"/>
      <c r="I216" s="8" t="s">
        <v>6673</v>
      </c>
      <c r="J216" s="8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8" t="s">
        <v>1607</v>
      </c>
      <c r="E217" s="8" t="s">
        <v>8</v>
      </c>
      <c r="F217" s="8"/>
      <c r="H217" s="8"/>
      <c r="I217" s="8" t="s">
        <v>6779</v>
      </c>
      <c r="J217" s="8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8" t="s">
        <v>1607</v>
      </c>
      <c r="E218" s="8" t="s">
        <v>8</v>
      </c>
      <c r="F218" s="8"/>
      <c r="H218" s="8"/>
      <c r="I218" s="8" t="s">
        <v>6782</v>
      </c>
      <c r="J218" s="8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8" t="s">
        <v>1607</v>
      </c>
      <c r="E219" s="8" t="s">
        <v>8</v>
      </c>
      <c r="F219" s="8"/>
      <c r="H219" s="8"/>
      <c r="I219" s="8" t="s">
        <v>6785</v>
      </c>
      <c r="J219" s="8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8" t="s">
        <v>1607</v>
      </c>
      <c r="E220" s="8" t="s">
        <v>8</v>
      </c>
      <c r="F220" s="8"/>
      <c r="H220" s="8"/>
      <c r="I220" s="8" t="s">
        <v>6946</v>
      </c>
      <c r="J220" s="8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8" t="s">
        <v>1607</v>
      </c>
      <c r="E221" s="8" t="s">
        <v>8</v>
      </c>
      <c r="F221" s="8"/>
      <c r="H221" s="8"/>
      <c r="I221" s="8" t="s">
        <v>7048</v>
      </c>
      <c r="J221" s="8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8" t="s">
        <v>1607</v>
      </c>
      <c r="E222" s="8" t="s">
        <v>8</v>
      </c>
      <c r="F222" s="8"/>
      <c r="H222" s="8"/>
      <c r="I222" s="8" t="s">
        <v>7051</v>
      </c>
      <c r="J222" s="8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8" t="s">
        <v>1607</v>
      </c>
      <c r="E223" s="8" t="s">
        <v>8</v>
      </c>
      <c r="F223" s="8"/>
      <c r="H223" s="8"/>
      <c r="I223" s="8" t="s">
        <v>7054</v>
      </c>
      <c r="J223" s="8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8" t="s">
        <v>1607</v>
      </c>
      <c r="E224" s="8" t="s">
        <v>8</v>
      </c>
      <c r="F224" s="8"/>
      <c r="H224" s="8"/>
      <c r="I224" s="8" t="s">
        <v>7057</v>
      </c>
      <c r="J224" s="8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8" t="s">
        <v>1607</v>
      </c>
      <c r="E225" s="8" t="s">
        <v>8</v>
      </c>
      <c r="F225" s="8"/>
      <c r="H225" s="8"/>
      <c r="I225" s="8" t="s">
        <v>7060</v>
      </c>
      <c r="J225" s="8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8" t="s">
        <v>1607</v>
      </c>
      <c r="E226" s="8" t="s">
        <v>8</v>
      </c>
      <c r="F226" s="8"/>
      <c r="H226" s="8"/>
      <c r="I226" s="8" t="s">
        <v>7063</v>
      </c>
      <c r="J226" s="8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8" t="s">
        <v>1607</v>
      </c>
      <c r="E227" s="8" t="s">
        <v>8</v>
      </c>
      <c r="F227" s="8"/>
      <c r="H227" s="8"/>
      <c r="I227" s="8" t="s">
        <v>7346</v>
      </c>
      <c r="J227" s="8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8" t="s">
        <v>1607</v>
      </c>
      <c r="E228" s="8" t="s">
        <v>8</v>
      </c>
      <c r="F228" s="8"/>
      <c r="H228" s="8"/>
      <c r="I228" s="8" t="s">
        <v>7349</v>
      </c>
      <c r="J228" s="8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8" t="s">
        <v>1607</v>
      </c>
      <c r="E229" s="8" t="s">
        <v>8</v>
      </c>
      <c r="F229" s="8"/>
      <c r="H229" s="8"/>
      <c r="I229" s="8" t="s">
        <v>7522</v>
      </c>
      <c r="J229" s="8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8" t="s">
        <v>1607</v>
      </c>
      <c r="E230" s="8" t="s">
        <v>8</v>
      </c>
      <c r="F230" s="8"/>
      <c r="H230" s="8"/>
      <c r="I230" s="8" t="s">
        <v>7525</v>
      </c>
      <c r="J230" s="8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8" t="s">
        <v>1607</v>
      </c>
      <c r="E231" s="8" t="s">
        <v>8</v>
      </c>
      <c r="F231" s="8"/>
      <c r="H231" s="8"/>
      <c r="I231" s="8" t="s">
        <v>7528</v>
      </c>
      <c r="J231" s="8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8" t="s">
        <v>1607</v>
      </c>
      <c r="E232" s="8" t="s">
        <v>8</v>
      </c>
      <c r="F232" s="8"/>
      <c r="H232" s="8"/>
      <c r="I232" s="8" t="s">
        <v>7740</v>
      </c>
      <c r="J232" s="8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8" t="s">
        <v>1607</v>
      </c>
      <c r="E233" s="8" t="s">
        <v>8</v>
      </c>
      <c r="F233" s="8"/>
      <c r="H233" s="8"/>
      <c r="I233" s="8" t="s">
        <v>7742</v>
      </c>
      <c r="J233" s="8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8" t="s">
        <v>4</v>
      </c>
      <c r="E234" s="8" t="s">
        <v>7924</v>
      </c>
      <c r="F234" s="8"/>
      <c r="H234" s="8"/>
      <c r="I234" s="8" t="s">
        <v>7888</v>
      </c>
      <c r="J234" s="8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8" t="s">
        <v>4</v>
      </c>
      <c r="E235" s="8" t="s">
        <v>7924</v>
      </c>
      <c r="F235" s="8"/>
      <c r="H235" s="8" t="s">
        <v>2352</v>
      </c>
      <c r="I235" s="8" t="s">
        <v>7891</v>
      </c>
      <c r="J235" s="8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8" t="s">
        <v>4</v>
      </c>
      <c r="E236" s="8" t="s">
        <v>7924</v>
      </c>
      <c r="F236" s="8"/>
      <c r="H236" s="8" t="s">
        <v>2352</v>
      </c>
      <c r="I236" s="8" t="s">
        <v>7894</v>
      </c>
      <c r="J236" s="8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8" t="s">
        <v>4</v>
      </c>
      <c r="E237" s="8" t="s">
        <v>7924</v>
      </c>
      <c r="F237" s="8"/>
      <c r="H237" s="8" t="s">
        <v>2352</v>
      </c>
      <c r="I237" s="8" t="s">
        <v>7897</v>
      </c>
      <c r="J237" s="8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8" t="s">
        <v>4</v>
      </c>
      <c r="E238" s="8" t="s">
        <v>7924</v>
      </c>
      <c r="F238" s="8"/>
      <c r="H238" s="8" t="s">
        <v>2352</v>
      </c>
      <c r="I238" s="8" t="s">
        <v>7900</v>
      </c>
      <c r="J238" s="8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8" t="s">
        <v>4</v>
      </c>
      <c r="E239" s="8" t="s">
        <v>7924</v>
      </c>
      <c r="F239" s="8"/>
      <c r="H239" s="8" t="s">
        <v>2352</v>
      </c>
      <c r="I239" s="8" t="s">
        <v>7903</v>
      </c>
      <c r="J239" s="8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8" t="s">
        <v>4</v>
      </c>
      <c r="E240" s="8" t="s">
        <v>7924</v>
      </c>
      <c r="F240" s="8"/>
      <c r="H240" s="8" t="s">
        <v>2352</v>
      </c>
      <c r="I240" s="8" t="s">
        <v>7906</v>
      </c>
      <c r="J240" s="8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8" t="s">
        <v>4</v>
      </c>
      <c r="E241" s="8" t="s">
        <v>7924</v>
      </c>
      <c r="F241" s="8"/>
      <c r="H241" s="8" t="s">
        <v>2352</v>
      </c>
      <c r="I241" s="8" t="s">
        <v>7909</v>
      </c>
      <c r="J241" s="8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8" t="s">
        <v>4</v>
      </c>
      <c r="E242" s="8" t="s">
        <v>7924</v>
      </c>
      <c r="F242" s="8"/>
      <c r="H242" s="8" t="s">
        <v>2352</v>
      </c>
      <c r="I242" s="8" t="s">
        <v>7912</v>
      </c>
      <c r="J242" s="8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8" t="s">
        <v>4</v>
      </c>
      <c r="E243" s="8" t="s">
        <v>7924</v>
      </c>
      <c r="F243" s="8"/>
      <c r="H243" s="8" t="s">
        <v>2352</v>
      </c>
      <c r="I243" s="8" t="s">
        <v>7915</v>
      </c>
      <c r="J243" s="8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8" t="s">
        <v>4</v>
      </c>
      <c r="E244" s="8" t="s">
        <v>7924</v>
      </c>
      <c r="F244" s="8"/>
      <c r="H244" s="8" t="s">
        <v>2352</v>
      </c>
      <c r="I244" s="8" t="s">
        <v>7918</v>
      </c>
      <c r="J244" s="8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8" t="s">
        <v>4</v>
      </c>
      <c r="E245" s="8" t="s">
        <v>7924</v>
      </c>
      <c r="F245" s="8"/>
      <c r="H245" s="8" t="s">
        <v>2352</v>
      </c>
      <c r="I245" s="8" t="s">
        <v>7921</v>
      </c>
      <c r="J245" s="8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8" t="s">
        <v>4</v>
      </c>
      <c r="E246" s="8" t="s">
        <v>7924</v>
      </c>
      <c r="F246" s="8"/>
      <c r="H246" s="8" t="s">
        <v>2352</v>
      </c>
      <c r="I246" s="8" t="s">
        <v>8084</v>
      </c>
      <c r="J246" s="8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8" t="s">
        <v>4</v>
      </c>
      <c r="E247" s="8" t="s">
        <v>7924</v>
      </c>
      <c r="F247" s="8"/>
      <c r="H247" s="8" t="s">
        <v>2352</v>
      </c>
      <c r="I247" s="8" t="s">
        <v>8087</v>
      </c>
      <c r="J247" s="8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8" t="s">
        <v>4</v>
      </c>
      <c r="E248" s="8" t="s">
        <v>7924</v>
      </c>
      <c r="F248" s="8"/>
      <c r="H248" s="8" t="s">
        <v>2352</v>
      </c>
      <c r="I248" s="8" t="s">
        <v>8090</v>
      </c>
      <c r="J248" s="8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8" t="s">
        <v>4</v>
      </c>
      <c r="E249" s="8" t="s">
        <v>7924</v>
      </c>
      <c r="F249" s="8"/>
      <c r="H249" s="8" t="s">
        <v>2352</v>
      </c>
      <c r="I249" s="8" t="s">
        <v>8093</v>
      </c>
      <c r="J249" s="8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8" t="s">
        <v>1607</v>
      </c>
      <c r="E250" s="8" t="s">
        <v>8</v>
      </c>
      <c r="F250" s="8"/>
      <c r="H250" s="8"/>
      <c r="I250" s="8" t="s">
        <v>8096</v>
      </c>
      <c r="J250" s="8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8" t="s">
        <v>4</v>
      </c>
      <c r="E251" s="8" t="s">
        <v>8330</v>
      </c>
      <c r="F251" s="8"/>
      <c r="H251" s="8"/>
      <c r="I251" s="8" t="s">
        <v>8327</v>
      </c>
      <c r="J251" s="8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8" t="s">
        <v>1607</v>
      </c>
      <c r="E252" s="8" t="s">
        <v>8</v>
      </c>
      <c r="F252" s="8"/>
      <c r="H252" s="8"/>
      <c r="I252" s="8" t="s">
        <v>8429</v>
      </c>
      <c r="J252" s="8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8" t="s">
        <v>1607</v>
      </c>
      <c r="E253" s="8" t="s">
        <v>8</v>
      </c>
      <c r="F253" s="8"/>
      <c r="H253" s="8"/>
      <c r="I253" s="8" t="s">
        <v>8432</v>
      </c>
      <c r="J253" s="8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8" t="s">
        <v>1607</v>
      </c>
      <c r="E254" s="8" t="s">
        <v>8</v>
      </c>
      <c r="F254" s="8"/>
      <c r="H254" s="8"/>
      <c r="I254" s="8" t="s">
        <v>8521</v>
      </c>
      <c r="J254" s="8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8" t="s">
        <v>1607</v>
      </c>
      <c r="E255" s="8" t="s">
        <v>8</v>
      </c>
      <c r="F255" s="8"/>
      <c r="H255" s="8"/>
      <c r="I255" s="8" t="s">
        <v>8524</v>
      </c>
      <c r="J255" s="8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8" t="s">
        <v>1607</v>
      </c>
      <c r="E256" s="8" t="s">
        <v>8</v>
      </c>
      <c r="F256" s="8"/>
      <c r="H256" s="8"/>
      <c r="I256" s="8" t="s">
        <v>8708</v>
      </c>
      <c r="J256" s="8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8" t="s">
        <v>1607</v>
      </c>
      <c r="E257" s="8" t="s">
        <v>8</v>
      </c>
      <c r="F257" s="8"/>
      <c r="H257" s="8"/>
      <c r="I257" s="8" t="s">
        <v>8711</v>
      </c>
      <c r="J257" s="8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8" t="s">
        <v>1607</v>
      </c>
      <c r="E258" s="8" t="s">
        <v>8</v>
      </c>
      <c r="F258" s="8"/>
      <c r="H258" s="8"/>
      <c r="I258" s="8" t="s">
        <v>8808</v>
      </c>
      <c r="J258" s="8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8" t="s">
        <v>1607</v>
      </c>
      <c r="E259" s="8" t="s">
        <v>8</v>
      </c>
      <c r="F259" s="8"/>
      <c r="H259" s="8"/>
      <c r="I259" s="8" t="s">
        <v>8915</v>
      </c>
      <c r="J259" s="8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8" t="s">
        <v>1607</v>
      </c>
      <c r="E260" s="8" t="s">
        <v>8</v>
      </c>
      <c r="F260" s="8"/>
      <c r="H260" s="8"/>
      <c r="I260" s="8" t="s">
        <v>8918</v>
      </c>
      <c r="J260" s="8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8" t="s">
        <v>1607</v>
      </c>
      <c r="E261" s="8" t="s">
        <v>8</v>
      </c>
      <c r="F261" s="8"/>
      <c r="H261" s="8"/>
      <c r="I261" s="8" t="s">
        <v>9131</v>
      </c>
      <c r="J261" s="8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8" t="s">
        <v>1607</v>
      </c>
      <c r="E262" s="8" t="s">
        <v>8</v>
      </c>
      <c r="F262" s="8"/>
      <c r="H262" s="8"/>
      <c r="I262" s="8" t="s">
        <v>9134</v>
      </c>
      <c r="J262" s="8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8" t="s">
        <v>1607</v>
      </c>
      <c r="E263" s="8" t="s">
        <v>8</v>
      </c>
      <c r="F263" s="8"/>
      <c r="H263" s="8"/>
      <c r="I263" s="8" t="s">
        <v>9307</v>
      </c>
      <c r="J263" s="8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8" t="s">
        <v>1607</v>
      </c>
      <c r="E264" s="8" t="s">
        <v>8</v>
      </c>
      <c r="F264" s="8"/>
      <c r="H264" s="8"/>
      <c r="I264" s="8" t="s">
        <v>9310</v>
      </c>
      <c r="J264" s="8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8" t="s">
        <v>1607</v>
      </c>
      <c r="E265" s="8" t="s">
        <v>8</v>
      </c>
      <c r="F265" s="8"/>
      <c r="H265" s="8"/>
      <c r="I265" s="8" t="s">
        <v>9313</v>
      </c>
      <c r="J265" s="8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8" t="s">
        <v>1607</v>
      </c>
      <c r="E266" s="8" t="s">
        <v>8</v>
      </c>
      <c r="F266" s="8"/>
      <c r="H266" s="8"/>
      <c r="I266" s="8" t="s">
        <v>9415</v>
      </c>
      <c r="J266" s="8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8" t="s">
        <v>1607</v>
      </c>
      <c r="E267" s="8" t="s">
        <v>8</v>
      </c>
      <c r="F267" s="8"/>
      <c r="H267" s="8"/>
      <c r="I267" s="8" t="s">
        <v>9418</v>
      </c>
      <c r="J267" s="8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8" t="s">
        <v>4</v>
      </c>
      <c r="E268" s="8" t="s">
        <v>7924</v>
      </c>
      <c r="F268" s="8"/>
      <c r="H268" s="8"/>
      <c r="I268" s="8" t="s">
        <v>9423</v>
      </c>
      <c r="J268" s="8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8" t="s">
        <v>4</v>
      </c>
      <c r="E269" s="8" t="s">
        <v>8</v>
      </c>
      <c r="F269" s="8"/>
      <c r="H269" s="8"/>
      <c r="I269" s="8" t="s">
        <v>9426</v>
      </c>
      <c r="J269" s="8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8" t="s">
        <v>4</v>
      </c>
      <c r="E270" s="8" t="s">
        <v>7924</v>
      </c>
      <c r="F270" s="8"/>
      <c r="H270" s="8"/>
      <c r="I270" s="8" t="s">
        <v>9429</v>
      </c>
      <c r="J270" s="8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8" t="s">
        <v>4</v>
      </c>
      <c r="E271" s="8" t="s">
        <v>7924</v>
      </c>
      <c r="F271" s="8"/>
      <c r="H271" s="8"/>
      <c r="I271" s="8" t="s">
        <v>9432</v>
      </c>
      <c r="J271" s="8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8" t="s">
        <v>9600</v>
      </c>
      <c r="E272" s="8"/>
      <c r="F272" s="8"/>
      <c r="H272" s="8"/>
      <c r="I272" s="8" t="s">
        <v>9435</v>
      </c>
      <c r="J272" s="8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8" t="s">
        <v>4</v>
      </c>
      <c r="E273" s="8" t="s">
        <v>8</v>
      </c>
      <c r="F273" s="8"/>
      <c r="H273" s="8"/>
      <c r="I273" s="8" t="s">
        <v>9438</v>
      </c>
      <c r="J273" s="8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8" t="s">
        <v>4</v>
      </c>
      <c r="E274" s="8" t="s">
        <v>8</v>
      </c>
      <c r="F274" s="8"/>
      <c r="H274" s="8"/>
      <c r="I274" s="8" t="s">
        <v>9441</v>
      </c>
      <c r="J274" s="8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8" t="s">
        <v>4</v>
      </c>
      <c r="E275" s="8" t="s">
        <v>8</v>
      </c>
      <c r="F275" s="8"/>
      <c r="H275" s="8"/>
      <c r="I275" s="8" t="s">
        <v>9444</v>
      </c>
      <c r="J275" s="8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8" t="s">
        <v>4</v>
      </c>
      <c r="E276" s="8" t="s">
        <v>8</v>
      </c>
      <c r="F276" s="8"/>
      <c r="H276" s="8"/>
      <c r="I276" s="8" t="s">
        <v>9447</v>
      </c>
      <c r="J276" s="8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8" t="s">
        <v>9601</v>
      </c>
      <c r="E277" s="8" t="s">
        <v>2348</v>
      </c>
      <c r="F277" s="8"/>
      <c r="H277" s="8"/>
      <c r="I277" s="8" t="s">
        <v>9450</v>
      </c>
      <c r="J277" s="8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8" t="s">
        <v>4</v>
      </c>
      <c r="E278" s="8" t="s">
        <v>7924</v>
      </c>
      <c r="F278" s="8"/>
      <c r="H278" s="8"/>
      <c r="I278" s="8" t="s">
        <v>9453</v>
      </c>
      <c r="J278" s="8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8" t="s">
        <v>4</v>
      </c>
      <c r="E279" s="8" t="s">
        <v>8</v>
      </c>
      <c r="F279" s="8"/>
      <c r="H279" s="8"/>
      <c r="I279" s="8" t="s">
        <v>9456</v>
      </c>
      <c r="J279" s="8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8" t="s">
        <v>4</v>
      </c>
      <c r="E280" s="8" t="s">
        <v>3413</v>
      </c>
      <c r="F280" s="8"/>
      <c r="H280" s="8"/>
      <c r="I280" s="8" t="s">
        <v>9657</v>
      </c>
      <c r="J280" s="8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8" t="s">
        <v>4</v>
      </c>
      <c r="E281" s="8" t="s">
        <v>3413</v>
      </c>
      <c r="F281" s="8"/>
      <c r="H281" s="8" t="s">
        <v>2352</v>
      </c>
      <c r="I281" s="8" t="s">
        <v>9660</v>
      </c>
      <c r="J281" s="8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8" t="s">
        <v>1607</v>
      </c>
      <c r="E282" s="8" t="s">
        <v>8</v>
      </c>
      <c r="F282" s="8"/>
      <c r="H282" s="8"/>
      <c r="I282" s="8" t="s">
        <v>9663</v>
      </c>
      <c r="J282" s="8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8" t="s">
        <v>1607</v>
      </c>
      <c r="E283" s="8" t="s">
        <v>8</v>
      </c>
      <c r="F283" s="8"/>
      <c r="H283" s="8"/>
      <c r="I283" s="8" t="s">
        <v>9697</v>
      </c>
      <c r="J283" s="8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8" t="s">
        <v>4</v>
      </c>
      <c r="E284" s="8" t="s">
        <v>10021</v>
      </c>
      <c r="F284" s="8"/>
      <c r="H284" s="8"/>
      <c r="I284" s="8" t="s">
        <v>9850</v>
      </c>
      <c r="J284" s="8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8" t="s">
        <v>7887</v>
      </c>
      <c r="E285" s="8"/>
      <c r="F285" s="8"/>
      <c r="H285" s="8"/>
      <c r="I285" s="8" t="s">
        <v>9852</v>
      </c>
      <c r="J285" s="8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8" t="s">
        <v>7887</v>
      </c>
      <c r="E286" s="8"/>
      <c r="F286" s="8"/>
      <c r="H286" s="8"/>
      <c r="I286" s="8" t="s">
        <v>9854</v>
      </c>
      <c r="J286" s="8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8" t="s">
        <v>7887</v>
      </c>
      <c r="E287" s="8"/>
      <c r="F287" s="8"/>
      <c r="H287" s="8"/>
      <c r="I287" s="8" t="s">
        <v>9856</v>
      </c>
      <c r="J287" s="8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8" t="s">
        <v>7887</v>
      </c>
      <c r="E288" s="8"/>
      <c r="F288" s="8"/>
      <c r="H288" s="8"/>
      <c r="I288" s="8" t="s">
        <v>9858</v>
      </c>
      <c r="J288" s="8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8" t="s">
        <v>7887</v>
      </c>
      <c r="E289" s="8"/>
      <c r="F289" s="8"/>
      <c r="H289" s="8"/>
      <c r="I289" s="8" t="s">
        <v>9860</v>
      </c>
      <c r="J289" s="8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8" t="s">
        <v>7887</v>
      </c>
      <c r="E290" s="8"/>
      <c r="F290" s="8"/>
      <c r="H290" s="8"/>
      <c r="I290" s="8" t="s">
        <v>9862</v>
      </c>
      <c r="J290" s="8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8" t="s">
        <v>7887</v>
      </c>
      <c r="E291" s="8"/>
      <c r="F291" s="8"/>
      <c r="H291" s="8"/>
      <c r="I291" s="8" t="s">
        <v>9864</v>
      </c>
      <c r="J291" s="8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8" t="s">
        <v>7887</v>
      </c>
      <c r="E292" s="8"/>
      <c r="F292" s="8"/>
      <c r="H292" s="8"/>
      <c r="I292" s="8" t="s">
        <v>9866</v>
      </c>
      <c r="J292" s="8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8" t="s">
        <v>137</v>
      </c>
      <c r="E293" s="8" t="s">
        <v>10011</v>
      </c>
      <c r="F293" s="8"/>
      <c r="H293" s="8"/>
      <c r="I293" s="8" t="s">
        <v>9868</v>
      </c>
      <c r="J293" s="8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8" t="s">
        <v>4</v>
      </c>
      <c r="E294" s="8" t="s">
        <v>8</v>
      </c>
      <c r="F294" s="8"/>
      <c r="H294" s="8"/>
      <c r="I294" s="8" t="s">
        <v>9870</v>
      </c>
      <c r="J294" s="8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8" t="s">
        <v>11</v>
      </c>
      <c r="E295" s="8"/>
      <c r="F295" s="8"/>
      <c r="H295" s="8" t="s">
        <v>2352</v>
      </c>
      <c r="I295" s="8" t="s">
        <v>10112</v>
      </c>
      <c r="J295" s="8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8" t="s">
        <v>11</v>
      </c>
      <c r="E296" s="8"/>
      <c r="F296" s="8"/>
      <c r="H296" s="8" t="s">
        <v>2352</v>
      </c>
      <c r="I296" s="8" t="s">
        <v>10115</v>
      </c>
      <c r="J296" s="8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8" t="s">
        <v>11</v>
      </c>
      <c r="E297" s="8"/>
      <c r="F297" s="8"/>
      <c r="H297" s="8"/>
      <c r="I297" s="8" t="s">
        <v>10118</v>
      </c>
      <c r="J297" s="8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8" t="s">
        <v>9600</v>
      </c>
      <c r="E298" s="8"/>
      <c r="F298" s="8"/>
      <c r="H298" s="8"/>
      <c r="I298" s="8" t="s">
        <v>10121</v>
      </c>
      <c r="J298" s="8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8" t="s">
        <v>10020</v>
      </c>
      <c r="E299" s="8"/>
      <c r="F299" s="8"/>
      <c r="H299" s="8"/>
      <c r="I299" s="8" t="s">
        <v>10124</v>
      </c>
      <c r="J299" s="8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8" t="s">
        <v>10020</v>
      </c>
      <c r="E300" s="8"/>
      <c r="F300" s="8"/>
      <c r="H300" s="8"/>
      <c r="I300" s="8" t="s">
        <v>10127</v>
      </c>
      <c r="J300" s="8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8" t="s">
        <v>4</v>
      </c>
      <c r="E301" s="8" t="s">
        <v>8</v>
      </c>
      <c r="F301" s="8"/>
      <c r="H301" s="8"/>
      <c r="I301" s="8" t="s">
        <v>10152</v>
      </c>
      <c r="J301" s="8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8" t="s">
        <v>7887</v>
      </c>
      <c r="E302" s="8"/>
      <c r="F302" s="8"/>
      <c r="H302" s="8"/>
      <c r="I302" s="8" t="s">
        <v>10155</v>
      </c>
      <c r="J302" s="8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8" t="s">
        <v>10239</v>
      </c>
      <c r="E303" s="8" t="s">
        <v>10132</v>
      </c>
      <c r="F303" s="8"/>
      <c r="H303" s="8" t="s">
        <v>10240</v>
      </c>
      <c r="I303" s="8" t="s">
        <v>10158</v>
      </c>
      <c r="J303" s="8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8" t="s">
        <v>4</v>
      </c>
      <c r="E304" s="8" t="s">
        <v>8</v>
      </c>
      <c r="F304" s="8"/>
      <c r="H304" s="8"/>
      <c r="I304" s="8" t="s">
        <v>10161</v>
      </c>
      <c r="J304" s="8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8" t="s">
        <v>10020</v>
      </c>
      <c r="E305" s="8"/>
      <c r="F305" s="8"/>
      <c r="H305" s="8"/>
      <c r="I305" s="8" t="s">
        <v>10391</v>
      </c>
      <c r="J305" s="8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8" t="s">
        <v>10020</v>
      </c>
      <c r="E306" s="8"/>
      <c r="F306" s="8"/>
      <c r="H306" s="8"/>
      <c r="I306" s="8" t="s">
        <v>10394</v>
      </c>
      <c r="J306" s="8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8" t="s">
        <v>10020</v>
      </c>
      <c r="E307" s="8"/>
      <c r="F307" s="8"/>
      <c r="H307" s="8"/>
      <c r="I307" s="8" t="s">
        <v>10397</v>
      </c>
      <c r="J307" s="8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8" t="s">
        <v>10020</v>
      </c>
      <c r="E308" s="8"/>
      <c r="F308" s="8"/>
      <c r="H308" s="8"/>
      <c r="I308" s="8" t="s">
        <v>10400</v>
      </c>
      <c r="J308" s="8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8" t="s">
        <v>4</v>
      </c>
      <c r="E309" s="8" t="s">
        <v>8</v>
      </c>
      <c r="F309" s="8"/>
      <c r="H309" s="8"/>
      <c r="I309" s="8" t="s">
        <v>10403</v>
      </c>
      <c r="J309" s="8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8" t="s">
        <v>10020</v>
      </c>
      <c r="E310" s="8"/>
      <c r="F310" s="8"/>
      <c r="H310" s="8"/>
      <c r="I310" s="8" t="s">
        <v>10406</v>
      </c>
      <c r="J310" s="8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8" t="s">
        <v>10020</v>
      </c>
      <c r="E311" s="8"/>
      <c r="F311" s="8"/>
      <c r="H311" s="8"/>
      <c r="I311" s="8" t="s">
        <v>10409</v>
      </c>
      <c r="J311" s="8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8" t="s">
        <v>4</v>
      </c>
      <c r="E312" s="8" t="s">
        <v>8</v>
      </c>
      <c r="F312" s="8"/>
      <c r="H312" s="8"/>
      <c r="I312" s="8" t="s">
        <v>10412</v>
      </c>
      <c r="J312" s="8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8" t="s">
        <v>10020</v>
      </c>
      <c r="E313" s="8"/>
      <c r="F313" s="8"/>
      <c r="H313" s="8"/>
      <c r="I313" s="8" t="s">
        <v>10538</v>
      </c>
      <c r="J313" s="8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8" t="s">
        <v>7</v>
      </c>
      <c r="E314" s="8"/>
      <c r="F314" s="8"/>
      <c r="H314" s="8"/>
      <c r="I314" s="8" t="s">
        <v>10541</v>
      </c>
      <c r="J314" s="8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8" t="s">
        <v>4</v>
      </c>
      <c r="E315" s="8" t="s">
        <v>8</v>
      </c>
      <c r="F315" s="8"/>
      <c r="H315" s="8"/>
      <c r="I315" s="8" t="s">
        <v>10544</v>
      </c>
      <c r="J315" s="8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8" t="s">
        <v>226</v>
      </c>
      <c r="E316" s="8" t="s">
        <v>11067</v>
      </c>
      <c r="F316" s="8" t="s">
        <v>165</v>
      </c>
      <c r="G316">
        <v>2</v>
      </c>
      <c r="H316" s="8"/>
      <c r="I316" s="8" t="s">
        <v>10759</v>
      </c>
      <c r="J316" s="8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8" t="s">
        <v>4</v>
      </c>
      <c r="E317" s="8" t="s">
        <v>8</v>
      </c>
      <c r="F317" s="8"/>
      <c r="H317" s="8"/>
      <c r="I317" s="8" t="s">
        <v>10762</v>
      </c>
      <c r="J317" s="8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8" t="s">
        <v>4</v>
      </c>
      <c r="E318" s="8" t="s">
        <v>8</v>
      </c>
      <c r="F318" s="8"/>
      <c r="H318" s="8"/>
      <c r="I318" s="8" t="s">
        <v>10765</v>
      </c>
      <c r="J318" s="8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8" t="s">
        <v>137</v>
      </c>
      <c r="E319" s="8" t="s">
        <v>11066</v>
      </c>
      <c r="F319" s="8"/>
      <c r="H319" s="8"/>
      <c r="I319" s="8" t="s">
        <v>10768</v>
      </c>
      <c r="J319" s="8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8" t="s">
        <v>4</v>
      </c>
      <c r="E320" s="8" t="s">
        <v>11074</v>
      </c>
      <c r="F320" s="8"/>
      <c r="H320" s="8"/>
      <c r="I320" s="8" t="s">
        <v>10771</v>
      </c>
      <c r="J320" s="8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8" t="s">
        <v>4</v>
      </c>
      <c r="E321" s="8" t="s">
        <v>8</v>
      </c>
      <c r="F321" s="8"/>
      <c r="H321" s="8"/>
      <c r="I321" s="8" t="s">
        <v>10774</v>
      </c>
      <c r="J321" s="8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8" t="s">
        <v>7</v>
      </c>
      <c r="E322" s="8"/>
      <c r="F322" s="8"/>
      <c r="H322" s="8"/>
      <c r="I322" s="8" t="s">
        <v>10777</v>
      </c>
      <c r="J322" s="8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8" t="s">
        <v>4</v>
      </c>
      <c r="E323" s="8" t="s">
        <v>8</v>
      </c>
      <c r="F323" s="8"/>
      <c r="H323" s="8"/>
      <c r="I323" s="8" t="s">
        <v>10780</v>
      </c>
      <c r="J323" s="8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8" t="s">
        <v>4</v>
      </c>
      <c r="E324" s="8" t="s">
        <v>8</v>
      </c>
      <c r="F324" s="8"/>
      <c r="H324" s="8"/>
      <c r="I324" s="8" t="s">
        <v>13789</v>
      </c>
      <c r="J324" s="8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8" t="s">
        <v>1607</v>
      </c>
      <c r="E325" s="8" t="s">
        <v>8</v>
      </c>
      <c r="F325" s="8"/>
      <c r="H325" s="8"/>
      <c r="I325" s="8" t="s">
        <v>13792</v>
      </c>
      <c r="J325" s="8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8" t="s">
        <v>4</v>
      </c>
      <c r="E326" s="8" t="s">
        <v>8</v>
      </c>
      <c r="F326" s="8"/>
      <c r="H326" s="8"/>
      <c r="I326" s="8" t="s">
        <v>13795</v>
      </c>
      <c r="J326" s="8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8" t="s">
        <v>13847</v>
      </c>
      <c r="E327" s="8" t="s">
        <v>1274</v>
      </c>
      <c r="F327" s="8"/>
      <c r="H327" s="8"/>
      <c r="I327" s="8" t="s">
        <v>13798</v>
      </c>
      <c r="J327" s="8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8" t="s">
        <v>4</v>
      </c>
      <c r="E328" s="8" t="s">
        <v>8</v>
      </c>
      <c r="F328" s="8"/>
      <c r="H328" s="8"/>
      <c r="I328" s="8" t="s">
        <v>13801</v>
      </c>
      <c r="J328" s="8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8" t="s">
        <v>4</v>
      </c>
      <c r="E329" s="8" t="s">
        <v>8</v>
      </c>
      <c r="F329" s="8"/>
      <c r="H329" s="8"/>
      <c r="I329" s="8" t="s">
        <v>14065</v>
      </c>
      <c r="J329" s="8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8" t="s">
        <v>1607</v>
      </c>
      <c r="E330" s="8" t="s">
        <v>8</v>
      </c>
      <c r="F330" s="8"/>
      <c r="H330" s="8"/>
      <c r="I330" s="8" t="s">
        <v>14068</v>
      </c>
      <c r="J330" s="8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8" t="s">
        <v>4</v>
      </c>
      <c r="E331" s="8" t="s">
        <v>8</v>
      </c>
      <c r="F331" s="8"/>
      <c r="H331" s="8"/>
      <c r="I331" s="8" t="s">
        <v>14071</v>
      </c>
      <c r="J331" s="8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8" t="s">
        <v>4</v>
      </c>
      <c r="E332" s="8" t="s">
        <v>8</v>
      </c>
      <c r="F332" s="8"/>
      <c r="H332" s="8" t="s">
        <v>2352</v>
      </c>
      <c r="I332" s="8" t="s">
        <v>14074</v>
      </c>
      <c r="J332" s="8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8" t="s">
        <v>4</v>
      </c>
      <c r="E333" s="8" t="s">
        <v>8</v>
      </c>
      <c r="F333" s="8"/>
      <c r="H333" s="8"/>
      <c r="I333" s="8" t="s">
        <v>14168</v>
      </c>
      <c r="J333" s="8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8" t="s">
        <v>7</v>
      </c>
      <c r="E334" s="8"/>
      <c r="F334" s="8"/>
      <c r="H334" s="8"/>
      <c r="I334" s="8" t="s">
        <v>14171</v>
      </c>
      <c r="J334" s="8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8" t="s">
        <v>11</v>
      </c>
      <c r="E335" s="8"/>
      <c r="F335" s="8"/>
      <c r="H335" s="8"/>
      <c r="I335" s="8" t="s">
        <v>14174</v>
      </c>
      <c r="J335" s="8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8" t="s">
        <v>11</v>
      </c>
      <c r="E336" s="8"/>
      <c r="F336" s="8"/>
      <c r="H336" s="8" t="s">
        <v>2352</v>
      </c>
      <c r="I336" s="8" t="s">
        <v>14177</v>
      </c>
      <c r="J336" s="8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8" t="s">
        <v>11</v>
      </c>
      <c r="E337" s="8"/>
      <c r="F337" s="8"/>
      <c r="H337" s="8" t="s">
        <v>2352</v>
      </c>
      <c r="I337" s="8" t="s">
        <v>14180</v>
      </c>
      <c r="J337" s="8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8" t="s">
        <v>11</v>
      </c>
      <c r="E338" s="8"/>
      <c r="F338" s="8"/>
      <c r="H338" s="8" t="s">
        <v>2352</v>
      </c>
      <c r="I338" s="8" t="s">
        <v>14183</v>
      </c>
      <c r="J338" s="8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8" t="s">
        <v>4</v>
      </c>
      <c r="E339" s="8" t="s">
        <v>8</v>
      </c>
      <c r="F339" s="8"/>
      <c r="H339" s="8"/>
      <c r="I339" s="8" t="s">
        <v>14186</v>
      </c>
      <c r="J339" s="8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8" t="s">
        <v>4</v>
      </c>
      <c r="E340" s="8" t="s">
        <v>8</v>
      </c>
      <c r="F340" s="8"/>
      <c r="H340" s="8"/>
      <c r="I340" s="8" t="s">
        <v>14189</v>
      </c>
      <c r="J340" s="8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8" t="s">
        <v>11</v>
      </c>
      <c r="E341" s="8"/>
      <c r="F341" s="8"/>
      <c r="H341" s="8"/>
      <c r="I341" s="8" t="s">
        <v>14192</v>
      </c>
      <c r="J341" s="8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8" t="s">
        <v>4</v>
      </c>
      <c r="E342" s="8" t="s">
        <v>8</v>
      </c>
      <c r="F342" s="8"/>
      <c r="H342" s="8"/>
      <c r="I342" s="8" t="s">
        <v>14195</v>
      </c>
      <c r="J342" s="8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8" t="s">
        <v>4</v>
      </c>
      <c r="E343" s="8" t="s">
        <v>8</v>
      </c>
      <c r="F343" s="8"/>
      <c r="H343" s="8"/>
      <c r="I343" s="8" t="s">
        <v>14198</v>
      </c>
      <c r="J343" s="8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8" t="s">
        <v>11</v>
      </c>
      <c r="E344" s="8"/>
      <c r="F344" s="8"/>
      <c r="H344" s="8"/>
      <c r="I344" s="8" t="s">
        <v>14201</v>
      </c>
      <c r="J344" s="8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8" t="s">
        <v>11</v>
      </c>
      <c r="E345" s="8"/>
      <c r="F345" s="8"/>
      <c r="H345" s="8"/>
      <c r="I345" s="8" t="s">
        <v>14204</v>
      </c>
      <c r="J345" s="8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8" t="s">
        <v>4</v>
      </c>
      <c r="E346" s="8" t="s">
        <v>8</v>
      </c>
      <c r="F346" s="8"/>
      <c r="H346" s="8"/>
      <c r="I346" s="8" t="s">
        <v>14207</v>
      </c>
      <c r="J346" s="8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8" t="s">
        <v>4</v>
      </c>
      <c r="E347" s="8" t="s">
        <v>8</v>
      </c>
      <c r="F347" s="8"/>
      <c r="H347" s="8"/>
      <c r="I347" s="8" t="s">
        <v>14210</v>
      </c>
      <c r="J347" s="8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8" t="s">
        <v>7</v>
      </c>
      <c r="E348" s="8"/>
      <c r="F348" s="8"/>
      <c r="H348" s="8"/>
      <c r="I348" s="8" t="s">
        <v>14213</v>
      </c>
      <c r="J348" s="8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8" t="s">
        <v>11</v>
      </c>
      <c r="E349" s="8"/>
      <c r="F349" s="8"/>
      <c r="H349" s="8"/>
      <c r="I349" s="8" t="s">
        <v>14216</v>
      </c>
      <c r="J349" s="8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8" t="s">
        <v>11</v>
      </c>
      <c r="E350" s="8"/>
      <c r="F350" s="8"/>
      <c r="H350" s="8"/>
      <c r="I350" s="8" t="s">
        <v>14219</v>
      </c>
      <c r="J350" s="8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8" t="s">
        <v>4</v>
      </c>
      <c r="E351" s="8" t="s">
        <v>8</v>
      </c>
      <c r="F351" s="8"/>
      <c r="H351" s="8"/>
      <c r="I351" s="8" t="s">
        <v>14222</v>
      </c>
      <c r="J351" s="8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8" t="s">
        <v>4</v>
      </c>
      <c r="E352" s="8" t="s">
        <v>16663</v>
      </c>
      <c r="F352" s="8"/>
      <c r="H352" s="8"/>
      <c r="I352" s="8" t="s">
        <v>14225</v>
      </c>
      <c r="J352" s="8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8" t="s">
        <v>7</v>
      </c>
      <c r="E353" s="8"/>
      <c r="F353" s="8"/>
      <c r="H353" s="8"/>
      <c r="I353" s="8" t="s">
        <v>14228</v>
      </c>
      <c r="J353" s="8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8" t="s">
        <v>4</v>
      </c>
      <c r="E354" s="8" t="s">
        <v>8</v>
      </c>
      <c r="F354" s="8"/>
      <c r="H354" s="8"/>
      <c r="I354" s="8" t="s">
        <v>14231</v>
      </c>
      <c r="J354" s="8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8" t="s">
        <v>4</v>
      </c>
      <c r="E355" s="8" t="s">
        <v>8</v>
      </c>
      <c r="F355" s="8"/>
      <c r="H355" s="8"/>
      <c r="I355" s="8" t="s">
        <v>14234</v>
      </c>
      <c r="J355" s="8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8" t="s">
        <v>11</v>
      </c>
      <c r="E356" s="8"/>
      <c r="F356" s="8"/>
      <c r="H356" s="8"/>
      <c r="I356" s="8" t="s">
        <v>14237</v>
      </c>
      <c r="J356" s="8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8" t="s">
        <v>4</v>
      </c>
      <c r="E357" s="8" t="s">
        <v>8</v>
      </c>
      <c r="F357" s="8"/>
      <c r="H357" s="8"/>
      <c r="I357" s="8" t="s">
        <v>14240</v>
      </c>
      <c r="J357" s="8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8" t="s">
        <v>11</v>
      </c>
      <c r="E358" s="8"/>
      <c r="F358" s="8"/>
      <c r="H358" s="8"/>
      <c r="I358" s="8" t="s">
        <v>14243</v>
      </c>
      <c r="J358" s="8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8" t="s">
        <v>11</v>
      </c>
      <c r="E359" s="8"/>
      <c r="F359" s="8"/>
      <c r="H359" s="8"/>
      <c r="I359" s="8" t="s">
        <v>14246</v>
      </c>
      <c r="J359" s="8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8" t="s">
        <v>4</v>
      </c>
      <c r="E360" s="8" t="s">
        <v>8</v>
      </c>
      <c r="F360" s="8"/>
      <c r="H360" s="8"/>
      <c r="I360" s="8" t="s">
        <v>14249</v>
      </c>
      <c r="J360" s="8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8" t="s">
        <v>4</v>
      </c>
      <c r="E361" s="8" t="s">
        <v>8</v>
      </c>
      <c r="F361" s="8"/>
      <c r="H361" s="8"/>
      <c r="I361" s="8" t="s">
        <v>17359</v>
      </c>
      <c r="J361" s="8" t="s">
        <v>2396</v>
      </c>
      <c r="K361" t="s">
        <v>17360</v>
      </c>
      <c r="L361" t="s">
        <v>17361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8" t="s">
        <v>11</v>
      </c>
      <c r="E362" s="8"/>
      <c r="F362" s="8"/>
      <c r="H362" s="8"/>
      <c r="I362" s="8" t="s">
        <v>17362</v>
      </c>
      <c r="J362" s="8" t="s">
        <v>2396</v>
      </c>
      <c r="K362" t="s">
        <v>17363</v>
      </c>
      <c r="L362" t="s">
        <v>17364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8" t="s">
        <v>11</v>
      </c>
      <c r="E363" s="8"/>
      <c r="F363" s="8"/>
      <c r="H363" s="8"/>
      <c r="I363" s="8" t="s">
        <v>17365</v>
      </c>
      <c r="J363" s="8" t="s">
        <v>2396</v>
      </c>
      <c r="K363" t="s">
        <v>17366</v>
      </c>
      <c r="L363" t="s">
        <v>17367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8" t="s">
        <v>4</v>
      </c>
      <c r="E364" s="8" t="s">
        <v>8</v>
      </c>
      <c r="F364" s="8"/>
      <c r="H364" s="8"/>
      <c r="I364" s="8" t="s">
        <v>17368</v>
      </c>
      <c r="J364" s="8" t="s">
        <v>2396</v>
      </c>
      <c r="K364" t="s">
        <v>17369</v>
      </c>
      <c r="L364" t="s">
        <v>17370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8" t="s">
        <v>4</v>
      </c>
      <c r="E365" s="8" t="s">
        <v>8</v>
      </c>
      <c r="F365" s="8"/>
      <c r="H365" s="8"/>
      <c r="I365" s="8" t="s">
        <v>17371</v>
      </c>
      <c r="J365" s="8" t="s">
        <v>2396</v>
      </c>
      <c r="K365" t="s">
        <v>17372</v>
      </c>
      <c r="L365" t="s">
        <v>17373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8" t="s">
        <v>11</v>
      </c>
      <c r="E366" s="8"/>
      <c r="F366" s="8"/>
      <c r="H366" s="8"/>
      <c r="I366" s="8" t="s">
        <v>17374</v>
      </c>
      <c r="J366" s="8" t="s">
        <v>2396</v>
      </c>
      <c r="K366" t="s">
        <v>17375</v>
      </c>
      <c r="L366" t="s">
        <v>17376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8" t="s">
        <v>4</v>
      </c>
      <c r="E367" s="8" t="s">
        <v>8</v>
      </c>
      <c r="F367" s="8"/>
      <c r="H367" s="8"/>
      <c r="I367" s="8" t="s">
        <v>17377</v>
      </c>
      <c r="J367" s="8" t="s">
        <v>2396</v>
      </c>
      <c r="K367" t="s">
        <v>17378</v>
      </c>
      <c r="L367" t="s">
        <v>17379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8" t="s">
        <v>4</v>
      </c>
      <c r="E368" s="8" t="s">
        <v>8</v>
      </c>
      <c r="F368" s="8"/>
      <c r="H368" s="8"/>
      <c r="I368" s="8" t="s">
        <v>17380</v>
      </c>
      <c r="J368" s="8" t="s">
        <v>2396</v>
      </c>
      <c r="K368" t="s">
        <v>17381</v>
      </c>
      <c r="L368" t="s">
        <v>17382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8" t="s">
        <v>1607</v>
      </c>
      <c r="E369" s="8" t="s">
        <v>8</v>
      </c>
      <c r="F369" s="8"/>
      <c r="H369" s="8"/>
      <c r="I369" s="8" t="s">
        <v>17383</v>
      </c>
      <c r="J369" s="8" t="s">
        <v>2396</v>
      </c>
      <c r="K369" t="s">
        <v>17384</v>
      </c>
      <c r="L369" t="s">
        <v>17385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8" t="s">
        <v>4</v>
      </c>
      <c r="E370" s="8" t="s">
        <v>8</v>
      </c>
      <c r="F370" s="8"/>
      <c r="H370" s="8"/>
      <c r="I370" s="8" t="s">
        <v>17569</v>
      </c>
      <c r="J370" s="8" t="s">
        <v>2396</v>
      </c>
      <c r="K370" t="s">
        <v>17570</v>
      </c>
      <c r="L370" t="s">
        <v>17571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8" t="s">
        <v>1607</v>
      </c>
      <c r="E371" s="8" t="s">
        <v>8</v>
      </c>
      <c r="F371" s="8"/>
      <c r="H371" s="8"/>
      <c r="I371" s="8" t="s">
        <v>17572</v>
      </c>
      <c r="J371" s="8" t="s">
        <v>2396</v>
      </c>
      <c r="K371" t="s">
        <v>17573</v>
      </c>
      <c r="L371" t="s">
        <v>17568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8" t="s">
        <v>4</v>
      </c>
      <c r="E372" s="8" t="s">
        <v>8</v>
      </c>
      <c r="F372" s="8"/>
      <c r="H372" s="8"/>
      <c r="I372" s="8" t="s">
        <v>17974</v>
      </c>
      <c r="J372" s="8" t="s">
        <v>2396</v>
      </c>
      <c r="K372" t="s">
        <v>17975</v>
      </c>
      <c r="L372" t="s">
        <v>17976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8" t="s">
        <v>1607</v>
      </c>
      <c r="E373" s="8" t="s">
        <v>8</v>
      </c>
      <c r="F373" s="8"/>
      <c r="H373" s="8"/>
      <c r="I373" s="8" t="s">
        <v>17977</v>
      </c>
      <c r="J373" s="8" t="s">
        <v>2396</v>
      </c>
      <c r="K373" t="s">
        <v>17978</v>
      </c>
      <c r="L373" t="s">
        <v>17979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s="8" t="s">
        <v>4</v>
      </c>
      <c r="E374" s="8" t="s">
        <v>8</v>
      </c>
      <c r="F374" s="8"/>
      <c r="H374" s="8"/>
      <c r="I374" s="8" t="s">
        <v>18420</v>
      </c>
      <c r="J374" s="8" t="s">
        <v>2396</v>
      </c>
      <c r="K374" t="s">
        <v>18421</v>
      </c>
      <c r="L374" t="s">
        <v>18422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s="8" t="s">
        <v>1607</v>
      </c>
      <c r="E375" s="8" t="s">
        <v>8</v>
      </c>
      <c r="F375" s="8"/>
      <c r="H375" s="8"/>
      <c r="I375" s="8" t="s">
        <v>18423</v>
      </c>
      <c r="J375" s="8" t="s">
        <v>2396</v>
      </c>
      <c r="K375" t="s">
        <v>18424</v>
      </c>
      <c r="L375" t="s">
        <v>18425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s="8" t="s">
        <v>4</v>
      </c>
      <c r="E376" s="8" t="s">
        <v>8</v>
      </c>
      <c r="F376" s="8"/>
      <c r="H376" s="8"/>
      <c r="I376" s="8" t="s">
        <v>19078</v>
      </c>
      <c r="J376" s="8" t="s">
        <v>2396</v>
      </c>
      <c r="K376" t="s">
        <v>19079</v>
      </c>
      <c r="L376" t="s">
        <v>19080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s="8" t="s">
        <v>4</v>
      </c>
      <c r="E377" s="8" t="s">
        <v>8</v>
      </c>
      <c r="F377" s="8"/>
      <c r="H377" s="8"/>
      <c r="I377" s="8" t="s">
        <v>19081</v>
      </c>
      <c r="J377" s="8" t="s">
        <v>2396</v>
      </c>
      <c r="K377" t="s">
        <v>19082</v>
      </c>
      <c r="L377" t="s">
        <v>19083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s="8" t="s">
        <v>1607</v>
      </c>
      <c r="E378" s="8" t="s">
        <v>8</v>
      </c>
      <c r="F378" s="8"/>
      <c r="H378" s="8"/>
      <c r="I378" s="8" t="s">
        <v>19084</v>
      </c>
      <c r="J378" s="8" t="s">
        <v>2396</v>
      </c>
      <c r="K378" t="s">
        <v>19085</v>
      </c>
      <c r="L378" t="s">
        <v>19086</v>
      </c>
      <c r="M378" s="2" t="str">
        <f>HYPERLINK(склад2въезд13192021[[#This Row],[RelativePath]])</f>
        <v>7 Площадка 2 бетонщики\134160575_1_20260313T193727Z.jpg</v>
      </c>
    </row>
  </sheetData>
  <conditionalFormatting sqref="E379:E392 D1:D197 D379:D1048576 G2:H378 D2:E378">
    <cfRule type="containsText" dxfId="791" priority="18" operator="containsText" text="Выезд с территории">
      <formula>NOT(ISERROR(SEARCH("Выезд с территории",D1)))</formula>
    </cfRule>
  </conditionalFormatting>
  <conditionalFormatting sqref="F2:F378">
    <cfRule type="notContainsText" dxfId="790" priority="17" operator="notContains" text="порожний">
      <formula>ISERROR(SEARCH("порожний",F2))</formula>
    </cfRule>
  </conditionalFormatting>
  <conditionalFormatting sqref="E2:E392">
    <cfRule type="containsText" dxfId="789" priority="15" operator="containsText" text="Газель базы">
      <formula>NOT(ISERROR(SEARCH("Газель базы",E2)))</formula>
    </cfRule>
    <cfRule type="containsText" dxfId="788" priority="16" operator="containsText" text="Погрузчик базы">
      <formula>NOT(ISERROR(SEARCH("Погрузчик базы",E2)))</formula>
    </cfRule>
  </conditionalFormatting>
  <conditionalFormatting sqref="E2:E392">
    <cfRule type="containsText" dxfId="787" priority="14" operator="containsText" text="Трактор базы">
      <formula>NOT(ISERROR(SEARCH("Трактор базы",E2)))</formula>
    </cfRule>
  </conditionalFormatting>
  <conditionalFormatting sqref="A2:C378">
    <cfRule type="expression" dxfId="786" priority="13">
      <formula>$A2="пн"</formula>
    </cfRule>
  </conditionalFormatting>
  <conditionalFormatting sqref="A2:C380">
    <cfRule type="expression" dxfId="785" priority="7">
      <formula>$A2="вс"</formula>
    </cfRule>
    <cfRule type="expression" dxfId="784" priority="8">
      <formula>$A2="сб"</formula>
    </cfRule>
    <cfRule type="expression" dxfId="783" priority="9">
      <formula>$A2="пт"</formula>
    </cfRule>
    <cfRule type="expression" dxfId="782" priority="10">
      <formula>$A2="чт"</formula>
    </cfRule>
    <cfRule type="expression" dxfId="781" priority="11">
      <formula>$A2="ср"</formula>
    </cfRule>
    <cfRule type="expression" dxfId="780" priority="12">
      <formula>$A2="вт"</formula>
    </cfRule>
  </conditionalFormatting>
  <conditionalFormatting sqref="D1:D1048576">
    <cfRule type="containsText" dxfId="779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778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777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489"/>
  <sheetViews>
    <sheetView zoomScale="90" zoomScaleNormal="90" workbookViewId="0">
      <pane ySplit="1" topLeftCell="A451" activePane="bottomLeft" state="frozen"/>
      <selection pane="bottomLeft" activeCell="I475" sqref="I475:I48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8" t="s">
        <v>4</v>
      </c>
      <c r="E2" s="8" t="s">
        <v>9</v>
      </c>
      <c r="F2" s="8"/>
      <c r="H2" s="8"/>
      <c r="I2" s="8" t="s">
        <v>591</v>
      </c>
      <c r="J2" s="8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8" t="s">
        <v>885</v>
      </c>
      <c r="E3" s="8" t="s">
        <v>886</v>
      </c>
      <c r="F3" s="8"/>
      <c r="H3" s="8"/>
      <c r="I3" s="8" t="s">
        <v>593</v>
      </c>
      <c r="J3" s="8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8" t="s">
        <v>885</v>
      </c>
      <c r="E4" s="8" t="s">
        <v>886</v>
      </c>
      <c r="F4" s="8"/>
      <c r="H4" s="8"/>
      <c r="I4" s="8" t="s">
        <v>595</v>
      </c>
      <c r="J4" s="8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8" t="s">
        <v>4</v>
      </c>
      <c r="E5" s="8" t="s">
        <v>683</v>
      </c>
      <c r="F5" s="8"/>
      <c r="H5" s="8"/>
      <c r="I5" s="8" t="s">
        <v>597</v>
      </c>
      <c r="J5" s="8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8" t="s">
        <v>4</v>
      </c>
      <c r="E6" s="8" t="s">
        <v>9</v>
      </c>
      <c r="F6" s="8"/>
      <c r="H6" s="8"/>
      <c r="I6" s="8" t="s">
        <v>599</v>
      </c>
      <c r="J6" s="8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8" t="s">
        <v>684</v>
      </c>
      <c r="E7" s="8" t="s">
        <v>468</v>
      </c>
      <c r="F7" s="8"/>
      <c r="H7" s="8"/>
      <c r="I7" s="8" t="s">
        <v>601</v>
      </c>
      <c r="J7" s="8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8" t="s">
        <v>684</v>
      </c>
      <c r="E8" s="8" t="s">
        <v>468</v>
      </c>
      <c r="F8" s="8"/>
      <c r="H8" s="8"/>
      <c r="I8" s="8" t="s">
        <v>603</v>
      </c>
      <c r="J8" s="8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8" t="s">
        <v>4</v>
      </c>
      <c r="E9" s="8" t="s">
        <v>9</v>
      </c>
      <c r="F9" s="8"/>
      <c r="H9" s="8"/>
      <c r="I9" s="8" t="s">
        <v>605</v>
      </c>
      <c r="J9" s="8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8" t="s">
        <v>685</v>
      </c>
      <c r="E10" s="8"/>
      <c r="F10" s="8"/>
      <c r="H10" s="8"/>
      <c r="I10" s="8" t="s">
        <v>607</v>
      </c>
      <c r="J10" s="8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8" t="s">
        <v>889</v>
      </c>
      <c r="E11" s="8" t="s">
        <v>468</v>
      </c>
      <c r="F11" s="8"/>
      <c r="H11" s="8"/>
      <c r="I11" s="8" t="s">
        <v>609</v>
      </c>
      <c r="J11" s="8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8" t="s">
        <v>4</v>
      </c>
      <c r="E12" s="8" t="s">
        <v>9</v>
      </c>
      <c r="F12" s="8"/>
      <c r="H12" s="8"/>
      <c r="I12" s="8" t="s">
        <v>611</v>
      </c>
      <c r="J12" s="8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8" t="s">
        <v>4</v>
      </c>
      <c r="E13" s="8" t="s">
        <v>9</v>
      </c>
      <c r="F13" s="8"/>
      <c r="H13" s="8"/>
      <c r="I13" s="8" t="s">
        <v>613</v>
      </c>
      <c r="J13" s="8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8" t="s">
        <v>686</v>
      </c>
      <c r="E14" s="8" t="s">
        <v>687</v>
      </c>
      <c r="F14" s="8"/>
      <c r="H14" s="8"/>
      <c r="I14" s="8" t="s">
        <v>615</v>
      </c>
      <c r="J14" s="8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8" t="s">
        <v>686</v>
      </c>
      <c r="E15" s="8" t="s">
        <v>687</v>
      </c>
      <c r="F15" s="8"/>
      <c r="H15" s="8"/>
      <c r="I15" s="8" t="s">
        <v>617</v>
      </c>
      <c r="J15" s="8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8" t="s">
        <v>686</v>
      </c>
      <c r="E16" s="8" t="s">
        <v>687</v>
      </c>
      <c r="F16" s="8"/>
      <c r="H16" s="8"/>
      <c r="I16" s="8" t="s">
        <v>619</v>
      </c>
      <c r="J16" s="8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8" t="s">
        <v>4</v>
      </c>
      <c r="E17" s="8" t="s">
        <v>9</v>
      </c>
      <c r="F17" s="8"/>
      <c r="H17" s="8"/>
      <c r="I17" s="8" t="s">
        <v>621</v>
      </c>
      <c r="J17" s="8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8" t="s">
        <v>4</v>
      </c>
      <c r="E18" s="8" t="s">
        <v>9</v>
      </c>
      <c r="F18" s="8"/>
      <c r="H18" s="8"/>
      <c r="I18" s="8" t="s">
        <v>623</v>
      </c>
      <c r="J18" s="8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8" t="s">
        <v>4</v>
      </c>
      <c r="E19" s="8" t="s">
        <v>9</v>
      </c>
      <c r="F19" s="8"/>
      <c r="H19" s="8"/>
      <c r="I19" s="8" t="s">
        <v>625</v>
      </c>
      <c r="J19" s="8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8" t="s">
        <v>4</v>
      </c>
      <c r="E20" s="8" t="s">
        <v>9</v>
      </c>
      <c r="F20" s="8"/>
      <c r="H20" s="8"/>
      <c r="I20" s="8" t="s">
        <v>627</v>
      </c>
      <c r="J20" s="8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8" t="s">
        <v>4</v>
      </c>
      <c r="E21" s="8" t="s">
        <v>9</v>
      </c>
      <c r="F21" s="8"/>
      <c r="H21" s="8"/>
      <c r="I21" s="8" t="s">
        <v>629</v>
      </c>
      <c r="J21" s="8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8" t="s">
        <v>4</v>
      </c>
      <c r="E22" s="8" t="s">
        <v>9</v>
      </c>
      <c r="F22" s="8"/>
      <c r="H22" s="8"/>
      <c r="I22" s="8" t="s">
        <v>631</v>
      </c>
      <c r="J22" s="8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8" t="s">
        <v>686</v>
      </c>
      <c r="E23" s="8" t="s">
        <v>687</v>
      </c>
      <c r="F23" s="8"/>
      <c r="H23" s="8"/>
      <c r="I23" s="8" t="s">
        <v>633</v>
      </c>
      <c r="J23" s="8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8" t="s">
        <v>4</v>
      </c>
      <c r="E24" s="8" t="s">
        <v>9</v>
      </c>
      <c r="F24" s="8"/>
      <c r="H24" s="8"/>
      <c r="I24" s="8" t="s">
        <v>635</v>
      </c>
      <c r="J24" s="8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8" t="s">
        <v>4</v>
      </c>
      <c r="E25" s="8" t="s">
        <v>9</v>
      </c>
      <c r="F25" s="8"/>
      <c r="H25" s="8"/>
      <c r="I25" s="8" t="s">
        <v>637</v>
      </c>
      <c r="J25" s="8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8" t="s">
        <v>4</v>
      </c>
      <c r="E26" s="8" t="s">
        <v>9</v>
      </c>
      <c r="F26" s="8"/>
      <c r="H26" s="8"/>
      <c r="I26" s="8" t="s">
        <v>639</v>
      </c>
      <c r="J26" s="8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8" t="s">
        <v>4</v>
      </c>
      <c r="E27" s="8" t="s">
        <v>9</v>
      </c>
      <c r="F27" s="8"/>
      <c r="H27" s="8"/>
      <c r="I27" s="8" t="s">
        <v>641</v>
      </c>
      <c r="J27" s="8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8" t="s">
        <v>4</v>
      </c>
      <c r="E28" s="8" t="s">
        <v>9</v>
      </c>
      <c r="F28" s="8"/>
      <c r="H28" s="8"/>
      <c r="I28" s="8" t="s">
        <v>643</v>
      </c>
      <c r="J28" s="8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8" t="s">
        <v>4</v>
      </c>
      <c r="E29" s="8" t="s">
        <v>9</v>
      </c>
      <c r="F29" s="8"/>
      <c r="H29" s="8"/>
      <c r="I29" s="8" t="s">
        <v>645</v>
      </c>
      <c r="J29" s="8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8" t="s">
        <v>4</v>
      </c>
      <c r="E30" s="8" t="s">
        <v>9</v>
      </c>
      <c r="F30" s="8"/>
      <c r="H30" s="8"/>
      <c r="I30" s="8" t="s">
        <v>647</v>
      </c>
      <c r="J30" s="8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8" t="s">
        <v>4</v>
      </c>
      <c r="E31" s="8" t="s">
        <v>9</v>
      </c>
      <c r="F31" s="8"/>
      <c r="H31" s="8"/>
      <c r="I31" s="8" t="s">
        <v>649</v>
      </c>
      <c r="J31" s="8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8" t="s">
        <v>4</v>
      </c>
      <c r="E32" s="8" t="s">
        <v>9</v>
      </c>
      <c r="F32" s="8"/>
      <c r="H32" s="8"/>
      <c r="I32" s="8" t="s">
        <v>651</v>
      </c>
      <c r="J32" s="8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8" t="s">
        <v>4</v>
      </c>
      <c r="E33" s="8" t="s">
        <v>9</v>
      </c>
      <c r="F33" s="8"/>
      <c r="H33" s="8"/>
      <c r="I33" s="8" t="s">
        <v>653</v>
      </c>
      <c r="J33" s="8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8" t="s">
        <v>686</v>
      </c>
      <c r="E34" s="8" t="s">
        <v>687</v>
      </c>
      <c r="F34" s="8"/>
      <c r="H34" s="8"/>
      <c r="I34" s="8" t="s">
        <v>655</v>
      </c>
      <c r="J34" s="8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8" t="s">
        <v>686</v>
      </c>
      <c r="E35" s="8" t="s">
        <v>687</v>
      </c>
      <c r="F35" s="8"/>
      <c r="H35" s="8"/>
      <c r="I35" s="8" t="s">
        <v>657</v>
      </c>
      <c r="J35" s="8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8" t="s">
        <v>4</v>
      </c>
      <c r="E36" s="8" t="s">
        <v>9</v>
      </c>
      <c r="F36" s="8"/>
      <c r="H36" s="8"/>
      <c r="I36" s="8" t="s">
        <v>659</v>
      </c>
      <c r="J36" s="8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8" t="s">
        <v>4</v>
      </c>
      <c r="E37" s="8" t="s">
        <v>9</v>
      </c>
      <c r="F37" s="8"/>
      <c r="H37" s="8"/>
      <c r="I37" s="8" t="s">
        <v>661</v>
      </c>
      <c r="J37" s="8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8" t="s">
        <v>686</v>
      </c>
      <c r="E38" s="8" t="s">
        <v>687</v>
      </c>
      <c r="F38" s="8"/>
      <c r="H38" s="8"/>
      <c r="I38" s="8" t="s">
        <v>663</v>
      </c>
      <c r="J38" s="8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8" t="s">
        <v>686</v>
      </c>
      <c r="E39" s="8" t="s">
        <v>687</v>
      </c>
      <c r="F39" s="8"/>
      <c r="H39" s="8"/>
      <c r="I39" s="8" t="s">
        <v>665</v>
      </c>
      <c r="J39" s="8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8" t="s">
        <v>686</v>
      </c>
      <c r="E40" s="8" t="s">
        <v>687</v>
      </c>
      <c r="F40" s="8"/>
      <c r="H40" s="8"/>
      <c r="I40" s="8" t="s">
        <v>667</v>
      </c>
      <c r="J40" s="8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8" t="s">
        <v>4</v>
      </c>
      <c r="E41" s="8" t="s">
        <v>9</v>
      </c>
      <c r="F41" s="8"/>
      <c r="H41" s="8"/>
      <c r="I41" s="8" t="s">
        <v>669</v>
      </c>
      <c r="J41" s="8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8" t="s">
        <v>686</v>
      </c>
      <c r="E42" s="8" t="s">
        <v>687</v>
      </c>
      <c r="F42" s="8"/>
      <c r="H42" s="8"/>
      <c r="I42" s="8" t="s">
        <v>671</v>
      </c>
      <c r="J42" s="8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8" t="s">
        <v>686</v>
      </c>
      <c r="E43" s="8" t="s">
        <v>687</v>
      </c>
      <c r="F43" s="8"/>
      <c r="H43" s="8"/>
      <c r="I43" s="8" t="s">
        <v>673</v>
      </c>
      <c r="J43" s="8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8" t="s">
        <v>686</v>
      </c>
      <c r="E44" s="8" t="s">
        <v>687</v>
      </c>
      <c r="F44" s="8"/>
      <c r="H44" s="8"/>
      <c r="I44" s="8" t="s">
        <v>675</v>
      </c>
      <c r="J44" s="8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8" t="s">
        <v>4</v>
      </c>
      <c r="E45" s="8" t="s">
        <v>9</v>
      </c>
      <c r="F45" s="8"/>
      <c r="H45" s="8"/>
      <c r="I45" s="8" t="s">
        <v>677</v>
      </c>
      <c r="J45" s="8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8" t="s">
        <v>4</v>
      </c>
      <c r="E46" s="8" t="s">
        <v>9</v>
      </c>
      <c r="F46" s="8"/>
      <c r="H46" s="8"/>
      <c r="I46" s="8" t="s">
        <v>679</v>
      </c>
      <c r="J46" s="8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681</v>
      </c>
      <c r="J47" s="8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8" t="s">
        <v>4</v>
      </c>
      <c r="E48" s="8" t="s">
        <v>9</v>
      </c>
      <c r="F48" s="8"/>
      <c r="H48" s="8"/>
      <c r="I48" s="8" t="s">
        <v>920</v>
      </c>
      <c r="J48" s="8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8" t="s">
        <v>4</v>
      </c>
      <c r="E49" s="8" t="s">
        <v>9</v>
      </c>
      <c r="F49" s="8"/>
      <c r="H49" s="8"/>
      <c r="I49" s="8" t="s">
        <v>922</v>
      </c>
      <c r="J49" s="8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8" t="s">
        <v>4</v>
      </c>
      <c r="E50" s="8" t="s">
        <v>9</v>
      </c>
      <c r="F50" s="8"/>
      <c r="H50" s="8"/>
      <c r="I50" s="8" t="s">
        <v>924</v>
      </c>
      <c r="J50" s="8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8" t="s">
        <v>1627</v>
      </c>
      <c r="E51" s="8" t="s">
        <v>687</v>
      </c>
      <c r="F51" s="8"/>
      <c r="H51" s="8"/>
      <c r="I51" s="8" t="s">
        <v>926</v>
      </c>
      <c r="J51" s="8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8" t="s">
        <v>4</v>
      </c>
      <c r="E52" s="8" t="s">
        <v>9</v>
      </c>
      <c r="F52" s="8"/>
      <c r="H52" s="8"/>
      <c r="I52" s="8" t="s">
        <v>928</v>
      </c>
      <c r="J52" s="8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8" t="s">
        <v>1627</v>
      </c>
      <c r="E53" s="8" t="s">
        <v>687</v>
      </c>
      <c r="F53" s="8"/>
      <c r="H53" s="8"/>
      <c r="I53" s="8" t="s">
        <v>930</v>
      </c>
      <c r="J53" s="8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8" t="s">
        <v>1627</v>
      </c>
      <c r="E54" s="8" t="s">
        <v>687</v>
      </c>
      <c r="F54" s="8"/>
      <c r="H54" s="8"/>
      <c r="I54" s="8" t="s">
        <v>932</v>
      </c>
      <c r="J54" s="8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8" t="s">
        <v>1627</v>
      </c>
      <c r="E55" s="8" t="s">
        <v>687</v>
      </c>
      <c r="F55" s="8"/>
      <c r="H55" s="8"/>
      <c r="I55" s="8" t="s">
        <v>934</v>
      </c>
      <c r="J55" s="8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8" t="s">
        <v>1627</v>
      </c>
      <c r="E56" s="8" t="s">
        <v>687</v>
      </c>
      <c r="F56" s="8"/>
      <c r="H56" s="8"/>
      <c r="I56" s="8" t="s">
        <v>936</v>
      </c>
      <c r="J56" s="8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8" t="s">
        <v>4</v>
      </c>
      <c r="E57" s="8" t="s">
        <v>9</v>
      </c>
      <c r="F57" s="8"/>
      <c r="H57" s="8" t="s">
        <v>2352</v>
      </c>
      <c r="I57" s="8" t="s">
        <v>938</v>
      </c>
      <c r="J57" s="8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8" t="s">
        <v>4</v>
      </c>
      <c r="E58" s="8" t="s">
        <v>9</v>
      </c>
      <c r="F58" s="8"/>
      <c r="H58" s="8" t="s">
        <v>2352</v>
      </c>
      <c r="I58" s="8" t="s">
        <v>940</v>
      </c>
      <c r="J58" s="8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8" t="s">
        <v>4</v>
      </c>
      <c r="E59" s="8" t="s">
        <v>9</v>
      </c>
      <c r="F59" s="8"/>
      <c r="H59" s="8" t="s">
        <v>2352</v>
      </c>
      <c r="I59" s="8" t="s">
        <v>942</v>
      </c>
      <c r="J59" s="8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8" t="s">
        <v>4</v>
      </c>
      <c r="E60" s="8" t="s">
        <v>9</v>
      </c>
      <c r="F60" s="8"/>
      <c r="H60" s="8" t="s">
        <v>2352</v>
      </c>
      <c r="I60" s="8" t="s">
        <v>944</v>
      </c>
      <c r="J60" s="8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8" t="s">
        <v>4</v>
      </c>
      <c r="E61" s="8" t="s">
        <v>9</v>
      </c>
      <c r="F61" s="8"/>
      <c r="H61" s="8" t="s">
        <v>2352</v>
      </c>
      <c r="I61" s="8" t="s">
        <v>946</v>
      </c>
      <c r="J61" s="8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8" t="s">
        <v>4</v>
      </c>
      <c r="E62" s="8" t="s">
        <v>9</v>
      </c>
      <c r="F62" s="8"/>
      <c r="H62" s="8" t="s">
        <v>2352</v>
      </c>
      <c r="I62" s="8" t="s">
        <v>948</v>
      </c>
      <c r="J62" s="8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8" t="s">
        <v>4</v>
      </c>
      <c r="E63" s="8" t="s">
        <v>9</v>
      </c>
      <c r="F63" s="8"/>
      <c r="H63" s="8" t="s">
        <v>2352</v>
      </c>
      <c r="I63" s="8" t="s">
        <v>950</v>
      </c>
      <c r="J63" s="8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8" t="s">
        <v>4</v>
      </c>
      <c r="E64" s="8" t="s">
        <v>9</v>
      </c>
      <c r="F64" s="8"/>
      <c r="H64" s="8" t="s">
        <v>2352</v>
      </c>
      <c r="I64" s="8" t="s">
        <v>1819</v>
      </c>
      <c r="J64" s="8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8" t="s">
        <v>4</v>
      </c>
      <c r="E65" s="8" t="s">
        <v>9</v>
      </c>
      <c r="F65" s="8"/>
      <c r="H65" s="8" t="s">
        <v>2352</v>
      </c>
      <c r="I65" s="8" t="s">
        <v>1821</v>
      </c>
      <c r="J65" s="8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8" t="s">
        <v>4</v>
      </c>
      <c r="E66" s="8" t="s">
        <v>9</v>
      </c>
      <c r="F66" s="8"/>
      <c r="H66" s="8" t="s">
        <v>2352</v>
      </c>
      <c r="I66" s="8" t="s">
        <v>1823</v>
      </c>
      <c r="J66" s="8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8" t="s">
        <v>1627</v>
      </c>
      <c r="E67" s="8" t="s">
        <v>687</v>
      </c>
      <c r="F67" s="8"/>
      <c r="H67" s="8"/>
      <c r="I67" s="8" t="s">
        <v>1825</v>
      </c>
      <c r="J67" s="8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8" t="s">
        <v>4</v>
      </c>
      <c r="E68" s="8" t="s">
        <v>9</v>
      </c>
      <c r="F68" s="8"/>
      <c r="H68" s="8" t="s">
        <v>2352</v>
      </c>
      <c r="I68" s="8" t="s">
        <v>1827</v>
      </c>
      <c r="J68" s="8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8" t="s">
        <v>4</v>
      </c>
      <c r="E69" s="8" t="s">
        <v>9</v>
      </c>
      <c r="F69" s="8"/>
      <c r="H69" s="8" t="s">
        <v>2352</v>
      </c>
      <c r="I69" s="8" t="s">
        <v>1829</v>
      </c>
      <c r="J69" s="8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8" t="s">
        <v>1627</v>
      </c>
      <c r="E70" s="8" t="s">
        <v>687</v>
      </c>
      <c r="F70" s="8"/>
      <c r="H70" s="8"/>
      <c r="I70" s="8" t="s">
        <v>1831</v>
      </c>
      <c r="J70" s="8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8" t="s">
        <v>1627</v>
      </c>
      <c r="E71" s="8" t="s">
        <v>687</v>
      </c>
      <c r="F71" s="8"/>
      <c r="H71" s="8"/>
      <c r="I71" s="8" t="s">
        <v>1833</v>
      </c>
      <c r="J71" s="8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8" t="s">
        <v>1627</v>
      </c>
      <c r="E72" s="8" t="s">
        <v>687</v>
      </c>
      <c r="F72" s="8"/>
      <c r="H72" s="8"/>
      <c r="I72" s="8" t="s">
        <v>1835</v>
      </c>
      <c r="J72" s="8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8" t="s">
        <v>4</v>
      </c>
      <c r="E73" s="8" t="s">
        <v>9</v>
      </c>
      <c r="F73" s="8"/>
      <c r="H73" s="8" t="s">
        <v>2352</v>
      </c>
      <c r="I73" s="8" t="s">
        <v>1837</v>
      </c>
      <c r="J73" s="8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8" t="s">
        <v>4</v>
      </c>
      <c r="E74" s="8" t="s">
        <v>9</v>
      </c>
      <c r="F74" s="8"/>
      <c r="H74" s="8" t="s">
        <v>2352</v>
      </c>
      <c r="I74" s="8" t="s">
        <v>1839</v>
      </c>
      <c r="J74" s="8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8" t="s">
        <v>4</v>
      </c>
      <c r="E75" s="8" t="s">
        <v>9</v>
      </c>
      <c r="F75" s="8"/>
      <c r="H75" s="8" t="s">
        <v>2352</v>
      </c>
      <c r="I75" s="8" t="s">
        <v>1841</v>
      </c>
      <c r="J75" s="8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8" t="s">
        <v>4</v>
      </c>
      <c r="E76" s="8" t="s">
        <v>9</v>
      </c>
      <c r="F76" s="8"/>
      <c r="H76" s="8" t="s">
        <v>2352</v>
      </c>
      <c r="I76" s="8" t="s">
        <v>1843</v>
      </c>
      <c r="J76" s="8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8" t="s">
        <v>1627</v>
      </c>
      <c r="E77" s="8" t="s">
        <v>1058</v>
      </c>
      <c r="F77" s="8"/>
      <c r="H77" s="8"/>
      <c r="I77" s="8" t="s">
        <v>1845</v>
      </c>
      <c r="J77" s="8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8" t="s">
        <v>4</v>
      </c>
      <c r="E78" s="8" t="s">
        <v>9</v>
      </c>
      <c r="F78" s="8"/>
      <c r="H78" s="8" t="s">
        <v>2352</v>
      </c>
      <c r="I78" s="8" t="s">
        <v>1847</v>
      </c>
      <c r="J78" s="8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8" t="s">
        <v>4</v>
      </c>
      <c r="E79" s="8" t="s">
        <v>9</v>
      </c>
      <c r="F79" s="8"/>
      <c r="H79" s="8" t="s">
        <v>2352</v>
      </c>
      <c r="I79" s="8" t="s">
        <v>1849</v>
      </c>
      <c r="J79" s="8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8" t="s">
        <v>1627</v>
      </c>
      <c r="E80" s="8" t="s">
        <v>1058</v>
      </c>
      <c r="F80" s="8"/>
      <c r="H80" s="8"/>
      <c r="I80" s="8" t="s">
        <v>1851</v>
      </c>
      <c r="J80" s="8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8" t="s">
        <v>4</v>
      </c>
      <c r="E81" s="8" t="s">
        <v>9</v>
      </c>
      <c r="F81" s="8"/>
      <c r="H81" s="8" t="s">
        <v>2352</v>
      </c>
      <c r="I81" s="8" t="s">
        <v>1853</v>
      </c>
      <c r="J81" s="8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8" t="s">
        <v>4</v>
      </c>
      <c r="E82" s="8" t="s">
        <v>9</v>
      </c>
      <c r="F82" s="8"/>
      <c r="H82" s="8" t="s">
        <v>2352</v>
      </c>
      <c r="I82" s="8" t="s">
        <v>1855</v>
      </c>
      <c r="J82" s="8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8" t="s">
        <v>4</v>
      </c>
      <c r="E83" s="8" t="s">
        <v>9</v>
      </c>
      <c r="F83" s="8"/>
      <c r="H83" s="8" t="s">
        <v>2352</v>
      </c>
      <c r="I83" s="8" t="s">
        <v>1857</v>
      </c>
      <c r="J83" s="8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8" t="s">
        <v>4</v>
      </c>
      <c r="E84" s="8" t="s">
        <v>9</v>
      </c>
      <c r="F84" s="8"/>
      <c r="H84" s="8" t="s">
        <v>2352</v>
      </c>
      <c r="I84" s="8" t="s">
        <v>1859</v>
      </c>
      <c r="J84" s="8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8" t="s">
        <v>4</v>
      </c>
      <c r="E85" s="8" t="s">
        <v>9</v>
      </c>
      <c r="F85" s="8"/>
      <c r="H85" s="8" t="s">
        <v>2352</v>
      </c>
      <c r="I85" s="8" t="s">
        <v>1861</v>
      </c>
      <c r="J85" s="8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8" t="s">
        <v>4</v>
      </c>
      <c r="E86" s="8" t="s">
        <v>9</v>
      </c>
      <c r="F86" s="8"/>
      <c r="H86" s="8" t="s">
        <v>2352</v>
      </c>
      <c r="I86" s="8" t="s">
        <v>1863</v>
      </c>
      <c r="J86" s="8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8" t="s">
        <v>4</v>
      </c>
      <c r="E87" s="8" t="s">
        <v>9</v>
      </c>
      <c r="F87" s="8"/>
      <c r="H87" s="8" t="s">
        <v>2352</v>
      </c>
      <c r="I87" s="8" t="s">
        <v>1865</v>
      </c>
      <c r="J87" s="8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8" t="s">
        <v>1627</v>
      </c>
      <c r="E88" s="8" t="s">
        <v>687</v>
      </c>
      <c r="F88" s="8"/>
      <c r="H88" s="8"/>
      <c r="I88" s="8" t="s">
        <v>1867</v>
      </c>
      <c r="J88" s="8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8" t="s">
        <v>684</v>
      </c>
      <c r="E89" s="8" t="s">
        <v>468</v>
      </c>
      <c r="F89" s="8"/>
      <c r="H89" s="8"/>
      <c r="I89" s="8" t="s">
        <v>1869</v>
      </c>
      <c r="J89" s="8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8" t="s">
        <v>1607</v>
      </c>
      <c r="E90" s="8" t="s">
        <v>8</v>
      </c>
      <c r="F90" s="8"/>
      <c r="H90" s="8"/>
      <c r="I90" s="8" t="s">
        <v>1871</v>
      </c>
      <c r="J90" s="8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8" t="s">
        <v>4</v>
      </c>
      <c r="E91" s="8" t="s">
        <v>9</v>
      </c>
      <c r="F91" s="8"/>
      <c r="H91" s="8" t="s">
        <v>2352</v>
      </c>
      <c r="I91" s="8" t="s">
        <v>1873</v>
      </c>
      <c r="J91" s="8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8" t="s">
        <v>4</v>
      </c>
      <c r="E92" s="8" t="s">
        <v>9</v>
      </c>
      <c r="F92" s="8"/>
      <c r="H92" s="8" t="s">
        <v>2352</v>
      </c>
      <c r="I92" s="8" t="s">
        <v>1875</v>
      </c>
      <c r="J92" s="8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8" t="s">
        <v>4</v>
      </c>
      <c r="E93" s="8" t="s">
        <v>9</v>
      </c>
      <c r="F93" s="8"/>
      <c r="H93" s="8" t="s">
        <v>2352</v>
      </c>
      <c r="I93" s="8" t="s">
        <v>1877</v>
      </c>
      <c r="J93" s="8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8" t="s">
        <v>1627</v>
      </c>
      <c r="E94" s="8" t="s">
        <v>687</v>
      </c>
      <c r="F94" s="8"/>
      <c r="H94" s="8"/>
      <c r="I94" s="8" t="s">
        <v>1879</v>
      </c>
      <c r="J94" s="8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8" t="s">
        <v>2353</v>
      </c>
      <c r="E95" s="8" t="s">
        <v>468</v>
      </c>
      <c r="F95" s="8" t="s">
        <v>2354</v>
      </c>
      <c r="H95" s="8"/>
      <c r="I95" s="8" t="s">
        <v>1881</v>
      </c>
      <c r="J95" s="8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8" t="s">
        <v>4</v>
      </c>
      <c r="E96" s="8" t="s">
        <v>9</v>
      </c>
      <c r="F96" s="8"/>
      <c r="H96" s="8" t="s">
        <v>2352</v>
      </c>
      <c r="I96" s="8" t="s">
        <v>1883</v>
      </c>
      <c r="J96" s="8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8" t="s">
        <v>4</v>
      </c>
      <c r="E97" s="8" t="s">
        <v>9</v>
      </c>
      <c r="F97" s="8"/>
      <c r="H97" s="8" t="s">
        <v>2352</v>
      </c>
      <c r="I97" s="8" t="s">
        <v>1885</v>
      </c>
      <c r="J97" s="8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8" t="s">
        <v>1607</v>
      </c>
      <c r="E98" s="8" t="s">
        <v>8</v>
      </c>
      <c r="F98" s="8"/>
      <c r="H98" s="8"/>
      <c r="I98" s="8" t="s">
        <v>1887</v>
      </c>
      <c r="J98" s="8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8" t="s">
        <v>4</v>
      </c>
      <c r="E99" s="8" t="s">
        <v>9</v>
      </c>
      <c r="F99" s="8"/>
      <c r="H99" s="8" t="s">
        <v>1607</v>
      </c>
      <c r="I99" s="8" t="s">
        <v>1889</v>
      </c>
      <c r="J99" s="8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8" t="s">
        <v>1607</v>
      </c>
      <c r="E100" s="8" t="s">
        <v>8</v>
      </c>
      <c r="F100" s="8"/>
      <c r="H100" s="8"/>
      <c r="I100" s="8" t="s">
        <v>2992</v>
      </c>
      <c r="J100" s="8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8" t="s">
        <v>1607</v>
      </c>
      <c r="E101" s="8" t="s">
        <v>8</v>
      </c>
      <c r="F101" s="8"/>
      <c r="H101" s="8"/>
      <c r="I101" s="8" t="s">
        <v>2994</v>
      </c>
      <c r="J101" s="8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8" t="s">
        <v>1607</v>
      </c>
      <c r="E102" s="8" t="s">
        <v>8</v>
      </c>
      <c r="F102" s="8"/>
      <c r="H102" s="8"/>
      <c r="I102" s="8" t="s">
        <v>2996</v>
      </c>
      <c r="J102" s="8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8" t="s">
        <v>1607</v>
      </c>
      <c r="E103" s="8" t="s">
        <v>8</v>
      </c>
      <c r="F103" s="8"/>
      <c r="H103" s="8"/>
      <c r="I103" s="8" t="s">
        <v>2998</v>
      </c>
      <c r="J103" s="8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8" t="s">
        <v>1607</v>
      </c>
      <c r="E104" s="8" t="s">
        <v>8</v>
      </c>
      <c r="F104" s="8"/>
      <c r="H104" s="8"/>
      <c r="I104" s="8" t="s">
        <v>3000</v>
      </c>
      <c r="J104" s="8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8" t="s">
        <v>884</v>
      </c>
      <c r="E105" s="8" t="s">
        <v>3385</v>
      </c>
      <c r="F105" s="8" t="s">
        <v>892</v>
      </c>
      <c r="G105">
        <v>4</v>
      </c>
      <c r="H105" s="8"/>
      <c r="I105" s="8" t="s">
        <v>3002</v>
      </c>
      <c r="J105" s="8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8" t="s">
        <v>1607</v>
      </c>
      <c r="E106" s="8" t="s">
        <v>8</v>
      </c>
      <c r="F106" s="8"/>
      <c r="H106" s="8"/>
      <c r="I106" s="8" t="s">
        <v>3440</v>
      </c>
      <c r="J106" s="8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8" t="s">
        <v>4</v>
      </c>
      <c r="E107" s="8" t="s">
        <v>9</v>
      </c>
      <c r="F107" s="8"/>
      <c r="H107" s="8"/>
      <c r="I107" s="8" t="s">
        <v>3701</v>
      </c>
      <c r="J107" s="8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8" t="s">
        <v>685</v>
      </c>
      <c r="E108" s="8" t="s">
        <v>4129</v>
      </c>
      <c r="F108" s="8"/>
      <c r="H108" s="8"/>
      <c r="I108" s="8" t="s">
        <v>3703</v>
      </c>
      <c r="J108" s="8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8" t="s">
        <v>4</v>
      </c>
      <c r="E109" s="8" t="s">
        <v>53</v>
      </c>
      <c r="F109" s="8"/>
      <c r="H109" s="8"/>
      <c r="I109" s="8" t="s">
        <v>3705</v>
      </c>
      <c r="J109" s="8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8" t="s">
        <v>1607</v>
      </c>
      <c r="E110" s="8" t="s">
        <v>8</v>
      </c>
      <c r="F110" s="8"/>
      <c r="H110" s="8"/>
      <c r="I110" s="8" t="s">
        <v>3707</v>
      </c>
      <c r="J110" s="8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8" t="s">
        <v>1607</v>
      </c>
      <c r="E111" s="8" t="s">
        <v>8</v>
      </c>
      <c r="F111" s="8"/>
      <c r="H111" s="8"/>
      <c r="I111" s="8" t="s">
        <v>3709</v>
      </c>
      <c r="J111" s="8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8" t="s">
        <v>1627</v>
      </c>
      <c r="E112" s="8" t="s">
        <v>687</v>
      </c>
      <c r="F112" s="8"/>
      <c r="H112" s="8"/>
      <c r="I112" s="8" t="s">
        <v>3711</v>
      </c>
      <c r="J112" s="8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8" t="s">
        <v>1627</v>
      </c>
      <c r="E113" s="8" t="s">
        <v>687</v>
      </c>
      <c r="F113" s="8"/>
      <c r="H113" s="8"/>
      <c r="I113" s="8" t="s">
        <v>3713</v>
      </c>
      <c r="J113" s="8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8" t="s">
        <v>1607</v>
      </c>
      <c r="E114" s="8" t="s">
        <v>8</v>
      </c>
      <c r="F114" s="8"/>
      <c r="H114" s="8"/>
      <c r="I114" s="8" t="s">
        <v>3715</v>
      </c>
      <c r="J114" s="8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8" t="s">
        <v>1607</v>
      </c>
      <c r="E115" s="8" t="s">
        <v>8</v>
      </c>
      <c r="F115" s="8"/>
      <c r="H115" s="8"/>
      <c r="I115" s="8" t="s">
        <v>3717</v>
      </c>
      <c r="J115" s="8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8" t="s">
        <v>1607</v>
      </c>
      <c r="E116" s="8" t="s">
        <v>8</v>
      </c>
      <c r="F116" s="8"/>
      <c r="H116" s="8"/>
      <c r="I116" s="8" t="s">
        <v>4171</v>
      </c>
      <c r="J116" s="8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8" t="s">
        <v>1607</v>
      </c>
      <c r="E117" s="8" t="s">
        <v>8</v>
      </c>
      <c r="F117" s="8"/>
      <c r="H117" s="8"/>
      <c r="I117" s="8" t="s">
        <v>4286</v>
      </c>
      <c r="J117" s="8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8" t="s">
        <v>1607</v>
      </c>
      <c r="E118" s="8" t="s">
        <v>8</v>
      </c>
      <c r="F118" s="8"/>
      <c r="H118" s="8"/>
      <c r="I118" s="8" t="s">
        <v>4577</v>
      </c>
      <c r="J118" s="8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8" t="s">
        <v>4</v>
      </c>
      <c r="E119" s="8" t="s">
        <v>9</v>
      </c>
      <c r="F119" s="8"/>
      <c r="H119" s="8"/>
      <c r="I119" s="8" t="s">
        <v>4579</v>
      </c>
      <c r="J119" s="8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8" t="s">
        <v>685</v>
      </c>
      <c r="E120" s="8"/>
      <c r="F120" s="8"/>
      <c r="H120" s="8"/>
      <c r="I120" s="8" t="s">
        <v>4581</v>
      </c>
      <c r="J120" s="8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8" t="s">
        <v>685</v>
      </c>
      <c r="E121" s="8"/>
      <c r="F121" s="8"/>
      <c r="H121" s="8"/>
      <c r="I121" s="8" t="s">
        <v>4583</v>
      </c>
      <c r="J121" s="8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8" t="s">
        <v>684</v>
      </c>
      <c r="E122" s="8" t="s">
        <v>468</v>
      </c>
      <c r="F122" s="8"/>
      <c r="H122" s="8"/>
      <c r="I122" s="8" t="s">
        <v>4585</v>
      </c>
      <c r="J122" s="8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8" t="s">
        <v>4</v>
      </c>
      <c r="E123" s="8" t="s">
        <v>9</v>
      </c>
      <c r="F123" s="8"/>
      <c r="H123" s="8"/>
      <c r="I123" s="8" t="s">
        <v>4587</v>
      </c>
      <c r="J123" s="8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8" t="s">
        <v>4</v>
      </c>
      <c r="E124" s="8" t="s">
        <v>9</v>
      </c>
      <c r="F124" s="8"/>
      <c r="H124" s="8" t="s">
        <v>2352</v>
      </c>
      <c r="I124" s="8" t="s">
        <v>4589</v>
      </c>
      <c r="J124" s="8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8" t="s">
        <v>4</v>
      </c>
      <c r="E125" s="8" t="s">
        <v>9</v>
      </c>
      <c r="F125" s="8"/>
      <c r="H125" s="8" t="s">
        <v>2352</v>
      </c>
      <c r="I125" s="8" t="s">
        <v>4591</v>
      </c>
      <c r="J125" s="8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8" t="s">
        <v>1607</v>
      </c>
      <c r="E126" s="8" t="s">
        <v>8</v>
      </c>
      <c r="F126" s="8"/>
      <c r="H126" s="8"/>
      <c r="I126" s="8" t="s">
        <v>4593</v>
      </c>
      <c r="J126" s="8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8" t="s">
        <v>1607</v>
      </c>
      <c r="E127" s="8" t="s">
        <v>8</v>
      </c>
      <c r="F127" s="8"/>
      <c r="H127" s="8"/>
      <c r="I127" s="8" t="s">
        <v>4694</v>
      </c>
      <c r="J127" s="8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8" t="s">
        <v>1607</v>
      </c>
      <c r="E128" s="8" t="s">
        <v>8</v>
      </c>
      <c r="F128" s="8"/>
      <c r="H128" s="8"/>
      <c r="I128" s="8" t="s">
        <v>4849</v>
      </c>
      <c r="J128" s="8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8" t="s">
        <v>1607</v>
      </c>
      <c r="E129" s="8" t="s">
        <v>8</v>
      </c>
      <c r="F129" s="8"/>
      <c r="H129" s="8"/>
      <c r="I129" s="8" t="s">
        <v>4957</v>
      </c>
      <c r="J129" s="8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8" t="s">
        <v>1607</v>
      </c>
      <c r="E130" s="8" t="s">
        <v>8</v>
      </c>
      <c r="F130" s="8"/>
      <c r="H130" s="8"/>
      <c r="I130" s="8" t="s">
        <v>5064</v>
      </c>
      <c r="J130" s="8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8" t="s">
        <v>1627</v>
      </c>
      <c r="E131" s="8" t="s">
        <v>687</v>
      </c>
      <c r="F131" s="8"/>
      <c r="H131" s="8"/>
      <c r="I131" s="8" t="s">
        <v>5247</v>
      </c>
      <c r="J131" s="8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8" t="s">
        <v>4</v>
      </c>
      <c r="E132" s="8" t="s">
        <v>9</v>
      </c>
      <c r="F132" s="8"/>
      <c r="H132" s="8"/>
      <c r="I132" s="8" t="s">
        <v>5249</v>
      </c>
      <c r="J132" s="8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8" t="s">
        <v>1627</v>
      </c>
      <c r="E133" s="8" t="s">
        <v>687</v>
      </c>
      <c r="F133" s="8"/>
      <c r="H133" s="8"/>
      <c r="I133" s="8" t="s">
        <v>5251</v>
      </c>
      <c r="J133" s="8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8" t="s">
        <v>1627</v>
      </c>
      <c r="E134" s="8" t="s">
        <v>687</v>
      </c>
      <c r="F134" s="8"/>
      <c r="H134" s="8"/>
      <c r="I134" s="8" t="s">
        <v>5253</v>
      </c>
      <c r="J134" s="8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8" t="s">
        <v>4</v>
      </c>
      <c r="E135" s="8" t="s">
        <v>9</v>
      </c>
      <c r="F135" s="8"/>
      <c r="H135" s="8"/>
      <c r="I135" s="8" t="s">
        <v>5255</v>
      </c>
      <c r="J135" s="8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8" t="s">
        <v>4</v>
      </c>
      <c r="E136" s="8" t="s">
        <v>9</v>
      </c>
      <c r="F136" s="8"/>
      <c r="H136" s="8"/>
      <c r="I136" s="8" t="s">
        <v>5357</v>
      </c>
      <c r="J136" s="8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8" t="s">
        <v>1607</v>
      </c>
      <c r="E137" s="8" t="s">
        <v>9</v>
      </c>
      <c r="F137" s="8"/>
      <c r="H137" s="8"/>
      <c r="I137" s="8" t="s">
        <v>5359</v>
      </c>
      <c r="J137" s="8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8" t="s">
        <v>1607</v>
      </c>
      <c r="E138" s="8" t="s">
        <v>9</v>
      </c>
      <c r="F138" s="8"/>
      <c r="H138" s="8"/>
      <c r="I138" s="8" t="s">
        <v>5525</v>
      </c>
      <c r="J138" s="8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8" t="s">
        <v>4</v>
      </c>
      <c r="E139" s="8" t="s">
        <v>9</v>
      </c>
      <c r="F139" s="8"/>
      <c r="H139" s="8"/>
      <c r="I139" s="8" t="s">
        <v>5527</v>
      </c>
      <c r="J139" s="8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8" t="s">
        <v>5694</v>
      </c>
      <c r="E140" s="8"/>
      <c r="F140" s="8"/>
      <c r="H140" s="8"/>
      <c r="I140" s="8" t="s">
        <v>5529</v>
      </c>
      <c r="J140" s="8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8" t="s">
        <v>884</v>
      </c>
      <c r="E141" s="8" t="s">
        <v>5695</v>
      </c>
      <c r="F141" s="8"/>
      <c r="H141" s="8"/>
      <c r="I141" s="8" t="s">
        <v>5531</v>
      </c>
      <c r="J141" s="8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8" t="s">
        <v>1607</v>
      </c>
      <c r="E142" s="8" t="s">
        <v>9</v>
      </c>
      <c r="F142" s="8"/>
      <c r="H142" s="8"/>
      <c r="I142" s="8" t="s">
        <v>5533</v>
      </c>
      <c r="J142" s="8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8" t="s">
        <v>1607</v>
      </c>
      <c r="E143" s="8" t="s">
        <v>9</v>
      </c>
      <c r="F143" s="8"/>
      <c r="H143" s="8"/>
      <c r="I143" s="8" t="s">
        <v>5715</v>
      </c>
      <c r="J143" s="8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8" t="s">
        <v>1607</v>
      </c>
      <c r="E144" s="8" t="s">
        <v>9</v>
      </c>
      <c r="F144" s="8"/>
      <c r="H144" s="8"/>
      <c r="I144" s="8" t="s">
        <v>5890</v>
      </c>
      <c r="J144" s="8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8" t="s">
        <v>1607</v>
      </c>
      <c r="E145" s="8" t="s">
        <v>9</v>
      </c>
      <c r="F145" s="8"/>
      <c r="H145" s="8"/>
      <c r="I145" s="8" t="s">
        <v>5892</v>
      </c>
      <c r="J145" s="8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8" t="s">
        <v>1607</v>
      </c>
      <c r="E146" s="8" t="s">
        <v>9</v>
      </c>
      <c r="F146" s="8"/>
      <c r="H146" s="8"/>
      <c r="I146" s="8" t="s">
        <v>5929</v>
      </c>
      <c r="J146" s="8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8" t="s">
        <v>1607</v>
      </c>
      <c r="E147" s="8" t="s">
        <v>9</v>
      </c>
      <c r="F147" s="8"/>
      <c r="H147" s="8"/>
      <c r="I147" s="8" t="s">
        <v>5931</v>
      </c>
      <c r="J147" s="8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8" t="s">
        <v>1607</v>
      </c>
      <c r="E148" s="8" t="s">
        <v>9</v>
      </c>
      <c r="F148" s="8"/>
      <c r="H148" s="8"/>
      <c r="I148" s="8" t="s">
        <v>6293</v>
      </c>
      <c r="J148" s="8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8" t="s">
        <v>1607</v>
      </c>
      <c r="E149" s="8" t="s">
        <v>9</v>
      </c>
      <c r="F149" s="8"/>
      <c r="H149" s="8"/>
      <c r="I149" s="8" t="s">
        <v>6422</v>
      </c>
      <c r="J149" s="8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8" t="s">
        <v>1607</v>
      </c>
      <c r="E150" s="8" t="s">
        <v>9</v>
      </c>
      <c r="F150" s="8"/>
      <c r="H150" s="8"/>
      <c r="I150" s="8" t="s">
        <v>6424</v>
      </c>
      <c r="J150" s="8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8" t="s">
        <v>5694</v>
      </c>
      <c r="E151" s="8"/>
      <c r="F151" s="8"/>
      <c r="H151" s="8"/>
      <c r="I151" s="8" t="s">
        <v>6514</v>
      </c>
      <c r="J151" s="8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8" t="s">
        <v>884</v>
      </c>
      <c r="E152" s="8" t="s">
        <v>53</v>
      </c>
      <c r="F152" s="8"/>
      <c r="G152">
        <v>5</v>
      </c>
      <c r="H152" s="8"/>
      <c r="I152" s="8" t="s">
        <v>6516</v>
      </c>
      <c r="J152" s="8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8" t="s">
        <v>4</v>
      </c>
      <c r="E153" s="8" t="s">
        <v>468</v>
      </c>
      <c r="F153" s="8"/>
      <c r="H153" s="8"/>
      <c r="I153" s="8" t="s">
        <v>6518</v>
      </c>
      <c r="J153" s="8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8" t="s">
        <v>1607</v>
      </c>
      <c r="E154" s="8" t="s">
        <v>9</v>
      </c>
      <c r="F154" s="8"/>
      <c r="H154" s="8"/>
      <c r="I154" s="8" t="s">
        <v>6520</v>
      </c>
      <c r="J154" s="8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8" t="s">
        <v>1607</v>
      </c>
      <c r="E155" s="8" t="s">
        <v>9</v>
      </c>
      <c r="F155" s="8"/>
      <c r="H155" s="8"/>
      <c r="I155" s="8" t="s">
        <v>6660</v>
      </c>
      <c r="J155" s="8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8" t="s">
        <v>1607</v>
      </c>
      <c r="E156" s="8" t="s">
        <v>9</v>
      </c>
      <c r="F156" s="8"/>
      <c r="H156" s="8"/>
      <c r="I156" s="8" t="s">
        <v>6522</v>
      </c>
      <c r="J156" s="8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8" t="s">
        <v>1607</v>
      </c>
      <c r="E157" s="8" t="s">
        <v>9</v>
      </c>
      <c r="F157" s="8"/>
      <c r="H157" s="8"/>
      <c r="I157" s="8" t="s">
        <v>6728</v>
      </c>
      <c r="J157" s="8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8" t="s">
        <v>1607</v>
      </c>
      <c r="E158" s="8" t="s">
        <v>9</v>
      </c>
      <c r="F158" s="8"/>
      <c r="H158" s="8"/>
      <c r="I158" s="8" t="s">
        <v>6730</v>
      </c>
      <c r="J158" s="8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8" t="s">
        <v>1607</v>
      </c>
      <c r="E159" s="8" t="s">
        <v>9</v>
      </c>
      <c r="F159" s="8"/>
      <c r="H159" s="8"/>
      <c r="I159" s="8" t="s">
        <v>6732</v>
      </c>
      <c r="J159" s="8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8" t="s">
        <v>1607</v>
      </c>
      <c r="E160" s="8" t="s">
        <v>9</v>
      </c>
      <c r="F160" s="8"/>
      <c r="H160" s="8"/>
      <c r="I160" s="8" t="s">
        <v>6879</v>
      </c>
      <c r="J160" s="8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8" t="s">
        <v>1607</v>
      </c>
      <c r="E161" s="8" t="s">
        <v>9</v>
      </c>
      <c r="F161" s="8"/>
      <c r="H161" s="8"/>
      <c r="I161" s="8" t="s">
        <v>6881</v>
      </c>
      <c r="J161" s="8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8" t="s">
        <v>1607</v>
      </c>
      <c r="E162" s="8" t="s">
        <v>9</v>
      </c>
      <c r="F162" s="8"/>
      <c r="H162" s="8"/>
      <c r="I162" s="8" t="s">
        <v>6883</v>
      </c>
      <c r="J162" s="8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8" t="s">
        <v>1607</v>
      </c>
      <c r="E163" s="8" t="s">
        <v>9</v>
      </c>
      <c r="F163" s="8"/>
      <c r="H163" s="8"/>
      <c r="I163" s="8" t="s">
        <v>6885</v>
      </c>
      <c r="J163" s="8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8" t="s">
        <v>1607</v>
      </c>
      <c r="E164" s="8" t="s">
        <v>9</v>
      </c>
      <c r="F164" s="8"/>
      <c r="H164" s="8"/>
      <c r="I164" s="8" t="s">
        <v>6887</v>
      </c>
      <c r="J164" s="8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8" t="s">
        <v>1607</v>
      </c>
      <c r="E165" s="8" t="s">
        <v>9</v>
      </c>
      <c r="F165" s="8"/>
      <c r="H165" s="8"/>
      <c r="I165" s="8" t="s">
        <v>6889</v>
      </c>
      <c r="J165" s="8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8" t="s">
        <v>1607</v>
      </c>
      <c r="E166" s="8" t="s">
        <v>7066</v>
      </c>
      <c r="F166" s="8"/>
      <c r="H166" s="8"/>
      <c r="I166" s="8" t="s">
        <v>6891</v>
      </c>
      <c r="J166" s="8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8" t="s">
        <v>1607</v>
      </c>
      <c r="E167" s="8" t="s">
        <v>4393</v>
      </c>
      <c r="F167" s="8"/>
      <c r="H167" s="8"/>
      <c r="I167" s="8" t="s">
        <v>7203</v>
      </c>
      <c r="J167" s="8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8" t="s">
        <v>4</v>
      </c>
      <c r="E168" s="8" t="s">
        <v>9</v>
      </c>
      <c r="F168" s="8"/>
      <c r="H168" s="8"/>
      <c r="I168" s="8" t="s">
        <v>7205</v>
      </c>
      <c r="J168" s="8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8" t="s">
        <v>684</v>
      </c>
      <c r="E169" s="8" t="s">
        <v>1274</v>
      </c>
      <c r="F169" s="8"/>
      <c r="H169" s="8"/>
      <c r="I169" s="8" t="s">
        <v>7207</v>
      </c>
      <c r="J169" s="8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8" t="s">
        <v>1627</v>
      </c>
      <c r="E170" s="8" t="s">
        <v>687</v>
      </c>
      <c r="F170" s="8"/>
      <c r="H170" s="8"/>
      <c r="I170" s="8" t="s">
        <v>7209</v>
      </c>
      <c r="J170" s="8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8" t="s">
        <v>7352</v>
      </c>
      <c r="E171" s="8" t="s">
        <v>7353</v>
      </c>
      <c r="F171" s="8"/>
      <c r="H171" s="8"/>
      <c r="I171" s="8" t="s">
        <v>7211</v>
      </c>
      <c r="J171" s="8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8" t="s">
        <v>1627</v>
      </c>
      <c r="E172" s="8" t="s">
        <v>687</v>
      </c>
      <c r="F172" s="8"/>
      <c r="H172" s="8"/>
      <c r="I172" s="8" t="s">
        <v>7213</v>
      </c>
      <c r="J172" s="8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8" t="s">
        <v>1627</v>
      </c>
      <c r="E173" s="8" t="s">
        <v>687</v>
      </c>
      <c r="F173" s="8"/>
      <c r="H173" s="8" t="s">
        <v>2352</v>
      </c>
      <c r="I173" s="8" t="s">
        <v>7215</v>
      </c>
      <c r="J173" s="8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8" t="s">
        <v>4</v>
      </c>
      <c r="E174" s="8" t="s">
        <v>9</v>
      </c>
      <c r="F174" s="8"/>
      <c r="H174" s="8"/>
      <c r="I174" s="8" t="s">
        <v>7217</v>
      </c>
      <c r="J174" s="8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8" t="s">
        <v>4</v>
      </c>
      <c r="E175" s="8" t="s">
        <v>9</v>
      </c>
      <c r="F175" s="8"/>
      <c r="H175" s="8"/>
      <c r="I175" s="8" t="s">
        <v>7219</v>
      </c>
      <c r="J175" s="8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8" t="s">
        <v>4</v>
      </c>
      <c r="E176" s="8" t="s">
        <v>9</v>
      </c>
      <c r="F176" s="8"/>
      <c r="H176" s="8"/>
      <c r="I176" s="8" t="s">
        <v>7410</v>
      </c>
      <c r="J176" s="8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8" t="s">
        <v>4</v>
      </c>
      <c r="E177" s="8" t="s">
        <v>9</v>
      </c>
      <c r="F177" s="8"/>
      <c r="H177" s="8" t="s">
        <v>2352</v>
      </c>
      <c r="I177" s="8" t="s">
        <v>7412</v>
      </c>
      <c r="J177" s="8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8" t="s">
        <v>7531</v>
      </c>
      <c r="E178" s="8" t="s">
        <v>1274</v>
      </c>
      <c r="F178" s="8"/>
      <c r="H178" s="8"/>
      <c r="I178" s="8" t="s">
        <v>7414</v>
      </c>
      <c r="J178" s="8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8" t="s">
        <v>7531</v>
      </c>
      <c r="E179" s="8" t="s">
        <v>1274</v>
      </c>
      <c r="F179" s="8"/>
      <c r="H179" s="8" t="s">
        <v>2352</v>
      </c>
      <c r="I179" s="8" t="s">
        <v>7416</v>
      </c>
      <c r="J179" s="8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8" t="s">
        <v>7531</v>
      </c>
      <c r="E180" s="8" t="s">
        <v>1274</v>
      </c>
      <c r="F180" s="8"/>
      <c r="H180" s="8" t="s">
        <v>2352</v>
      </c>
      <c r="I180" s="8" t="s">
        <v>7418</v>
      </c>
      <c r="J180" s="8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8" t="s">
        <v>1627</v>
      </c>
      <c r="E181" s="8" t="s">
        <v>687</v>
      </c>
      <c r="F181" s="8"/>
      <c r="H181" s="8"/>
      <c r="I181" s="8" t="s">
        <v>7420</v>
      </c>
      <c r="J181" s="8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8" t="s">
        <v>4</v>
      </c>
      <c r="E182" s="8" t="s">
        <v>9</v>
      </c>
      <c r="F182" s="8"/>
      <c r="H182" s="8"/>
      <c r="I182" s="8" t="s">
        <v>7532</v>
      </c>
      <c r="J182" s="8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8" t="s">
        <v>1627</v>
      </c>
      <c r="E183" s="8" t="s">
        <v>687</v>
      </c>
      <c r="F183" s="8"/>
      <c r="H183" s="8"/>
      <c r="I183" s="8" t="s">
        <v>7534</v>
      </c>
      <c r="J183" s="8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8" t="s">
        <v>1627</v>
      </c>
      <c r="E184" s="8" t="s">
        <v>687</v>
      </c>
      <c r="F184" s="8"/>
      <c r="H184" s="8"/>
      <c r="I184" s="8" t="s">
        <v>7536</v>
      </c>
      <c r="J184" s="8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8" t="s">
        <v>7531</v>
      </c>
      <c r="E185" s="8" t="s">
        <v>1274</v>
      </c>
      <c r="F185" s="8"/>
      <c r="H185" s="8"/>
      <c r="I185" s="8" t="s">
        <v>7538</v>
      </c>
      <c r="J185" s="8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8" t="s">
        <v>1627</v>
      </c>
      <c r="E186" s="8" t="s">
        <v>687</v>
      </c>
      <c r="F186" s="8"/>
      <c r="H186" s="8"/>
      <c r="I186" s="8" t="s">
        <v>7540</v>
      </c>
      <c r="J186" s="8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8" t="s">
        <v>1627</v>
      </c>
      <c r="E187" s="8" t="s">
        <v>687</v>
      </c>
      <c r="F187" s="8"/>
      <c r="H187" s="8"/>
      <c r="I187" s="8" t="s">
        <v>7542</v>
      </c>
      <c r="J187" s="8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8" t="s">
        <v>7531</v>
      </c>
      <c r="E188" s="8" t="s">
        <v>1274</v>
      </c>
      <c r="F188" s="8"/>
      <c r="H188" s="8"/>
      <c r="I188" s="8" t="s">
        <v>7544</v>
      </c>
      <c r="J188" s="8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8" t="s">
        <v>1627</v>
      </c>
      <c r="E189" s="8" t="s">
        <v>687</v>
      </c>
      <c r="F189" s="8"/>
      <c r="H189" s="8"/>
      <c r="I189" s="8" t="s">
        <v>7546</v>
      </c>
      <c r="J189" s="8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8" t="s">
        <v>1627</v>
      </c>
      <c r="E190" s="8" t="s">
        <v>687</v>
      </c>
      <c r="F190" s="8"/>
      <c r="H190" s="8"/>
      <c r="I190" s="8" t="s">
        <v>7548</v>
      </c>
      <c r="J190" s="8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8" t="s">
        <v>7562</v>
      </c>
      <c r="E191" s="8" t="s">
        <v>468</v>
      </c>
      <c r="F191" s="8"/>
      <c r="H191" s="8"/>
      <c r="I191" s="8" t="s">
        <v>7550</v>
      </c>
      <c r="J191" s="8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8" t="s">
        <v>7531</v>
      </c>
      <c r="E192" s="8" t="s">
        <v>1274</v>
      </c>
      <c r="F192" s="8"/>
      <c r="H192" s="8"/>
      <c r="I192" s="8" t="s">
        <v>7552</v>
      </c>
      <c r="J192" s="8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8" t="s">
        <v>7531</v>
      </c>
      <c r="E193" s="8" t="s">
        <v>1274</v>
      </c>
      <c r="F193" s="8"/>
      <c r="H193" s="8"/>
      <c r="I193" s="8" t="s">
        <v>7554</v>
      </c>
      <c r="J193" s="8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8" t="s">
        <v>7531</v>
      </c>
      <c r="E194" s="8" t="s">
        <v>1274</v>
      </c>
      <c r="F194" s="8"/>
      <c r="H194" s="8"/>
      <c r="I194" s="8" t="s">
        <v>7556</v>
      </c>
      <c r="J194" s="8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8" t="s">
        <v>1627</v>
      </c>
      <c r="E195" s="8" t="s">
        <v>687</v>
      </c>
      <c r="F195" s="8"/>
      <c r="H195" s="8"/>
      <c r="I195" s="8" t="s">
        <v>7558</v>
      </c>
      <c r="J195" s="8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8" t="s">
        <v>7531</v>
      </c>
      <c r="E196" s="8" t="s">
        <v>1274</v>
      </c>
      <c r="F196" s="8"/>
      <c r="H196" s="8"/>
      <c r="I196" s="8" t="s">
        <v>7560</v>
      </c>
      <c r="J196" s="8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8" t="s">
        <v>7531</v>
      </c>
      <c r="E197" s="8" t="s">
        <v>1274</v>
      </c>
      <c r="F197" s="8"/>
      <c r="H197" s="8"/>
      <c r="I197" s="8" t="s">
        <v>7685</v>
      </c>
      <c r="J197" s="8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8" t="s">
        <v>4</v>
      </c>
      <c r="E198" s="8" t="s">
        <v>9</v>
      </c>
      <c r="F198" s="8"/>
      <c r="H198" s="8"/>
      <c r="I198" s="8" t="s">
        <v>7687</v>
      </c>
      <c r="J198" s="8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8" t="s">
        <v>7531</v>
      </c>
      <c r="E199" s="8" t="s">
        <v>1274</v>
      </c>
      <c r="F199" s="8"/>
      <c r="H199" s="8"/>
      <c r="I199" s="8" t="s">
        <v>7689</v>
      </c>
      <c r="J199" s="8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8" t="s">
        <v>1627</v>
      </c>
      <c r="E200" s="8" t="s">
        <v>687</v>
      </c>
      <c r="F200" s="8"/>
      <c r="H200" s="8"/>
      <c r="I200" s="8" t="s">
        <v>7691</v>
      </c>
      <c r="J200" s="8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8" t="s">
        <v>4</v>
      </c>
      <c r="E201" s="8" t="s">
        <v>9</v>
      </c>
      <c r="F201" s="8"/>
      <c r="H201" s="8"/>
      <c r="I201" s="8" t="s">
        <v>7693</v>
      </c>
      <c r="J201" s="8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8" t="s">
        <v>7531</v>
      </c>
      <c r="E202" s="8" t="s">
        <v>1274</v>
      </c>
      <c r="F202" s="8"/>
      <c r="H202" s="8"/>
      <c r="I202" s="8" t="s">
        <v>7789</v>
      </c>
      <c r="J202" s="8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8" t="s">
        <v>7531</v>
      </c>
      <c r="E203" s="8" t="s">
        <v>1274</v>
      </c>
      <c r="F203" s="8"/>
      <c r="H203" s="8"/>
      <c r="I203" s="8" t="s">
        <v>7791</v>
      </c>
      <c r="J203" s="8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8" t="s">
        <v>7531</v>
      </c>
      <c r="E204" s="8" t="s">
        <v>1274</v>
      </c>
      <c r="F204" s="8"/>
      <c r="H204" s="8"/>
      <c r="I204" s="8" t="s">
        <v>7793</v>
      </c>
      <c r="J204" s="8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8" t="s">
        <v>1627</v>
      </c>
      <c r="E205" s="8" t="s">
        <v>687</v>
      </c>
      <c r="F205" s="8"/>
      <c r="H205" s="8"/>
      <c r="I205" s="8" t="s">
        <v>7795</v>
      </c>
      <c r="J205" s="8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8" t="s">
        <v>1627</v>
      </c>
      <c r="E206" s="8" t="s">
        <v>687</v>
      </c>
      <c r="F206" s="8"/>
      <c r="H206" s="8"/>
      <c r="I206" s="8" t="s">
        <v>7797</v>
      </c>
      <c r="J206" s="8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8" t="s">
        <v>1627</v>
      </c>
      <c r="E207" s="8" t="s">
        <v>687</v>
      </c>
      <c r="F207" s="8"/>
      <c r="H207" s="8"/>
      <c r="I207" s="8" t="s">
        <v>7799</v>
      </c>
      <c r="J207" s="8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8" t="s">
        <v>7531</v>
      </c>
      <c r="E208" s="8" t="s">
        <v>1274</v>
      </c>
      <c r="F208" s="8"/>
      <c r="H208" s="8"/>
      <c r="I208" s="8" t="s">
        <v>7801</v>
      </c>
      <c r="J208" s="8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8" t="s">
        <v>4</v>
      </c>
      <c r="E209" s="8" t="s">
        <v>9</v>
      </c>
      <c r="F209" s="8"/>
      <c r="H209" s="8"/>
      <c r="I209" s="8" t="s">
        <v>7803</v>
      </c>
      <c r="J209" s="8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8" t="s">
        <v>7531</v>
      </c>
      <c r="E210" s="8" t="s">
        <v>1274</v>
      </c>
      <c r="F210" s="8"/>
      <c r="H210" s="8"/>
      <c r="I210" s="8" t="s">
        <v>7805</v>
      </c>
      <c r="J210" s="8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8" t="s">
        <v>1627</v>
      </c>
      <c r="E211" s="8" t="s">
        <v>687</v>
      </c>
      <c r="F211" s="8"/>
      <c r="H211" s="8"/>
      <c r="I211" s="8" t="s">
        <v>7807</v>
      </c>
      <c r="J211" s="8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8" t="s">
        <v>7531</v>
      </c>
      <c r="E212" s="8" t="s">
        <v>1274</v>
      </c>
      <c r="F212" s="8"/>
      <c r="H212" s="8"/>
      <c r="I212" s="8" t="s">
        <v>7809</v>
      </c>
      <c r="J212" s="8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8" t="s">
        <v>7531</v>
      </c>
      <c r="E213" s="8" t="s">
        <v>1274</v>
      </c>
      <c r="F213" s="8"/>
      <c r="H213" s="8"/>
      <c r="I213" s="8" t="s">
        <v>7811</v>
      </c>
      <c r="J213" s="8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8" t="s">
        <v>7531</v>
      </c>
      <c r="E214" s="8" t="s">
        <v>1274</v>
      </c>
      <c r="F214" s="8"/>
      <c r="H214" s="8"/>
      <c r="I214" s="8" t="s">
        <v>7813</v>
      </c>
      <c r="J214" s="8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8" t="s">
        <v>7562</v>
      </c>
      <c r="E215" s="8" t="s">
        <v>468</v>
      </c>
      <c r="F215" s="8"/>
      <c r="H215" s="8"/>
      <c r="I215" s="8" t="s">
        <v>7815</v>
      </c>
      <c r="J215" s="8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8" t="s">
        <v>7531</v>
      </c>
      <c r="E216" s="8" t="s">
        <v>1274</v>
      </c>
      <c r="F216" s="8"/>
      <c r="H216" s="8"/>
      <c r="I216" s="8" t="s">
        <v>7817</v>
      </c>
      <c r="J216" s="8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8" t="s">
        <v>7531</v>
      </c>
      <c r="E217" s="8" t="s">
        <v>1274</v>
      </c>
      <c r="F217" s="8"/>
      <c r="H217" s="8"/>
      <c r="I217" s="8" t="s">
        <v>7819</v>
      </c>
      <c r="J217" s="8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8" t="s">
        <v>1627</v>
      </c>
      <c r="E218" s="8" t="s">
        <v>687</v>
      </c>
      <c r="F218" s="8"/>
      <c r="H218" s="8"/>
      <c r="I218" s="8" t="s">
        <v>7821</v>
      </c>
      <c r="J218" s="8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8" t="s">
        <v>1627</v>
      </c>
      <c r="E219" s="8" t="s">
        <v>687</v>
      </c>
      <c r="F219" s="8"/>
      <c r="H219" s="8"/>
      <c r="I219" s="8" t="s">
        <v>7823</v>
      </c>
      <c r="J219" s="8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8" t="s">
        <v>1627</v>
      </c>
      <c r="E220" s="8" t="s">
        <v>687</v>
      </c>
      <c r="F220" s="8"/>
      <c r="H220" s="8"/>
      <c r="I220" s="8" t="s">
        <v>7979</v>
      </c>
      <c r="J220" s="8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8" t="s">
        <v>1627</v>
      </c>
      <c r="E221" s="8" t="s">
        <v>687</v>
      </c>
      <c r="F221" s="8"/>
      <c r="H221" s="8"/>
      <c r="I221" s="8" t="s">
        <v>7981</v>
      </c>
      <c r="J221" s="8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8" t="s">
        <v>1627</v>
      </c>
      <c r="E222" s="8" t="s">
        <v>687</v>
      </c>
      <c r="F222" s="8"/>
      <c r="H222" s="8"/>
      <c r="I222" s="8" t="s">
        <v>7983</v>
      </c>
      <c r="J222" s="8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8" t="s">
        <v>7531</v>
      </c>
      <c r="E223" s="8" t="s">
        <v>1274</v>
      </c>
      <c r="F223" s="8"/>
      <c r="H223" s="8"/>
      <c r="I223" s="8" t="s">
        <v>7985</v>
      </c>
      <c r="J223" s="8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8" t="s">
        <v>7531</v>
      </c>
      <c r="E224" s="8" t="s">
        <v>1274</v>
      </c>
      <c r="F224" s="8"/>
      <c r="H224" s="8"/>
      <c r="I224" s="8" t="s">
        <v>7987</v>
      </c>
      <c r="J224" s="8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8" t="s">
        <v>7531</v>
      </c>
      <c r="E225" s="8" t="s">
        <v>1274</v>
      </c>
      <c r="F225" s="8"/>
      <c r="H225" s="8"/>
      <c r="I225" s="8" t="s">
        <v>7989</v>
      </c>
      <c r="J225" s="8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8" t="s">
        <v>7531</v>
      </c>
      <c r="E226" s="8" t="s">
        <v>1274</v>
      </c>
      <c r="F226" s="8"/>
      <c r="H226" s="8"/>
      <c r="I226" s="8" t="s">
        <v>7991</v>
      </c>
      <c r="J226" s="8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8" t="s">
        <v>7531</v>
      </c>
      <c r="E227" s="8" t="s">
        <v>1274</v>
      </c>
      <c r="F227" s="8"/>
      <c r="H227" s="8"/>
      <c r="I227" s="8" t="s">
        <v>7993</v>
      </c>
      <c r="J227" s="8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8" t="s">
        <v>7531</v>
      </c>
      <c r="E228" s="8" t="s">
        <v>1274</v>
      </c>
      <c r="F228" s="8"/>
      <c r="H228" s="8"/>
      <c r="I228" s="8" t="s">
        <v>7995</v>
      </c>
      <c r="J228" s="8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8" t="s">
        <v>1627</v>
      </c>
      <c r="E229" s="8" t="s">
        <v>687</v>
      </c>
      <c r="F229" s="8"/>
      <c r="H229" s="8"/>
      <c r="I229" s="8" t="s">
        <v>7997</v>
      </c>
      <c r="J229" s="8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8" t="s">
        <v>7562</v>
      </c>
      <c r="E230" s="8" t="s">
        <v>468</v>
      </c>
      <c r="F230" s="8"/>
      <c r="H230" s="8"/>
      <c r="I230" s="8" t="s">
        <v>7999</v>
      </c>
      <c r="J230" s="8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8" t="s">
        <v>4</v>
      </c>
      <c r="E231" s="8" t="s">
        <v>9</v>
      </c>
      <c r="F231" s="8"/>
      <c r="H231" s="8"/>
      <c r="I231" s="8" t="s">
        <v>8001</v>
      </c>
      <c r="J231" s="8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8" t="s">
        <v>1627</v>
      </c>
      <c r="E232" s="8" t="s">
        <v>687</v>
      </c>
      <c r="F232" s="8"/>
      <c r="H232" s="8"/>
      <c r="I232" s="8" t="s">
        <v>8003</v>
      </c>
      <c r="J232" s="8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8" t="s">
        <v>7531</v>
      </c>
      <c r="E233" s="8" t="s">
        <v>1274</v>
      </c>
      <c r="F233" s="8"/>
      <c r="H233" s="8"/>
      <c r="I233" s="8" t="s">
        <v>8301</v>
      </c>
      <c r="J233" s="8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8" t="s">
        <v>7531</v>
      </c>
      <c r="E234" s="8" t="s">
        <v>1274</v>
      </c>
      <c r="F234" s="8"/>
      <c r="H234" s="8"/>
      <c r="I234" s="8" t="s">
        <v>8303</v>
      </c>
      <c r="J234" s="8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8" t="s">
        <v>4</v>
      </c>
      <c r="E235" s="8" t="s">
        <v>9</v>
      </c>
      <c r="F235" s="8"/>
      <c r="H235" s="8"/>
      <c r="I235" s="8" t="s">
        <v>8305</v>
      </c>
      <c r="J235" s="8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8" t="s">
        <v>7531</v>
      </c>
      <c r="E236" s="8" t="s">
        <v>1274</v>
      </c>
      <c r="F236" s="8"/>
      <c r="H236" s="8"/>
      <c r="I236" s="8" t="s">
        <v>8307</v>
      </c>
      <c r="J236" s="8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8" t="s">
        <v>7531</v>
      </c>
      <c r="E237" s="8" t="s">
        <v>1274</v>
      </c>
      <c r="F237" s="8"/>
      <c r="H237" s="8"/>
      <c r="I237" s="8" t="s">
        <v>8309</v>
      </c>
      <c r="J237" s="8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8" t="s">
        <v>4</v>
      </c>
      <c r="E238" s="8" t="s">
        <v>9</v>
      </c>
      <c r="F238" s="8"/>
      <c r="H238" s="8"/>
      <c r="I238" s="8" t="s">
        <v>8311</v>
      </c>
      <c r="J238" s="8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8" t="s">
        <v>7531</v>
      </c>
      <c r="E239" s="8" t="s">
        <v>1274</v>
      </c>
      <c r="F239" s="8"/>
      <c r="H239" s="8"/>
      <c r="I239" s="8" t="s">
        <v>8383</v>
      </c>
      <c r="J239" s="8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8" t="s">
        <v>7531</v>
      </c>
      <c r="E240" s="8" t="s">
        <v>1274</v>
      </c>
      <c r="F240" s="8"/>
      <c r="H240" s="8"/>
      <c r="I240" s="8" t="s">
        <v>8385</v>
      </c>
      <c r="J240" s="8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8" t="s">
        <v>4</v>
      </c>
      <c r="E241" s="8" t="s">
        <v>9</v>
      </c>
      <c r="F241" s="8"/>
      <c r="H241" s="8"/>
      <c r="I241" s="8" t="s">
        <v>8387</v>
      </c>
      <c r="J241" s="8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8" t="s">
        <v>7531</v>
      </c>
      <c r="E242" s="8" t="s">
        <v>1274</v>
      </c>
      <c r="F242" s="8"/>
      <c r="H242" s="8"/>
      <c r="I242" s="8" t="s">
        <v>8472</v>
      </c>
      <c r="J242" s="8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8" t="s">
        <v>7531</v>
      </c>
      <c r="E243" s="8" t="s">
        <v>1274</v>
      </c>
      <c r="F243" s="8"/>
      <c r="H243" s="8" t="s">
        <v>2352</v>
      </c>
      <c r="I243" s="8" t="s">
        <v>8474</v>
      </c>
      <c r="J243" s="8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8" t="s">
        <v>7531</v>
      </c>
      <c r="E244" s="8" t="s">
        <v>1274</v>
      </c>
      <c r="F244" s="8"/>
      <c r="H244" s="8" t="s">
        <v>2352</v>
      </c>
      <c r="I244" s="8" t="s">
        <v>8476</v>
      </c>
      <c r="J244" s="8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8" t="s">
        <v>7531</v>
      </c>
      <c r="E245" s="8" t="s">
        <v>1274</v>
      </c>
      <c r="F245" s="8"/>
      <c r="H245" s="8" t="s">
        <v>2352</v>
      </c>
      <c r="I245" s="8" t="s">
        <v>8478</v>
      </c>
      <c r="J245" s="8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8" t="s">
        <v>7531</v>
      </c>
      <c r="E246" s="8" t="s">
        <v>1274</v>
      </c>
      <c r="F246" s="8"/>
      <c r="H246" s="8" t="s">
        <v>2352</v>
      </c>
      <c r="I246" s="8" t="s">
        <v>8480</v>
      </c>
      <c r="J246" s="8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8" t="s">
        <v>7531</v>
      </c>
      <c r="E247" s="8" t="s">
        <v>1274</v>
      </c>
      <c r="F247" s="8"/>
      <c r="H247" s="8" t="s">
        <v>2352</v>
      </c>
      <c r="I247" s="8" t="s">
        <v>8482</v>
      </c>
      <c r="J247" s="8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8" t="s">
        <v>7531</v>
      </c>
      <c r="E248" s="8" t="s">
        <v>1274</v>
      </c>
      <c r="F248" s="8"/>
      <c r="H248" s="8" t="s">
        <v>2352</v>
      </c>
      <c r="I248" s="8" t="s">
        <v>8484</v>
      </c>
      <c r="J248" s="8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8" t="s">
        <v>8718</v>
      </c>
      <c r="E249" s="8" t="s">
        <v>687</v>
      </c>
      <c r="F249" s="8"/>
      <c r="H249" s="8"/>
      <c r="I249" s="8" t="s">
        <v>8610</v>
      </c>
      <c r="J249" s="8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8" t="s">
        <v>8718</v>
      </c>
      <c r="E250" s="8" t="s">
        <v>687</v>
      </c>
      <c r="F250" s="8"/>
      <c r="H250" s="8"/>
      <c r="I250" s="8" t="s">
        <v>8612</v>
      </c>
      <c r="J250" s="8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8" t="s">
        <v>1627</v>
      </c>
      <c r="E251" s="8" t="s">
        <v>687</v>
      </c>
      <c r="F251" s="8"/>
      <c r="H251" s="8"/>
      <c r="I251" s="8" t="s">
        <v>8614</v>
      </c>
      <c r="J251" s="8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8" t="s">
        <v>8718</v>
      </c>
      <c r="E252" s="8" t="s">
        <v>687</v>
      </c>
      <c r="F252" s="8"/>
      <c r="H252" s="8"/>
      <c r="I252" s="8" t="s">
        <v>8616</v>
      </c>
      <c r="J252" s="8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8" t="s">
        <v>1627</v>
      </c>
      <c r="E253" s="8" t="s">
        <v>687</v>
      </c>
      <c r="F253" s="8"/>
      <c r="H253" s="8"/>
      <c r="I253" s="8" t="s">
        <v>8618</v>
      </c>
      <c r="J253" s="8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8" t="s">
        <v>1627</v>
      </c>
      <c r="E254" s="8" t="s">
        <v>687</v>
      </c>
      <c r="F254" s="8"/>
      <c r="H254" s="8"/>
      <c r="I254" s="8" t="s">
        <v>8620</v>
      </c>
      <c r="J254" s="8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8" t="s">
        <v>1627</v>
      </c>
      <c r="E255" s="8" t="s">
        <v>687</v>
      </c>
      <c r="F255" s="8"/>
      <c r="H255" s="8"/>
      <c r="I255" s="8" t="s">
        <v>8622</v>
      </c>
      <c r="J255" s="8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8" t="s">
        <v>7531</v>
      </c>
      <c r="E256" s="8" t="s">
        <v>1274</v>
      </c>
      <c r="F256" s="8"/>
      <c r="H256" s="8"/>
      <c r="I256" s="8" t="s">
        <v>8624</v>
      </c>
      <c r="J256" s="8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8" t="s">
        <v>1627</v>
      </c>
      <c r="E257" s="8" t="s">
        <v>687</v>
      </c>
      <c r="F257" s="8"/>
      <c r="H257" s="8"/>
      <c r="I257" s="8" t="s">
        <v>8626</v>
      </c>
      <c r="J257" s="8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8" t="s">
        <v>7531</v>
      </c>
      <c r="E258" s="8" t="s">
        <v>1274</v>
      </c>
      <c r="F258" s="8"/>
      <c r="H258" s="8"/>
      <c r="I258" s="8" t="s">
        <v>8628</v>
      </c>
      <c r="J258" s="8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8" t="s">
        <v>7531</v>
      </c>
      <c r="E259" s="8" t="s">
        <v>1274</v>
      </c>
      <c r="F259" s="8"/>
      <c r="H259" s="8"/>
      <c r="I259" s="8" t="s">
        <v>8630</v>
      </c>
      <c r="J259" s="8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8" t="s">
        <v>1627</v>
      </c>
      <c r="E260" s="8" t="s">
        <v>687</v>
      </c>
      <c r="F260" s="8"/>
      <c r="H260" s="8"/>
      <c r="I260" s="8" t="s">
        <v>8632</v>
      </c>
      <c r="J260" s="8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8" t="s">
        <v>1627</v>
      </c>
      <c r="E261" s="8" t="s">
        <v>687</v>
      </c>
      <c r="F261" s="8"/>
      <c r="H261" s="8"/>
      <c r="I261" s="8" t="s">
        <v>8634</v>
      </c>
      <c r="J261" s="8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8" t="s">
        <v>4</v>
      </c>
      <c r="E262" s="8" t="s">
        <v>9</v>
      </c>
      <c r="F262" s="8"/>
      <c r="H262" s="8"/>
      <c r="I262" s="8" t="s">
        <v>8747</v>
      </c>
      <c r="J262" s="8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8" t="s">
        <v>7531</v>
      </c>
      <c r="E263" s="8" t="s">
        <v>1274</v>
      </c>
      <c r="F263" s="8"/>
      <c r="H263" s="8"/>
      <c r="I263" s="8" t="s">
        <v>8749</v>
      </c>
      <c r="J263" s="8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8" t="s">
        <v>8718</v>
      </c>
      <c r="E264" s="8" t="s">
        <v>687</v>
      </c>
      <c r="F264" s="8"/>
      <c r="H264" s="8"/>
      <c r="I264" s="8" t="s">
        <v>8751</v>
      </c>
      <c r="J264" s="8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8" t="s">
        <v>1627</v>
      </c>
      <c r="E265" s="8" t="s">
        <v>687</v>
      </c>
      <c r="F265" s="8"/>
      <c r="H265" s="8"/>
      <c r="I265" s="8" t="s">
        <v>8753</v>
      </c>
      <c r="J265" s="8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8" t="s">
        <v>8718</v>
      </c>
      <c r="E266" s="8" t="s">
        <v>687</v>
      </c>
      <c r="F266" s="8"/>
      <c r="H266" s="8"/>
      <c r="I266" s="8" t="s">
        <v>8755</v>
      </c>
      <c r="J266" s="8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8" t="s">
        <v>1627</v>
      </c>
      <c r="E267" s="8" t="s">
        <v>687</v>
      </c>
      <c r="F267" s="8"/>
      <c r="H267" s="8"/>
      <c r="I267" s="8" t="s">
        <v>8757</v>
      </c>
      <c r="J267" s="8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8" t="s">
        <v>8718</v>
      </c>
      <c r="E268" s="8" t="s">
        <v>687</v>
      </c>
      <c r="F268" s="8"/>
      <c r="H268" s="8"/>
      <c r="I268" s="8" t="s">
        <v>8759</v>
      </c>
      <c r="J268" s="8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8" t="s">
        <v>1627</v>
      </c>
      <c r="E269" s="8" t="s">
        <v>687</v>
      </c>
      <c r="F269" s="8"/>
      <c r="H269" s="8"/>
      <c r="I269" s="8" t="s">
        <v>8761</v>
      </c>
      <c r="J269" s="8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8" t="s">
        <v>7562</v>
      </c>
      <c r="E270" s="8" t="s">
        <v>1274</v>
      </c>
      <c r="F270" s="8"/>
      <c r="H270" s="8"/>
      <c r="I270" s="8" t="s">
        <v>8838</v>
      </c>
      <c r="J270" s="8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8" t="s">
        <v>1627</v>
      </c>
      <c r="E271" s="8" t="s">
        <v>687</v>
      </c>
      <c r="F271" s="8"/>
      <c r="H271" s="8"/>
      <c r="I271" s="8" t="s">
        <v>8840</v>
      </c>
      <c r="J271" s="8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8" t="s">
        <v>1627</v>
      </c>
      <c r="E272" s="8" t="s">
        <v>687</v>
      </c>
      <c r="F272" s="8"/>
      <c r="H272" s="8"/>
      <c r="I272" s="8" t="s">
        <v>8976</v>
      </c>
      <c r="J272" s="8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8" t="s">
        <v>7531</v>
      </c>
      <c r="E273" s="8" t="s">
        <v>1274</v>
      </c>
      <c r="F273" s="8"/>
      <c r="H273" s="8"/>
      <c r="I273" s="8" t="s">
        <v>8978</v>
      </c>
      <c r="J273" s="8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8" t="s">
        <v>7531</v>
      </c>
      <c r="E274" s="8" t="s">
        <v>1274</v>
      </c>
      <c r="F274" s="8"/>
      <c r="H274" s="8"/>
      <c r="I274" s="8" t="s">
        <v>8980</v>
      </c>
      <c r="J274" s="8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8" t="s">
        <v>7531</v>
      </c>
      <c r="E275" s="8" t="s">
        <v>1274</v>
      </c>
      <c r="F275" s="8"/>
      <c r="H275" s="8"/>
      <c r="I275" s="8" t="s">
        <v>8982</v>
      </c>
      <c r="J275" s="8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8" t="s">
        <v>4</v>
      </c>
      <c r="E276" s="8" t="s">
        <v>9</v>
      </c>
      <c r="F276" s="8"/>
      <c r="H276" s="8"/>
      <c r="I276" s="8" t="s">
        <v>8984</v>
      </c>
      <c r="J276" s="8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8" t="s">
        <v>7531</v>
      </c>
      <c r="E277" s="8" t="s">
        <v>1274</v>
      </c>
      <c r="F277" s="8"/>
      <c r="H277" s="8"/>
      <c r="I277" s="8" t="s">
        <v>8986</v>
      </c>
      <c r="J277" s="8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8" t="s">
        <v>1627</v>
      </c>
      <c r="E278" s="8" t="s">
        <v>687</v>
      </c>
      <c r="F278" s="8"/>
      <c r="H278" s="8"/>
      <c r="I278" s="8" t="s">
        <v>8988</v>
      </c>
      <c r="J278" s="8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8" t="s">
        <v>7531</v>
      </c>
      <c r="E279" s="8" t="s">
        <v>1274</v>
      </c>
      <c r="F279" s="8"/>
      <c r="H279" s="8"/>
      <c r="I279" s="8" t="s">
        <v>8990</v>
      </c>
      <c r="J279" s="8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8" t="s">
        <v>1627</v>
      </c>
      <c r="E280" s="8" t="s">
        <v>687</v>
      </c>
      <c r="F280" s="8"/>
      <c r="H280" s="8"/>
      <c r="I280" s="8" t="s">
        <v>8992</v>
      </c>
      <c r="J280" s="8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8" t="s">
        <v>7531</v>
      </c>
      <c r="E281" s="8" t="s">
        <v>1274</v>
      </c>
      <c r="F281" s="8"/>
      <c r="H281" s="8"/>
      <c r="I281" s="8" t="s">
        <v>9290</v>
      </c>
      <c r="J281" s="8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8" t="s">
        <v>1627</v>
      </c>
      <c r="E282" s="8" t="s">
        <v>687</v>
      </c>
      <c r="F282" s="8"/>
      <c r="H282" s="8"/>
      <c r="I282" s="8" t="s">
        <v>9292</v>
      </c>
      <c r="J282" s="8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8" t="s">
        <v>7531</v>
      </c>
      <c r="E283" s="8" t="s">
        <v>1274</v>
      </c>
      <c r="F283" s="8"/>
      <c r="H283" s="8"/>
      <c r="I283" s="8" t="s">
        <v>9294</v>
      </c>
      <c r="J283" s="8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8" t="s">
        <v>1627</v>
      </c>
      <c r="E284" s="8" t="s">
        <v>687</v>
      </c>
      <c r="F284" s="8"/>
      <c r="H284" s="8"/>
      <c r="I284" s="8" t="s">
        <v>9296</v>
      </c>
      <c r="J284" s="8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8" t="s">
        <v>1627</v>
      </c>
      <c r="E285" s="8" t="s">
        <v>687</v>
      </c>
      <c r="F285" s="8"/>
      <c r="H285" s="8"/>
      <c r="I285" s="8" t="s">
        <v>9298</v>
      </c>
      <c r="J285" s="8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8" t="s">
        <v>4</v>
      </c>
      <c r="E286" s="8" t="s">
        <v>9</v>
      </c>
      <c r="F286" s="8"/>
      <c r="H286" s="8"/>
      <c r="I286" s="8" t="s">
        <v>9300</v>
      </c>
      <c r="J286" s="8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8" t="s">
        <v>4</v>
      </c>
      <c r="E287" s="8" t="s">
        <v>9</v>
      </c>
      <c r="F287" s="8"/>
      <c r="H287" s="8"/>
      <c r="I287" s="8" t="s">
        <v>9356</v>
      </c>
      <c r="J287" s="8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8" t="s">
        <v>1627</v>
      </c>
      <c r="E288" s="8" t="s">
        <v>687</v>
      </c>
      <c r="F288" s="8"/>
      <c r="H288" s="8"/>
      <c r="I288" s="8" t="s">
        <v>9358</v>
      </c>
      <c r="J288" s="8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8" t="s">
        <v>1627</v>
      </c>
      <c r="E289" s="8" t="s">
        <v>687</v>
      </c>
      <c r="F289" s="8"/>
      <c r="H289" s="8"/>
      <c r="I289" s="8" t="s">
        <v>9360</v>
      </c>
      <c r="J289" s="8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8" t="s">
        <v>1627</v>
      </c>
      <c r="E290" s="8" t="s">
        <v>687</v>
      </c>
      <c r="F290" s="8"/>
      <c r="H290" s="8"/>
      <c r="I290" s="8" t="s">
        <v>9362</v>
      </c>
      <c r="J290" s="8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8" t="s">
        <v>1627</v>
      </c>
      <c r="E291" s="8" t="s">
        <v>687</v>
      </c>
      <c r="F291" s="8"/>
      <c r="H291" s="8"/>
      <c r="I291" s="8" t="s">
        <v>10725</v>
      </c>
      <c r="J291" s="8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8" t="s">
        <v>3386</v>
      </c>
      <c r="E292" s="8" t="s">
        <v>86</v>
      </c>
      <c r="F292" s="8" t="s">
        <v>11075</v>
      </c>
      <c r="H292" s="8"/>
      <c r="I292" s="8" t="s">
        <v>10727</v>
      </c>
      <c r="J292" s="8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8" t="s">
        <v>4</v>
      </c>
      <c r="E293" s="8" t="s">
        <v>9</v>
      </c>
      <c r="F293" s="8"/>
      <c r="H293" s="8"/>
      <c r="I293" s="8" t="s">
        <v>10729</v>
      </c>
      <c r="J293" s="8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8" t="s">
        <v>4</v>
      </c>
      <c r="E294" s="8" t="s">
        <v>11076</v>
      </c>
      <c r="F294" s="8"/>
      <c r="H294" s="8"/>
      <c r="I294" s="8" t="s">
        <v>10731</v>
      </c>
      <c r="J294" s="8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8" t="s">
        <v>4</v>
      </c>
      <c r="E295" s="8" t="s">
        <v>6157</v>
      </c>
      <c r="F295" s="8"/>
      <c r="H295" s="8"/>
      <c r="I295" s="8" t="s">
        <v>10733</v>
      </c>
      <c r="J295" s="8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8" t="s">
        <v>4</v>
      </c>
      <c r="E296" s="8" t="s">
        <v>6157</v>
      </c>
      <c r="F296" s="8"/>
      <c r="H296" s="8"/>
      <c r="I296" s="8" t="s">
        <v>10735</v>
      </c>
      <c r="J296" s="8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8" t="s">
        <v>4</v>
      </c>
      <c r="E297" s="8" t="s">
        <v>6157</v>
      </c>
      <c r="F297" s="8"/>
      <c r="H297" s="8"/>
      <c r="I297" s="8" t="s">
        <v>10737</v>
      </c>
      <c r="J297" s="8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8" t="s">
        <v>4</v>
      </c>
      <c r="E298" s="8" t="s">
        <v>6157</v>
      </c>
      <c r="F298" s="8"/>
      <c r="H298" s="8"/>
      <c r="I298" s="8" t="s">
        <v>10739</v>
      </c>
      <c r="J298" s="8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8" t="s">
        <v>4</v>
      </c>
      <c r="E299" s="8" t="s">
        <v>468</v>
      </c>
      <c r="F299" s="8"/>
      <c r="H299" s="8"/>
      <c r="I299" s="8" t="s">
        <v>10741</v>
      </c>
      <c r="J299" s="8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8" t="s">
        <v>4</v>
      </c>
      <c r="E300" s="8" t="s">
        <v>13895</v>
      </c>
      <c r="F300" s="8"/>
      <c r="H300" s="8"/>
      <c r="I300" s="8" t="s">
        <v>13850</v>
      </c>
      <c r="J300" s="8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8" t="s">
        <v>1607</v>
      </c>
      <c r="E301" s="8" t="s">
        <v>6157</v>
      </c>
      <c r="F301" s="8"/>
      <c r="H301" s="8"/>
      <c r="I301" s="8" t="s">
        <v>13853</v>
      </c>
      <c r="J301" s="8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8" t="s">
        <v>587</v>
      </c>
      <c r="E302" s="8" t="s">
        <v>86</v>
      </c>
      <c r="F302" s="8"/>
      <c r="H302" s="8"/>
      <c r="I302" s="8" t="s">
        <v>13856</v>
      </c>
      <c r="J302" s="8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8" t="s">
        <v>1607</v>
      </c>
      <c r="E303" s="8" t="s">
        <v>6157</v>
      </c>
      <c r="F303" s="8"/>
      <c r="H303" s="8"/>
      <c r="I303" s="8" t="s">
        <v>13859</v>
      </c>
      <c r="J303" s="8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8" t="s">
        <v>7354</v>
      </c>
      <c r="E304" s="8" t="s">
        <v>1274</v>
      </c>
      <c r="F304" s="8"/>
      <c r="H304" s="8"/>
      <c r="I304" s="8" t="s">
        <v>13862</v>
      </c>
      <c r="J304" s="8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8" t="s">
        <v>1273</v>
      </c>
      <c r="E305" s="8" t="s">
        <v>86</v>
      </c>
      <c r="F305" s="8"/>
      <c r="H305" s="8"/>
      <c r="I305" s="8" t="s">
        <v>13865</v>
      </c>
      <c r="J305" s="8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8" t="s">
        <v>1607</v>
      </c>
      <c r="E306" s="8" t="s">
        <v>6157</v>
      </c>
      <c r="F306" s="8"/>
      <c r="H306" s="8"/>
      <c r="I306" s="8" t="s">
        <v>13868</v>
      </c>
      <c r="J306" s="8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8" t="s">
        <v>1607</v>
      </c>
      <c r="E307" s="8" t="s">
        <v>6157</v>
      </c>
      <c r="F307" s="8"/>
      <c r="H307" s="8"/>
      <c r="I307" s="8" t="s">
        <v>13871</v>
      </c>
      <c r="J307" s="8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8" t="s">
        <v>587</v>
      </c>
      <c r="E308" s="8" t="s">
        <v>86</v>
      </c>
      <c r="F308" s="8"/>
      <c r="H308" s="8"/>
      <c r="I308" s="8" t="s">
        <v>13874</v>
      </c>
      <c r="J308" s="8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8" t="s">
        <v>7354</v>
      </c>
      <c r="E309" s="8" t="s">
        <v>1274</v>
      </c>
      <c r="F309" s="8"/>
      <c r="H309" s="8"/>
      <c r="I309" s="8" t="s">
        <v>13877</v>
      </c>
      <c r="J309" s="8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8" t="s">
        <v>7354</v>
      </c>
      <c r="E310" s="8" t="s">
        <v>1274</v>
      </c>
      <c r="F310" s="8"/>
      <c r="H310" s="8"/>
      <c r="I310" s="8" t="s">
        <v>13880</v>
      </c>
      <c r="J310" s="8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8" t="s">
        <v>1273</v>
      </c>
      <c r="E311" s="8" t="s">
        <v>86</v>
      </c>
      <c r="F311" s="8"/>
      <c r="H311" s="8"/>
      <c r="I311" s="8" t="s">
        <v>13883</v>
      </c>
      <c r="J311" s="8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8" t="s">
        <v>4</v>
      </c>
      <c r="E312" s="8" t="s">
        <v>13895</v>
      </c>
      <c r="F312" s="8"/>
      <c r="H312" s="8"/>
      <c r="I312" s="8" t="s">
        <v>13886</v>
      </c>
      <c r="J312" s="8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8" t="s">
        <v>7354</v>
      </c>
      <c r="E313" s="8" t="s">
        <v>1274</v>
      </c>
      <c r="F313" s="8"/>
      <c r="H313" s="8"/>
      <c r="I313" s="8" t="s">
        <v>13889</v>
      </c>
      <c r="J313" s="8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8" t="s">
        <v>13896</v>
      </c>
      <c r="E314" s="8" t="s">
        <v>1274</v>
      </c>
      <c r="F314" s="8"/>
      <c r="H314" s="8"/>
      <c r="I314" s="8" t="s">
        <v>13892</v>
      </c>
      <c r="J314" s="8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8" t="s">
        <v>1607</v>
      </c>
      <c r="E315" s="8" t="s">
        <v>8</v>
      </c>
      <c r="F315" s="8"/>
      <c r="H315" s="8"/>
      <c r="I315" s="8" t="s">
        <v>13927</v>
      </c>
      <c r="J315" s="8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8" t="s">
        <v>1607</v>
      </c>
      <c r="E316" s="8" t="s">
        <v>8</v>
      </c>
      <c r="F316" s="8"/>
      <c r="H316" s="8"/>
      <c r="I316" s="8" t="s">
        <v>13930</v>
      </c>
      <c r="J316" s="8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8" t="s">
        <v>1607</v>
      </c>
      <c r="E317" s="8" t="s">
        <v>6157</v>
      </c>
      <c r="F317" s="8"/>
      <c r="H317" s="8"/>
      <c r="I317" s="8" t="s">
        <v>15005</v>
      </c>
      <c r="J317" s="8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8" t="s">
        <v>7354</v>
      </c>
      <c r="E318" s="8" t="s">
        <v>468</v>
      </c>
      <c r="F318" s="8"/>
      <c r="H318" s="8"/>
      <c r="I318" s="8" t="s">
        <v>15008</v>
      </c>
      <c r="J318" s="8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8" t="s">
        <v>16665</v>
      </c>
      <c r="E319" s="8" t="s">
        <v>468</v>
      </c>
      <c r="F319" s="8"/>
      <c r="G319">
        <v>2</v>
      </c>
      <c r="H319" s="8"/>
      <c r="I319" s="8" t="s">
        <v>15257</v>
      </c>
      <c r="J319" s="8" t="s">
        <v>13185</v>
      </c>
      <c r="K319" t="s">
        <v>16664</v>
      </c>
      <c r="L319" t="s">
        <v>15258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8" t="s">
        <v>7354</v>
      </c>
      <c r="E320" s="8" t="s">
        <v>468</v>
      </c>
      <c r="F320" s="8"/>
      <c r="H320" s="8"/>
      <c r="I320" s="8" t="s">
        <v>15011</v>
      </c>
      <c r="J320" s="8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8" t="s">
        <v>7354</v>
      </c>
      <c r="E321" s="8" t="s">
        <v>468</v>
      </c>
      <c r="F321" s="8"/>
      <c r="H321" s="8"/>
      <c r="I321" s="8" t="s">
        <v>15014</v>
      </c>
      <c r="J321" s="8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8" t="s">
        <v>7354</v>
      </c>
      <c r="E322" s="8" t="s">
        <v>468</v>
      </c>
      <c r="F322" s="8"/>
      <c r="H322" s="8"/>
      <c r="I322" s="8" t="s">
        <v>15017</v>
      </c>
      <c r="J322" s="8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8" t="s">
        <v>7354</v>
      </c>
      <c r="E323" s="8" t="s">
        <v>468</v>
      </c>
      <c r="F323" s="8"/>
      <c r="H323" s="8"/>
      <c r="I323" s="8" t="s">
        <v>15020</v>
      </c>
      <c r="J323" s="8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8" t="s">
        <v>4</v>
      </c>
      <c r="E324" s="8" t="s">
        <v>6157</v>
      </c>
      <c r="F324" s="8"/>
      <c r="H324" s="8"/>
      <c r="I324" s="8" t="s">
        <v>15023</v>
      </c>
      <c r="J324" s="8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8" t="s">
        <v>4</v>
      </c>
      <c r="E325" s="8" t="s">
        <v>6157</v>
      </c>
      <c r="F325" s="8"/>
      <c r="H325" s="8"/>
      <c r="I325" s="8" t="s">
        <v>15026</v>
      </c>
      <c r="J325" s="8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8" t="s">
        <v>16666</v>
      </c>
      <c r="E326" s="8"/>
      <c r="F326" s="8"/>
      <c r="H326" s="8"/>
      <c r="I326" s="8" t="s">
        <v>15029</v>
      </c>
      <c r="J326" s="8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8" t="s">
        <v>16666</v>
      </c>
      <c r="E327" s="8"/>
      <c r="F327" s="8"/>
      <c r="H327" s="8" t="s">
        <v>2352</v>
      </c>
      <c r="I327" s="8" t="s">
        <v>15032</v>
      </c>
      <c r="J327" s="8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8" t="s">
        <v>4</v>
      </c>
      <c r="E328" s="8" t="s">
        <v>6157</v>
      </c>
      <c r="F328" s="8"/>
      <c r="H328" s="8"/>
      <c r="I328" s="8" t="s">
        <v>15035</v>
      </c>
      <c r="J328" s="8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8" t="s">
        <v>4</v>
      </c>
      <c r="E329" s="8" t="s">
        <v>468</v>
      </c>
      <c r="F329" s="8"/>
      <c r="H329" s="8"/>
      <c r="I329" s="8" t="s">
        <v>15038</v>
      </c>
      <c r="J329" s="8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8" t="s">
        <v>4</v>
      </c>
      <c r="E330" s="8" t="s">
        <v>6157</v>
      </c>
      <c r="F330" s="8"/>
      <c r="H330" s="8"/>
      <c r="I330" s="8" t="s">
        <v>15041</v>
      </c>
      <c r="J330" s="8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8" t="s">
        <v>4</v>
      </c>
      <c r="E331" s="8" t="s">
        <v>6157</v>
      </c>
      <c r="F331" s="8"/>
      <c r="H331" s="8" t="s">
        <v>2352</v>
      </c>
      <c r="I331" s="8" t="s">
        <v>15044</v>
      </c>
      <c r="J331" s="8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8" t="s">
        <v>7354</v>
      </c>
      <c r="E332" s="8" t="s">
        <v>16667</v>
      </c>
      <c r="F332" s="8"/>
      <c r="H332" s="8" t="s">
        <v>16668</v>
      </c>
      <c r="I332" s="8" t="s">
        <v>15047</v>
      </c>
      <c r="J332" s="8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8" t="s">
        <v>4</v>
      </c>
      <c r="E333" s="8" t="s">
        <v>6157</v>
      </c>
      <c r="F333" s="8"/>
      <c r="H333" s="8"/>
      <c r="I333" s="8" t="s">
        <v>15050</v>
      </c>
      <c r="J333" s="8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8" t="s">
        <v>4</v>
      </c>
      <c r="E334" s="8" t="s">
        <v>6157</v>
      </c>
      <c r="F334" s="8"/>
      <c r="H334" s="8"/>
      <c r="I334" s="8" t="s">
        <v>15053</v>
      </c>
      <c r="J334" s="8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8" t="s">
        <v>4</v>
      </c>
      <c r="E335" s="8" t="s">
        <v>6157</v>
      </c>
      <c r="F335" s="8"/>
      <c r="H335" s="8"/>
      <c r="I335" s="8" t="s">
        <v>16192</v>
      </c>
      <c r="J335" s="8" t="s">
        <v>13185</v>
      </c>
      <c r="K335" t="s">
        <v>16193</v>
      </c>
      <c r="L335" t="s">
        <v>16194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8" t="s">
        <v>9140</v>
      </c>
      <c r="E336" s="8" t="s">
        <v>86</v>
      </c>
      <c r="F336" s="8"/>
      <c r="H336" s="8"/>
      <c r="I336" s="8" t="s">
        <v>16195</v>
      </c>
      <c r="J336" s="8" t="s">
        <v>13185</v>
      </c>
      <c r="K336" t="s">
        <v>16196</v>
      </c>
      <c r="L336" t="s">
        <v>16197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8" t="s">
        <v>4</v>
      </c>
      <c r="E337" s="8" t="s">
        <v>6157</v>
      </c>
      <c r="F337" s="8"/>
      <c r="H337" s="8"/>
      <c r="I337" s="8" t="s">
        <v>16198</v>
      </c>
      <c r="J337" s="8" t="s">
        <v>13185</v>
      </c>
      <c r="K337" t="s">
        <v>16199</v>
      </c>
      <c r="L337" t="s">
        <v>16200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8" t="s">
        <v>1607</v>
      </c>
      <c r="E338" s="8" t="s">
        <v>6157</v>
      </c>
      <c r="F338" s="8"/>
      <c r="H338" s="8"/>
      <c r="I338" s="8" t="s">
        <v>16201</v>
      </c>
      <c r="J338" s="8" t="s">
        <v>13185</v>
      </c>
      <c r="K338" t="s">
        <v>16202</v>
      </c>
      <c r="L338" t="s">
        <v>16203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8" t="s">
        <v>4</v>
      </c>
      <c r="E339" s="8" t="s">
        <v>6157</v>
      </c>
      <c r="F339" s="8"/>
      <c r="H339" s="8"/>
      <c r="I339" s="8" t="s">
        <v>16204</v>
      </c>
      <c r="J339" s="8" t="s">
        <v>13185</v>
      </c>
      <c r="K339" t="s">
        <v>16205</v>
      </c>
      <c r="L339" t="s">
        <v>16206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8" t="s">
        <v>4</v>
      </c>
      <c r="E340" s="8" t="s">
        <v>6157</v>
      </c>
      <c r="F340" s="8"/>
      <c r="H340" s="8"/>
      <c r="I340" s="8" t="s">
        <v>16207</v>
      </c>
      <c r="J340" s="8" t="s">
        <v>13185</v>
      </c>
      <c r="K340" t="s">
        <v>16208</v>
      </c>
      <c r="L340" t="s">
        <v>16209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8" t="s">
        <v>7354</v>
      </c>
      <c r="E341" s="8" t="s">
        <v>1274</v>
      </c>
      <c r="F341" s="8"/>
      <c r="H341" s="8"/>
      <c r="I341" s="8" t="s">
        <v>16210</v>
      </c>
      <c r="J341" s="8" t="s">
        <v>13185</v>
      </c>
      <c r="K341" t="s">
        <v>16211</v>
      </c>
      <c r="L341" t="s">
        <v>16212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8" t="s">
        <v>4</v>
      </c>
      <c r="E342" s="8" t="s">
        <v>6157</v>
      </c>
      <c r="F342" s="8"/>
      <c r="H342" s="8"/>
      <c r="I342" s="8" t="s">
        <v>16213</v>
      </c>
      <c r="J342" s="8" t="s">
        <v>13185</v>
      </c>
      <c r="K342" t="s">
        <v>16214</v>
      </c>
      <c r="L342" t="s">
        <v>16215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8" t="s">
        <v>1273</v>
      </c>
      <c r="E343" s="8" t="s">
        <v>86</v>
      </c>
      <c r="F343" s="8"/>
      <c r="H343" s="8"/>
      <c r="I343" s="8" t="s">
        <v>16216</v>
      </c>
      <c r="J343" s="8" t="s">
        <v>13185</v>
      </c>
      <c r="K343" t="s">
        <v>16217</v>
      </c>
      <c r="L343" t="s">
        <v>16218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8" t="s">
        <v>587</v>
      </c>
      <c r="E344" s="8" t="s">
        <v>86</v>
      </c>
      <c r="F344" s="8"/>
      <c r="H344" s="8"/>
      <c r="I344" s="8" t="s">
        <v>16219</v>
      </c>
      <c r="J344" s="8" t="s">
        <v>13185</v>
      </c>
      <c r="K344" t="s">
        <v>16220</v>
      </c>
      <c r="L344" t="s">
        <v>16221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8" t="s">
        <v>4</v>
      </c>
      <c r="E345" s="8" t="s">
        <v>6157</v>
      </c>
      <c r="F345" s="8"/>
      <c r="H345" s="8"/>
      <c r="I345" s="8" t="s">
        <v>16222</v>
      </c>
      <c r="J345" s="8" t="s">
        <v>13185</v>
      </c>
      <c r="K345" t="s">
        <v>16223</v>
      </c>
      <c r="L345" t="s">
        <v>16224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8" t="s">
        <v>4</v>
      </c>
      <c r="E346" s="8" t="s">
        <v>6157</v>
      </c>
      <c r="F346" s="8"/>
      <c r="H346" s="8"/>
      <c r="I346" s="8" t="s">
        <v>16225</v>
      </c>
      <c r="J346" s="8" t="s">
        <v>13185</v>
      </c>
      <c r="K346" t="s">
        <v>16226</v>
      </c>
      <c r="L346" t="s">
        <v>16227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8" t="s">
        <v>1607</v>
      </c>
      <c r="E347" s="8" t="s">
        <v>6157</v>
      </c>
      <c r="F347" s="8"/>
      <c r="H347" s="8"/>
      <c r="I347" s="8" t="s">
        <v>16228</v>
      </c>
      <c r="J347" s="8" t="s">
        <v>13185</v>
      </c>
      <c r="K347" t="s">
        <v>16229</v>
      </c>
      <c r="L347" t="s">
        <v>16230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8" t="s">
        <v>1607</v>
      </c>
      <c r="E348" s="8" t="s">
        <v>6157</v>
      </c>
      <c r="F348" s="8"/>
      <c r="H348" s="8"/>
      <c r="I348" s="8" t="s">
        <v>16231</v>
      </c>
      <c r="J348" s="8" t="s">
        <v>13185</v>
      </c>
      <c r="K348" t="s">
        <v>16232</v>
      </c>
      <c r="L348" t="s">
        <v>16233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8" t="s">
        <v>4</v>
      </c>
      <c r="E349" s="8" t="s">
        <v>6157</v>
      </c>
      <c r="F349" s="8"/>
      <c r="H349" s="8"/>
      <c r="I349" s="8" t="s">
        <v>16234</v>
      </c>
      <c r="J349" s="8" t="s">
        <v>13185</v>
      </c>
      <c r="K349" t="s">
        <v>16235</v>
      </c>
      <c r="L349" t="s">
        <v>16236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8" t="s">
        <v>4</v>
      </c>
      <c r="E350" s="8" t="s">
        <v>468</v>
      </c>
      <c r="F350" s="8"/>
      <c r="H350" s="8"/>
      <c r="I350" s="8" t="s">
        <v>16237</v>
      </c>
      <c r="J350" s="8" t="s">
        <v>13185</v>
      </c>
      <c r="K350" t="s">
        <v>16238</v>
      </c>
      <c r="L350" t="s">
        <v>16239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8" t="s">
        <v>7354</v>
      </c>
      <c r="E351" s="8" t="s">
        <v>468</v>
      </c>
      <c r="F351" s="8"/>
      <c r="H351" s="8"/>
      <c r="I351" s="8" t="s">
        <v>16240</v>
      </c>
      <c r="J351" s="8" t="s">
        <v>13185</v>
      </c>
      <c r="K351" t="s">
        <v>16241</v>
      </c>
      <c r="L351" t="s">
        <v>16242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8" t="s">
        <v>16669</v>
      </c>
      <c r="E352" s="8"/>
      <c r="F352" s="8"/>
      <c r="H352" s="8"/>
      <c r="I352" s="8" t="s">
        <v>16243</v>
      </c>
      <c r="J352" s="8" t="s">
        <v>13185</v>
      </c>
      <c r="K352" t="s">
        <v>16244</v>
      </c>
      <c r="L352" t="s">
        <v>16245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8" t="s">
        <v>16669</v>
      </c>
      <c r="E353" s="8"/>
      <c r="F353" s="8"/>
      <c r="H353" s="8" t="s">
        <v>2352</v>
      </c>
      <c r="I353" s="8" t="s">
        <v>16246</v>
      </c>
      <c r="J353" s="8" t="s">
        <v>13185</v>
      </c>
      <c r="K353" t="s">
        <v>16247</v>
      </c>
      <c r="L353" t="s">
        <v>16248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8" t="s">
        <v>16669</v>
      </c>
      <c r="E354" s="8"/>
      <c r="F354" s="8"/>
      <c r="H354" s="8" t="s">
        <v>2352</v>
      </c>
      <c r="I354" s="8" t="s">
        <v>16249</v>
      </c>
      <c r="J354" s="8" t="s">
        <v>13185</v>
      </c>
      <c r="K354" t="s">
        <v>16250</v>
      </c>
      <c r="L354" t="s">
        <v>16251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8" t="s">
        <v>1607</v>
      </c>
      <c r="E355" s="8" t="s">
        <v>6157</v>
      </c>
      <c r="F355" s="8"/>
      <c r="H355" s="8"/>
      <c r="I355" s="8" t="s">
        <v>16252</v>
      </c>
      <c r="J355" s="8" t="s">
        <v>13185</v>
      </c>
      <c r="K355" t="s">
        <v>16253</v>
      </c>
      <c r="L355" t="s">
        <v>16254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8" t="s">
        <v>1607</v>
      </c>
      <c r="E356" s="8" t="s">
        <v>6157</v>
      </c>
      <c r="F356" s="8"/>
      <c r="H356" s="8"/>
      <c r="I356" s="8" t="s">
        <v>16255</v>
      </c>
      <c r="J356" s="8" t="s">
        <v>13185</v>
      </c>
      <c r="K356" t="s">
        <v>16256</v>
      </c>
      <c r="L356" t="s">
        <v>16257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8" t="s">
        <v>587</v>
      </c>
      <c r="E357" s="8" t="s">
        <v>86</v>
      </c>
      <c r="F357" s="8"/>
      <c r="H357" s="8"/>
      <c r="I357" s="8" t="s">
        <v>16258</v>
      </c>
      <c r="J357" s="8" t="s">
        <v>13185</v>
      </c>
      <c r="K357" t="s">
        <v>16259</v>
      </c>
      <c r="L357" t="s">
        <v>16260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8" t="s">
        <v>16670</v>
      </c>
      <c r="E358" s="8" t="s">
        <v>86</v>
      </c>
      <c r="F358" s="8"/>
      <c r="H358" s="8"/>
      <c r="I358" s="8" t="s">
        <v>16261</v>
      </c>
      <c r="J358" s="8" t="s">
        <v>13185</v>
      </c>
      <c r="K358" t="s">
        <v>16262</v>
      </c>
      <c r="L358" t="s">
        <v>16263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8" t="s">
        <v>4</v>
      </c>
      <c r="E359" s="8" t="s">
        <v>6157</v>
      </c>
      <c r="F359" s="8"/>
      <c r="H359" s="8"/>
      <c r="I359" s="8" t="s">
        <v>16264</v>
      </c>
      <c r="J359" s="8" t="s">
        <v>13185</v>
      </c>
      <c r="K359" t="s">
        <v>16265</v>
      </c>
      <c r="L359" t="s">
        <v>16266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8" t="s">
        <v>4</v>
      </c>
      <c r="E360" s="8" t="s">
        <v>9317</v>
      </c>
      <c r="F360" s="8"/>
      <c r="H360" s="8"/>
      <c r="I360" s="8" t="s">
        <v>16267</v>
      </c>
      <c r="J360" s="8" t="s">
        <v>13185</v>
      </c>
      <c r="K360" t="s">
        <v>16268</v>
      </c>
      <c r="L360" t="s">
        <v>16269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8" t="s">
        <v>16671</v>
      </c>
      <c r="E361" s="8" t="s">
        <v>86</v>
      </c>
      <c r="F361" s="8"/>
      <c r="H361" s="8"/>
      <c r="I361" s="8" t="s">
        <v>16270</v>
      </c>
      <c r="J361" s="8" t="s">
        <v>13185</v>
      </c>
      <c r="K361" t="s">
        <v>16271</v>
      </c>
      <c r="L361" t="s">
        <v>16272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8" t="s">
        <v>10241</v>
      </c>
      <c r="E362" s="8" t="s">
        <v>86</v>
      </c>
      <c r="F362" s="8"/>
      <c r="H362" s="8"/>
      <c r="I362" s="8" t="s">
        <v>16273</v>
      </c>
      <c r="J362" s="8" t="s">
        <v>13185</v>
      </c>
      <c r="K362" t="s">
        <v>16274</v>
      </c>
      <c r="L362" t="s">
        <v>16275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8" t="s">
        <v>10241</v>
      </c>
      <c r="E363" s="8" t="s">
        <v>86</v>
      </c>
      <c r="F363" s="8"/>
      <c r="H363" s="8"/>
      <c r="I363" s="8" t="s">
        <v>16276</v>
      </c>
      <c r="J363" s="8" t="s">
        <v>13185</v>
      </c>
      <c r="K363" t="s">
        <v>16277</v>
      </c>
      <c r="L363" t="s">
        <v>16278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8" t="s">
        <v>4</v>
      </c>
      <c r="E364" s="8" t="s">
        <v>9317</v>
      </c>
      <c r="F364" s="8"/>
      <c r="H364" s="8"/>
      <c r="I364" s="8" t="s">
        <v>16279</v>
      </c>
      <c r="J364" s="8" t="s">
        <v>13185</v>
      </c>
      <c r="K364" t="s">
        <v>16280</v>
      </c>
      <c r="L364" t="s">
        <v>16281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8" t="s">
        <v>7354</v>
      </c>
      <c r="E365" s="8" t="s">
        <v>468</v>
      </c>
      <c r="F365" s="8"/>
      <c r="H365" s="8"/>
      <c r="I365" s="8" t="s">
        <v>16282</v>
      </c>
      <c r="J365" s="8" t="s">
        <v>13185</v>
      </c>
      <c r="K365" t="s">
        <v>16283</v>
      </c>
      <c r="L365" t="s">
        <v>16284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8" t="s">
        <v>4</v>
      </c>
      <c r="E366" s="8" t="s">
        <v>9317</v>
      </c>
      <c r="F366" s="8"/>
      <c r="H366" s="8"/>
      <c r="I366" s="8" t="s">
        <v>16285</v>
      </c>
      <c r="J366" s="8" t="s">
        <v>13185</v>
      </c>
      <c r="K366" t="s">
        <v>16286</v>
      </c>
      <c r="L366" t="s">
        <v>16287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8" t="s">
        <v>1627</v>
      </c>
      <c r="E367" s="8" t="s">
        <v>1058</v>
      </c>
      <c r="F367" s="8"/>
      <c r="H367" s="8"/>
      <c r="I367" s="8" t="s">
        <v>16288</v>
      </c>
      <c r="J367" s="8" t="s">
        <v>13185</v>
      </c>
      <c r="K367" t="s">
        <v>16289</v>
      </c>
      <c r="L367" t="s">
        <v>16290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8" t="s">
        <v>1627</v>
      </c>
      <c r="E368" s="8" t="s">
        <v>1058</v>
      </c>
      <c r="F368" s="8"/>
      <c r="H368" s="8"/>
      <c r="I368" s="8" t="s">
        <v>16291</v>
      </c>
      <c r="J368" s="8" t="s">
        <v>13185</v>
      </c>
      <c r="K368" t="s">
        <v>16292</v>
      </c>
      <c r="L368" t="s">
        <v>16293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8" t="s">
        <v>4</v>
      </c>
      <c r="E369" s="8" t="s">
        <v>6157</v>
      </c>
      <c r="F369" s="8"/>
      <c r="H369" s="8"/>
      <c r="I369" s="8" t="s">
        <v>16294</v>
      </c>
      <c r="J369" s="8" t="s">
        <v>13185</v>
      </c>
      <c r="K369" t="s">
        <v>16295</v>
      </c>
      <c r="L369" t="s">
        <v>16296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8" t="s">
        <v>1627</v>
      </c>
      <c r="E370" s="8" t="s">
        <v>1058</v>
      </c>
      <c r="F370" s="8"/>
      <c r="H370" s="8"/>
      <c r="I370" s="8" t="s">
        <v>16297</v>
      </c>
      <c r="J370" s="8" t="s">
        <v>13185</v>
      </c>
      <c r="K370" t="s">
        <v>16298</v>
      </c>
      <c r="L370" t="s">
        <v>16299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8" t="s">
        <v>4</v>
      </c>
      <c r="E371" s="8" t="s">
        <v>6157</v>
      </c>
      <c r="F371" s="8"/>
      <c r="H371" s="8"/>
      <c r="I371" s="8" t="s">
        <v>16300</v>
      </c>
      <c r="J371" s="8" t="s">
        <v>13185</v>
      </c>
      <c r="K371" t="s">
        <v>16301</v>
      </c>
      <c r="L371" t="s">
        <v>16302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8" t="s">
        <v>4</v>
      </c>
      <c r="E372" s="8" t="s">
        <v>6157</v>
      </c>
      <c r="F372" s="8"/>
      <c r="H372" s="8" t="s">
        <v>2352</v>
      </c>
      <c r="I372" s="8" t="s">
        <v>16303</v>
      </c>
      <c r="J372" s="8" t="s">
        <v>13185</v>
      </c>
      <c r="K372" t="s">
        <v>16304</v>
      </c>
      <c r="L372" t="s">
        <v>16305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8" t="s">
        <v>1627</v>
      </c>
      <c r="E373" s="8" t="s">
        <v>1058</v>
      </c>
      <c r="F373" s="8"/>
      <c r="H373" s="8"/>
      <c r="I373" s="8" t="s">
        <v>16306</v>
      </c>
      <c r="J373" s="8" t="s">
        <v>13185</v>
      </c>
      <c r="K373" t="s">
        <v>16307</v>
      </c>
      <c r="L373" t="s">
        <v>16308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8" t="s">
        <v>1627</v>
      </c>
      <c r="E374" s="8" t="s">
        <v>1058</v>
      </c>
      <c r="F374" s="8"/>
      <c r="H374" s="8"/>
      <c r="I374" s="8" t="s">
        <v>16309</v>
      </c>
      <c r="J374" s="8" t="s">
        <v>13185</v>
      </c>
      <c r="K374" t="s">
        <v>16310</v>
      </c>
      <c r="L374" t="s">
        <v>16311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8" t="s">
        <v>1627</v>
      </c>
      <c r="E375" s="8" t="s">
        <v>1058</v>
      </c>
      <c r="F375" s="8"/>
      <c r="H375" s="8"/>
      <c r="I375" s="8" t="s">
        <v>16312</v>
      </c>
      <c r="J375" s="8" t="s">
        <v>13185</v>
      </c>
      <c r="K375" t="s">
        <v>16313</v>
      </c>
      <c r="L375" t="s">
        <v>16314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8" t="s">
        <v>4</v>
      </c>
      <c r="E376" s="8" t="s">
        <v>9317</v>
      </c>
      <c r="F376" s="8"/>
      <c r="H376" s="8"/>
      <c r="I376" s="8" t="s">
        <v>16315</v>
      </c>
      <c r="J376" s="8" t="s">
        <v>13185</v>
      </c>
      <c r="K376" t="s">
        <v>16316</v>
      </c>
      <c r="L376" t="s">
        <v>16317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8" t="s">
        <v>4</v>
      </c>
      <c r="E377" s="8" t="s">
        <v>6157</v>
      </c>
      <c r="F377" s="8"/>
      <c r="H377" s="8"/>
      <c r="I377" s="8" t="s">
        <v>16318</v>
      </c>
      <c r="J377" s="8" t="s">
        <v>13185</v>
      </c>
      <c r="K377" t="s">
        <v>16319</v>
      </c>
      <c r="L377" t="s">
        <v>16320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8" t="s">
        <v>4</v>
      </c>
      <c r="E378" s="8" t="s">
        <v>6157</v>
      </c>
      <c r="F378" s="8"/>
      <c r="H378" s="8"/>
      <c r="I378" s="8" t="s">
        <v>16752</v>
      </c>
      <c r="J378" s="8" t="s">
        <v>13185</v>
      </c>
      <c r="K378" t="s">
        <v>16753</v>
      </c>
      <c r="L378" t="s">
        <v>16754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8" t="s">
        <v>1607</v>
      </c>
      <c r="E379" s="8" t="s">
        <v>6157</v>
      </c>
      <c r="F379" s="8"/>
      <c r="H379" s="8"/>
      <c r="I379" s="8" t="s">
        <v>16755</v>
      </c>
      <c r="J379" s="8" t="s">
        <v>13185</v>
      </c>
      <c r="K379" t="s">
        <v>16756</v>
      </c>
      <c r="L379" t="s">
        <v>16757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8" t="s">
        <v>4</v>
      </c>
      <c r="E380" s="8" t="s">
        <v>6157</v>
      </c>
      <c r="F380" s="8"/>
      <c r="H380" s="8"/>
      <c r="I380" s="8" t="s">
        <v>16758</v>
      </c>
      <c r="J380" s="8" t="s">
        <v>13185</v>
      </c>
      <c r="K380" t="s">
        <v>16759</v>
      </c>
      <c r="L380" t="s">
        <v>16760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8" t="s">
        <v>1607</v>
      </c>
      <c r="E381" s="8" t="s">
        <v>6157</v>
      </c>
      <c r="F381" s="8"/>
      <c r="H381" s="8"/>
      <c r="I381" s="8" t="s">
        <v>16761</v>
      </c>
      <c r="J381" s="8" t="s">
        <v>13185</v>
      </c>
      <c r="K381" t="s">
        <v>16762</v>
      </c>
      <c r="L381" t="s">
        <v>16763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8" t="s">
        <v>4</v>
      </c>
      <c r="E382" s="8" t="s">
        <v>6157</v>
      </c>
      <c r="F382" s="8"/>
      <c r="H382" s="8"/>
      <c r="I382" s="8" t="s">
        <v>16764</v>
      </c>
      <c r="J382" s="8" t="s">
        <v>13185</v>
      </c>
      <c r="K382" t="s">
        <v>16765</v>
      </c>
      <c r="L382" t="s">
        <v>16766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8" t="s">
        <v>7354</v>
      </c>
      <c r="E383" s="8" t="s">
        <v>1274</v>
      </c>
      <c r="F383" s="8"/>
      <c r="H383" s="8"/>
      <c r="I383" s="8" t="s">
        <v>16767</v>
      </c>
      <c r="J383" s="8" t="s">
        <v>13185</v>
      </c>
      <c r="K383" t="s">
        <v>16768</v>
      </c>
      <c r="L383" t="s">
        <v>16769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8" t="s">
        <v>7354</v>
      </c>
      <c r="E384" s="8" t="s">
        <v>1274</v>
      </c>
      <c r="F384" s="8"/>
      <c r="H384" s="8"/>
      <c r="I384" s="8" t="s">
        <v>16770</v>
      </c>
      <c r="J384" s="8" t="s">
        <v>13185</v>
      </c>
      <c r="K384" t="s">
        <v>16771</v>
      </c>
      <c r="L384" t="s">
        <v>16772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8" t="s">
        <v>7354</v>
      </c>
      <c r="E385" s="8" t="s">
        <v>1274</v>
      </c>
      <c r="F385" s="8"/>
      <c r="H385" s="8"/>
      <c r="I385" s="8" t="s">
        <v>16773</v>
      </c>
      <c r="J385" s="8" t="s">
        <v>13185</v>
      </c>
      <c r="K385" t="s">
        <v>16774</v>
      </c>
      <c r="L385" t="s">
        <v>16775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8" t="s">
        <v>7354</v>
      </c>
      <c r="E386" s="8" t="s">
        <v>1274</v>
      </c>
      <c r="F386" s="8"/>
      <c r="H386" s="8"/>
      <c r="I386" s="8" t="s">
        <v>16776</v>
      </c>
      <c r="J386" s="8" t="s">
        <v>13185</v>
      </c>
      <c r="K386" t="s">
        <v>16777</v>
      </c>
      <c r="L386" t="s">
        <v>16778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8" t="s">
        <v>7354</v>
      </c>
      <c r="E387" s="8" t="s">
        <v>1274</v>
      </c>
      <c r="F387" s="8"/>
      <c r="H387" s="8"/>
      <c r="I387" s="8" t="s">
        <v>16779</v>
      </c>
      <c r="J387" s="8" t="s">
        <v>13185</v>
      </c>
      <c r="K387" t="s">
        <v>16780</v>
      </c>
      <c r="L387" t="s">
        <v>16781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8" t="s">
        <v>4</v>
      </c>
      <c r="E388" s="8" t="s">
        <v>6157</v>
      </c>
      <c r="F388" s="8"/>
      <c r="H388" s="8"/>
      <c r="I388" s="8" t="s">
        <v>17574</v>
      </c>
      <c r="J388" s="8" t="s">
        <v>13185</v>
      </c>
      <c r="K388" t="s">
        <v>17575</v>
      </c>
      <c r="L388" t="s">
        <v>17576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8" t="s">
        <v>7354</v>
      </c>
      <c r="E389" s="8" t="s">
        <v>1274</v>
      </c>
      <c r="F389" s="8"/>
      <c r="H389" s="8"/>
      <c r="I389" s="8" t="s">
        <v>17577</v>
      </c>
      <c r="J389" s="8" t="s">
        <v>13185</v>
      </c>
      <c r="K389" t="s">
        <v>17578</v>
      </c>
      <c r="L389" t="s">
        <v>17579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8" t="s">
        <v>1607</v>
      </c>
      <c r="E390" s="8" t="s">
        <v>6157</v>
      </c>
      <c r="F390" s="8"/>
      <c r="H390" s="8"/>
      <c r="I390" s="8" t="s">
        <v>17580</v>
      </c>
      <c r="J390" s="8" t="s">
        <v>13185</v>
      </c>
      <c r="K390" t="s">
        <v>17581</v>
      </c>
      <c r="L390" t="s">
        <v>17582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8" t="s">
        <v>1273</v>
      </c>
      <c r="E391" s="8" t="s">
        <v>70</v>
      </c>
      <c r="F391" s="8"/>
      <c r="H391" s="8" t="s">
        <v>4390</v>
      </c>
      <c r="I391" s="8" t="s">
        <v>17583</v>
      </c>
      <c r="J391" s="8" t="s">
        <v>13185</v>
      </c>
      <c r="K391" t="s">
        <v>17584</v>
      </c>
      <c r="L391" t="s">
        <v>17585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8" t="s">
        <v>4</v>
      </c>
      <c r="E392" s="8" t="s">
        <v>468</v>
      </c>
      <c r="F392" s="8"/>
      <c r="H392" s="8"/>
      <c r="I392" s="8" t="s">
        <v>17586</v>
      </c>
      <c r="J392" s="8" t="s">
        <v>13185</v>
      </c>
      <c r="K392" t="s">
        <v>17587</v>
      </c>
      <c r="L392" t="s">
        <v>17588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8" t="s">
        <v>1607</v>
      </c>
      <c r="E393" s="8" t="s">
        <v>6157</v>
      </c>
      <c r="F393" s="8"/>
      <c r="H393" s="8"/>
      <c r="I393" s="8" t="s">
        <v>17589</v>
      </c>
      <c r="J393" s="8" t="s">
        <v>13185</v>
      </c>
      <c r="K393" t="s">
        <v>17590</v>
      </c>
      <c r="L393" t="s">
        <v>17591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8" t="s">
        <v>4</v>
      </c>
      <c r="E394" s="8" t="s">
        <v>17901</v>
      </c>
      <c r="F394" s="8"/>
      <c r="H394" s="8"/>
      <c r="I394" s="8" t="s">
        <v>17592</v>
      </c>
      <c r="J394" s="8" t="s">
        <v>13185</v>
      </c>
      <c r="K394" t="s">
        <v>17593</v>
      </c>
      <c r="L394" t="s">
        <v>17594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8" t="s">
        <v>4</v>
      </c>
      <c r="E395" s="8" t="s">
        <v>17902</v>
      </c>
      <c r="F395" s="8"/>
      <c r="H395" s="8"/>
      <c r="I395" s="8" t="s">
        <v>17595</v>
      </c>
      <c r="J395" s="8" t="s">
        <v>13185</v>
      </c>
      <c r="K395" t="s">
        <v>17596</v>
      </c>
      <c r="L395" t="s">
        <v>17597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8" t="s">
        <v>1607</v>
      </c>
      <c r="E396" s="8" t="s">
        <v>6157</v>
      </c>
      <c r="F396" s="8"/>
      <c r="H396" s="8"/>
      <c r="I396" s="8" t="s">
        <v>17598</v>
      </c>
      <c r="J396" s="8" t="s">
        <v>13185</v>
      </c>
      <c r="K396" t="s">
        <v>17599</v>
      </c>
      <c r="L396" t="s">
        <v>17600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8" t="s">
        <v>4</v>
      </c>
      <c r="E397" s="8" t="s">
        <v>17903</v>
      </c>
      <c r="F397" s="8"/>
      <c r="H397" s="8"/>
      <c r="I397" s="8" t="s">
        <v>17601</v>
      </c>
      <c r="J397" s="8" t="s">
        <v>13185</v>
      </c>
      <c r="K397" t="s">
        <v>17602</v>
      </c>
      <c r="L397" t="s">
        <v>17603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8" t="s">
        <v>4</v>
      </c>
      <c r="E398" s="8" t="s">
        <v>17904</v>
      </c>
      <c r="F398" s="8"/>
      <c r="H398" s="8"/>
      <c r="I398" s="8" t="s">
        <v>17604</v>
      </c>
      <c r="J398" s="8" t="s">
        <v>13185</v>
      </c>
      <c r="K398" t="s">
        <v>17605</v>
      </c>
      <c r="L398" t="s">
        <v>17606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8" t="s">
        <v>4</v>
      </c>
      <c r="E399" s="8" t="s">
        <v>17905</v>
      </c>
      <c r="F399" s="8"/>
      <c r="H399" s="8"/>
      <c r="I399" s="8" t="s">
        <v>17607</v>
      </c>
      <c r="J399" s="8" t="s">
        <v>13185</v>
      </c>
      <c r="K399" t="s">
        <v>17608</v>
      </c>
      <c r="L399" t="s">
        <v>17609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8" t="s">
        <v>4</v>
      </c>
      <c r="E400" s="8" t="s">
        <v>17906</v>
      </c>
      <c r="F400" s="8"/>
      <c r="H400" s="8"/>
      <c r="I400" s="8" t="s">
        <v>17610</v>
      </c>
      <c r="J400" s="8" t="s">
        <v>13185</v>
      </c>
      <c r="K400" t="s">
        <v>17611</v>
      </c>
      <c r="L400" t="s">
        <v>17612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8" t="s">
        <v>4</v>
      </c>
      <c r="E401" s="8" t="s">
        <v>17901</v>
      </c>
      <c r="F401" s="8"/>
      <c r="H401" s="8"/>
      <c r="I401" s="8" t="s">
        <v>17613</v>
      </c>
      <c r="J401" s="8" t="s">
        <v>13185</v>
      </c>
      <c r="K401" t="s">
        <v>17614</v>
      </c>
      <c r="L401" t="s">
        <v>17615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8" t="s">
        <v>1607</v>
      </c>
      <c r="E402" s="8" t="s">
        <v>6157</v>
      </c>
      <c r="F402" s="8"/>
      <c r="H402" s="8"/>
      <c r="I402" s="8" t="s">
        <v>17616</v>
      </c>
      <c r="J402" s="8" t="s">
        <v>13185</v>
      </c>
      <c r="K402" t="s">
        <v>17617</v>
      </c>
      <c r="L402" t="s">
        <v>17618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8" t="s">
        <v>1607</v>
      </c>
      <c r="E403" s="8" t="s">
        <v>6157</v>
      </c>
      <c r="F403" s="8"/>
      <c r="H403" s="8"/>
      <c r="I403" s="8" t="s">
        <v>17619</v>
      </c>
      <c r="J403" s="8" t="s">
        <v>13185</v>
      </c>
      <c r="K403" t="s">
        <v>17620</v>
      </c>
      <c r="L403" t="s">
        <v>17621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8" t="s">
        <v>4</v>
      </c>
      <c r="E404" s="8" t="s">
        <v>6157</v>
      </c>
      <c r="F404" s="8"/>
      <c r="H404" s="8"/>
      <c r="I404" s="8" t="s">
        <v>17980</v>
      </c>
      <c r="J404" s="8" t="s">
        <v>13185</v>
      </c>
      <c r="K404" t="s">
        <v>17981</v>
      </c>
      <c r="L404" t="s">
        <v>17982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8" t="s">
        <v>18346</v>
      </c>
      <c r="E405" s="8"/>
      <c r="F405" s="8"/>
      <c r="H405" s="8"/>
      <c r="I405" s="8" t="s">
        <v>17983</v>
      </c>
      <c r="J405" s="8" t="s">
        <v>13185</v>
      </c>
      <c r="K405" t="s">
        <v>17984</v>
      </c>
      <c r="L405" t="s">
        <v>17985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8" t="s">
        <v>18346</v>
      </c>
      <c r="E406" s="8"/>
      <c r="F406" s="8"/>
      <c r="H406" s="8" t="s">
        <v>2352</v>
      </c>
      <c r="I406" s="8" t="s">
        <v>17986</v>
      </c>
      <c r="J406" s="8" t="s">
        <v>13185</v>
      </c>
      <c r="K406" t="s">
        <v>17987</v>
      </c>
      <c r="L406" t="s">
        <v>17988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8" t="s">
        <v>4</v>
      </c>
      <c r="E407" s="8" t="s">
        <v>1274</v>
      </c>
      <c r="F407" s="8"/>
      <c r="H407" s="8"/>
      <c r="I407" s="8" t="s">
        <v>17989</v>
      </c>
      <c r="J407" s="8" t="s">
        <v>13185</v>
      </c>
      <c r="K407" t="s">
        <v>17990</v>
      </c>
      <c r="L407" t="s">
        <v>17991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8" t="s">
        <v>4</v>
      </c>
      <c r="E408" s="8" t="s">
        <v>17906</v>
      </c>
      <c r="F408" s="8"/>
      <c r="H408" s="8"/>
      <c r="I408" s="8" t="s">
        <v>17992</v>
      </c>
      <c r="J408" s="8" t="s">
        <v>13185</v>
      </c>
      <c r="K408" t="s">
        <v>17993</v>
      </c>
      <c r="L408" t="s">
        <v>17994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8" t="s">
        <v>7354</v>
      </c>
      <c r="E409" s="8" t="s">
        <v>468</v>
      </c>
      <c r="F409" s="8"/>
      <c r="H409" s="8"/>
      <c r="I409" s="8" t="s">
        <v>17995</v>
      </c>
      <c r="J409" s="8" t="s">
        <v>13185</v>
      </c>
      <c r="K409" t="s">
        <v>17996</v>
      </c>
      <c r="L409" t="s">
        <v>17997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8" t="s">
        <v>7354</v>
      </c>
      <c r="E410" s="8" t="s">
        <v>468</v>
      </c>
      <c r="F410" s="8"/>
      <c r="H410" s="8"/>
      <c r="I410" s="8" t="s">
        <v>17998</v>
      </c>
      <c r="J410" s="8" t="s">
        <v>13185</v>
      </c>
      <c r="K410" t="s">
        <v>17999</v>
      </c>
      <c r="L410" t="s">
        <v>18000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8" t="s">
        <v>18347</v>
      </c>
      <c r="E411" s="8" t="s">
        <v>1274</v>
      </c>
      <c r="F411" s="8"/>
      <c r="H411" s="8"/>
      <c r="I411" s="8" t="s">
        <v>18001</v>
      </c>
      <c r="J411" s="8" t="s">
        <v>13185</v>
      </c>
      <c r="K411" t="s">
        <v>18002</v>
      </c>
      <c r="L411" t="s">
        <v>18003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8" t="s">
        <v>18347</v>
      </c>
      <c r="E412" s="8" t="s">
        <v>468</v>
      </c>
      <c r="F412" s="8"/>
      <c r="H412" s="8"/>
      <c r="I412" s="8" t="s">
        <v>18004</v>
      </c>
      <c r="J412" s="8" t="s">
        <v>13185</v>
      </c>
      <c r="K412" t="s">
        <v>18005</v>
      </c>
      <c r="L412" t="s">
        <v>18006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8" t="s">
        <v>1627</v>
      </c>
      <c r="E413" s="8" t="s">
        <v>1058</v>
      </c>
      <c r="F413" s="8"/>
      <c r="H413" s="8"/>
      <c r="I413" s="8" t="s">
        <v>18007</v>
      </c>
      <c r="J413" s="8" t="s">
        <v>13185</v>
      </c>
      <c r="K413" t="s">
        <v>18008</v>
      </c>
      <c r="L413" t="s">
        <v>18009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8" t="s">
        <v>1627</v>
      </c>
      <c r="E414" s="8" t="s">
        <v>1058</v>
      </c>
      <c r="F414" s="8"/>
      <c r="H414" s="8"/>
      <c r="I414" s="8" t="s">
        <v>18010</v>
      </c>
      <c r="J414" s="8" t="s">
        <v>13185</v>
      </c>
      <c r="K414" t="s">
        <v>18011</v>
      </c>
      <c r="L414" t="s">
        <v>18012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8" t="s">
        <v>1627</v>
      </c>
      <c r="E415" s="8" t="s">
        <v>1058</v>
      </c>
      <c r="F415" s="8"/>
      <c r="H415" s="8"/>
      <c r="I415" s="8" t="s">
        <v>18013</v>
      </c>
      <c r="J415" s="8" t="s">
        <v>13185</v>
      </c>
      <c r="K415" t="s">
        <v>18014</v>
      </c>
      <c r="L415" t="s">
        <v>18015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8" t="s">
        <v>7354</v>
      </c>
      <c r="E416" s="8" t="s">
        <v>468</v>
      </c>
      <c r="F416" s="8"/>
      <c r="H416" s="8"/>
      <c r="I416" s="8" t="s">
        <v>18016</v>
      </c>
      <c r="J416" s="8" t="s">
        <v>13185</v>
      </c>
      <c r="K416" t="s">
        <v>18017</v>
      </c>
      <c r="L416" t="s">
        <v>18018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8" t="s">
        <v>7354</v>
      </c>
      <c r="E417" s="8" t="s">
        <v>468</v>
      </c>
      <c r="F417" s="8"/>
      <c r="H417" s="8"/>
      <c r="I417" s="8" t="s">
        <v>18019</v>
      </c>
      <c r="J417" s="8" t="s">
        <v>13185</v>
      </c>
      <c r="K417" t="s">
        <v>18020</v>
      </c>
      <c r="L417" t="s">
        <v>18021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8" t="s">
        <v>4</v>
      </c>
      <c r="E418" s="8" t="s">
        <v>17901</v>
      </c>
      <c r="F418" s="8"/>
      <c r="H418" s="8"/>
      <c r="I418" s="8" t="s">
        <v>18022</v>
      </c>
      <c r="J418" s="8" t="s">
        <v>13185</v>
      </c>
      <c r="K418" t="s">
        <v>18023</v>
      </c>
      <c r="L418" t="s">
        <v>18024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8" t="s">
        <v>4</v>
      </c>
      <c r="E419" s="8" t="s">
        <v>17906</v>
      </c>
      <c r="F419" s="8"/>
      <c r="H419" s="8"/>
      <c r="I419" s="8" t="s">
        <v>18025</v>
      </c>
      <c r="J419" s="8" t="s">
        <v>13185</v>
      </c>
      <c r="K419" t="s">
        <v>18026</v>
      </c>
      <c r="L419" t="s">
        <v>18027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8" t="s">
        <v>4</v>
      </c>
      <c r="E420" s="8" t="s">
        <v>468</v>
      </c>
      <c r="F420" s="8"/>
      <c r="H420" s="8"/>
      <c r="I420" s="8" t="s">
        <v>18028</v>
      </c>
      <c r="J420" s="8" t="s">
        <v>13185</v>
      </c>
      <c r="K420" t="s">
        <v>18029</v>
      </c>
      <c r="L420" t="s">
        <v>18030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8" t="s">
        <v>7354</v>
      </c>
      <c r="E421" s="8" t="s">
        <v>468</v>
      </c>
      <c r="F421" s="8"/>
      <c r="H421" s="8"/>
      <c r="I421" s="8" t="s">
        <v>18031</v>
      </c>
      <c r="J421" s="8" t="s">
        <v>13185</v>
      </c>
      <c r="K421" t="s">
        <v>18032</v>
      </c>
      <c r="L421" t="s">
        <v>18033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8" t="s">
        <v>7354</v>
      </c>
      <c r="E422" s="8" t="s">
        <v>468</v>
      </c>
      <c r="F422" s="8"/>
      <c r="H422" s="8"/>
      <c r="I422" s="8" t="s">
        <v>18034</v>
      </c>
      <c r="J422" s="8" t="s">
        <v>13185</v>
      </c>
      <c r="K422" t="s">
        <v>18035</v>
      </c>
      <c r="L422" t="s">
        <v>18036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8" t="s">
        <v>7354</v>
      </c>
      <c r="E423" s="8" t="s">
        <v>468</v>
      </c>
      <c r="F423" s="8"/>
      <c r="H423" s="8"/>
      <c r="I423" s="8" t="s">
        <v>18037</v>
      </c>
      <c r="J423" s="8" t="s">
        <v>13185</v>
      </c>
      <c r="K423" t="s">
        <v>18038</v>
      </c>
      <c r="L423" t="s">
        <v>18039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8" t="s">
        <v>7354</v>
      </c>
      <c r="E424" s="8" t="s">
        <v>468</v>
      </c>
      <c r="F424" s="8"/>
      <c r="H424" s="8"/>
      <c r="I424" s="8" t="s">
        <v>18040</v>
      </c>
      <c r="J424" s="8" t="s">
        <v>13185</v>
      </c>
      <c r="K424" t="s">
        <v>18041</v>
      </c>
      <c r="L424" t="s">
        <v>18042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8" t="s">
        <v>4</v>
      </c>
      <c r="E425" s="8" t="s">
        <v>468</v>
      </c>
      <c r="F425" s="8"/>
      <c r="H425" s="8"/>
      <c r="I425" s="8" t="s">
        <v>18043</v>
      </c>
      <c r="J425" s="8" t="s">
        <v>13185</v>
      </c>
      <c r="K425" t="s">
        <v>18044</v>
      </c>
      <c r="L425" t="s">
        <v>18045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8" t="s">
        <v>4</v>
      </c>
      <c r="E426" s="8" t="s">
        <v>468</v>
      </c>
      <c r="F426" s="8"/>
      <c r="H426" s="8"/>
      <c r="I426" s="8" t="s">
        <v>18046</v>
      </c>
      <c r="J426" s="8" t="s">
        <v>13185</v>
      </c>
      <c r="K426" t="s">
        <v>18047</v>
      </c>
      <c r="L426" t="s">
        <v>18048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8" t="s">
        <v>1627</v>
      </c>
      <c r="E427" s="8" t="s">
        <v>1058</v>
      </c>
      <c r="F427" s="8"/>
      <c r="H427" s="8"/>
      <c r="I427" s="8" t="s">
        <v>18049</v>
      </c>
      <c r="J427" s="8" t="s">
        <v>13185</v>
      </c>
      <c r="K427" t="s">
        <v>18050</v>
      </c>
      <c r="L427" t="s">
        <v>18051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8" t="s">
        <v>7354</v>
      </c>
      <c r="E428" s="8" t="s">
        <v>468</v>
      </c>
      <c r="F428" s="8"/>
      <c r="H428" s="8"/>
      <c r="I428" s="8" t="s">
        <v>18052</v>
      </c>
      <c r="J428" s="8" t="s">
        <v>13185</v>
      </c>
      <c r="K428" t="s">
        <v>18053</v>
      </c>
      <c r="L428" t="s">
        <v>18054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8" t="s">
        <v>7354</v>
      </c>
      <c r="E429" s="8" t="s">
        <v>468</v>
      </c>
      <c r="F429" s="8"/>
      <c r="H429" s="8"/>
      <c r="I429" s="8" t="s">
        <v>18055</v>
      </c>
      <c r="J429" s="8" t="s">
        <v>13185</v>
      </c>
      <c r="K429" t="s">
        <v>18056</v>
      </c>
      <c r="L429" t="s">
        <v>18057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8" t="s">
        <v>18347</v>
      </c>
      <c r="E430" s="8" t="s">
        <v>1274</v>
      </c>
      <c r="F430" s="8"/>
      <c r="H430" s="8"/>
      <c r="I430" s="8" t="s">
        <v>18058</v>
      </c>
      <c r="J430" s="8" t="s">
        <v>13185</v>
      </c>
      <c r="K430" t="s">
        <v>18059</v>
      </c>
      <c r="L430" t="s">
        <v>18060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8" t="s">
        <v>1627</v>
      </c>
      <c r="E431" s="8" t="s">
        <v>1058</v>
      </c>
      <c r="F431" s="8"/>
      <c r="H431" s="8"/>
      <c r="I431" s="8" t="s">
        <v>18061</v>
      </c>
      <c r="J431" s="8" t="s">
        <v>13185</v>
      </c>
      <c r="K431" t="s">
        <v>18062</v>
      </c>
      <c r="L431" t="s">
        <v>18063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8" t="s">
        <v>7354</v>
      </c>
      <c r="E432" s="8" t="s">
        <v>468</v>
      </c>
      <c r="F432" s="8"/>
      <c r="H432" s="8"/>
      <c r="I432" s="8" t="s">
        <v>18064</v>
      </c>
      <c r="J432" s="8" t="s">
        <v>13185</v>
      </c>
      <c r="K432" t="s">
        <v>18065</v>
      </c>
      <c r="L432" t="s">
        <v>18066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8" t="s">
        <v>1627</v>
      </c>
      <c r="E433" s="8" t="s">
        <v>1058</v>
      </c>
      <c r="F433" s="8"/>
      <c r="H433" s="8"/>
      <c r="I433" s="8" t="s">
        <v>18067</v>
      </c>
      <c r="J433" s="8" t="s">
        <v>13185</v>
      </c>
      <c r="K433" t="s">
        <v>18068</v>
      </c>
      <c r="L433" t="s">
        <v>18069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8" t="s">
        <v>18348</v>
      </c>
      <c r="E434" s="8" t="s">
        <v>1058</v>
      </c>
      <c r="F434" s="8"/>
      <c r="H434" s="8"/>
      <c r="I434" s="8" t="s">
        <v>18070</v>
      </c>
      <c r="J434" s="8" t="s">
        <v>13185</v>
      </c>
      <c r="K434" t="s">
        <v>18071</v>
      </c>
      <c r="L434" t="s">
        <v>18072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8" t="s">
        <v>18348</v>
      </c>
      <c r="E435" s="8" t="s">
        <v>1058</v>
      </c>
      <c r="F435" s="8"/>
      <c r="H435" s="8"/>
      <c r="I435" s="8" t="s">
        <v>18073</v>
      </c>
      <c r="J435" s="8" t="s">
        <v>13185</v>
      </c>
      <c r="K435" t="s">
        <v>18074</v>
      </c>
      <c r="L435" t="s">
        <v>18075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8" t="s">
        <v>18348</v>
      </c>
      <c r="E436" s="8" t="s">
        <v>1058</v>
      </c>
      <c r="F436" s="8"/>
      <c r="H436" s="8"/>
      <c r="I436" s="8" t="s">
        <v>18076</v>
      </c>
      <c r="J436" s="8" t="s">
        <v>13185</v>
      </c>
      <c r="K436" t="s">
        <v>18077</v>
      </c>
      <c r="L436" t="s">
        <v>18078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8" t="s">
        <v>4</v>
      </c>
      <c r="E437" s="8" t="s">
        <v>468</v>
      </c>
      <c r="F437" s="8"/>
      <c r="H437" s="8"/>
      <c r="I437" s="8" t="s">
        <v>18079</v>
      </c>
      <c r="J437" s="8" t="s">
        <v>13185</v>
      </c>
      <c r="K437" t="s">
        <v>18080</v>
      </c>
      <c r="L437" t="s">
        <v>18081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8" t="s">
        <v>4</v>
      </c>
      <c r="E438" s="8" t="s">
        <v>468</v>
      </c>
      <c r="F438" s="8"/>
      <c r="H438" s="8"/>
      <c r="I438" s="8" t="s">
        <v>18082</v>
      </c>
      <c r="J438" s="8" t="s">
        <v>13185</v>
      </c>
      <c r="K438" t="s">
        <v>18083</v>
      </c>
      <c r="L438" t="s">
        <v>18084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8" t="s">
        <v>4</v>
      </c>
      <c r="E439" s="8" t="s">
        <v>468</v>
      </c>
      <c r="F439" s="8"/>
      <c r="H439" s="8"/>
      <c r="I439" s="8" t="s">
        <v>18085</v>
      </c>
      <c r="J439" s="8" t="s">
        <v>13185</v>
      </c>
      <c r="K439" t="s">
        <v>18086</v>
      </c>
      <c r="L439" t="s">
        <v>18087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8" t="s">
        <v>4</v>
      </c>
      <c r="E440" s="8" t="s">
        <v>468</v>
      </c>
      <c r="F440" s="8"/>
      <c r="H440" s="8"/>
      <c r="I440" s="8" t="s">
        <v>18088</v>
      </c>
      <c r="J440" s="8" t="s">
        <v>13185</v>
      </c>
      <c r="K440" t="s">
        <v>18089</v>
      </c>
      <c r="L440" t="s">
        <v>18090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8" t="s">
        <v>4</v>
      </c>
      <c r="E441" s="8" t="s">
        <v>468</v>
      </c>
      <c r="F441" s="8"/>
      <c r="H441" s="8"/>
      <c r="I441" s="8" t="s">
        <v>18091</v>
      </c>
      <c r="J441" s="8" t="s">
        <v>13185</v>
      </c>
      <c r="K441" t="s">
        <v>18092</v>
      </c>
      <c r="L441" t="s">
        <v>18093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8" t="s">
        <v>4</v>
      </c>
      <c r="E442" s="8" t="s">
        <v>468</v>
      </c>
      <c r="F442" s="8"/>
      <c r="H442" s="8"/>
      <c r="I442" s="8" t="s">
        <v>18094</v>
      </c>
      <c r="J442" s="8" t="s">
        <v>13185</v>
      </c>
      <c r="K442" t="s">
        <v>18095</v>
      </c>
      <c r="L442" t="s">
        <v>18096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8" t="s">
        <v>4</v>
      </c>
      <c r="E443" s="8" t="s">
        <v>468</v>
      </c>
      <c r="F443" s="8"/>
      <c r="H443" s="8"/>
      <c r="I443" s="8" t="s">
        <v>18097</v>
      </c>
      <c r="J443" s="8" t="s">
        <v>13185</v>
      </c>
      <c r="K443" t="s">
        <v>18098</v>
      </c>
      <c r="L443" t="s">
        <v>18099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8" t="s">
        <v>4</v>
      </c>
      <c r="E444" s="8" t="s">
        <v>1274</v>
      </c>
      <c r="F444" s="8"/>
      <c r="H444" s="8"/>
      <c r="I444" s="8" t="s">
        <v>18100</v>
      </c>
      <c r="J444" s="8" t="s">
        <v>13185</v>
      </c>
      <c r="K444" t="s">
        <v>18101</v>
      </c>
      <c r="L444" t="s">
        <v>18102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8" t="s">
        <v>7354</v>
      </c>
      <c r="E445" s="8" t="s">
        <v>1274</v>
      </c>
      <c r="F445" s="8"/>
      <c r="H445" s="8"/>
      <c r="I445" s="8" t="s">
        <v>18103</v>
      </c>
      <c r="J445" s="8" t="s">
        <v>13185</v>
      </c>
      <c r="K445" t="s">
        <v>18104</v>
      </c>
      <c r="L445" t="s">
        <v>18105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8" t="s">
        <v>7354</v>
      </c>
      <c r="E446" s="8" t="s">
        <v>1274</v>
      </c>
      <c r="F446" s="8"/>
      <c r="H446" s="8"/>
      <c r="I446" s="8" t="s">
        <v>18106</v>
      </c>
      <c r="J446" s="8" t="s">
        <v>13185</v>
      </c>
      <c r="K446" t="s">
        <v>18107</v>
      </c>
      <c r="L446" t="s">
        <v>18108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8" t="s">
        <v>7354</v>
      </c>
      <c r="E447" s="8" t="s">
        <v>1274</v>
      </c>
      <c r="F447" s="8"/>
      <c r="H447" s="8"/>
      <c r="I447" s="8" t="s">
        <v>18109</v>
      </c>
      <c r="J447" s="8" t="s">
        <v>13185</v>
      </c>
      <c r="K447" t="s">
        <v>18110</v>
      </c>
      <c r="L447" t="s">
        <v>18111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8" t="s">
        <v>18347</v>
      </c>
      <c r="E448" s="8" t="s">
        <v>1274</v>
      </c>
      <c r="F448" s="8"/>
      <c r="H448" s="8"/>
      <c r="I448" s="8" t="s">
        <v>18112</v>
      </c>
      <c r="J448" s="8" t="s">
        <v>13185</v>
      </c>
      <c r="K448" t="s">
        <v>18113</v>
      </c>
      <c r="L448" t="s">
        <v>18114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8" t="s">
        <v>18347</v>
      </c>
      <c r="E449" s="8" t="s">
        <v>468</v>
      </c>
      <c r="F449" s="8"/>
      <c r="H449" s="8"/>
      <c r="I449" s="8" t="s">
        <v>18115</v>
      </c>
      <c r="J449" s="8" t="s">
        <v>13185</v>
      </c>
      <c r="K449" t="s">
        <v>18116</v>
      </c>
      <c r="L449" t="s">
        <v>18117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8" t="s">
        <v>4</v>
      </c>
      <c r="E450" s="8" t="s">
        <v>468</v>
      </c>
      <c r="F450" s="8"/>
      <c r="H450" s="8"/>
      <c r="I450" s="8" t="s">
        <v>18118</v>
      </c>
      <c r="J450" s="8" t="s">
        <v>13185</v>
      </c>
      <c r="K450" t="s">
        <v>18119</v>
      </c>
      <c r="L450" t="s">
        <v>18120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8" t="s">
        <v>4</v>
      </c>
      <c r="E451" s="8" t="s">
        <v>468</v>
      </c>
      <c r="F451" s="8"/>
      <c r="H451" s="8"/>
      <c r="I451" s="8" t="s">
        <v>18121</v>
      </c>
      <c r="J451" s="8" t="s">
        <v>13185</v>
      </c>
      <c r="K451" t="s">
        <v>18122</v>
      </c>
      <c r="L451" t="s">
        <v>18123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8" t="s">
        <v>18348</v>
      </c>
      <c r="E452" s="8" t="s">
        <v>1058</v>
      </c>
      <c r="F452" s="8"/>
      <c r="H452" s="8"/>
      <c r="I452" s="8" t="s">
        <v>18124</v>
      </c>
      <c r="J452" s="8" t="s">
        <v>13185</v>
      </c>
      <c r="K452" t="s">
        <v>18125</v>
      </c>
      <c r="L452" t="s">
        <v>18126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8" t="s">
        <v>4</v>
      </c>
      <c r="E453" s="8" t="s">
        <v>468</v>
      </c>
      <c r="F453" s="8"/>
      <c r="H453" s="8"/>
      <c r="I453" s="8" t="s">
        <v>18127</v>
      </c>
      <c r="J453" s="8" t="s">
        <v>13185</v>
      </c>
      <c r="K453" t="s">
        <v>18128</v>
      </c>
      <c r="L453" t="s">
        <v>18129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8" t="s">
        <v>4</v>
      </c>
      <c r="E454" s="8" t="s">
        <v>468</v>
      </c>
      <c r="F454" s="8"/>
      <c r="H454" s="8"/>
      <c r="I454" s="8" t="s">
        <v>18130</v>
      </c>
      <c r="J454" s="8" t="s">
        <v>13185</v>
      </c>
      <c r="K454" t="s">
        <v>18131</v>
      </c>
      <c r="L454" t="s">
        <v>18132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8" t="s">
        <v>4</v>
      </c>
      <c r="E455" s="8" t="s">
        <v>17901</v>
      </c>
      <c r="F455" s="8"/>
      <c r="H455" s="8"/>
      <c r="I455" s="8" t="s">
        <v>18133</v>
      </c>
      <c r="J455" s="8" t="s">
        <v>13185</v>
      </c>
      <c r="K455" t="s">
        <v>18134</v>
      </c>
      <c r="L455" t="s">
        <v>18135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8" t="s">
        <v>4</v>
      </c>
      <c r="E456" s="8" t="s">
        <v>6157</v>
      </c>
      <c r="F456" s="8"/>
      <c r="H456" s="8"/>
      <c r="I456" s="8" t="s">
        <v>18136</v>
      </c>
      <c r="J456" s="8" t="s">
        <v>13185</v>
      </c>
      <c r="K456" t="s">
        <v>18137</v>
      </c>
      <c r="L456" t="s">
        <v>18138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s="8" t="s">
        <v>4</v>
      </c>
      <c r="E457" s="8" t="s">
        <v>6157</v>
      </c>
      <c r="F457" s="8"/>
      <c r="H457" s="8"/>
      <c r="I457" s="8" t="s">
        <v>18426</v>
      </c>
      <c r="J457" s="8" t="s">
        <v>13185</v>
      </c>
      <c r="K457" t="s">
        <v>18427</v>
      </c>
      <c r="L457" t="s">
        <v>18428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s="8" t="s">
        <v>4</v>
      </c>
      <c r="E458" s="8" t="s">
        <v>17906</v>
      </c>
      <c r="F458" s="8"/>
      <c r="H458" s="8"/>
      <c r="I458" s="8" t="s">
        <v>18429</v>
      </c>
      <c r="J458" s="8" t="s">
        <v>13185</v>
      </c>
      <c r="K458" t="s">
        <v>18430</v>
      </c>
      <c r="L458" t="s">
        <v>18431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s="8" t="s">
        <v>4</v>
      </c>
      <c r="E459" s="8" t="s">
        <v>17901</v>
      </c>
      <c r="F459" s="8"/>
      <c r="H459" s="8"/>
      <c r="I459" s="8" t="s">
        <v>18432</v>
      </c>
      <c r="J459" s="8" t="s">
        <v>13185</v>
      </c>
      <c r="K459" t="s">
        <v>18433</v>
      </c>
      <c r="L459" t="s">
        <v>18434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s="8" t="s">
        <v>18874</v>
      </c>
      <c r="E460" s="8"/>
      <c r="F460" s="8"/>
      <c r="H460" s="8"/>
      <c r="I460" s="8" t="s">
        <v>18435</v>
      </c>
      <c r="J460" s="8" t="s">
        <v>13185</v>
      </c>
      <c r="K460" t="s">
        <v>18436</v>
      </c>
      <c r="L460" t="s">
        <v>18437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s="8" t="s">
        <v>18346</v>
      </c>
      <c r="E461" s="8"/>
      <c r="F461" s="8"/>
      <c r="H461" s="8"/>
      <c r="I461" s="8" t="s">
        <v>18438</v>
      </c>
      <c r="J461" s="8" t="s">
        <v>13185</v>
      </c>
      <c r="K461" t="s">
        <v>18439</v>
      </c>
      <c r="L461" t="s">
        <v>18440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s="8" t="s">
        <v>18346</v>
      </c>
      <c r="E462" s="8"/>
      <c r="F462" s="8"/>
      <c r="H462" s="8"/>
      <c r="I462" s="8" t="s">
        <v>18441</v>
      </c>
      <c r="J462" s="8" t="s">
        <v>13185</v>
      </c>
      <c r="K462" t="s">
        <v>18442</v>
      </c>
      <c r="L462" t="s">
        <v>18443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s="8" t="s">
        <v>7354</v>
      </c>
      <c r="E463" s="8" t="s">
        <v>1274</v>
      </c>
      <c r="F463" s="8"/>
      <c r="H463" s="8"/>
      <c r="I463" s="8" t="s">
        <v>18444</v>
      </c>
      <c r="J463" s="8" t="s">
        <v>13185</v>
      </c>
      <c r="K463" t="s">
        <v>18445</v>
      </c>
      <c r="L463" t="s">
        <v>18446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s="8" t="s">
        <v>18875</v>
      </c>
      <c r="E464" s="8"/>
      <c r="F464" s="8"/>
      <c r="H464" s="8"/>
      <c r="I464" s="8" t="s">
        <v>18447</v>
      </c>
      <c r="J464" s="8" t="s">
        <v>13185</v>
      </c>
      <c r="K464" t="s">
        <v>18448</v>
      </c>
      <c r="L464" t="s">
        <v>18449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s="8" t="s">
        <v>18346</v>
      </c>
      <c r="E465" s="8"/>
      <c r="F465" s="8"/>
      <c r="H465" s="8"/>
      <c r="I465" s="8" t="s">
        <v>18450</v>
      </c>
      <c r="J465" s="8" t="s">
        <v>13185</v>
      </c>
      <c r="K465" t="s">
        <v>18451</v>
      </c>
      <c r="L465" t="s">
        <v>18452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s="8" t="s">
        <v>18346</v>
      </c>
      <c r="E466" s="8"/>
      <c r="F466" s="8"/>
      <c r="H466" s="8"/>
      <c r="I466" s="8" t="s">
        <v>18453</v>
      </c>
      <c r="J466" s="8" t="s">
        <v>13185</v>
      </c>
      <c r="K466" t="s">
        <v>18454</v>
      </c>
      <c r="L466" t="s">
        <v>18455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s="8" t="s">
        <v>4</v>
      </c>
      <c r="E467" s="8" t="s">
        <v>6157</v>
      </c>
      <c r="F467" s="8"/>
      <c r="H467" s="8"/>
      <c r="I467" s="8" t="s">
        <v>18456</v>
      </c>
      <c r="J467" s="8" t="s">
        <v>13185</v>
      </c>
      <c r="K467" t="s">
        <v>18457</v>
      </c>
      <c r="L467" t="s">
        <v>18458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s="8" t="s">
        <v>7354</v>
      </c>
      <c r="E468" s="8" t="s">
        <v>468</v>
      </c>
      <c r="F468" s="8"/>
      <c r="H468" s="8"/>
      <c r="I468" s="8" t="s">
        <v>18459</v>
      </c>
      <c r="J468" s="8" t="s">
        <v>13185</v>
      </c>
      <c r="K468" t="s">
        <v>18460</v>
      </c>
      <c r="L468" t="s">
        <v>18461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s="8" t="s">
        <v>7354</v>
      </c>
      <c r="E469" s="8" t="s">
        <v>468</v>
      </c>
      <c r="F469" s="8"/>
      <c r="H469" s="8"/>
      <c r="I469" s="8" t="s">
        <v>18462</v>
      </c>
      <c r="J469" s="8" t="s">
        <v>13185</v>
      </c>
      <c r="K469" t="s">
        <v>18463</v>
      </c>
      <c r="L469" t="s">
        <v>18464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s="8" t="s">
        <v>7354</v>
      </c>
      <c r="E470" s="8" t="s">
        <v>468</v>
      </c>
      <c r="F470" s="8"/>
      <c r="H470" s="8"/>
      <c r="I470" s="8" t="s">
        <v>18465</v>
      </c>
      <c r="J470" s="8" t="s">
        <v>13185</v>
      </c>
      <c r="K470" t="s">
        <v>18466</v>
      </c>
      <c r="L470" t="s">
        <v>18467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s="8" t="s">
        <v>4</v>
      </c>
      <c r="E471" s="8" t="s">
        <v>17901</v>
      </c>
      <c r="F471" s="8"/>
      <c r="H471" s="8"/>
      <c r="I471" s="8" t="s">
        <v>18468</v>
      </c>
      <c r="J471" s="8" t="s">
        <v>13185</v>
      </c>
      <c r="K471" t="s">
        <v>18469</v>
      </c>
      <c r="L471" t="s">
        <v>18470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s="8" t="s">
        <v>4</v>
      </c>
      <c r="E472" s="8" t="s">
        <v>6157</v>
      </c>
      <c r="F472" s="8"/>
      <c r="H472" s="8"/>
      <c r="I472" s="8" t="s">
        <v>18471</v>
      </c>
      <c r="J472" s="8" t="s">
        <v>13185</v>
      </c>
      <c r="K472" t="s">
        <v>18472</v>
      </c>
      <c r="L472" t="s">
        <v>18473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s="8" t="s">
        <v>4</v>
      </c>
      <c r="E473" s="8" t="s">
        <v>18876</v>
      </c>
      <c r="F473" s="8"/>
      <c r="H473" s="8" t="s">
        <v>18877</v>
      </c>
      <c r="I473" s="8" t="s">
        <v>18474</v>
      </c>
      <c r="J473" s="8" t="s">
        <v>13185</v>
      </c>
      <c r="K473" t="s">
        <v>18475</v>
      </c>
      <c r="L473" t="s">
        <v>18476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s="8" t="s">
        <v>4</v>
      </c>
      <c r="E474" s="8" t="s">
        <v>18878</v>
      </c>
      <c r="F474" s="8"/>
      <c r="H474" s="8"/>
      <c r="I474" s="8" t="s">
        <v>18477</v>
      </c>
      <c r="J474" s="8" t="s">
        <v>13185</v>
      </c>
      <c r="K474" t="s">
        <v>18478</v>
      </c>
      <c r="L474" t="s">
        <v>18479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s="8" t="s">
        <v>4</v>
      </c>
      <c r="E475" s="8" t="s">
        <v>17906</v>
      </c>
      <c r="F475" s="8"/>
      <c r="H475" s="8"/>
      <c r="I475" s="8" t="s">
        <v>19087</v>
      </c>
      <c r="J475" s="8" t="s">
        <v>13185</v>
      </c>
      <c r="K475" t="s">
        <v>19088</v>
      </c>
      <c r="L475" t="s">
        <v>19089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s="8" t="s">
        <v>4</v>
      </c>
      <c r="E476" s="8" t="s">
        <v>17901</v>
      </c>
      <c r="F476" s="8"/>
      <c r="H476" s="8"/>
      <c r="I476" s="8" t="s">
        <v>19090</v>
      </c>
      <c r="J476" s="8" t="s">
        <v>13185</v>
      </c>
      <c r="K476" t="s">
        <v>19091</v>
      </c>
      <c r="L476" t="s">
        <v>19092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s="8" t="s">
        <v>4</v>
      </c>
      <c r="E477" s="8" t="s">
        <v>17906</v>
      </c>
      <c r="F477" s="8"/>
      <c r="H477" s="8"/>
      <c r="I477" s="8" t="s">
        <v>19093</v>
      </c>
      <c r="J477" s="8" t="s">
        <v>13185</v>
      </c>
      <c r="K477" t="s">
        <v>19094</v>
      </c>
      <c r="L477" t="s">
        <v>19095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s="8" t="s">
        <v>4</v>
      </c>
      <c r="E478" s="8" t="s">
        <v>19398</v>
      </c>
      <c r="F478" s="8"/>
      <c r="H478" s="8"/>
      <c r="I478" s="8" t="s">
        <v>19096</v>
      </c>
      <c r="J478" s="8" t="s">
        <v>13185</v>
      </c>
      <c r="K478" t="s">
        <v>19097</v>
      </c>
      <c r="L478" t="s">
        <v>19098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s="8" t="s">
        <v>4</v>
      </c>
      <c r="E479" s="8" t="s">
        <v>17901</v>
      </c>
      <c r="F479" s="8"/>
      <c r="H479" s="8"/>
      <c r="I479" s="8" t="s">
        <v>19099</v>
      </c>
      <c r="J479" s="8" t="s">
        <v>13185</v>
      </c>
      <c r="K479" t="s">
        <v>19100</v>
      </c>
      <c r="L479" t="s">
        <v>19101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s="8" t="s">
        <v>4</v>
      </c>
      <c r="E480" s="8" t="s">
        <v>17906</v>
      </c>
      <c r="F480" s="8"/>
      <c r="H480" s="8"/>
      <c r="I480" s="8" t="s">
        <v>19102</v>
      </c>
      <c r="J480" s="8" t="s">
        <v>13185</v>
      </c>
      <c r="K480" t="s">
        <v>19103</v>
      </c>
      <c r="L480" t="s">
        <v>19104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s="8" t="s">
        <v>4</v>
      </c>
      <c r="E481" s="8" t="s">
        <v>17901</v>
      </c>
      <c r="F481" s="8"/>
      <c r="H481" s="8"/>
      <c r="I481" s="8" t="s">
        <v>19105</v>
      </c>
      <c r="J481" s="8" t="s">
        <v>13185</v>
      </c>
      <c r="K481" t="s">
        <v>19106</v>
      </c>
      <c r="L481" t="s">
        <v>19107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s="8" t="s">
        <v>19399</v>
      </c>
      <c r="E482" s="8" t="s">
        <v>16656</v>
      </c>
      <c r="F482" s="8"/>
      <c r="H482" s="8" t="s">
        <v>4390</v>
      </c>
      <c r="I482" s="8" t="s">
        <v>19108</v>
      </c>
      <c r="J482" s="8" t="s">
        <v>13185</v>
      </c>
      <c r="K482" t="s">
        <v>19109</v>
      </c>
      <c r="L482" t="s">
        <v>19110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s="8" t="s">
        <v>19399</v>
      </c>
      <c r="E483" s="8" t="s">
        <v>16656</v>
      </c>
      <c r="F483" s="8"/>
      <c r="H483" s="8"/>
      <c r="I483" s="8" t="s">
        <v>19111</v>
      </c>
      <c r="J483" s="8" t="s">
        <v>13185</v>
      </c>
      <c r="K483" t="s">
        <v>19112</v>
      </c>
      <c r="L483" t="s">
        <v>19113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s="8" t="s">
        <v>19399</v>
      </c>
      <c r="E484" s="8" t="s">
        <v>16656</v>
      </c>
      <c r="F484" s="8"/>
      <c r="H484" s="8"/>
      <c r="I484" s="8" t="s">
        <v>19114</v>
      </c>
      <c r="J484" s="8" t="s">
        <v>13185</v>
      </c>
      <c r="K484" t="s">
        <v>19115</v>
      </c>
      <c r="L484" t="s">
        <v>19116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s="8" t="s">
        <v>19399</v>
      </c>
      <c r="E485" s="8" t="s">
        <v>16656</v>
      </c>
      <c r="F485" s="8" t="s">
        <v>19400</v>
      </c>
      <c r="H485" s="8" t="s">
        <v>19401</v>
      </c>
      <c r="I485" s="8" t="s">
        <v>19117</v>
      </c>
      <c r="J485" s="8" t="s">
        <v>13185</v>
      </c>
      <c r="K485" t="s">
        <v>19118</v>
      </c>
      <c r="L485" t="s">
        <v>19119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s="8" t="s">
        <v>19399</v>
      </c>
      <c r="E486" s="8" t="s">
        <v>16656</v>
      </c>
      <c r="F486" s="8"/>
      <c r="H486" s="8"/>
      <c r="I486" s="8" t="s">
        <v>19120</v>
      </c>
      <c r="J486" s="8" t="s">
        <v>13185</v>
      </c>
      <c r="K486" t="s">
        <v>19121</v>
      </c>
      <c r="L486" t="s">
        <v>19122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s="8" t="s">
        <v>4</v>
      </c>
      <c r="E487" s="8" t="s">
        <v>468</v>
      </c>
      <c r="F487" s="8"/>
      <c r="H487" s="8"/>
      <c r="I487" s="8" t="s">
        <v>19123</v>
      </c>
      <c r="J487" s="8" t="s">
        <v>13185</v>
      </c>
      <c r="K487" t="s">
        <v>19124</v>
      </c>
      <c r="L487" t="s">
        <v>19125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s="8" t="s">
        <v>4</v>
      </c>
      <c r="E488" s="8" t="s">
        <v>468</v>
      </c>
      <c r="F488" s="8"/>
      <c r="H488" s="8"/>
      <c r="I488" s="8" t="s">
        <v>19126</v>
      </c>
      <c r="J488" s="8" t="s">
        <v>13185</v>
      </c>
      <c r="K488" t="s">
        <v>19127</v>
      </c>
      <c r="L488" t="s">
        <v>19128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s="8" t="s">
        <v>4</v>
      </c>
      <c r="E489" s="8" t="s">
        <v>6157</v>
      </c>
      <c r="F489" s="8"/>
      <c r="H489" s="8"/>
      <c r="I489" s="8" t="s">
        <v>19129</v>
      </c>
      <c r="J489" s="8" t="s">
        <v>13185</v>
      </c>
      <c r="K489" t="s">
        <v>19130</v>
      </c>
      <c r="L489" t="s">
        <v>19131</v>
      </c>
      <c r="M489" s="2" t="str">
        <f>HYPERLINK(склад2въезд1319202122[[#This Row],[RelativePath]])</f>
        <v>8 Ангар вход\GA3948333_1_20260313T191937Z.jpg</v>
      </c>
    </row>
  </sheetData>
  <conditionalFormatting sqref="D490:D500 E490:E503 G2:H489 D2:E489">
    <cfRule type="containsText" dxfId="776" priority="14" operator="containsText" text="Выезд с территории">
      <formula>NOT(ISERROR(SEARCH("Выезд с территории",D2)))</formula>
    </cfRule>
  </conditionalFormatting>
  <conditionalFormatting sqref="F2:F489">
    <cfRule type="notContainsText" dxfId="775" priority="13" operator="notContains" text="порожний">
      <formula>ISERROR(SEARCH("порожний",F2))</formula>
    </cfRule>
  </conditionalFormatting>
  <conditionalFormatting sqref="E2:E503">
    <cfRule type="containsText" dxfId="774" priority="11" operator="containsText" text="Газель базы">
      <formula>NOT(ISERROR(SEARCH("Газель базы",E2)))</formula>
    </cfRule>
    <cfRule type="containsText" dxfId="773" priority="12" operator="containsText" text="Погрузчик базы">
      <formula>NOT(ISERROR(SEARCH("Погрузчик базы",E2)))</formula>
    </cfRule>
  </conditionalFormatting>
  <conditionalFormatting sqref="E2:E503">
    <cfRule type="containsText" dxfId="772" priority="10" operator="containsText" text="Трактор базы">
      <formula>NOT(ISERROR(SEARCH("Трактор базы",E2)))</formula>
    </cfRule>
  </conditionalFormatting>
  <conditionalFormatting sqref="A2:C489">
    <cfRule type="expression" dxfId="771" priority="9">
      <formula>$A2="пн"</formula>
    </cfRule>
  </conditionalFormatting>
  <conditionalFormatting sqref="A2:C491">
    <cfRule type="expression" dxfId="770" priority="3">
      <formula>$A2="вс"</formula>
    </cfRule>
    <cfRule type="expression" dxfId="769" priority="4">
      <formula>$A2="сб"</formula>
    </cfRule>
    <cfRule type="expression" dxfId="768" priority="5">
      <formula>$A2="пт"</formula>
    </cfRule>
    <cfRule type="expression" dxfId="767" priority="6">
      <formula>$A2="чт"</formula>
    </cfRule>
    <cfRule type="expression" dxfId="766" priority="7">
      <formula>$A2="ср"</formula>
    </cfRule>
    <cfRule type="expression" dxfId="765" priority="8">
      <formula>$A2="вт"</formula>
    </cfRule>
  </conditionalFormatting>
  <conditionalFormatting sqref="D2:D500">
    <cfRule type="containsText" dxfId="76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0">
    <cfRule type="containsText" dxfId="76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715"/>
  <sheetViews>
    <sheetView zoomScale="90" zoomScaleNormal="90" workbookViewId="0">
      <pane ySplit="1" topLeftCell="A694" activePane="bottomLeft" state="frozen"/>
      <selection pane="bottomLeft" activeCell="I713" sqref="I713:I71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8" t="s">
        <v>4</v>
      </c>
      <c r="E2" s="8" t="s">
        <v>9</v>
      </c>
      <c r="F2" s="8"/>
      <c r="H2" s="8"/>
      <c r="I2" s="8" t="s">
        <v>688</v>
      </c>
      <c r="J2" s="8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8" t="s">
        <v>884</v>
      </c>
      <c r="E3" s="8" t="s">
        <v>890</v>
      </c>
      <c r="F3" s="8"/>
      <c r="H3" s="8"/>
      <c r="I3" s="8" t="s">
        <v>690</v>
      </c>
      <c r="J3" s="8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8" t="s">
        <v>684</v>
      </c>
      <c r="E4" s="8" t="s">
        <v>468</v>
      </c>
      <c r="F4" s="8"/>
      <c r="H4" s="8"/>
      <c r="I4" s="8" t="s">
        <v>692</v>
      </c>
      <c r="J4" s="8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8" t="s">
        <v>684</v>
      </c>
      <c r="E5" s="8" t="s">
        <v>468</v>
      </c>
      <c r="F5" s="8"/>
      <c r="H5" s="8"/>
      <c r="I5" s="8" t="s">
        <v>694</v>
      </c>
      <c r="J5" s="8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8" t="s">
        <v>4</v>
      </c>
      <c r="E6" s="8" t="s">
        <v>9</v>
      </c>
      <c r="F6" s="8"/>
      <c r="H6" s="8"/>
      <c r="I6" s="8" t="s">
        <v>696</v>
      </c>
      <c r="J6" s="8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8" t="s">
        <v>891</v>
      </c>
      <c r="E7" s="8" t="s">
        <v>468</v>
      </c>
      <c r="F7" s="8"/>
      <c r="H7" s="8"/>
      <c r="I7" s="8" t="s">
        <v>698</v>
      </c>
      <c r="J7" s="8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8" t="s">
        <v>226</v>
      </c>
      <c r="E8" s="8" t="s">
        <v>892</v>
      </c>
      <c r="F8" s="8"/>
      <c r="H8" s="8"/>
      <c r="I8" s="8" t="s">
        <v>700</v>
      </c>
      <c r="J8" s="8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8" t="s">
        <v>4</v>
      </c>
      <c r="E9" s="8" t="s">
        <v>9</v>
      </c>
      <c r="F9" s="8"/>
      <c r="H9" s="8"/>
      <c r="I9" s="8" t="s">
        <v>702</v>
      </c>
      <c r="J9" s="8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8" t="s">
        <v>4</v>
      </c>
      <c r="E10" s="8" t="s">
        <v>9</v>
      </c>
      <c r="F10" s="8"/>
      <c r="H10" s="8"/>
      <c r="I10" s="8" t="s">
        <v>704</v>
      </c>
      <c r="J10" s="8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8" t="s">
        <v>4</v>
      </c>
      <c r="E11" s="8" t="s">
        <v>9</v>
      </c>
      <c r="F11" s="8"/>
      <c r="H11" s="8"/>
      <c r="I11" s="8" t="s">
        <v>706</v>
      </c>
      <c r="J11" s="8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8" t="s">
        <v>1627</v>
      </c>
      <c r="E12" s="8" t="s">
        <v>1058</v>
      </c>
      <c r="F12" s="8"/>
      <c r="H12" s="8"/>
      <c r="I12" s="8" t="s">
        <v>708</v>
      </c>
      <c r="J12" s="8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8" t="s">
        <v>4</v>
      </c>
      <c r="E13" s="8" t="s">
        <v>9</v>
      </c>
      <c r="F13" s="8"/>
      <c r="H13" s="8"/>
      <c r="I13" s="8" t="s">
        <v>710</v>
      </c>
      <c r="J13" s="8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8" t="s">
        <v>4</v>
      </c>
      <c r="E14" s="8" t="s">
        <v>9</v>
      </c>
      <c r="F14" s="8"/>
      <c r="H14" s="8"/>
      <c r="I14" s="8" t="s">
        <v>712</v>
      </c>
      <c r="J14" s="8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8" t="s">
        <v>4</v>
      </c>
      <c r="E15" s="8" t="s">
        <v>9</v>
      </c>
      <c r="F15" s="8"/>
      <c r="H15" s="8"/>
      <c r="I15" s="8" t="s">
        <v>714</v>
      </c>
      <c r="J15" s="8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8" t="s">
        <v>4</v>
      </c>
      <c r="E16" s="8" t="s">
        <v>9</v>
      </c>
      <c r="F16" s="8"/>
      <c r="H16" s="8"/>
      <c r="I16" s="8" t="s">
        <v>716</v>
      </c>
      <c r="J16" s="8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8" t="s">
        <v>4</v>
      </c>
      <c r="E17" s="8" t="s">
        <v>9</v>
      </c>
      <c r="F17" s="8"/>
      <c r="H17" s="8"/>
      <c r="I17" s="8" t="s">
        <v>718</v>
      </c>
      <c r="J17" s="8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8" t="s">
        <v>4</v>
      </c>
      <c r="E18" s="8" t="s">
        <v>9</v>
      </c>
      <c r="F18" s="8"/>
      <c r="H18" s="8"/>
      <c r="I18" s="8" t="s">
        <v>720</v>
      </c>
      <c r="J18" s="8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8" t="s">
        <v>4</v>
      </c>
      <c r="E19" s="8" t="s">
        <v>9</v>
      </c>
      <c r="F19" s="8"/>
      <c r="H19" s="8"/>
      <c r="I19" s="8" t="s">
        <v>722</v>
      </c>
      <c r="J19" s="8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8" t="s">
        <v>4</v>
      </c>
      <c r="E20" s="8" t="s">
        <v>9</v>
      </c>
      <c r="F20" s="8"/>
      <c r="H20" s="8"/>
      <c r="I20" s="8" t="s">
        <v>724</v>
      </c>
      <c r="J20" s="8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8" t="s">
        <v>4</v>
      </c>
      <c r="E21" s="8" t="s">
        <v>9</v>
      </c>
      <c r="F21" s="8"/>
      <c r="H21" s="8"/>
      <c r="I21" s="8" t="s">
        <v>726</v>
      </c>
      <c r="J21" s="8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8" t="s">
        <v>4</v>
      </c>
      <c r="E22" s="8" t="s">
        <v>9</v>
      </c>
      <c r="F22" s="8"/>
      <c r="H22" s="8"/>
      <c r="I22" s="8" t="s">
        <v>728</v>
      </c>
      <c r="J22" s="8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8" t="s">
        <v>4</v>
      </c>
      <c r="E23" s="8" t="s">
        <v>9</v>
      </c>
      <c r="F23" s="8"/>
      <c r="H23" s="8"/>
      <c r="I23" s="8" t="s">
        <v>730</v>
      </c>
      <c r="J23" s="8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8" t="s">
        <v>4</v>
      </c>
      <c r="E24" s="8" t="s">
        <v>9</v>
      </c>
      <c r="F24" s="8"/>
      <c r="H24" s="8"/>
      <c r="I24" s="8" t="s">
        <v>732</v>
      </c>
      <c r="J24" s="8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8" t="s">
        <v>4</v>
      </c>
      <c r="E25" s="8" t="s">
        <v>9</v>
      </c>
      <c r="F25" s="8"/>
      <c r="H25" s="8"/>
      <c r="I25" s="8" t="s">
        <v>734</v>
      </c>
      <c r="J25" s="8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8" t="s">
        <v>4</v>
      </c>
      <c r="E26" s="8" t="s">
        <v>9</v>
      </c>
      <c r="F26" s="8"/>
      <c r="H26" s="8"/>
      <c r="I26" s="8" t="s">
        <v>736</v>
      </c>
      <c r="J26" s="8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8" t="s">
        <v>4</v>
      </c>
      <c r="E27" s="8" t="s">
        <v>9</v>
      </c>
      <c r="F27" s="8"/>
      <c r="H27" s="8"/>
      <c r="I27" s="8" t="s">
        <v>738</v>
      </c>
      <c r="J27" s="8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8" t="s">
        <v>4</v>
      </c>
      <c r="E28" s="8" t="s">
        <v>9</v>
      </c>
      <c r="F28" s="8"/>
      <c r="H28" s="8"/>
      <c r="I28" s="8" t="s">
        <v>740</v>
      </c>
      <c r="J28" s="8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8" t="s">
        <v>1627</v>
      </c>
      <c r="E29" s="8" t="s">
        <v>1058</v>
      </c>
      <c r="F29" s="8"/>
      <c r="H29" s="8"/>
      <c r="I29" s="8" t="s">
        <v>742</v>
      </c>
      <c r="J29" s="8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8" t="s">
        <v>1627</v>
      </c>
      <c r="E30" s="8" t="s">
        <v>1058</v>
      </c>
      <c r="F30" s="8"/>
      <c r="H30" s="8"/>
      <c r="I30" s="8" t="s">
        <v>744</v>
      </c>
      <c r="J30" s="8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8" t="s">
        <v>1627</v>
      </c>
      <c r="E31" s="8" t="s">
        <v>1058</v>
      </c>
      <c r="F31" s="8"/>
      <c r="H31" s="8"/>
      <c r="I31" s="8" t="s">
        <v>746</v>
      </c>
      <c r="J31" s="8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8" t="s">
        <v>4</v>
      </c>
      <c r="E32" s="8" t="s">
        <v>9</v>
      </c>
      <c r="F32" s="8"/>
      <c r="H32" s="8"/>
      <c r="I32" s="8" t="s">
        <v>748</v>
      </c>
      <c r="J32" s="8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8" t="s">
        <v>4</v>
      </c>
      <c r="E33" s="8" t="s">
        <v>9</v>
      </c>
      <c r="F33" s="8"/>
      <c r="H33" s="8"/>
      <c r="I33" s="8" t="s">
        <v>750</v>
      </c>
      <c r="J33" s="8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8" t="s">
        <v>4</v>
      </c>
      <c r="E34" s="8" t="s">
        <v>9</v>
      </c>
      <c r="F34" s="8"/>
      <c r="H34" s="8"/>
      <c r="I34" s="8" t="s">
        <v>752</v>
      </c>
      <c r="J34" s="8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8" t="s">
        <v>4</v>
      </c>
      <c r="E35" s="8" t="s">
        <v>9</v>
      </c>
      <c r="F35" s="8"/>
      <c r="H35" s="8"/>
      <c r="I35" s="8" t="s">
        <v>754</v>
      </c>
      <c r="J35" s="8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8" t="s">
        <v>1627</v>
      </c>
      <c r="E36" s="8" t="s">
        <v>1058</v>
      </c>
      <c r="F36" s="8"/>
      <c r="H36" s="8"/>
      <c r="I36" s="8" t="s">
        <v>756</v>
      </c>
      <c r="J36" s="8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8" t="s">
        <v>4</v>
      </c>
      <c r="E37" s="8" t="s">
        <v>9</v>
      </c>
      <c r="F37" s="8"/>
      <c r="H37" s="8"/>
      <c r="I37" s="8" t="s">
        <v>758</v>
      </c>
      <c r="J37" s="8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8" t="s">
        <v>686</v>
      </c>
      <c r="E38" s="8" t="s">
        <v>1058</v>
      </c>
      <c r="F38" s="8"/>
      <c r="H38" s="8"/>
      <c r="I38" s="8" t="s">
        <v>760</v>
      </c>
      <c r="J38" s="8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8" t="s">
        <v>4</v>
      </c>
      <c r="E39" s="8" t="s">
        <v>9</v>
      </c>
      <c r="F39" s="8"/>
      <c r="H39" s="8"/>
      <c r="I39" s="8" t="s">
        <v>762</v>
      </c>
      <c r="J39" s="8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8" t="s">
        <v>4</v>
      </c>
      <c r="E40" s="8" t="s">
        <v>9</v>
      </c>
      <c r="F40" s="8"/>
      <c r="H40" s="8"/>
      <c r="I40" s="8" t="s">
        <v>764</v>
      </c>
      <c r="J40" s="8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8" t="s">
        <v>4</v>
      </c>
      <c r="E41" s="8" t="s">
        <v>9</v>
      </c>
      <c r="F41" s="8"/>
      <c r="H41" s="8"/>
      <c r="I41" s="8" t="s">
        <v>766</v>
      </c>
      <c r="J41" s="8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8" t="s">
        <v>4</v>
      </c>
      <c r="E42" s="8" t="s">
        <v>9</v>
      </c>
      <c r="F42" s="8"/>
      <c r="H42" s="8"/>
      <c r="I42" s="8" t="s">
        <v>768</v>
      </c>
      <c r="J42" s="8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8" t="s">
        <v>4</v>
      </c>
      <c r="E43" s="8" t="s">
        <v>9</v>
      </c>
      <c r="F43" s="8"/>
      <c r="H43" s="8"/>
      <c r="I43" s="8" t="s">
        <v>770</v>
      </c>
      <c r="J43" s="8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8" t="s">
        <v>884</v>
      </c>
      <c r="E44" s="8" t="s">
        <v>886</v>
      </c>
      <c r="F44" s="8"/>
      <c r="H44" s="8"/>
      <c r="I44" s="8" t="s">
        <v>772</v>
      </c>
      <c r="J44" s="8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8" t="s">
        <v>4</v>
      </c>
      <c r="E45" s="8" t="s">
        <v>9</v>
      </c>
      <c r="F45" s="8"/>
      <c r="H45" s="8"/>
      <c r="I45" s="8" t="s">
        <v>774</v>
      </c>
      <c r="J45" s="8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8" t="s">
        <v>686</v>
      </c>
      <c r="E46" s="8" t="s">
        <v>1058</v>
      </c>
      <c r="F46" s="8"/>
      <c r="H46" s="8"/>
      <c r="I46" s="8" t="s">
        <v>776</v>
      </c>
      <c r="J46" s="8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8" t="s">
        <v>1059</v>
      </c>
      <c r="E47" s="8" t="s">
        <v>890</v>
      </c>
      <c r="F47" s="8"/>
      <c r="H47" s="8"/>
      <c r="I47" s="8" t="s">
        <v>778</v>
      </c>
      <c r="J47" s="8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8" t="s">
        <v>4</v>
      </c>
      <c r="E48" s="8" t="s">
        <v>9</v>
      </c>
      <c r="F48" s="8"/>
      <c r="H48" s="8"/>
      <c r="I48" s="8" t="s">
        <v>780</v>
      </c>
      <c r="J48" s="8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8" t="s">
        <v>4</v>
      </c>
      <c r="E49" s="8" t="s">
        <v>9</v>
      </c>
      <c r="F49" s="8"/>
      <c r="H49" s="8"/>
      <c r="I49" s="8" t="s">
        <v>782</v>
      </c>
      <c r="J49" s="8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8" t="s">
        <v>884</v>
      </c>
      <c r="E50" s="8" t="s">
        <v>888</v>
      </c>
      <c r="F50" s="8"/>
      <c r="H50" s="8"/>
      <c r="I50" s="8" t="s">
        <v>784</v>
      </c>
      <c r="J50" s="8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8" t="s">
        <v>4</v>
      </c>
      <c r="E51" s="8" t="s">
        <v>9</v>
      </c>
      <c r="F51" s="8"/>
      <c r="H51" s="8"/>
      <c r="I51" s="8" t="s">
        <v>786</v>
      </c>
      <c r="J51" s="8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8" t="s">
        <v>4</v>
      </c>
      <c r="E52" s="8" t="s">
        <v>1060</v>
      </c>
      <c r="F52" s="8"/>
      <c r="H52" s="8"/>
      <c r="I52" s="8" t="s">
        <v>788</v>
      </c>
      <c r="J52" s="8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8" t="s">
        <v>884</v>
      </c>
      <c r="E53" s="8" t="s">
        <v>1060</v>
      </c>
      <c r="F53" s="8"/>
      <c r="H53" s="8"/>
      <c r="I53" s="8" t="s">
        <v>790</v>
      </c>
      <c r="J53" s="8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8" t="s">
        <v>4</v>
      </c>
      <c r="E54" s="8" t="s">
        <v>9</v>
      </c>
      <c r="F54" s="8"/>
      <c r="H54" s="8"/>
      <c r="I54" s="8" t="s">
        <v>792</v>
      </c>
      <c r="J54" s="8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8" t="s">
        <v>4</v>
      </c>
      <c r="E55" s="8" t="s">
        <v>9</v>
      </c>
      <c r="F55" s="8"/>
      <c r="H55" s="8"/>
      <c r="I55" s="8" t="s">
        <v>794</v>
      </c>
      <c r="J55" s="8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8" t="s">
        <v>4</v>
      </c>
      <c r="E56" s="8" t="s">
        <v>9</v>
      </c>
      <c r="F56" s="8"/>
      <c r="H56" s="8"/>
      <c r="I56" s="8" t="s">
        <v>796</v>
      </c>
      <c r="J56" s="8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8" t="s">
        <v>4</v>
      </c>
      <c r="E57" s="8" t="s">
        <v>9</v>
      </c>
      <c r="F57" s="8"/>
      <c r="H57" s="8"/>
      <c r="I57" s="8" t="s">
        <v>798</v>
      </c>
      <c r="J57" s="8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8" t="s">
        <v>4</v>
      </c>
      <c r="E58" s="8" t="s">
        <v>9</v>
      </c>
      <c r="F58" s="8"/>
      <c r="H58" s="8"/>
      <c r="I58" s="8" t="s">
        <v>800</v>
      </c>
      <c r="J58" s="8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8" t="s">
        <v>4</v>
      </c>
      <c r="E59" s="8" t="s">
        <v>9</v>
      </c>
      <c r="F59" s="8"/>
      <c r="H59" s="8"/>
      <c r="I59" s="8" t="s">
        <v>802</v>
      </c>
      <c r="J59" s="8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8" t="s">
        <v>4</v>
      </c>
      <c r="E60" s="8" t="s">
        <v>9</v>
      </c>
      <c r="F60" s="8"/>
      <c r="H60" s="8"/>
      <c r="I60" s="8" t="s">
        <v>804</v>
      </c>
      <c r="J60" s="8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8" t="s">
        <v>4</v>
      </c>
      <c r="E61" s="8" t="s">
        <v>9</v>
      </c>
      <c r="F61" s="8"/>
      <c r="H61" s="8"/>
      <c r="I61" s="8" t="s">
        <v>806</v>
      </c>
      <c r="J61" s="8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8" t="s">
        <v>4</v>
      </c>
      <c r="E62" s="8" t="s">
        <v>9</v>
      </c>
      <c r="F62" s="8"/>
      <c r="H62" s="8"/>
      <c r="I62" s="8" t="s">
        <v>808</v>
      </c>
      <c r="J62" s="8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8" t="s">
        <v>4</v>
      </c>
      <c r="E63" s="8" t="s">
        <v>9</v>
      </c>
      <c r="F63" s="8"/>
      <c r="H63" s="8"/>
      <c r="I63" s="8" t="s">
        <v>810</v>
      </c>
      <c r="J63" s="8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8" t="s">
        <v>4</v>
      </c>
      <c r="E64" s="8" t="s">
        <v>9</v>
      </c>
      <c r="F64" s="8"/>
      <c r="H64" s="8"/>
      <c r="I64" s="8" t="s">
        <v>812</v>
      </c>
      <c r="J64" s="8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8" t="s">
        <v>4</v>
      </c>
      <c r="E65" s="8" t="s">
        <v>9</v>
      </c>
      <c r="F65" s="8"/>
      <c r="H65" s="8"/>
      <c r="I65" s="8" t="s">
        <v>814</v>
      </c>
      <c r="J65" s="8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8" t="s">
        <v>4</v>
      </c>
      <c r="E66" s="8" t="s">
        <v>9</v>
      </c>
      <c r="F66" s="8"/>
      <c r="H66" s="8"/>
      <c r="I66" s="8" t="s">
        <v>816</v>
      </c>
      <c r="J66" s="8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8" t="s">
        <v>4</v>
      </c>
      <c r="E67" s="8" t="s">
        <v>9</v>
      </c>
      <c r="F67" s="8"/>
      <c r="H67" s="8"/>
      <c r="I67" s="8" t="s">
        <v>818</v>
      </c>
      <c r="J67" s="8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8" t="s">
        <v>4</v>
      </c>
      <c r="E68" s="8" t="s">
        <v>9</v>
      </c>
      <c r="F68" s="8"/>
      <c r="H68" s="8"/>
      <c r="I68" s="8" t="s">
        <v>820</v>
      </c>
      <c r="J68" s="8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8" t="s">
        <v>4</v>
      </c>
      <c r="E69" s="8" t="s">
        <v>9</v>
      </c>
      <c r="F69" s="8"/>
      <c r="H69" s="8"/>
      <c r="I69" s="8" t="s">
        <v>822</v>
      </c>
      <c r="J69" s="8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8" t="s">
        <v>4</v>
      </c>
      <c r="E70" s="8" t="s">
        <v>9</v>
      </c>
      <c r="F70" s="8"/>
      <c r="H70" s="8"/>
      <c r="I70" s="8" t="s">
        <v>824</v>
      </c>
      <c r="J70" s="8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8" t="s">
        <v>4</v>
      </c>
      <c r="E71" s="8" t="s">
        <v>9</v>
      </c>
      <c r="F71" s="8"/>
      <c r="H71" s="8"/>
      <c r="I71" s="8" t="s">
        <v>826</v>
      </c>
      <c r="J71" s="8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8" t="s">
        <v>4</v>
      </c>
      <c r="E72" s="8" t="s">
        <v>9</v>
      </c>
      <c r="F72" s="8"/>
      <c r="H72" s="8"/>
      <c r="I72" s="8" t="s">
        <v>828</v>
      </c>
      <c r="J72" s="8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8" t="s">
        <v>1627</v>
      </c>
      <c r="E73" s="8" t="s">
        <v>1058</v>
      </c>
      <c r="F73" s="8"/>
      <c r="H73" s="8"/>
      <c r="I73" s="8" t="s">
        <v>830</v>
      </c>
      <c r="J73" s="8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8" t="s">
        <v>4</v>
      </c>
      <c r="E74" s="8" t="s">
        <v>9</v>
      </c>
      <c r="F74" s="8"/>
      <c r="H74" s="8"/>
      <c r="I74" s="8" t="s">
        <v>832</v>
      </c>
      <c r="J74" s="8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8" t="s">
        <v>4</v>
      </c>
      <c r="E75" s="8" t="s">
        <v>9</v>
      </c>
      <c r="F75" s="8"/>
      <c r="H75" s="8"/>
      <c r="I75" s="8" t="s">
        <v>834</v>
      </c>
      <c r="J75" s="8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8" t="s">
        <v>4</v>
      </c>
      <c r="E76" s="8" t="s">
        <v>9</v>
      </c>
      <c r="F76" s="8"/>
      <c r="H76" s="8"/>
      <c r="I76" s="8" t="s">
        <v>836</v>
      </c>
      <c r="J76" s="8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8" t="s">
        <v>884</v>
      </c>
      <c r="E77" s="8" t="s">
        <v>888</v>
      </c>
      <c r="F77" s="8"/>
      <c r="H77" s="8"/>
      <c r="I77" s="8" t="s">
        <v>838</v>
      </c>
      <c r="J77" s="8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8" t="s">
        <v>884</v>
      </c>
      <c r="E78" s="8" t="s">
        <v>888</v>
      </c>
      <c r="F78" s="8"/>
      <c r="H78" s="8"/>
      <c r="I78" s="8" t="s">
        <v>840</v>
      </c>
      <c r="J78" s="8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8" t="s">
        <v>4</v>
      </c>
      <c r="E79" s="8" t="s">
        <v>9</v>
      </c>
      <c r="F79" s="8"/>
      <c r="H79" s="8"/>
      <c r="I79" s="8" t="s">
        <v>842</v>
      </c>
      <c r="J79" s="8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8" t="s">
        <v>4</v>
      </c>
      <c r="E80" s="8" t="s">
        <v>9</v>
      </c>
      <c r="F80" s="8"/>
      <c r="H80" s="8"/>
      <c r="I80" s="8" t="s">
        <v>844</v>
      </c>
      <c r="J80" s="8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8" t="s">
        <v>4</v>
      </c>
      <c r="E81" s="8" t="s">
        <v>9</v>
      </c>
      <c r="F81" s="8"/>
      <c r="H81" s="8"/>
      <c r="I81" s="8" t="s">
        <v>846</v>
      </c>
      <c r="J81" s="8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8" t="s">
        <v>4</v>
      </c>
      <c r="E82" s="8" t="s">
        <v>9</v>
      </c>
      <c r="F82" s="8"/>
      <c r="H82" s="8"/>
      <c r="I82" s="8" t="s">
        <v>848</v>
      </c>
      <c r="J82" s="8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8" t="s">
        <v>4</v>
      </c>
      <c r="E83" s="8" t="s">
        <v>9</v>
      </c>
      <c r="F83" s="8"/>
      <c r="H83" s="8"/>
      <c r="I83" s="8" t="s">
        <v>850</v>
      </c>
      <c r="J83" s="8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8" t="s">
        <v>4</v>
      </c>
      <c r="E84" s="8" t="s">
        <v>9</v>
      </c>
      <c r="F84" s="8"/>
      <c r="H84" s="8"/>
      <c r="I84" s="8" t="s">
        <v>852</v>
      </c>
      <c r="J84" s="8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8" t="s">
        <v>4</v>
      </c>
      <c r="E85" s="8" t="s">
        <v>9</v>
      </c>
      <c r="F85" s="8"/>
      <c r="H85" s="8"/>
      <c r="I85" s="8" t="s">
        <v>854</v>
      </c>
      <c r="J85" s="8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8" t="s">
        <v>1627</v>
      </c>
      <c r="E86" s="8" t="s">
        <v>1058</v>
      </c>
      <c r="F86" s="8"/>
      <c r="H86" s="8"/>
      <c r="I86" s="8" t="s">
        <v>856</v>
      </c>
      <c r="J86" s="8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8" t="s">
        <v>4</v>
      </c>
      <c r="E87" s="8" t="s">
        <v>9</v>
      </c>
      <c r="F87" s="8"/>
      <c r="H87" s="8"/>
      <c r="I87" s="8" t="s">
        <v>858</v>
      </c>
      <c r="J87" s="8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8" t="s">
        <v>686</v>
      </c>
      <c r="E88" s="8" t="s">
        <v>1058</v>
      </c>
      <c r="F88" s="8"/>
      <c r="H88" s="8"/>
      <c r="I88" s="8" t="s">
        <v>860</v>
      </c>
      <c r="J88" s="8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8" t="s">
        <v>4</v>
      </c>
      <c r="E89" s="8" t="s">
        <v>9</v>
      </c>
      <c r="F89" s="8"/>
      <c r="H89" s="8"/>
      <c r="I89" s="8" t="s">
        <v>862</v>
      </c>
      <c r="J89" s="8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8" t="s">
        <v>4</v>
      </c>
      <c r="E90" s="8" t="s">
        <v>9</v>
      </c>
      <c r="F90" s="8"/>
      <c r="H90" s="8"/>
      <c r="I90" s="8" t="s">
        <v>864</v>
      </c>
      <c r="J90" s="8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8" t="s">
        <v>4</v>
      </c>
      <c r="E91" s="8" t="s">
        <v>9</v>
      </c>
      <c r="F91" s="8"/>
      <c r="H91" s="8"/>
      <c r="I91" s="8" t="s">
        <v>866</v>
      </c>
      <c r="J91" s="8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8" t="s">
        <v>4</v>
      </c>
      <c r="E92" s="8" t="s">
        <v>9</v>
      </c>
      <c r="F92" s="8"/>
      <c r="H92" s="8"/>
      <c r="I92" s="8" t="s">
        <v>868</v>
      </c>
      <c r="J92" s="8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8" t="s">
        <v>4</v>
      </c>
      <c r="E93" s="8" t="s">
        <v>9</v>
      </c>
      <c r="F93" s="8"/>
      <c r="H93" s="8"/>
      <c r="I93" s="8" t="s">
        <v>870</v>
      </c>
      <c r="J93" s="8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8" t="s">
        <v>4</v>
      </c>
      <c r="E94" s="8" t="s">
        <v>9</v>
      </c>
      <c r="F94" s="8"/>
      <c r="H94" s="8"/>
      <c r="I94" s="8" t="s">
        <v>872</v>
      </c>
      <c r="J94" s="8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8" t="s">
        <v>4</v>
      </c>
      <c r="E95" s="8" t="s">
        <v>9</v>
      </c>
      <c r="F95" s="8"/>
      <c r="H95" s="8"/>
      <c r="I95" s="8" t="s">
        <v>874</v>
      </c>
      <c r="J95" s="8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8" t="s">
        <v>4</v>
      </c>
      <c r="E96" s="8" t="s">
        <v>9</v>
      </c>
      <c r="F96" s="8"/>
      <c r="H96" s="8"/>
      <c r="I96" s="8" t="s">
        <v>876</v>
      </c>
      <c r="J96" s="8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8" t="s">
        <v>4</v>
      </c>
      <c r="E97" s="8" t="s">
        <v>9</v>
      </c>
      <c r="F97" s="8"/>
      <c r="H97" s="8"/>
      <c r="I97" s="8" t="s">
        <v>878</v>
      </c>
      <c r="J97" s="8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8" t="s">
        <v>4</v>
      </c>
      <c r="E98" s="8" t="s">
        <v>9</v>
      </c>
      <c r="F98" s="8"/>
      <c r="H98" s="8"/>
      <c r="I98" s="8" t="s">
        <v>880</v>
      </c>
      <c r="J98" s="8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8" t="s">
        <v>4</v>
      </c>
      <c r="E99" s="8" t="s">
        <v>9</v>
      </c>
      <c r="F99" s="8"/>
      <c r="H99" s="8"/>
      <c r="I99" s="8" t="s">
        <v>882</v>
      </c>
      <c r="J99" s="8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8" t="s">
        <v>1627</v>
      </c>
      <c r="E100" s="8" t="s">
        <v>1058</v>
      </c>
      <c r="F100" s="8"/>
      <c r="H100" s="8"/>
      <c r="I100" s="8" t="s">
        <v>960</v>
      </c>
      <c r="J100" s="8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8" t="s">
        <v>4</v>
      </c>
      <c r="E101" s="8" t="s">
        <v>9</v>
      </c>
      <c r="F101" s="8"/>
      <c r="H101" s="8"/>
      <c r="I101" s="8" t="s">
        <v>962</v>
      </c>
      <c r="J101" s="8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8" t="s">
        <v>4</v>
      </c>
      <c r="E102" s="8" t="s">
        <v>9</v>
      </c>
      <c r="F102" s="8"/>
      <c r="H102" s="8"/>
      <c r="I102" s="8" t="s">
        <v>964</v>
      </c>
      <c r="J102" s="8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8" t="s">
        <v>4</v>
      </c>
      <c r="E103" s="8" t="s">
        <v>9</v>
      </c>
      <c r="F103" s="8"/>
      <c r="H103" s="8"/>
      <c r="I103" s="8" t="s">
        <v>966</v>
      </c>
      <c r="J103" s="8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8" t="s">
        <v>4</v>
      </c>
      <c r="E104" s="8" t="s">
        <v>9</v>
      </c>
      <c r="F104" s="8"/>
      <c r="H104" s="8"/>
      <c r="I104" s="8" t="s">
        <v>968</v>
      </c>
      <c r="J104" s="8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8" t="s">
        <v>4</v>
      </c>
      <c r="E105" s="8" t="s">
        <v>9</v>
      </c>
      <c r="F105" s="8"/>
      <c r="H105" s="8"/>
      <c r="I105" s="8" t="s">
        <v>970</v>
      </c>
      <c r="J105" s="8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972</v>
      </c>
      <c r="J106" s="8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8" t="s">
        <v>4</v>
      </c>
      <c r="E107" s="8" t="s">
        <v>9</v>
      </c>
      <c r="F107" s="8"/>
      <c r="H107" s="8"/>
      <c r="I107" s="8" t="s">
        <v>1891</v>
      </c>
      <c r="J107" s="8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8" t="s">
        <v>4</v>
      </c>
      <c r="E108" s="8" t="s">
        <v>9</v>
      </c>
      <c r="F108" s="8"/>
      <c r="H108" s="8" t="s">
        <v>2352</v>
      </c>
      <c r="I108" s="8" t="s">
        <v>1893</v>
      </c>
      <c r="J108" s="8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8" t="s">
        <v>4</v>
      </c>
      <c r="E109" s="8" t="s">
        <v>9</v>
      </c>
      <c r="F109" s="8"/>
      <c r="H109" s="8" t="s">
        <v>2352</v>
      </c>
      <c r="I109" s="8" t="s">
        <v>1895</v>
      </c>
      <c r="J109" s="8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8" t="s">
        <v>4</v>
      </c>
      <c r="E110" s="8" t="s">
        <v>9</v>
      </c>
      <c r="F110" s="8"/>
      <c r="H110" s="8" t="s">
        <v>2352</v>
      </c>
      <c r="I110" s="8" t="s">
        <v>1897</v>
      </c>
      <c r="J110" s="8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8" t="s">
        <v>4</v>
      </c>
      <c r="E111" s="8" t="s">
        <v>9</v>
      </c>
      <c r="F111" s="8"/>
      <c r="H111" s="8" t="s">
        <v>2352</v>
      </c>
      <c r="I111" s="8" t="s">
        <v>1899</v>
      </c>
      <c r="J111" s="8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8" t="s">
        <v>2355</v>
      </c>
      <c r="E112" s="8" t="s">
        <v>2356</v>
      </c>
      <c r="F112" s="8" t="s">
        <v>2345</v>
      </c>
      <c r="G112">
        <v>1</v>
      </c>
      <c r="H112" s="8" t="s">
        <v>2357</v>
      </c>
      <c r="I112" s="8" t="s">
        <v>1901</v>
      </c>
      <c r="J112" s="8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8" t="s">
        <v>2355</v>
      </c>
      <c r="E113" s="8" t="s">
        <v>2356</v>
      </c>
      <c r="F113" s="8" t="s">
        <v>2345</v>
      </c>
      <c r="G113">
        <v>1</v>
      </c>
      <c r="H113" s="8" t="s">
        <v>2357</v>
      </c>
      <c r="I113" s="8" t="s">
        <v>1903</v>
      </c>
      <c r="J113" s="8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8" t="s">
        <v>2355</v>
      </c>
      <c r="E114" s="8" t="s">
        <v>2356</v>
      </c>
      <c r="F114" s="8" t="s">
        <v>2345</v>
      </c>
      <c r="G114">
        <v>1</v>
      </c>
      <c r="H114" s="8" t="s">
        <v>2357</v>
      </c>
      <c r="I114" s="8" t="s">
        <v>1905</v>
      </c>
      <c r="J114" s="8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8" t="s">
        <v>2355</v>
      </c>
      <c r="E115" s="8" t="s">
        <v>2356</v>
      </c>
      <c r="F115" s="8" t="s">
        <v>2345</v>
      </c>
      <c r="G115">
        <v>1</v>
      </c>
      <c r="H115" s="8" t="s">
        <v>2357</v>
      </c>
      <c r="I115" s="8" t="s">
        <v>1907</v>
      </c>
      <c r="J115" s="8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8" t="s">
        <v>2355</v>
      </c>
      <c r="E116" s="8" t="s">
        <v>2356</v>
      </c>
      <c r="F116" s="8" t="s">
        <v>2345</v>
      </c>
      <c r="G116">
        <v>1</v>
      </c>
      <c r="H116" s="8" t="s">
        <v>2357</v>
      </c>
      <c r="I116" s="8" t="s">
        <v>1909</v>
      </c>
      <c r="J116" s="8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8" t="s">
        <v>2355</v>
      </c>
      <c r="E117" s="8" t="s">
        <v>2356</v>
      </c>
      <c r="F117" s="8" t="s">
        <v>2345</v>
      </c>
      <c r="G117">
        <v>1</v>
      </c>
      <c r="H117" s="8" t="s">
        <v>2357</v>
      </c>
      <c r="I117" s="8" t="s">
        <v>1911</v>
      </c>
      <c r="J117" s="8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8" t="s">
        <v>2355</v>
      </c>
      <c r="E118" s="8" t="s">
        <v>2356</v>
      </c>
      <c r="F118" s="8" t="s">
        <v>2345</v>
      </c>
      <c r="G118">
        <v>1</v>
      </c>
      <c r="H118" s="8" t="s">
        <v>2357</v>
      </c>
      <c r="I118" s="8" t="s">
        <v>1913</v>
      </c>
      <c r="J118" s="8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8" t="s">
        <v>2355</v>
      </c>
      <c r="E119" s="8" t="s">
        <v>2356</v>
      </c>
      <c r="F119" s="8" t="s">
        <v>2345</v>
      </c>
      <c r="G119">
        <v>1</v>
      </c>
      <c r="H119" s="8" t="s">
        <v>2357</v>
      </c>
      <c r="I119" s="8" t="s">
        <v>1915</v>
      </c>
      <c r="J119" s="8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8" t="s">
        <v>4</v>
      </c>
      <c r="E120" s="8" t="s">
        <v>9</v>
      </c>
      <c r="F120" s="8"/>
      <c r="H120" s="8"/>
      <c r="I120" s="8" t="s">
        <v>1917</v>
      </c>
      <c r="J120" s="8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8" t="s">
        <v>4</v>
      </c>
      <c r="E121" s="8" t="s">
        <v>9</v>
      </c>
      <c r="F121" s="8"/>
      <c r="H121" s="8" t="s">
        <v>2352</v>
      </c>
      <c r="I121" s="8" t="s">
        <v>1919</v>
      </c>
      <c r="J121" s="8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8" t="s">
        <v>1627</v>
      </c>
      <c r="E122" s="8" t="s">
        <v>1058</v>
      </c>
      <c r="F122" s="8"/>
      <c r="H122" s="8"/>
      <c r="I122" s="8" t="s">
        <v>1921</v>
      </c>
      <c r="J122" s="8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8" t="s">
        <v>4</v>
      </c>
      <c r="E123" s="8" t="s">
        <v>9</v>
      </c>
      <c r="F123" s="8"/>
      <c r="H123" s="8" t="s">
        <v>2352</v>
      </c>
      <c r="I123" s="8" t="s">
        <v>1923</v>
      </c>
      <c r="J123" s="8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8" t="s">
        <v>4</v>
      </c>
      <c r="E124" s="8" t="s">
        <v>9</v>
      </c>
      <c r="F124" s="8"/>
      <c r="H124" s="8" t="s">
        <v>2352</v>
      </c>
      <c r="I124" s="8" t="s">
        <v>1925</v>
      </c>
      <c r="J124" s="8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8" t="s">
        <v>4</v>
      </c>
      <c r="E125" s="8" t="s">
        <v>9</v>
      </c>
      <c r="F125" s="8"/>
      <c r="H125" s="8" t="s">
        <v>2352</v>
      </c>
      <c r="I125" s="8" t="s">
        <v>1927</v>
      </c>
      <c r="J125" s="8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8" t="s">
        <v>4</v>
      </c>
      <c r="E126" s="8" t="s">
        <v>9</v>
      </c>
      <c r="F126" s="8"/>
      <c r="H126" s="8" t="s">
        <v>2352</v>
      </c>
      <c r="I126" s="8" t="s">
        <v>1929</v>
      </c>
      <c r="J126" s="8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8" t="s">
        <v>4</v>
      </c>
      <c r="E127" s="8" t="s">
        <v>9</v>
      </c>
      <c r="F127" s="8"/>
      <c r="H127" s="8"/>
      <c r="I127" s="8" t="s">
        <v>1931</v>
      </c>
      <c r="J127" s="8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8" t="s">
        <v>884</v>
      </c>
      <c r="E128" s="8" t="s">
        <v>1274</v>
      </c>
      <c r="F128" s="8" t="s">
        <v>58</v>
      </c>
      <c r="H128" s="8"/>
      <c r="I128" s="8" t="s">
        <v>1933</v>
      </c>
      <c r="J128" s="8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8" t="s">
        <v>884</v>
      </c>
      <c r="E129" s="8" t="s">
        <v>1274</v>
      </c>
      <c r="F129" s="8" t="s">
        <v>58</v>
      </c>
      <c r="H129" s="8"/>
      <c r="I129" s="8" t="s">
        <v>1935</v>
      </c>
      <c r="J129" s="8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8" t="s">
        <v>884</v>
      </c>
      <c r="E130" s="8" t="s">
        <v>1274</v>
      </c>
      <c r="F130" s="8" t="s">
        <v>58</v>
      </c>
      <c r="H130" s="8"/>
      <c r="I130" s="8" t="s">
        <v>1937</v>
      </c>
      <c r="J130" s="8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8" t="s">
        <v>884</v>
      </c>
      <c r="E131" s="8" t="s">
        <v>1274</v>
      </c>
      <c r="F131" s="8" t="s">
        <v>58</v>
      </c>
      <c r="H131" s="8"/>
      <c r="I131" s="8" t="s">
        <v>1939</v>
      </c>
      <c r="J131" s="8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8" t="s">
        <v>2359</v>
      </c>
      <c r="E132" s="8"/>
      <c r="F132" s="8"/>
      <c r="H132" s="8" t="s">
        <v>2358</v>
      </c>
      <c r="I132" s="8" t="s">
        <v>1941</v>
      </c>
      <c r="J132" s="8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8" t="s">
        <v>884</v>
      </c>
      <c r="E133" s="8" t="s">
        <v>1274</v>
      </c>
      <c r="F133" s="8" t="s">
        <v>2367</v>
      </c>
      <c r="H133" s="8"/>
      <c r="I133" s="8" t="s">
        <v>1943</v>
      </c>
      <c r="J133" s="8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8" t="s">
        <v>4</v>
      </c>
      <c r="E134" s="8" t="s">
        <v>9</v>
      </c>
      <c r="F134" s="8"/>
      <c r="H134" s="8"/>
      <c r="I134" s="8" t="s">
        <v>1945</v>
      </c>
      <c r="J134" s="8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8" t="s">
        <v>884</v>
      </c>
      <c r="E135" s="8" t="s">
        <v>1274</v>
      </c>
      <c r="F135" s="8" t="s">
        <v>58</v>
      </c>
      <c r="H135" s="8"/>
      <c r="I135" s="8" t="s">
        <v>1947</v>
      </c>
      <c r="J135" s="8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8" t="s">
        <v>884</v>
      </c>
      <c r="E136" s="8" t="s">
        <v>1274</v>
      </c>
      <c r="F136" s="8" t="s">
        <v>58</v>
      </c>
      <c r="H136" s="8"/>
      <c r="I136" s="8" t="s">
        <v>1949</v>
      </c>
      <c r="J136" s="8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8" t="s">
        <v>884</v>
      </c>
      <c r="E137" s="8" t="s">
        <v>1274</v>
      </c>
      <c r="F137" s="8" t="s">
        <v>58</v>
      </c>
      <c r="H137" s="8" t="s">
        <v>2352</v>
      </c>
      <c r="I137" s="8" t="s">
        <v>1951</v>
      </c>
      <c r="J137" s="8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8" t="s">
        <v>4</v>
      </c>
      <c r="E138" s="8" t="s">
        <v>9</v>
      </c>
      <c r="F138" s="8"/>
      <c r="H138" s="8" t="s">
        <v>2352</v>
      </c>
      <c r="I138" s="8" t="s">
        <v>1953</v>
      </c>
      <c r="J138" s="8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8" t="s">
        <v>4</v>
      </c>
      <c r="E139" s="8" t="s">
        <v>9</v>
      </c>
      <c r="F139" s="8"/>
      <c r="H139" s="8" t="s">
        <v>2352</v>
      </c>
      <c r="I139" s="8" t="s">
        <v>1955</v>
      </c>
      <c r="J139" s="8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8" t="s">
        <v>4</v>
      </c>
      <c r="E140" s="8" t="s">
        <v>9</v>
      </c>
      <c r="F140" s="8"/>
      <c r="H140" s="8" t="s">
        <v>2352</v>
      </c>
      <c r="I140" s="8" t="s">
        <v>1957</v>
      </c>
      <c r="J140" s="8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8" t="s">
        <v>4</v>
      </c>
      <c r="E141" s="8" t="s">
        <v>9</v>
      </c>
      <c r="F141" s="8"/>
      <c r="H141" s="8" t="s">
        <v>2352</v>
      </c>
      <c r="I141" s="8" t="s">
        <v>1959</v>
      </c>
      <c r="J141" s="8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8" t="s">
        <v>4</v>
      </c>
      <c r="E142" s="8" t="s">
        <v>9</v>
      </c>
      <c r="F142" s="8"/>
      <c r="H142" s="8" t="s">
        <v>2352</v>
      </c>
      <c r="I142" s="8" t="s">
        <v>1961</v>
      </c>
      <c r="J142" s="8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8" t="s">
        <v>4</v>
      </c>
      <c r="E143" s="8" t="s">
        <v>9</v>
      </c>
      <c r="F143" s="8"/>
      <c r="H143" s="8" t="s">
        <v>2352</v>
      </c>
      <c r="I143" s="8" t="s">
        <v>1963</v>
      </c>
      <c r="J143" s="8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8" t="s">
        <v>4</v>
      </c>
      <c r="E144" s="8" t="s">
        <v>9</v>
      </c>
      <c r="F144" s="8"/>
      <c r="H144" s="8" t="s">
        <v>2352</v>
      </c>
      <c r="I144" s="8" t="s">
        <v>1965</v>
      </c>
      <c r="J144" s="8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8" t="s">
        <v>4</v>
      </c>
      <c r="E145" s="8" t="s">
        <v>9</v>
      </c>
      <c r="F145" s="8"/>
      <c r="H145" s="8" t="s">
        <v>2352</v>
      </c>
      <c r="I145" s="8" t="s">
        <v>1967</v>
      </c>
      <c r="J145" s="8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8" t="s">
        <v>884</v>
      </c>
      <c r="E146" s="8" t="s">
        <v>1274</v>
      </c>
      <c r="F146" s="8" t="s">
        <v>2360</v>
      </c>
      <c r="H146" s="8"/>
      <c r="I146" s="8" t="s">
        <v>1969</v>
      </c>
      <c r="J146" s="8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8" t="s">
        <v>884</v>
      </c>
      <c r="E147" s="8" t="s">
        <v>2356</v>
      </c>
      <c r="F147" s="8" t="s">
        <v>2360</v>
      </c>
      <c r="H147" s="8"/>
      <c r="I147" s="8" t="s">
        <v>1971</v>
      </c>
      <c r="J147" s="8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8" t="s">
        <v>884</v>
      </c>
      <c r="E148" s="8" t="s">
        <v>1274</v>
      </c>
      <c r="F148" s="8" t="s">
        <v>886</v>
      </c>
      <c r="H148" s="8"/>
      <c r="I148" s="8" t="s">
        <v>1973</v>
      </c>
      <c r="J148" s="8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8" t="s">
        <v>4</v>
      </c>
      <c r="E149" s="8" t="s">
        <v>9</v>
      </c>
      <c r="F149" s="8"/>
      <c r="H149" s="8"/>
      <c r="I149" s="8" t="s">
        <v>1975</v>
      </c>
      <c r="J149" s="8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8" t="s">
        <v>2361</v>
      </c>
      <c r="E150" s="8" t="s">
        <v>1274</v>
      </c>
      <c r="F150" s="8"/>
      <c r="H150" s="8"/>
      <c r="I150" s="8" t="s">
        <v>1977</v>
      </c>
      <c r="J150" s="8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8" t="s">
        <v>2362</v>
      </c>
      <c r="E151" s="8" t="s">
        <v>1274</v>
      </c>
      <c r="F151" s="8"/>
      <c r="H151" s="8"/>
      <c r="I151" s="8" t="s">
        <v>1979</v>
      </c>
      <c r="J151" s="8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8" t="s">
        <v>4</v>
      </c>
      <c r="E152" s="8" t="s">
        <v>9</v>
      </c>
      <c r="F152" s="8"/>
      <c r="H152" s="8"/>
      <c r="I152" s="8" t="s">
        <v>1981</v>
      </c>
      <c r="J152" s="8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8" t="s">
        <v>4</v>
      </c>
      <c r="E153" s="8" t="s">
        <v>9</v>
      </c>
      <c r="F153" s="8"/>
      <c r="H153" s="8" t="s">
        <v>2352</v>
      </c>
      <c r="I153" s="8" t="s">
        <v>1983</v>
      </c>
      <c r="J153" s="8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8" t="s">
        <v>4</v>
      </c>
      <c r="E154" s="8" t="s">
        <v>9</v>
      </c>
      <c r="F154" s="8"/>
      <c r="H154" s="8" t="s">
        <v>2352</v>
      </c>
      <c r="I154" s="8" t="s">
        <v>1985</v>
      </c>
      <c r="J154" s="8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8" t="s">
        <v>884</v>
      </c>
      <c r="E155" s="8" t="s">
        <v>1274</v>
      </c>
      <c r="F155" s="8" t="s">
        <v>58</v>
      </c>
      <c r="H155" s="8"/>
      <c r="I155" s="8" t="s">
        <v>1987</v>
      </c>
      <c r="J155" s="8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8" t="s">
        <v>4</v>
      </c>
      <c r="E156" s="8" t="s">
        <v>9</v>
      </c>
      <c r="F156" s="8"/>
      <c r="H156" s="8" t="s">
        <v>2352</v>
      </c>
      <c r="I156" s="8" t="s">
        <v>1989</v>
      </c>
      <c r="J156" s="8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8" t="s">
        <v>4</v>
      </c>
      <c r="E157" s="8" t="s">
        <v>9</v>
      </c>
      <c r="F157" s="8"/>
      <c r="H157" s="8" t="s">
        <v>2352</v>
      </c>
      <c r="I157" s="8" t="s">
        <v>1991</v>
      </c>
      <c r="J157" s="8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8" t="s">
        <v>4</v>
      </c>
      <c r="E158" s="8" t="s">
        <v>2363</v>
      </c>
      <c r="F158" s="8"/>
      <c r="H158" s="8"/>
      <c r="I158" s="8" t="s">
        <v>1993</v>
      </c>
      <c r="J158" s="8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8" t="s">
        <v>4</v>
      </c>
      <c r="E159" s="8" t="s">
        <v>9</v>
      </c>
      <c r="F159" s="8"/>
      <c r="H159" s="8"/>
      <c r="I159" s="8" t="s">
        <v>1995</v>
      </c>
      <c r="J159" s="8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8" t="s">
        <v>884</v>
      </c>
      <c r="E160" s="8" t="s">
        <v>2356</v>
      </c>
      <c r="F160" s="8" t="s">
        <v>58</v>
      </c>
      <c r="H160" s="8"/>
      <c r="I160" s="8" t="s">
        <v>1997</v>
      </c>
      <c r="J160" s="8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8" t="s">
        <v>4</v>
      </c>
      <c r="E161" s="8" t="s">
        <v>9</v>
      </c>
      <c r="F161" s="8"/>
      <c r="H161" s="8" t="s">
        <v>2352</v>
      </c>
      <c r="I161" s="8" t="s">
        <v>1999</v>
      </c>
      <c r="J161" s="8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8" t="s">
        <v>884</v>
      </c>
      <c r="E162" s="8" t="s">
        <v>1274</v>
      </c>
      <c r="F162" s="8" t="s">
        <v>58</v>
      </c>
      <c r="H162" s="8"/>
      <c r="I162" s="8" t="s">
        <v>2001</v>
      </c>
      <c r="J162" s="8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8" t="s">
        <v>4</v>
      </c>
      <c r="E163" s="8" t="s">
        <v>9</v>
      </c>
      <c r="F163" s="8"/>
      <c r="H163" s="8" t="s">
        <v>2352</v>
      </c>
      <c r="I163" s="8" t="s">
        <v>2003</v>
      </c>
      <c r="J163" s="8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8" t="s">
        <v>4</v>
      </c>
      <c r="E164" s="8" t="s">
        <v>9</v>
      </c>
      <c r="F164" s="8"/>
      <c r="H164" s="8" t="s">
        <v>2352</v>
      </c>
      <c r="I164" s="8" t="s">
        <v>2005</v>
      </c>
      <c r="J164" s="8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8" t="s">
        <v>884</v>
      </c>
      <c r="E165" s="8" t="s">
        <v>1274</v>
      </c>
      <c r="F165" s="8" t="s">
        <v>58</v>
      </c>
      <c r="H165" s="8"/>
      <c r="I165" s="8" t="s">
        <v>2007</v>
      </c>
      <c r="J165" s="8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8" t="s">
        <v>4</v>
      </c>
      <c r="E166" s="8" t="s">
        <v>9</v>
      </c>
      <c r="F166" s="8"/>
      <c r="H166" s="8"/>
      <c r="I166" s="8" t="s">
        <v>2009</v>
      </c>
      <c r="J166" s="8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8" t="s">
        <v>1607</v>
      </c>
      <c r="E167" s="8"/>
      <c r="F167" s="8"/>
      <c r="H167" s="8"/>
      <c r="I167" s="8" t="s">
        <v>2011</v>
      </c>
      <c r="J167" s="8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8" t="s">
        <v>1607</v>
      </c>
      <c r="E168" s="8"/>
      <c r="F168" s="8"/>
      <c r="H168" s="8"/>
      <c r="I168" s="8" t="s">
        <v>2013</v>
      </c>
      <c r="J168" s="8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8" t="s">
        <v>4</v>
      </c>
      <c r="E169" s="8" t="s">
        <v>9</v>
      </c>
      <c r="F169" s="8"/>
      <c r="H169" s="8"/>
      <c r="I169" s="8" t="s">
        <v>3004</v>
      </c>
      <c r="J169" s="8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8" t="s">
        <v>4</v>
      </c>
      <c r="E170" s="8" t="s">
        <v>9</v>
      </c>
      <c r="F170" s="8"/>
      <c r="H170" s="8" t="s">
        <v>2352</v>
      </c>
      <c r="I170" s="8" t="s">
        <v>3006</v>
      </c>
      <c r="J170" s="8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8" t="s">
        <v>4</v>
      </c>
      <c r="E171" s="8" t="s">
        <v>9</v>
      </c>
      <c r="F171" s="8"/>
      <c r="H171" s="8" t="s">
        <v>2352</v>
      </c>
      <c r="I171" s="8" t="s">
        <v>3008</v>
      </c>
      <c r="J171" s="8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8" t="s">
        <v>4</v>
      </c>
      <c r="E172" s="8" t="s">
        <v>9</v>
      </c>
      <c r="F172" s="8"/>
      <c r="H172" s="8" t="s">
        <v>2352</v>
      </c>
      <c r="I172" s="8" t="s">
        <v>3010</v>
      </c>
      <c r="J172" s="8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8" t="s">
        <v>4</v>
      </c>
      <c r="E173" s="8" t="s">
        <v>9</v>
      </c>
      <c r="F173" s="8"/>
      <c r="H173" s="8" t="s">
        <v>2352</v>
      </c>
      <c r="I173" s="8" t="s">
        <v>3012</v>
      </c>
      <c r="J173" s="8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8" t="s">
        <v>4</v>
      </c>
      <c r="E174" s="8" t="s">
        <v>9</v>
      </c>
      <c r="F174" s="8"/>
      <c r="H174" s="8"/>
      <c r="I174" s="8" t="s">
        <v>3014</v>
      </c>
      <c r="J174" s="8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8" t="s">
        <v>1627</v>
      </c>
      <c r="E175" s="8" t="s">
        <v>1058</v>
      </c>
      <c r="F175" s="8"/>
      <c r="H175" s="8"/>
      <c r="I175" s="8" t="s">
        <v>3016</v>
      </c>
      <c r="J175" s="8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8" t="s">
        <v>1627</v>
      </c>
      <c r="E176" s="8" t="s">
        <v>1058</v>
      </c>
      <c r="F176" s="8"/>
      <c r="H176" s="8" t="s">
        <v>2352</v>
      </c>
      <c r="I176" s="8" t="s">
        <v>3018</v>
      </c>
      <c r="J176" s="8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8" t="s">
        <v>1627</v>
      </c>
      <c r="E177" s="8" t="s">
        <v>1058</v>
      </c>
      <c r="F177" s="8"/>
      <c r="H177" s="8" t="s">
        <v>2352</v>
      </c>
      <c r="I177" s="8" t="s">
        <v>3020</v>
      </c>
      <c r="J177" s="8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8" t="s">
        <v>1627</v>
      </c>
      <c r="E178" s="8" t="s">
        <v>1058</v>
      </c>
      <c r="F178" s="8"/>
      <c r="H178" s="8" t="s">
        <v>2352</v>
      </c>
      <c r="I178" s="8" t="s">
        <v>3022</v>
      </c>
      <c r="J178" s="8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8" t="s">
        <v>1627</v>
      </c>
      <c r="E179" s="8" t="s">
        <v>1058</v>
      </c>
      <c r="F179" s="8"/>
      <c r="H179" s="8" t="s">
        <v>2352</v>
      </c>
      <c r="I179" s="8" t="s">
        <v>3024</v>
      </c>
      <c r="J179" s="8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8" t="s">
        <v>4</v>
      </c>
      <c r="E180" s="8" t="s">
        <v>9</v>
      </c>
      <c r="F180" s="8"/>
      <c r="H180" s="8"/>
      <c r="I180" s="8" t="s">
        <v>3026</v>
      </c>
      <c r="J180" s="8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8" t="s">
        <v>1627</v>
      </c>
      <c r="E181" s="8" t="s">
        <v>1058</v>
      </c>
      <c r="F181" s="8"/>
      <c r="H181" s="8" t="s">
        <v>2352</v>
      </c>
      <c r="I181" s="8" t="s">
        <v>3028</v>
      </c>
      <c r="J181" s="8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8" t="s">
        <v>1627</v>
      </c>
      <c r="E182" s="8" t="s">
        <v>1058</v>
      </c>
      <c r="F182" s="8"/>
      <c r="H182" s="8" t="s">
        <v>2352</v>
      </c>
      <c r="I182" s="8" t="s">
        <v>3030</v>
      </c>
      <c r="J182" s="8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8" t="s">
        <v>1627</v>
      </c>
      <c r="E183" s="8" t="s">
        <v>1058</v>
      </c>
      <c r="F183" s="8"/>
      <c r="H183" s="8" t="s">
        <v>2352</v>
      </c>
      <c r="I183" s="8" t="s">
        <v>3032</v>
      </c>
      <c r="J183" s="8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8" t="s">
        <v>1627</v>
      </c>
      <c r="E184" s="8" t="s">
        <v>1058</v>
      </c>
      <c r="F184" s="8"/>
      <c r="H184" s="8" t="s">
        <v>2352</v>
      </c>
      <c r="I184" s="8" t="s">
        <v>3034</v>
      </c>
      <c r="J184" s="8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8" t="s">
        <v>1627</v>
      </c>
      <c r="E185" s="8" t="s">
        <v>1058</v>
      </c>
      <c r="F185" s="8"/>
      <c r="H185" s="8" t="s">
        <v>2352</v>
      </c>
      <c r="I185" s="8" t="s">
        <v>3036</v>
      </c>
      <c r="J185" s="8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8" t="s">
        <v>1627</v>
      </c>
      <c r="E186" s="8" t="s">
        <v>1058</v>
      </c>
      <c r="F186" s="8"/>
      <c r="H186" s="8" t="s">
        <v>2352</v>
      </c>
      <c r="I186" s="8" t="s">
        <v>3038</v>
      </c>
      <c r="J186" s="8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8" t="s">
        <v>1627</v>
      </c>
      <c r="E187" s="8" t="s">
        <v>1058</v>
      </c>
      <c r="F187" s="8"/>
      <c r="H187" s="8" t="s">
        <v>2352</v>
      </c>
      <c r="I187" s="8" t="s">
        <v>3040</v>
      </c>
      <c r="J187" s="8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8" t="s">
        <v>1627</v>
      </c>
      <c r="E188" s="8" t="s">
        <v>1058</v>
      </c>
      <c r="F188" s="8"/>
      <c r="H188" s="8" t="s">
        <v>2352</v>
      </c>
      <c r="I188" s="8" t="s">
        <v>3042</v>
      </c>
      <c r="J188" s="8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8" t="s">
        <v>1627</v>
      </c>
      <c r="E189" s="8" t="s">
        <v>1058</v>
      </c>
      <c r="F189" s="8"/>
      <c r="H189" s="8" t="s">
        <v>2352</v>
      </c>
      <c r="I189" s="8" t="s">
        <v>3044</v>
      </c>
      <c r="J189" s="8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8" t="s">
        <v>4</v>
      </c>
      <c r="E190" s="8" t="s">
        <v>9</v>
      </c>
      <c r="F190" s="8"/>
      <c r="H190" s="8"/>
      <c r="I190" s="8" t="s">
        <v>3046</v>
      </c>
      <c r="J190" s="8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8" t="s">
        <v>4</v>
      </c>
      <c r="E191" s="8" t="s">
        <v>9</v>
      </c>
      <c r="F191" s="8"/>
      <c r="H191" s="8" t="s">
        <v>2352</v>
      </c>
      <c r="I191" s="8" t="s">
        <v>3048</v>
      </c>
      <c r="J191" s="8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8" t="s">
        <v>4</v>
      </c>
      <c r="E192" s="8" t="s">
        <v>9</v>
      </c>
      <c r="F192" s="8"/>
      <c r="H192" s="8" t="s">
        <v>2352</v>
      </c>
      <c r="I192" s="8" t="s">
        <v>3050</v>
      </c>
      <c r="J192" s="8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8" t="s">
        <v>4</v>
      </c>
      <c r="E193" s="8" t="s">
        <v>9</v>
      </c>
      <c r="F193" s="8"/>
      <c r="H193" s="8" t="s">
        <v>2352</v>
      </c>
      <c r="I193" s="8" t="s">
        <v>3052</v>
      </c>
      <c r="J193" s="8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8" t="s">
        <v>4</v>
      </c>
      <c r="E194" s="8" t="s">
        <v>9</v>
      </c>
      <c r="F194" s="8"/>
      <c r="H194" s="8" t="s">
        <v>2352</v>
      </c>
      <c r="I194" s="8" t="s">
        <v>3054</v>
      </c>
      <c r="J194" s="8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8" t="s">
        <v>4</v>
      </c>
      <c r="E195" s="8" t="s">
        <v>9</v>
      </c>
      <c r="F195" s="8"/>
      <c r="H195" s="8" t="s">
        <v>2352</v>
      </c>
      <c r="I195" s="8" t="s">
        <v>3056</v>
      </c>
      <c r="J195" s="8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8" t="s">
        <v>4</v>
      </c>
      <c r="E196" s="8" t="s">
        <v>9</v>
      </c>
      <c r="F196" s="8"/>
      <c r="H196" s="8" t="s">
        <v>2352</v>
      </c>
      <c r="I196" s="8" t="s">
        <v>3058</v>
      </c>
      <c r="J196" s="8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8" t="s">
        <v>4</v>
      </c>
      <c r="E197" s="8" t="s">
        <v>9</v>
      </c>
      <c r="F197" s="8"/>
      <c r="H197" s="8" t="s">
        <v>2352</v>
      </c>
      <c r="I197" s="8" t="s">
        <v>3060</v>
      </c>
      <c r="J197" s="8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8" t="s">
        <v>4</v>
      </c>
      <c r="E198" s="8" t="s">
        <v>9</v>
      </c>
      <c r="F198" s="8"/>
      <c r="H198" s="8" t="s">
        <v>2352</v>
      </c>
      <c r="I198" s="8" t="s">
        <v>3062</v>
      </c>
      <c r="J198" s="8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8" t="s">
        <v>4</v>
      </c>
      <c r="E199" s="8" t="s">
        <v>9</v>
      </c>
      <c r="F199" s="8"/>
      <c r="H199" s="8" t="s">
        <v>2352</v>
      </c>
      <c r="I199" s="8" t="s">
        <v>3064</v>
      </c>
      <c r="J199" s="8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8" t="s">
        <v>4</v>
      </c>
      <c r="E200" s="8" t="s">
        <v>9</v>
      </c>
      <c r="F200" s="8"/>
      <c r="H200" s="8" t="s">
        <v>2352</v>
      </c>
      <c r="I200" s="8" t="s">
        <v>3066</v>
      </c>
      <c r="J200" s="8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8" t="s">
        <v>4</v>
      </c>
      <c r="E201" s="8" t="s">
        <v>9</v>
      </c>
      <c r="F201" s="8"/>
      <c r="H201" s="8" t="s">
        <v>2352</v>
      </c>
      <c r="I201" s="8" t="s">
        <v>3068</v>
      </c>
      <c r="J201" s="8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8" t="s">
        <v>4</v>
      </c>
      <c r="E202" s="8" t="s">
        <v>9</v>
      </c>
      <c r="F202" s="8"/>
      <c r="H202" s="8" t="s">
        <v>2352</v>
      </c>
      <c r="I202" s="8" t="s">
        <v>3070</v>
      </c>
      <c r="J202" s="8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8" t="s">
        <v>4</v>
      </c>
      <c r="E203" s="8" t="s">
        <v>9</v>
      </c>
      <c r="F203" s="8"/>
      <c r="H203" s="8" t="s">
        <v>2352</v>
      </c>
      <c r="I203" s="8" t="s">
        <v>3072</v>
      </c>
      <c r="J203" s="8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8" t="s">
        <v>4</v>
      </c>
      <c r="E204" s="8" t="s">
        <v>9</v>
      </c>
      <c r="F204" s="8"/>
      <c r="H204" s="8" t="s">
        <v>2352</v>
      </c>
      <c r="I204" s="8" t="s">
        <v>3074</v>
      </c>
      <c r="J204" s="8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8" t="s">
        <v>4</v>
      </c>
      <c r="E205" s="8" t="s">
        <v>9</v>
      </c>
      <c r="F205" s="8"/>
      <c r="H205" s="8" t="s">
        <v>2352</v>
      </c>
      <c r="I205" s="8" t="s">
        <v>3076</v>
      </c>
      <c r="J205" s="8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8" t="s">
        <v>4</v>
      </c>
      <c r="E206" s="8" t="s">
        <v>9</v>
      </c>
      <c r="F206" s="8"/>
      <c r="H206" s="8" t="s">
        <v>2352</v>
      </c>
      <c r="I206" s="8" t="s">
        <v>3078</v>
      </c>
      <c r="J206" s="8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8" t="s">
        <v>4</v>
      </c>
      <c r="E207" s="8" t="s">
        <v>9</v>
      </c>
      <c r="F207" s="8"/>
      <c r="H207" s="8" t="s">
        <v>2352</v>
      </c>
      <c r="I207" s="8" t="s">
        <v>3080</v>
      </c>
      <c r="J207" s="8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8" t="s">
        <v>4</v>
      </c>
      <c r="E208" s="8" t="s">
        <v>9</v>
      </c>
      <c r="F208" s="8"/>
      <c r="H208" s="8" t="s">
        <v>2352</v>
      </c>
      <c r="I208" s="8" t="s">
        <v>3082</v>
      </c>
      <c r="J208" s="8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8" t="s">
        <v>4</v>
      </c>
      <c r="E209" s="8" t="s">
        <v>9</v>
      </c>
      <c r="F209" s="8"/>
      <c r="H209" s="8" t="s">
        <v>2352</v>
      </c>
      <c r="I209" s="8" t="s">
        <v>3084</v>
      </c>
      <c r="J209" s="8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8" t="s">
        <v>3386</v>
      </c>
      <c r="E210" s="8" t="s">
        <v>86</v>
      </c>
      <c r="F210" s="8" t="s">
        <v>58</v>
      </c>
      <c r="H210" s="8"/>
      <c r="I210" s="8" t="s">
        <v>3086</v>
      </c>
      <c r="J210" s="8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8" t="s">
        <v>4</v>
      </c>
      <c r="E211" s="8" t="s">
        <v>9</v>
      </c>
      <c r="F211" s="8"/>
      <c r="H211" s="8"/>
      <c r="I211" s="8" t="s">
        <v>3088</v>
      </c>
      <c r="J211" s="8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8" t="s">
        <v>4</v>
      </c>
      <c r="E212" s="8" t="s">
        <v>3387</v>
      </c>
      <c r="F212" s="8" t="s">
        <v>892</v>
      </c>
      <c r="H212" s="8"/>
      <c r="I212" s="8" t="s">
        <v>3090</v>
      </c>
      <c r="J212" s="8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8" t="s">
        <v>1607</v>
      </c>
      <c r="E213" s="8"/>
      <c r="F213" s="8"/>
      <c r="H213" s="8"/>
      <c r="I213" s="8" t="s">
        <v>3442</v>
      </c>
      <c r="J213" s="8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8" t="s">
        <v>4</v>
      </c>
      <c r="E214" s="8" t="s">
        <v>9</v>
      </c>
      <c r="F214" s="8"/>
      <c r="H214" s="8"/>
      <c r="I214" s="8" t="s">
        <v>3719</v>
      </c>
      <c r="J214" s="8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8" t="s">
        <v>4130</v>
      </c>
      <c r="E215" s="8" t="s">
        <v>4129</v>
      </c>
      <c r="F215" s="8"/>
      <c r="H215" s="8"/>
      <c r="I215" s="8" t="s">
        <v>3721</v>
      </c>
      <c r="J215" s="8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8" t="s">
        <v>4130</v>
      </c>
      <c r="E216" s="8" t="s">
        <v>4129</v>
      </c>
      <c r="F216" s="8"/>
      <c r="H216" s="8" t="s">
        <v>2352</v>
      </c>
      <c r="I216" s="8" t="s">
        <v>3723</v>
      </c>
      <c r="J216" s="8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8" t="s">
        <v>884</v>
      </c>
      <c r="E217" s="8" t="s">
        <v>4131</v>
      </c>
      <c r="F217" s="8" t="s">
        <v>892</v>
      </c>
      <c r="H217" s="8"/>
      <c r="I217" s="8" t="s">
        <v>3725</v>
      </c>
      <c r="J217" s="8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8" t="s">
        <v>884</v>
      </c>
      <c r="E218" s="8" t="s">
        <v>4131</v>
      </c>
      <c r="F218" s="8" t="s">
        <v>892</v>
      </c>
      <c r="H218" s="8" t="s">
        <v>2352</v>
      </c>
      <c r="I218" s="8" t="s">
        <v>3727</v>
      </c>
      <c r="J218" s="8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8" t="s">
        <v>4</v>
      </c>
      <c r="E219" s="8" t="s">
        <v>9</v>
      </c>
      <c r="F219" s="8"/>
      <c r="H219" s="8"/>
      <c r="I219" s="8" t="s">
        <v>3729</v>
      </c>
      <c r="J219" s="8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8" t="s">
        <v>4</v>
      </c>
      <c r="E220" s="8" t="s">
        <v>9</v>
      </c>
      <c r="F220" s="8"/>
      <c r="H220" s="8" t="s">
        <v>2352</v>
      </c>
      <c r="I220" s="8" t="s">
        <v>3731</v>
      </c>
      <c r="J220" s="8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8" t="s">
        <v>4</v>
      </c>
      <c r="E221" s="8" t="s">
        <v>9</v>
      </c>
      <c r="F221" s="8"/>
      <c r="H221" s="8" t="s">
        <v>2352</v>
      </c>
      <c r="I221" s="8" t="s">
        <v>3733</v>
      </c>
      <c r="J221" s="8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8" t="s">
        <v>4</v>
      </c>
      <c r="E222" s="8" t="s">
        <v>9</v>
      </c>
      <c r="F222" s="8"/>
      <c r="H222" s="8" t="s">
        <v>2352</v>
      </c>
      <c r="I222" s="8" t="s">
        <v>3735</v>
      </c>
      <c r="J222" s="8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8" t="s">
        <v>4</v>
      </c>
      <c r="E223" s="8" t="s">
        <v>9</v>
      </c>
      <c r="F223" s="8"/>
      <c r="H223" s="8" t="s">
        <v>2352</v>
      </c>
      <c r="I223" s="8" t="s">
        <v>3737</v>
      </c>
      <c r="J223" s="8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8" t="s">
        <v>4</v>
      </c>
      <c r="E224" s="8" t="s">
        <v>9</v>
      </c>
      <c r="F224" s="8"/>
      <c r="H224" s="8" t="s">
        <v>2352</v>
      </c>
      <c r="I224" s="8" t="s">
        <v>3739</v>
      </c>
      <c r="J224" s="8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8" t="s">
        <v>4</v>
      </c>
      <c r="E225" s="8" t="s">
        <v>9</v>
      </c>
      <c r="F225" s="8"/>
      <c r="H225" s="8" t="s">
        <v>2352</v>
      </c>
      <c r="I225" s="8" t="s">
        <v>3741</v>
      </c>
      <c r="J225" s="8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8" t="s">
        <v>4</v>
      </c>
      <c r="E226" s="8" t="s">
        <v>9</v>
      </c>
      <c r="F226" s="8"/>
      <c r="H226" s="8" t="s">
        <v>2352</v>
      </c>
      <c r="I226" s="8" t="s">
        <v>3743</v>
      </c>
      <c r="J226" s="8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8" t="s">
        <v>4</v>
      </c>
      <c r="E227" s="8" t="s">
        <v>9</v>
      </c>
      <c r="F227" s="8"/>
      <c r="H227" s="8" t="s">
        <v>2352</v>
      </c>
      <c r="I227" s="8" t="s">
        <v>3745</v>
      </c>
      <c r="J227" s="8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8" t="s">
        <v>4</v>
      </c>
      <c r="E228" s="8" t="s">
        <v>9</v>
      </c>
      <c r="F228" s="8"/>
      <c r="H228" s="8" t="s">
        <v>2352</v>
      </c>
      <c r="I228" s="8" t="s">
        <v>3747</v>
      </c>
      <c r="J228" s="8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8" t="s">
        <v>4</v>
      </c>
      <c r="E229" s="8" t="s">
        <v>9</v>
      </c>
      <c r="F229" s="8"/>
      <c r="H229" s="8" t="s">
        <v>2352</v>
      </c>
      <c r="I229" s="8" t="s">
        <v>3749</v>
      </c>
      <c r="J229" s="8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8" t="s">
        <v>4</v>
      </c>
      <c r="E230" s="8" t="s">
        <v>9</v>
      </c>
      <c r="F230" s="8"/>
      <c r="H230" s="8" t="s">
        <v>2352</v>
      </c>
      <c r="I230" s="8" t="s">
        <v>3751</v>
      </c>
      <c r="J230" s="8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8" t="s">
        <v>884</v>
      </c>
      <c r="E231" s="8" t="s">
        <v>1274</v>
      </c>
      <c r="F231" s="8" t="s">
        <v>58</v>
      </c>
      <c r="H231" s="8"/>
      <c r="I231" s="8" t="s">
        <v>3753</v>
      </c>
      <c r="J231" s="8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8" t="s">
        <v>4</v>
      </c>
      <c r="E232" s="8" t="s">
        <v>9</v>
      </c>
      <c r="F232" s="8"/>
      <c r="H232" s="8" t="s">
        <v>2352</v>
      </c>
      <c r="I232" s="8" t="s">
        <v>3755</v>
      </c>
      <c r="J232" s="8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8" t="s">
        <v>884</v>
      </c>
      <c r="E233" s="8" t="s">
        <v>1274</v>
      </c>
      <c r="F233" s="8" t="s">
        <v>58</v>
      </c>
      <c r="H233" s="8"/>
      <c r="I233" s="8" t="s">
        <v>3757</v>
      </c>
      <c r="J233" s="8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8" t="s">
        <v>4</v>
      </c>
      <c r="E234" s="8" t="s">
        <v>9</v>
      </c>
      <c r="F234" s="8"/>
      <c r="H234" s="8" t="s">
        <v>2352</v>
      </c>
      <c r="I234" s="8" t="s">
        <v>3759</v>
      </c>
      <c r="J234" s="8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8" t="s">
        <v>884</v>
      </c>
      <c r="E235" s="8" t="s">
        <v>1274</v>
      </c>
      <c r="F235" s="8" t="s">
        <v>58</v>
      </c>
      <c r="H235" s="8"/>
      <c r="I235" s="8" t="s">
        <v>3761</v>
      </c>
      <c r="J235" s="8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8" t="s">
        <v>4</v>
      </c>
      <c r="E236" s="8" t="s">
        <v>9</v>
      </c>
      <c r="F236" s="8"/>
      <c r="H236" s="8" t="s">
        <v>2352</v>
      </c>
      <c r="I236" s="8" t="s">
        <v>3763</v>
      </c>
      <c r="J236" s="8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8" t="s">
        <v>884</v>
      </c>
      <c r="E237" s="8" t="s">
        <v>1274</v>
      </c>
      <c r="F237" s="8" t="s">
        <v>58</v>
      </c>
      <c r="H237" s="8"/>
      <c r="I237" s="8" t="s">
        <v>3765</v>
      </c>
      <c r="J237" s="8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8" t="s">
        <v>4</v>
      </c>
      <c r="E238" s="8" t="s">
        <v>9</v>
      </c>
      <c r="F238" s="8"/>
      <c r="H238" s="8"/>
      <c r="I238" s="8" t="s">
        <v>3767</v>
      </c>
      <c r="J238" s="8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8" t="s">
        <v>4</v>
      </c>
      <c r="E239" s="8" t="s">
        <v>9</v>
      </c>
      <c r="F239" s="8"/>
      <c r="H239" s="8" t="s">
        <v>2352</v>
      </c>
      <c r="I239" s="8" t="s">
        <v>3769</v>
      </c>
      <c r="J239" s="8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8" t="s">
        <v>4</v>
      </c>
      <c r="E240" s="8" t="s">
        <v>9</v>
      </c>
      <c r="F240" s="8"/>
      <c r="H240" s="8" t="s">
        <v>2352</v>
      </c>
      <c r="I240" s="8" t="s">
        <v>3771</v>
      </c>
      <c r="J240" s="8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8" t="s">
        <v>4</v>
      </c>
      <c r="E241" s="8" t="s">
        <v>9</v>
      </c>
      <c r="F241" s="8"/>
      <c r="H241" s="8" t="s">
        <v>2352</v>
      </c>
      <c r="I241" s="8" t="s">
        <v>3773</v>
      </c>
      <c r="J241" s="8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8" t="s">
        <v>4</v>
      </c>
      <c r="E242" s="8" t="s">
        <v>9</v>
      </c>
      <c r="F242" s="8"/>
      <c r="H242" s="8" t="s">
        <v>2352</v>
      </c>
      <c r="I242" s="8" t="s">
        <v>3775</v>
      </c>
      <c r="J242" s="8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8" t="s">
        <v>4</v>
      </c>
      <c r="E243" s="8" t="s">
        <v>9</v>
      </c>
      <c r="F243" s="8"/>
      <c r="H243" s="8" t="s">
        <v>2352</v>
      </c>
      <c r="I243" s="8" t="s">
        <v>3777</v>
      </c>
      <c r="J243" s="8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8" t="s">
        <v>884</v>
      </c>
      <c r="E244" s="8" t="s">
        <v>468</v>
      </c>
      <c r="F244" s="8" t="s">
        <v>2360</v>
      </c>
      <c r="H244" s="8"/>
      <c r="I244" s="8" t="s">
        <v>3779</v>
      </c>
      <c r="J244" s="8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8" t="s">
        <v>4</v>
      </c>
      <c r="E245" s="8" t="s">
        <v>9</v>
      </c>
      <c r="F245" s="8"/>
      <c r="H245" s="8" t="s">
        <v>2352</v>
      </c>
      <c r="I245" s="8" t="s">
        <v>3781</v>
      </c>
      <c r="J245" s="8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8" t="s">
        <v>884</v>
      </c>
      <c r="E246" s="8" t="s">
        <v>1274</v>
      </c>
      <c r="F246" s="8" t="s">
        <v>58</v>
      </c>
      <c r="H246" s="8"/>
      <c r="I246" s="8" t="s">
        <v>3783</v>
      </c>
      <c r="J246" s="8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8" t="s">
        <v>4</v>
      </c>
      <c r="E247" s="8" t="s">
        <v>9</v>
      </c>
      <c r="F247" s="8"/>
      <c r="H247" s="8" t="s">
        <v>2352</v>
      </c>
      <c r="I247" s="8" t="s">
        <v>3785</v>
      </c>
      <c r="J247" s="8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8" t="s">
        <v>884</v>
      </c>
      <c r="E248" s="8" t="s">
        <v>1274</v>
      </c>
      <c r="F248" s="8" t="s">
        <v>58</v>
      </c>
      <c r="H248" s="8"/>
      <c r="I248" s="8" t="s">
        <v>3787</v>
      </c>
      <c r="J248" s="8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8" t="s">
        <v>4</v>
      </c>
      <c r="E249" s="8" t="s">
        <v>9</v>
      </c>
      <c r="F249" s="8"/>
      <c r="H249" s="8" t="s">
        <v>2352</v>
      </c>
      <c r="I249" s="8" t="s">
        <v>3789</v>
      </c>
      <c r="J249" s="8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8" t="s">
        <v>4</v>
      </c>
      <c r="E250" s="8" t="s">
        <v>9</v>
      </c>
      <c r="F250" s="8"/>
      <c r="H250" s="8" t="s">
        <v>2352</v>
      </c>
      <c r="I250" s="8" t="s">
        <v>3791</v>
      </c>
      <c r="J250" s="8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8" t="s">
        <v>4</v>
      </c>
      <c r="E251" s="8" t="s">
        <v>9</v>
      </c>
      <c r="F251" s="8"/>
      <c r="H251" s="8" t="s">
        <v>2352</v>
      </c>
      <c r="I251" s="8" t="s">
        <v>3793</v>
      </c>
      <c r="J251" s="8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8" t="s">
        <v>4</v>
      </c>
      <c r="E252" s="8" t="s">
        <v>9</v>
      </c>
      <c r="F252" s="8"/>
      <c r="H252" s="8" t="s">
        <v>2352</v>
      </c>
      <c r="I252" s="8" t="s">
        <v>3795</v>
      </c>
      <c r="J252" s="8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8" t="s">
        <v>4</v>
      </c>
      <c r="E253" s="8" t="s">
        <v>9</v>
      </c>
      <c r="F253" s="8"/>
      <c r="H253" s="8" t="s">
        <v>2352</v>
      </c>
      <c r="I253" s="8" t="s">
        <v>3797</v>
      </c>
      <c r="J253" s="8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8" t="s">
        <v>4</v>
      </c>
      <c r="E254" s="8" t="s">
        <v>9</v>
      </c>
      <c r="F254" s="8"/>
      <c r="H254" s="8" t="s">
        <v>2352</v>
      </c>
      <c r="I254" s="8" t="s">
        <v>3799</v>
      </c>
      <c r="J254" s="8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8" t="s">
        <v>4</v>
      </c>
      <c r="E255" s="8" t="s">
        <v>9</v>
      </c>
      <c r="F255" s="8"/>
      <c r="H255" s="8" t="s">
        <v>2352</v>
      </c>
      <c r="I255" s="8" t="s">
        <v>3801</v>
      </c>
      <c r="J255" s="8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8" t="s">
        <v>4</v>
      </c>
      <c r="E256" s="8" t="s">
        <v>468</v>
      </c>
      <c r="F256" s="8" t="s">
        <v>892</v>
      </c>
      <c r="H256" s="8" t="s">
        <v>4132</v>
      </c>
      <c r="I256" s="8" t="s">
        <v>3803</v>
      </c>
      <c r="J256" s="8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8" t="s">
        <v>4</v>
      </c>
      <c r="E257" s="8" t="s">
        <v>9</v>
      </c>
      <c r="F257" s="8"/>
      <c r="H257" s="8" t="s">
        <v>2352</v>
      </c>
      <c r="I257" s="8" t="s">
        <v>3805</v>
      </c>
      <c r="J257" s="8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8" t="s">
        <v>884</v>
      </c>
      <c r="E258" s="8" t="s">
        <v>1274</v>
      </c>
      <c r="F258" s="8" t="s">
        <v>58</v>
      </c>
      <c r="H258" s="8"/>
      <c r="I258" s="8" t="s">
        <v>3807</v>
      </c>
      <c r="J258" s="8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8" t="s">
        <v>4</v>
      </c>
      <c r="E259" s="8" t="s">
        <v>9</v>
      </c>
      <c r="F259" s="8"/>
      <c r="H259" s="8" t="s">
        <v>2352</v>
      </c>
      <c r="I259" s="8" t="s">
        <v>3809</v>
      </c>
      <c r="J259" s="8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8" t="s">
        <v>884</v>
      </c>
      <c r="E260" s="8" t="s">
        <v>1274</v>
      </c>
      <c r="F260" s="8" t="s">
        <v>58</v>
      </c>
      <c r="H260" s="8"/>
      <c r="I260" s="8" t="s">
        <v>3811</v>
      </c>
      <c r="J260" s="8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8" t="s">
        <v>4</v>
      </c>
      <c r="E261" s="8" t="s">
        <v>9</v>
      </c>
      <c r="F261" s="8"/>
      <c r="H261" s="8" t="s">
        <v>2352</v>
      </c>
      <c r="I261" s="8" t="s">
        <v>3813</v>
      </c>
      <c r="J261" s="8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8" t="s">
        <v>4</v>
      </c>
      <c r="E262" s="8" t="s">
        <v>9</v>
      </c>
      <c r="F262" s="8"/>
      <c r="H262" s="8" t="s">
        <v>2352</v>
      </c>
      <c r="I262" s="8" t="s">
        <v>3815</v>
      </c>
      <c r="J262" s="8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8" t="s">
        <v>4</v>
      </c>
      <c r="E263" s="8" t="s">
        <v>9</v>
      </c>
      <c r="F263" s="8"/>
      <c r="H263" s="8" t="s">
        <v>2352</v>
      </c>
      <c r="I263" s="8" t="s">
        <v>3817</v>
      </c>
      <c r="J263" s="8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8" t="s">
        <v>4</v>
      </c>
      <c r="E264" s="8" t="s">
        <v>9</v>
      </c>
      <c r="F264" s="8"/>
      <c r="H264" s="8" t="s">
        <v>2352</v>
      </c>
      <c r="I264" s="8" t="s">
        <v>3819</v>
      </c>
      <c r="J264" s="8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8" t="s">
        <v>4</v>
      </c>
      <c r="E265" s="8" t="s">
        <v>9</v>
      </c>
      <c r="F265" s="8"/>
      <c r="H265" s="8" t="s">
        <v>2352</v>
      </c>
      <c r="I265" s="8" t="s">
        <v>3821</v>
      </c>
      <c r="J265" s="8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8" t="s">
        <v>884</v>
      </c>
      <c r="E266" s="8" t="s">
        <v>1274</v>
      </c>
      <c r="F266" s="8" t="s">
        <v>58</v>
      </c>
      <c r="H266" s="8"/>
      <c r="I266" s="8" t="s">
        <v>3823</v>
      </c>
      <c r="J266" s="8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8" t="s">
        <v>4</v>
      </c>
      <c r="E267" s="8" t="s">
        <v>9</v>
      </c>
      <c r="F267" s="8"/>
      <c r="H267" s="8" t="s">
        <v>2352</v>
      </c>
      <c r="I267" s="8" t="s">
        <v>3825</v>
      </c>
      <c r="J267" s="8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8" t="s">
        <v>884</v>
      </c>
      <c r="E268" s="8" t="s">
        <v>1274</v>
      </c>
      <c r="F268" s="8" t="s">
        <v>58</v>
      </c>
      <c r="H268" s="8"/>
      <c r="I268" s="8" t="s">
        <v>3827</v>
      </c>
      <c r="J268" s="8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8" t="s">
        <v>4</v>
      </c>
      <c r="E269" s="8" t="s">
        <v>9</v>
      </c>
      <c r="F269" s="8"/>
      <c r="H269" s="8" t="s">
        <v>2352</v>
      </c>
      <c r="I269" s="8" t="s">
        <v>3829</v>
      </c>
      <c r="J269" s="8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8" t="s">
        <v>4</v>
      </c>
      <c r="E270" s="8" t="s">
        <v>9</v>
      </c>
      <c r="F270" s="8"/>
      <c r="H270" s="8" t="s">
        <v>2352</v>
      </c>
      <c r="I270" s="8" t="s">
        <v>3831</v>
      </c>
      <c r="J270" s="8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8" t="s">
        <v>4</v>
      </c>
      <c r="E271" s="8" t="s">
        <v>9</v>
      </c>
      <c r="F271" s="8"/>
      <c r="H271" s="8" t="s">
        <v>2352</v>
      </c>
      <c r="I271" s="8" t="s">
        <v>3833</v>
      </c>
      <c r="J271" s="8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8" t="s">
        <v>4</v>
      </c>
      <c r="E272" s="8" t="s">
        <v>9</v>
      </c>
      <c r="F272" s="8"/>
      <c r="H272" s="8" t="s">
        <v>2352</v>
      </c>
      <c r="I272" s="8" t="s">
        <v>3835</v>
      </c>
      <c r="J272" s="8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8" t="s">
        <v>4</v>
      </c>
      <c r="E273" s="8" t="s">
        <v>9</v>
      </c>
      <c r="F273" s="8"/>
      <c r="H273" s="8" t="s">
        <v>2352</v>
      </c>
      <c r="I273" s="8" t="s">
        <v>3837</v>
      </c>
      <c r="J273" s="8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8" t="s">
        <v>4</v>
      </c>
      <c r="E274" s="8" t="s">
        <v>9</v>
      </c>
      <c r="F274" s="8"/>
      <c r="H274" s="8" t="s">
        <v>2352</v>
      </c>
      <c r="I274" s="8" t="s">
        <v>3839</v>
      </c>
      <c r="J274" s="8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8" t="s">
        <v>4</v>
      </c>
      <c r="E275" s="8" t="s">
        <v>9</v>
      </c>
      <c r="F275" s="8"/>
      <c r="H275" s="8" t="s">
        <v>2352</v>
      </c>
      <c r="I275" s="8" t="s">
        <v>3841</v>
      </c>
      <c r="J275" s="8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8" t="s">
        <v>4</v>
      </c>
      <c r="E276" s="8" t="s">
        <v>9</v>
      </c>
      <c r="F276" s="8"/>
      <c r="H276" s="8" t="s">
        <v>2352</v>
      </c>
      <c r="I276" s="8" t="s">
        <v>3843</v>
      </c>
      <c r="J276" s="8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8" t="s">
        <v>4</v>
      </c>
      <c r="E277" s="8" t="s">
        <v>9</v>
      </c>
      <c r="F277" s="8"/>
      <c r="H277" s="8" t="s">
        <v>2352</v>
      </c>
      <c r="I277" s="8" t="s">
        <v>3845</v>
      </c>
      <c r="J277" s="8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8" t="s">
        <v>4</v>
      </c>
      <c r="E278" s="8" t="s">
        <v>9</v>
      </c>
      <c r="F278" s="8"/>
      <c r="H278" s="8" t="s">
        <v>2352</v>
      </c>
      <c r="I278" s="8" t="s">
        <v>3847</v>
      </c>
      <c r="J278" s="8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8" t="s">
        <v>4</v>
      </c>
      <c r="E279" s="8" t="s">
        <v>9</v>
      </c>
      <c r="F279" s="8"/>
      <c r="H279" s="8" t="s">
        <v>2352</v>
      </c>
      <c r="I279" s="8" t="s">
        <v>3849</v>
      </c>
      <c r="J279" s="8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8" t="s">
        <v>4</v>
      </c>
      <c r="E280" s="8" t="s">
        <v>9</v>
      </c>
      <c r="F280" s="8"/>
      <c r="H280" s="8" t="s">
        <v>2352</v>
      </c>
      <c r="I280" s="8" t="s">
        <v>3851</v>
      </c>
      <c r="J280" s="8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8" t="s">
        <v>4</v>
      </c>
      <c r="E281" s="8" t="s">
        <v>9</v>
      </c>
      <c r="F281" s="8"/>
      <c r="H281" s="8" t="s">
        <v>2352</v>
      </c>
      <c r="I281" s="8" t="s">
        <v>3853</v>
      </c>
      <c r="J281" s="8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8" t="s">
        <v>4</v>
      </c>
      <c r="E282" s="8" t="s">
        <v>9</v>
      </c>
      <c r="F282" s="8"/>
      <c r="H282" s="8"/>
      <c r="I282" s="8" t="s">
        <v>4214</v>
      </c>
      <c r="J282" s="8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8" t="s">
        <v>4</v>
      </c>
      <c r="E283" s="8" t="s">
        <v>9</v>
      </c>
      <c r="F283" s="8"/>
      <c r="H283" s="8" t="s">
        <v>4237</v>
      </c>
      <c r="I283" s="8" t="s">
        <v>4216</v>
      </c>
      <c r="J283" s="8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8" t="s">
        <v>1627</v>
      </c>
      <c r="E284" s="8" t="s">
        <v>1058</v>
      </c>
      <c r="F284" s="8"/>
      <c r="H284" s="8"/>
      <c r="I284" s="8" t="s">
        <v>4218</v>
      </c>
      <c r="J284" s="8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8" t="s">
        <v>1627</v>
      </c>
      <c r="E285" s="8" t="s">
        <v>1058</v>
      </c>
      <c r="F285" s="8"/>
      <c r="H285" s="8"/>
      <c r="I285" s="8" t="s">
        <v>4220</v>
      </c>
      <c r="J285" s="8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8" t="s">
        <v>4</v>
      </c>
      <c r="E286" s="8" t="s">
        <v>9</v>
      </c>
      <c r="F286" s="8"/>
      <c r="H286" s="8" t="s">
        <v>2352</v>
      </c>
      <c r="I286" s="8" t="s">
        <v>4222</v>
      </c>
      <c r="J286" s="8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8" t="s">
        <v>4</v>
      </c>
      <c r="E287" s="8" t="s">
        <v>9</v>
      </c>
      <c r="F287" s="8"/>
      <c r="H287" s="8" t="s">
        <v>2352</v>
      </c>
      <c r="I287" s="8" t="s">
        <v>4224</v>
      </c>
      <c r="J287" s="8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8" t="s">
        <v>4</v>
      </c>
      <c r="E288" s="8" t="s">
        <v>9</v>
      </c>
      <c r="F288" s="8"/>
      <c r="H288" s="8" t="s">
        <v>2352</v>
      </c>
      <c r="I288" s="8" t="s">
        <v>4226</v>
      </c>
      <c r="J288" s="8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8" t="s">
        <v>4</v>
      </c>
      <c r="E289" s="8" t="s">
        <v>9</v>
      </c>
      <c r="F289" s="8"/>
      <c r="H289" s="8" t="s">
        <v>2352</v>
      </c>
      <c r="I289" s="8" t="s">
        <v>4228</v>
      </c>
      <c r="J289" s="8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8" t="s">
        <v>4</v>
      </c>
      <c r="E290" s="8" t="s">
        <v>9</v>
      </c>
      <c r="F290" s="8"/>
      <c r="H290" s="8" t="s">
        <v>2352</v>
      </c>
      <c r="I290" s="8" t="s">
        <v>4230</v>
      </c>
      <c r="J290" s="8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8" t="s">
        <v>4</v>
      </c>
      <c r="E291" s="8" t="s">
        <v>9</v>
      </c>
      <c r="F291" s="8"/>
      <c r="H291" s="8"/>
      <c r="I291" s="8" t="s">
        <v>4288</v>
      </c>
      <c r="J291" s="8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8" t="s">
        <v>4</v>
      </c>
      <c r="E292" s="8" t="s">
        <v>9</v>
      </c>
      <c r="F292" s="8"/>
      <c r="H292" s="8" t="s">
        <v>2352</v>
      </c>
      <c r="I292" s="8" t="s">
        <v>4290</v>
      </c>
      <c r="J292" s="8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8" t="s">
        <v>4</v>
      </c>
      <c r="E293" s="8" t="s">
        <v>9</v>
      </c>
      <c r="F293" s="8"/>
      <c r="H293" s="8" t="s">
        <v>2352</v>
      </c>
      <c r="I293" s="8" t="s">
        <v>4292</v>
      </c>
      <c r="J293" s="8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8" t="s">
        <v>4130</v>
      </c>
      <c r="E294" s="8"/>
      <c r="F294" s="8"/>
      <c r="H294" s="8"/>
      <c r="I294" s="8" t="s">
        <v>4294</v>
      </c>
      <c r="J294" s="8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8" t="s">
        <v>4</v>
      </c>
      <c r="E295" s="8" t="s">
        <v>53</v>
      </c>
      <c r="F295" s="8"/>
      <c r="H295" s="8"/>
      <c r="I295" s="8" t="s">
        <v>4296</v>
      </c>
      <c r="J295" s="8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8" t="s">
        <v>884</v>
      </c>
      <c r="E296" s="8" t="s">
        <v>53</v>
      </c>
      <c r="F296" s="8"/>
      <c r="H296" s="8"/>
      <c r="I296" s="8" t="s">
        <v>4298</v>
      </c>
      <c r="J296" s="8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8" t="s">
        <v>884</v>
      </c>
      <c r="E297" s="8" t="s">
        <v>58</v>
      </c>
      <c r="F297" s="8"/>
      <c r="H297" s="8"/>
      <c r="I297" s="8" t="s">
        <v>4300</v>
      </c>
      <c r="J297" s="8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8" t="s">
        <v>4</v>
      </c>
      <c r="E298" s="8" t="s">
        <v>9</v>
      </c>
      <c r="F298" s="8"/>
      <c r="H298" s="8" t="s">
        <v>2352</v>
      </c>
      <c r="I298" s="8" t="s">
        <v>4302</v>
      </c>
      <c r="J298" s="8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8" t="s">
        <v>4</v>
      </c>
      <c r="E299" s="8" t="s">
        <v>9</v>
      </c>
      <c r="F299" s="8"/>
      <c r="H299" s="8" t="s">
        <v>2352</v>
      </c>
      <c r="I299" s="8" t="s">
        <v>4304</v>
      </c>
      <c r="J299" s="8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8" t="s">
        <v>4</v>
      </c>
      <c r="E300" s="8" t="s">
        <v>9</v>
      </c>
      <c r="F300" s="8"/>
      <c r="H300" s="8" t="s">
        <v>2352</v>
      </c>
      <c r="I300" s="8" t="s">
        <v>4306</v>
      </c>
      <c r="J300" s="8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8" t="s">
        <v>4392</v>
      </c>
      <c r="E301" s="8" t="s">
        <v>86</v>
      </c>
      <c r="F301" s="8" t="s">
        <v>58</v>
      </c>
      <c r="H301" s="8"/>
      <c r="I301" s="8" t="s">
        <v>4308</v>
      </c>
      <c r="J301" s="8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8" t="s">
        <v>4392</v>
      </c>
      <c r="E302" s="8" t="s">
        <v>86</v>
      </c>
      <c r="F302" s="8" t="s">
        <v>58</v>
      </c>
      <c r="H302" s="8"/>
      <c r="I302" s="8" t="s">
        <v>4310</v>
      </c>
      <c r="J302" s="8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8" t="s">
        <v>4</v>
      </c>
      <c r="E303" s="8" t="s">
        <v>4393</v>
      </c>
      <c r="F303" s="8"/>
      <c r="H303" s="8"/>
      <c r="I303" s="8" t="s">
        <v>4312</v>
      </c>
      <c r="J303" s="8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8" t="s">
        <v>4</v>
      </c>
      <c r="E304" s="8" t="s">
        <v>9</v>
      </c>
      <c r="F304" s="8"/>
      <c r="H304" s="8"/>
      <c r="I304" s="8" t="s">
        <v>4314</v>
      </c>
      <c r="J304" s="8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8" t="s">
        <v>4</v>
      </c>
      <c r="E305" s="8" t="s">
        <v>9</v>
      </c>
      <c r="F305" s="8"/>
      <c r="H305" s="8" t="s">
        <v>2352</v>
      </c>
      <c r="I305" s="8" t="s">
        <v>4316</v>
      </c>
      <c r="J305" s="8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8" t="s">
        <v>4</v>
      </c>
      <c r="E306" s="8" t="s">
        <v>9</v>
      </c>
      <c r="F306" s="8"/>
      <c r="H306" s="8" t="s">
        <v>2352</v>
      </c>
      <c r="I306" s="8" t="s">
        <v>4318</v>
      </c>
      <c r="J306" s="8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8" t="s">
        <v>4392</v>
      </c>
      <c r="E307" s="8" t="s">
        <v>86</v>
      </c>
      <c r="F307" s="8" t="s">
        <v>58</v>
      </c>
      <c r="H307" s="8"/>
      <c r="I307" s="8" t="s">
        <v>4320</v>
      </c>
      <c r="J307" s="8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8" t="s">
        <v>4</v>
      </c>
      <c r="E308" s="8" t="s">
        <v>9</v>
      </c>
      <c r="F308" s="8"/>
      <c r="H308" s="8"/>
      <c r="I308" s="8" t="s">
        <v>4322</v>
      </c>
      <c r="J308" s="8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8" t="s">
        <v>4</v>
      </c>
      <c r="E309" s="8" t="s">
        <v>9</v>
      </c>
      <c r="F309" s="8"/>
      <c r="H309" s="8"/>
      <c r="I309" s="8" t="s">
        <v>4324</v>
      </c>
      <c r="J309" s="8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8" t="s">
        <v>4</v>
      </c>
      <c r="E310" s="8" t="s">
        <v>9</v>
      </c>
      <c r="F310" s="8"/>
      <c r="H310" s="8"/>
      <c r="I310" s="8" t="s">
        <v>4454</v>
      </c>
      <c r="J310" s="8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8" t="s">
        <v>4</v>
      </c>
      <c r="E311" s="8" t="s">
        <v>86</v>
      </c>
      <c r="F311" s="8" t="s">
        <v>465</v>
      </c>
      <c r="H311" s="8" t="s">
        <v>4927</v>
      </c>
      <c r="I311" s="8" t="s">
        <v>4456</v>
      </c>
      <c r="J311" s="8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8" t="s">
        <v>4</v>
      </c>
      <c r="E312" s="8" t="s">
        <v>9</v>
      </c>
      <c r="F312" s="8"/>
      <c r="H312" s="8" t="s">
        <v>2352</v>
      </c>
      <c r="I312" s="8" t="s">
        <v>4458</v>
      </c>
      <c r="J312" s="8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8" t="s">
        <v>4</v>
      </c>
      <c r="E313" s="8" t="s">
        <v>9</v>
      </c>
      <c r="F313" s="8"/>
      <c r="H313" s="8" t="s">
        <v>2352</v>
      </c>
      <c r="I313" s="8" t="s">
        <v>4460</v>
      </c>
      <c r="J313" s="8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8" t="s">
        <v>4</v>
      </c>
      <c r="E314" s="8" t="s">
        <v>9</v>
      </c>
      <c r="F314" s="8"/>
      <c r="H314" s="8" t="s">
        <v>2352</v>
      </c>
      <c r="I314" s="8" t="s">
        <v>4462</v>
      </c>
      <c r="J314" s="8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8" t="s">
        <v>4</v>
      </c>
      <c r="E315" s="8" t="s">
        <v>9</v>
      </c>
      <c r="F315" s="8"/>
      <c r="H315" s="8" t="s">
        <v>2352</v>
      </c>
      <c r="I315" s="8" t="s">
        <v>4464</v>
      </c>
      <c r="J315" s="8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8" t="s">
        <v>4</v>
      </c>
      <c r="E316" s="8" t="s">
        <v>9</v>
      </c>
      <c r="F316" s="8"/>
      <c r="H316" s="8" t="s">
        <v>2352</v>
      </c>
      <c r="I316" s="8" t="s">
        <v>4466</v>
      </c>
      <c r="J316" s="8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8" t="s">
        <v>4</v>
      </c>
      <c r="E317" s="8" t="s">
        <v>9</v>
      </c>
      <c r="F317" s="8"/>
      <c r="H317" s="8" t="s">
        <v>2352</v>
      </c>
      <c r="I317" s="8" t="s">
        <v>4468</v>
      </c>
      <c r="J317" s="8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8" t="s">
        <v>4</v>
      </c>
      <c r="E318" s="8" t="s">
        <v>9</v>
      </c>
      <c r="F318" s="8"/>
      <c r="H318" s="8" t="s">
        <v>2352</v>
      </c>
      <c r="I318" s="8" t="s">
        <v>4470</v>
      </c>
      <c r="J318" s="8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8" t="s">
        <v>4</v>
      </c>
      <c r="E319" s="8" t="s">
        <v>9</v>
      </c>
      <c r="F319" s="8"/>
      <c r="H319" s="8" t="s">
        <v>2352</v>
      </c>
      <c r="I319" s="8" t="s">
        <v>4472</v>
      </c>
      <c r="J319" s="8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8" t="s">
        <v>4</v>
      </c>
      <c r="E320" s="8" t="s">
        <v>9</v>
      </c>
      <c r="F320" s="8"/>
      <c r="H320" s="8" t="s">
        <v>2352</v>
      </c>
      <c r="I320" s="8" t="s">
        <v>4474</v>
      </c>
      <c r="J320" s="8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8" t="s">
        <v>4928</v>
      </c>
      <c r="E321" s="8"/>
      <c r="F321" s="8"/>
      <c r="H321" s="8"/>
      <c r="I321" s="8" t="s">
        <v>4476</v>
      </c>
      <c r="J321" s="8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8" t="s">
        <v>884</v>
      </c>
      <c r="E322" s="8" t="s">
        <v>468</v>
      </c>
      <c r="F322" s="8" t="s">
        <v>4929</v>
      </c>
      <c r="H322" s="8"/>
      <c r="I322" s="8" t="s">
        <v>4478</v>
      </c>
      <c r="J322" s="8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8" t="s">
        <v>4</v>
      </c>
      <c r="E323" s="8" t="s">
        <v>9</v>
      </c>
      <c r="F323" s="8"/>
      <c r="H323" s="8"/>
      <c r="I323" s="8" t="s">
        <v>4480</v>
      </c>
      <c r="J323" s="8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8" t="s">
        <v>4</v>
      </c>
      <c r="E324" s="8" t="s">
        <v>9</v>
      </c>
      <c r="F324" s="8"/>
      <c r="H324" s="8"/>
      <c r="I324" s="8" t="s">
        <v>4482</v>
      </c>
      <c r="J324" s="8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8" t="s">
        <v>4</v>
      </c>
      <c r="E325" s="8" t="s">
        <v>9</v>
      </c>
      <c r="F325" s="8"/>
      <c r="H325" s="8"/>
      <c r="I325" s="8" t="s">
        <v>4484</v>
      </c>
      <c r="J325" s="8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8" t="s">
        <v>4</v>
      </c>
      <c r="E326" s="8" t="s">
        <v>9</v>
      </c>
      <c r="F326" s="8"/>
      <c r="H326" s="8"/>
      <c r="I326" s="8" t="s">
        <v>4486</v>
      </c>
      <c r="J326" s="8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8" t="s">
        <v>4928</v>
      </c>
      <c r="E327" s="8"/>
      <c r="F327" s="8"/>
      <c r="H327" s="8"/>
      <c r="I327" s="8" t="s">
        <v>4488</v>
      </c>
      <c r="J327" s="8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8" t="s">
        <v>4930</v>
      </c>
      <c r="E328" s="8" t="s">
        <v>468</v>
      </c>
      <c r="F328" s="8" t="s">
        <v>4929</v>
      </c>
      <c r="H328" s="8"/>
      <c r="I328" s="8" t="s">
        <v>4490</v>
      </c>
      <c r="J328" s="8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8" t="s">
        <v>4</v>
      </c>
      <c r="E329" s="8" t="s">
        <v>9</v>
      </c>
      <c r="F329" s="8"/>
      <c r="H329" s="8"/>
      <c r="I329" s="8" t="s">
        <v>4492</v>
      </c>
      <c r="J329" s="8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8" t="s">
        <v>4</v>
      </c>
      <c r="E330" s="8" t="s">
        <v>9</v>
      </c>
      <c r="F330" s="8"/>
      <c r="H330" s="8"/>
      <c r="I330" s="8" t="s">
        <v>4494</v>
      </c>
      <c r="J330" s="8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8" t="s">
        <v>4</v>
      </c>
      <c r="E331" s="8" t="s">
        <v>9</v>
      </c>
      <c r="F331" s="8"/>
      <c r="H331" s="8" t="s">
        <v>2352</v>
      </c>
      <c r="I331" s="8" t="s">
        <v>4496</v>
      </c>
      <c r="J331" s="8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8" t="s">
        <v>4</v>
      </c>
      <c r="E332" s="8" t="s">
        <v>9</v>
      </c>
      <c r="F332" s="8"/>
      <c r="H332" s="8" t="s">
        <v>2352</v>
      </c>
      <c r="I332" s="8" t="s">
        <v>4498</v>
      </c>
      <c r="J332" s="8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8" t="s">
        <v>4</v>
      </c>
      <c r="E333" s="8" t="s">
        <v>9</v>
      </c>
      <c r="F333" s="8"/>
      <c r="H333" s="8" t="s">
        <v>2352</v>
      </c>
      <c r="I333" s="8" t="s">
        <v>4500</v>
      </c>
      <c r="J333" s="8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8" t="s">
        <v>4</v>
      </c>
      <c r="E334" s="8" t="s">
        <v>9</v>
      </c>
      <c r="F334" s="8"/>
      <c r="H334" s="8" t="s">
        <v>2352</v>
      </c>
      <c r="I334" s="8" t="s">
        <v>4502</v>
      </c>
      <c r="J334" s="8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8" t="s">
        <v>4</v>
      </c>
      <c r="E335" s="8" t="s">
        <v>9</v>
      </c>
      <c r="F335" s="8"/>
      <c r="H335" s="8" t="s">
        <v>2352</v>
      </c>
      <c r="I335" s="8" t="s">
        <v>4732</v>
      </c>
      <c r="J335" s="8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8" t="s">
        <v>4</v>
      </c>
      <c r="E336" s="8" t="s">
        <v>9</v>
      </c>
      <c r="F336" s="8"/>
      <c r="H336" s="8" t="s">
        <v>2352</v>
      </c>
      <c r="I336" s="8" t="s">
        <v>4734</v>
      </c>
      <c r="J336" s="8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8" t="s">
        <v>4</v>
      </c>
      <c r="E337" s="8" t="s">
        <v>9</v>
      </c>
      <c r="F337" s="8"/>
      <c r="H337" s="8" t="s">
        <v>2352</v>
      </c>
      <c r="I337" s="8" t="s">
        <v>4736</v>
      </c>
      <c r="J337" s="8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8" t="s">
        <v>4</v>
      </c>
      <c r="E338" s="8" t="s">
        <v>9</v>
      </c>
      <c r="F338" s="8"/>
      <c r="H338" s="8" t="s">
        <v>2352</v>
      </c>
      <c r="I338" s="8" t="s">
        <v>4738</v>
      </c>
      <c r="J338" s="8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8" t="s">
        <v>4</v>
      </c>
      <c r="E339" s="8" t="s">
        <v>9</v>
      </c>
      <c r="F339" s="8"/>
      <c r="H339" s="8" t="s">
        <v>2352</v>
      </c>
      <c r="I339" s="8" t="s">
        <v>4740</v>
      </c>
      <c r="J339" s="8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8" t="s">
        <v>4</v>
      </c>
      <c r="E340" s="8" t="s">
        <v>9</v>
      </c>
      <c r="F340" s="8"/>
      <c r="H340" s="8" t="s">
        <v>2352</v>
      </c>
      <c r="I340" s="8" t="s">
        <v>4742</v>
      </c>
      <c r="J340" s="8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8" t="s">
        <v>4</v>
      </c>
      <c r="E341" s="8" t="s">
        <v>9</v>
      </c>
      <c r="F341" s="8"/>
      <c r="H341" s="8" t="s">
        <v>2352</v>
      </c>
      <c r="I341" s="8" t="s">
        <v>4744</v>
      </c>
      <c r="J341" s="8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8" t="s">
        <v>4</v>
      </c>
      <c r="E342" s="8" t="s">
        <v>9</v>
      </c>
      <c r="F342" s="8"/>
      <c r="H342" s="8" t="s">
        <v>2352</v>
      </c>
      <c r="I342" s="8" t="s">
        <v>4746</v>
      </c>
      <c r="J342" s="8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8" t="s">
        <v>4</v>
      </c>
      <c r="E343" s="8" t="s">
        <v>9</v>
      </c>
      <c r="F343" s="8"/>
      <c r="H343" s="8" t="s">
        <v>2352</v>
      </c>
      <c r="I343" s="8" t="s">
        <v>4748</v>
      </c>
      <c r="J343" s="8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8" t="s">
        <v>884</v>
      </c>
      <c r="E344" s="8" t="s">
        <v>58</v>
      </c>
      <c r="F344" s="8"/>
      <c r="H344" s="8"/>
      <c r="I344" s="8" t="s">
        <v>4750</v>
      </c>
      <c r="J344" s="8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8" t="s">
        <v>884</v>
      </c>
      <c r="E345" s="8" t="s">
        <v>4931</v>
      </c>
      <c r="F345" s="8"/>
      <c r="H345" s="8"/>
      <c r="I345" s="8" t="s">
        <v>4752</v>
      </c>
      <c r="J345" s="8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8" t="s">
        <v>4</v>
      </c>
      <c r="E346" s="8" t="s">
        <v>9</v>
      </c>
      <c r="F346" s="8"/>
      <c r="H346" s="8"/>
      <c r="I346" s="8" t="s">
        <v>4754</v>
      </c>
      <c r="J346" s="8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8" t="s">
        <v>4</v>
      </c>
      <c r="E347" s="8" t="s">
        <v>9</v>
      </c>
      <c r="F347" s="8"/>
      <c r="H347" s="8" t="s">
        <v>2352</v>
      </c>
      <c r="I347" s="8" t="s">
        <v>4756</v>
      </c>
      <c r="J347" s="8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8" t="s">
        <v>4</v>
      </c>
      <c r="E348" s="8" t="s">
        <v>9</v>
      </c>
      <c r="F348" s="8"/>
      <c r="H348" s="8" t="s">
        <v>2352</v>
      </c>
      <c r="I348" s="8" t="s">
        <v>4758</v>
      </c>
      <c r="J348" s="8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8" t="s">
        <v>4</v>
      </c>
      <c r="E349" s="8" t="s">
        <v>9</v>
      </c>
      <c r="F349" s="8"/>
      <c r="H349" s="8" t="s">
        <v>2352</v>
      </c>
      <c r="I349" s="8" t="s">
        <v>4760</v>
      </c>
      <c r="J349" s="8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8" t="s">
        <v>4</v>
      </c>
      <c r="E350" s="8" t="s">
        <v>9</v>
      </c>
      <c r="F350" s="8"/>
      <c r="H350" s="8" t="s">
        <v>2352</v>
      </c>
      <c r="I350" s="8" t="s">
        <v>4762</v>
      </c>
      <c r="J350" s="8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8" t="s">
        <v>4</v>
      </c>
      <c r="E351" s="8" t="s">
        <v>9</v>
      </c>
      <c r="F351" s="8"/>
      <c r="H351" s="8" t="s">
        <v>2352</v>
      </c>
      <c r="I351" s="8" t="s">
        <v>4764</v>
      </c>
      <c r="J351" s="8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8" t="s">
        <v>4</v>
      </c>
      <c r="E352" s="8" t="s">
        <v>9</v>
      </c>
      <c r="F352" s="8"/>
      <c r="H352" s="8" t="s">
        <v>2352</v>
      </c>
      <c r="I352" s="8" t="s">
        <v>4766</v>
      </c>
      <c r="J352" s="8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8" t="s">
        <v>4</v>
      </c>
      <c r="E353" s="8" t="s">
        <v>9</v>
      </c>
      <c r="F353" s="8"/>
      <c r="H353" s="8" t="s">
        <v>2352</v>
      </c>
      <c r="I353" s="8" t="s">
        <v>4768</v>
      </c>
      <c r="J353" s="8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8" t="s">
        <v>4</v>
      </c>
      <c r="E354" s="8" t="s">
        <v>9</v>
      </c>
      <c r="F354" s="8"/>
      <c r="H354" s="8" t="s">
        <v>2352</v>
      </c>
      <c r="I354" s="8" t="s">
        <v>4851</v>
      </c>
      <c r="J354" s="8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8" t="s">
        <v>4</v>
      </c>
      <c r="E355" s="8" t="s">
        <v>9</v>
      </c>
      <c r="F355" s="8"/>
      <c r="H355" s="8" t="s">
        <v>2352</v>
      </c>
      <c r="I355" s="8" t="s">
        <v>4853</v>
      </c>
      <c r="J355" s="8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8" t="s">
        <v>4</v>
      </c>
      <c r="E356" s="8" t="s">
        <v>9</v>
      </c>
      <c r="F356" s="8"/>
      <c r="H356" s="8" t="s">
        <v>2352</v>
      </c>
      <c r="I356" s="8" t="s">
        <v>4855</v>
      </c>
      <c r="J356" s="8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8" t="s">
        <v>4</v>
      </c>
      <c r="E357" s="8" t="s">
        <v>9</v>
      </c>
      <c r="F357" s="8"/>
      <c r="H357" s="8"/>
      <c r="I357" s="8" t="s">
        <v>4857</v>
      </c>
      <c r="J357" s="8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8" t="s">
        <v>4</v>
      </c>
      <c r="E358" s="8" t="s">
        <v>9</v>
      </c>
      <c r="F358" s="8"/>
      <c r="H358" s="8"/>
      <c r="I358" s="8" t="s">
        <v>4959</v>
      </c>
      <c r="J358" s="8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8" t="s">
        <v>1627</v>
      </c>
      <c r="E359" s="8" t="s">
        <v>1058</v>
      </c>
      <c r="F359" s="8"/>
      <c r="H359" s="8"/>
      <c r="I359" s="8" t="s">
        <v>4961</v>
      </c>
      <c r="J359" s="8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8" t="s">
        <v>4</v>
      </c>
      <c r="E360" s="8" t="s">
        <v>9</v>
      </c>
      <c r="F360" s="8"/>
      <c r="H360" s="8"/>
      <c r="I360" s="8" t="s">
        <v>4963</v>
      </c>
      <c r="J360" s="8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8" t="s">
        <v>1627</v>
      </c>
      <c r="E361" s="8" t="s">
        <v>1058</v>
      </c>
      <c r="F361" s="8"/>
      <c r="H361" s="8"/>
      <c r="I361" s="8" t="s">
        <v>4965</v>
      </c>
      <c r="J361" s="8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8" t="s">
        <v>1627</v>
      </c>
      <c r="E362" s="8" t="s">
        <v>1058</v>
      </c>
      <c r="F362" s="8"/>
      <c r="H362" s="8" t="s">
        <v>2352</v>
      </c>
      <c r="I362" s="8" t="s">
        <v>4967</v>
      </c>
      <c r="J362" s="8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8" t="s">
        <v>1627</v>
      </c>
      <c r="E363" s="8" t="s">
        <v>1058</v>
      </c>
      <c r="F363" s="8"/>
      <c r="H363" s="8" t="s">
        <v>2352</v>
      </c>
      <c r="I363" s="8" t="s">
        <v>4969</v>
      </c>
      <c r="J363" s="8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8" t="s">
        <v>4</v>
      </c>
      <c r="E364" s="8" t="s">
        <v>9</v>
      </c>
      <c r="F364" s="8"/>
      <c r="H364" s="8" t="s">
        <v>2352</v>
      </c>
      <c r="I364" s="8" t="s">
        <v>4971</v>
      </c>
      <c r="J364" s="8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8" t="s">
        <v>1627</v>
      </c>
      <c r="E365" s="8" t="s">
        <v>1058</v>
      </c>
      <c r="F365" s="8"/>
      <c r="H365" s="8" t="s">
        <v>2352</v>
      </c>
      <c r="I365" s="8" t="s">
        <v>4973</v>
      </c>
      <c r="J365" s="8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8" t="s">
        <v>1627</v>
      </c>
      <c r="E366" s="8" t="s">
        <v>1058</v>
      </c>
      <c r="F366" s="8"/>
      <c r="H366" s="8" t="s">
        <v>2352</v>
      </c>
      <c r="I366" s="8" t="s">
        <v>4975</v>
      </c>
      <c r="J366" s="8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8" t="s">
        <v>1627</v>
      </c>
      <c r="E367" s="8" t="s">
        <v>1058</v>
      </c>
      <c r="F367" s="8"/>
      <c r="H367" s="8" t="s">
        <v>2352</v>
      </c>
      <c r="I367" s="8" t="s">
        <v>4977</v>
      </c>
      <c r="J367" s="8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8" t="s">
        <v>1627</v>
      </c>
      <c r="E368" s="8" t="s">
        <v>1058</v>
      </c>
      <c r="F368" s="8"/>
      <c r="H368" s="8" t="s">
        <v>2352</v>
      </c>
      <c r="I368" s="8" t="s">
        <v>4979</v>
      </c>
      <c r="J368" s="8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8" t="s">
        <v>1627</v>
      </c>
      <c r="E369" s="8" t="s">
        <v>1058</v>
      </c>
      <c r="F369" s="8"/>
      <c r="H369" s="8" t="s">
        <v>2352</v>
      </c>
      <c r="I369" s="8" t="s">
        <v>4981</v>
      </c>
      <c r="J369" s="8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8" t="s">
        <v>4</v>
      </c>
      <c r="E370" s="8" t="s">
        <v>9</v>
      </c>
      <c r="F370" s="8"/>
      <c r="H370" s="8"/>
      <c r="I370" s="8" t="s">
        <v>5066</v>
      </c>
      <c r="J370" s="8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8" t="s">
        <v>4</v>
      </c>
      <c r="E371" s="8" t="s">
        <v>9</v>
      </c>
      <c r="F371" s="8"/>
      <c r="H371" s="8" t="s">
        <v>2352</v>
      </c>
      <c r="I371" s="8" t="s">
        <v>5068</v>
      </c>
      <c r="J371" s="8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8" t="s">
        <v>4</v>
      </c>
      <c r="E372" s="8" t="s">
        <v>9</v>
      </c>
      <c r="F372" s="8"/>
      <c r="H372" s="8" t="s">
        <v>2352</v>
      </c>
      <c r="I372" s="8" t="s">
        <v>5070</v>
      </c>
      <c r="J372" s="8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8" t="s">
        <v>884</v>
      </c>
      <c r="E373" s="8" t="s">
        <v>58</v>
      </c>
      <c r="F373" s="8"/>
      <c r="H373" s="8"/>
      <c r="I373" s="8" t="s">
        <v>5072</v>
      </c>
      <c r="J373" s="8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8" t="s">
        <v>4</v>
      </c>
      <c r="E374" s="8" t="s">
        <v>9</v>
      </c>
      <c r="F374" s="8"/>
      <c r="H374" s="8" t="s">
        <v>2352</v>
      </c>
      <c r="I374" s="8" t="s">
        <v>5074</v>
      </c>
      <c r="J374" s="8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8" t="s">
        <v>884</v>
      </c>
      <c r="E375" s="8" t="s">
        <v>58</v>
      </c>
      <c r="F375" s="8"/>
      <c r="H375" s="8"/>
      <c r="I375" s="8" t="s">
        <v>5076</v>
      </c>
      <c r="J375" s="8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8" t="s">
        <v>884</v>
      </c>
      <c r="E376" s="8" t="s">
        <v>58</v>
      </c>
      <c r="F376" s="8"/>
      <c r="H376" s="8"/>
      <c r="I376" s="8" t="s">
        <v>5078</v>
      </c>
      <c r="J376" s="8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8" t="s">
        <v>4</v>
      </c>
      <c r="E377" s="8" t="s">
        <v>9</v>
      </c>
      <c r="F377" s="8"/>
      <c r="H377" s="8"/>
      <c r="I377" s="8" t="s">
        <v>5080</v>
      </c>
      <c r="J377" s="8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8" t="s">
        <v>884</v>
      </c>
      <c r="E378" s="8" t="s">
        <v>53</v>
      </c>
      <c r="F378" s="8"/>
      <c r="H378" s="8"/>
      <c r="I378" s="8" t="s">
        <v>5082</v>
      </c>
      <c r="J378" s="8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8" t="s">
        <v>4</v>
      </c>
      <c r="E379" s="8" t="s">
        <v>9</v>
      </c>
      <c r="F379" s="8"/>
      <c r="H379" s="8"/>
      <c r="I379" s="8" t="s">
        <v>5084</v>
      </c>
      <c r="J379" s="8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8" t="s">
        <v>4</v>
      </c>
      <c r="E380" s="8" t="s">
        <v>9</v>
      </c>
      <c r="F380" s="8"/>
      <c r="H380" s="8" t="s">
        <v>2352</v>
      </c>
      <c r="I380" s="8" t="s">
        <v>5086</v>
      </c>
      <c r="J380" s="8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8" t="s">
        <v>4</v>
      </c>
      <c r="E381" s="8" t="s">
        <v>9</v>
      </c>
      <c r="F381" s="8"/>
      <c r="H381" s="8" t="s">
        <v>2352</v>
      </c>
      <c r="I381" s="8" t="s">
        <v>5088</v>
      </c>
      <c r="J381" s="8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8" t="s">
        <v>4</v>
      </c>
      <c r="E382" s="8" t="s">
        <v>9</v>
      </c>
      <c r="F382" s="8"/>
      <c r="H382" s="8" t="s">
        <v>2352</v>
      </c>
      <c r="I382" s="8" t="s">
        <v>5090</v>
      </c>
      <c r="J382" s="8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8" t="s">
        <v>4</v>
      </c>
      <c r="E383" s="8" t="s">
        <v>9</v>
      </c>
      <c r="F383" s="8"/>
      <c r="H383" s="8"/>
      <c r="I383" s="8" t="s">
        <v>5257</v>
      </c>
      <c r="J383" s="8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8" t="s">
        <v>4</v>
      </c>
      <c r="E384" s="8" t="s">
        <v>9</v>
      </c>
      <c r="F384" s="8"/>
      <c r="H384" s="8" t="s">
        <v>2352</v>
      </c>
      <c r="I384" s="8" t="s">
        <v>5259</v>
      </c>
      <c r="J384" s="8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8" t="s">
        <v>4</v>
      </c>
      <c r="E385" s="8" t="s">
        <v>9</v>
      </c>
      <c r="F385" s="8"/>
      <c r="H385" s="8" t="s">
        <v>2352</v>
      </c>
      <c r="I385" s="8" t="s">
        <v>5261</v>
      </c>
      <c r="J385" s="8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8" t="s">
        <v>4</v>
      </c>
      <c r="E386" s="8" t="s">
        <v>9</v>
      </c>
      <c r="F386" s="8"/>
      <c r="H386" s="8" t="s">
        <v>2352</v>
      </c>
      <c r="I386" s="8" t="s">
        <v>5263</v>
      </c>
      <c r="J386" s="8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8" t="s">
        <v>4</v>
      </c>
      <c r="E387" s="8" t="s">
        <v>9</v>
      </c>
      <c r="F387" s="8"/>
      <c r="H387" s="8" t="s">
        <v>2352</v>
      </c>
      <c r="I387" s="8" t="s">
        <v>5265</v>
      </c>
      <c r="J387" s="8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8" t="s">
        <v>4</v>
      </c>
      <c r="E388" s="8" t="s">
        <v>9</v>
      </c>
      <c r="F388" s="8"/>
      <c r="H388" s="8" t="s">
        <v>2352</v>
      </c>
      <c r="I388" s="8" t="s">
        <v>5267</v>
      </c>
      <c r="J388" s="8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8" t="s">
        <v>4</v>
      </c>
      <c r="E389" s="8" t="s">
        <v>9</v>
      </c>
      <c r="F389" s="8"/>
      <c r="H389" s="8"/>
      <c r="I389" s="8" t="s">
        <v>5269</v>
      </c>
      <c r="J389" s="8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8" t="s">
        <v>4</v>
      </c>
      <c r="E390" s="8" t="s">
        <v>9</v>
      </c>
      <c r="F390" s="8"/>
      <c r="H390" s="8"/>
      <c r="I390" s="8" t="s">
        <v>5271</v>
      </c>
      <c r="J390" s="8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8" t="s">
        <v>4</v>
      </c>
      <c r="E391" s="8" t="s">
        <v>9</v>
      </c>
      <c r="F391" s="8"/>
      <c r="H391" s="8"/>
      <c r="I391" s="8" t="s">
        <v>5361</v>
      </c>
      <c r="J391" s="8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8" t="s">
        <v>4</v>
      </c>
      <c r="E392" s="8" t="s">
        <v>5473</v>
      </c>
      <c r="F392" s="8"/>
      <c r="H392" s="8"/>
      <c r="I392" s="8" t="s">
        <v>5363</v>
      </c>
      <c r="J392" s="8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8" t="s">
        <v>884</v>
      </c>
      <c r="E393" s="8" t="s">
        <v>58</v>
      </c>
      <c r="F393" s="8"/>
      <c r="H393" s="8"/>
      <c r="I393" s="8" t="s">
        <v>5365</v>
      </c>
      <c r="J393" s="8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8" t="s">
        <v>4</v>
      </c>
      <c r="E394" s="8" t="s">
        <v>9</v>
      </c>
      <c r="F394" s="8"/>
      <c r="H394" s="8" t="s">
        <v>2352</v>
      </c>
      <c r="I394" s="8" t="s">
        <v>5367</v>
      </c>
      <c r="J394" s="8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8" t="s">
        <v>884</v>
      </c>
      <c r="E395" s="8" t="s">
        <v>58</v>
      </c>
      <c r="F395" s="8"/>
      <c r="H395" s="8"/>
      <c r="I395" s="8" t="s">
        <v>5369</v>
      </c>
      <c r="J395" s="8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8" t="s">
        <v>4</v>
      </c>
      <c r="E396" s="8" t="s">
        <v>9</v>
      </c>
      <c r="F396" s="8"/>
      <c r="H396" s="8" t="s">
        <v>2352</v>
      </c>
      <c r="I396" s="8" t="s">
        <v>5371</v>
      </c>
      <c r="J396" s="8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8" t="s">
        <v>884</v>
      </c>
      <c r="E397" s="8" t="s">
        <v>53</v>
      </c>
      <c r="F397" s="8"/>
      <c r="H397" s="8"/>
      <c r="I397" s="8" t="s">
        <v>5373</v>
      </c>
      <c r="J397" s="8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8" t="s">
        <v>884</v>
      </c>
      <c r="E398" s="8" t="s">
        <v>58</v>
      </c>
      <c r="F398" s="8"/>
      <c r="H398" s="8"/>
      <c r="I398" s="8" t="s">
        <v>5375</v>
      </c>
      <c r="J398" s="8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8" t="s">
        <v>4</v>
      </c>
      <c r="E399" s="8" t="s">
        <v>9</v>
      </c>
      <c r="F399" s="8"/>
      <c r="H399" s="8" t="s">
        <v>2352</v>
      </c>
      <c r="I399" s="8" t="s">
        <v>5377</v>
      </c>
      <c r="J399" s="8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8" t="s">
        <v>4</v>
      </c>
      <c r="E400" s="8" t="s">
        <v>9</v>
      </c>
      <c r="F400" s="8"/>
      <c r="H400" s="8" t="s">
        <v>2352</v>
      </c>
      <c r="I400" s="8" t="s">
        <v>5379</v>
      </c>
      <c r="J400" s="8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8" t="s">
        <v>4</v>
      </c>
      <c r="E401" s="8" t="s">
        <v>9</v>
      </c>
      <c r="F401" s="8"/>
      <c r="H401" s="8" t="s">
        <v>2352</v>
      </c>
      <c r="I401" s="8" t="s">
        <v>5381</v>
      </c>
      <c r="J401" s="8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8" t="s">
        <v>884</v>
      </c>
      <c r="E402" s="8" t="s">
        <v>53</v>
      </c>
      <c r="F402" s="8"/>
      <c r="H402" s="8"/>
      <c r="I402" s="8" t="s">
        <v>5383</v>
      </c>
      <c r="J402" s="8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8" t="s">
        <v>4</v>
      </c>
      <c r="E403" s="8" t="s">
        <v>5474</v>
      </c>
      <c r="F403" s="8"/>
      <c r="H403" s="8"/>
      <c r="I403" s="8" t="s">
        <v>5385</v>
      </c>
      <c r="J403" s="8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8" t="s">
        <v>884</v>
      </c>
      <c r="E404" s="8" t="s">
        <v>53</v>
      </c>
      <c r="F404" s="8"/>
      <c r="H404" s="8"/>
      <c r="I404" s="8" t="s">
        <v>5387</v>
      </c>
      <c r="J404" s="8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8" t="s">
        <v>4</v>
      </c>
      <c r="E405" s="8" t="s">
        <v>9</v>
      </c>
      <c r="F405" s="8"/>
      <c r="H405" s="8"/>
      <c r="I405" s="8" t="s">
        <v>5389</v>
      </c>
      <c r="J405" s="8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8" t="s">
        <v>884</v>
      </c>
      <c r="E406" s="8" t="s">
        <v>58</v>
      </c>
      <c r="F406" s="8"/>
      <c r="H406" s="8"/>
      <c r="I406" s="8" t="s">
        <v>5391</v>
      </c>
      <c r="J406" s="8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8" t="s">
        <v>884</v>
      </c>
      <c r="E407" s="8" t="s">
        <v>58</v>
      </c>
      <c r="F407" s="8"/>
      <c r="H407" s="8"/>
      <c r="I407" s="8" t="s">
        <v>5393</v>
      </c>
      <c r="J407" s="8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8" t="s">
        <v>884</v>
      </c>
      <c r="E408" s="8" t="s">
        <v>58</v>
      </c>
      <c r="F408" s="8"/>
      <c r="H408" s="8"/>
      <c r="I408" s="8" t="s">
        <v>5395</v>
      </c>
      <c r="J408" s="8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8" t="s">
        <v>4</v>
      </c>
      <c r="E409" s="8" t="s">
        <v>9</v>
      </c>
      <c r="F409" s="8"/>
      <c r="H409" s="8" t="s">
        <v>2352</v>
      </c>
      <c r="I409" s="8" t="s">
        <v>5397</v>
      </c>
      <c r="J409" s="8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8" t="s">
        <v>4</v>
      </c>
      <c r="E410" s="8" t="s">
        <v>9</v>
      </c>
      <c r="F410" s="8"/>
      <c r="H410" s="8"/>
      <c r="I410" s="8" t="s">
        <v>5535</v>
      </c>
      <c r="J410" s="8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8" t="s">
        <v>4</v>
      </c>
      <c r="E411" s="8" t="s">
        <v>9</v>
      </c>
      <c r="F411" s="8"/>
      <c r="H411" s="8" t="s">
        <v>2352</v>
      </c>
      <c r="I411" s="8" t="s">
        <v>5537</v>
      </c>
      <c r="J411" s="8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8" t="s">
        <v>884</v>
      </c>
      <c r="E412" s="8" t="s">
        <v>58</v>
      </c>
      <c r="F412" s="8"/>
      <c r="H412" s="8"/>
      <c r="I412" s="8" t="s">
        <v>5539</v>
      </c>
      <c r="J412" s="8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8" t="s">
        <v>884</v>
      </c>
      <c r="E413" s="8" t="s">
        <v>58</v>
      </c>
      <c r="F413" s="8"/>
      <c r="H413" s="8"/>
      <c r="I413" s="8" t="s">
        <v>5541</v>
      </c>
      <c r="J413" s="8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8" t="s">
        <v>884</v>
      </c>
      <c r="E414" s="8" t="s">
        <v>58</v>
      </c>
      <c r="F414" s="8"/>
      <c r="H414" s="8"/>
      <c r="I414" s="8" t="s">
        <v>5543</v>
      </c>
      <c r="J414" s="8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8" t="s">
        <v>884</v>
      </c>
      <c r="E415" s="8" t="s">
        <v>58</v>
      </c>
      <c r="F415" s="8"/>
      <c r="H415" s="8"/>
      <c r="I415" s="8" t="s">
        <v>5545</v>
      </c>
      <c r="J415" s="8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8" t="s">
        <v>4</v>
      </c>
      <c r="E416" s="8" t="s">
        <v>9</v>
      </c>
      <c r="F416" s="8"/>
      <c r="H416" s="8" t="s">
        <v>2352</v>
      </c>
      <c r="I416" s="8" t="s">
        <v>5547</v>
      </c>
      <c r="J416" s="8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8" t="s">
        <v>4</v>
      </c>
      <c r="E417" s="8" t="s">
        <v>9</v>
      </c>
      <c r="F417" s="8"/>
      <c r="H417" s="8" t="s">
        <v>2352</v>
      </c>
      <c r="I417" s="8" t="s">
        <v>5549</v>
      </c>
      <c r="J417" s="8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8" t="s">
        <v>4</v>
      </c>
      <c r="E418" s="8" t="s">
        <v>9</v>
      </c>
      <c r="F418" s="8"/>
      <c r="H418" s="8" t="s">
        <v>2352</v>
      </c>
      <c r="I418" s="8" t="s">
        <v>5551</v>
      </c>
      <c r="J418" s="8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8" t="s">
        <v>3386</v>
      </c>
      <c r="E419" s="8" t="s">
        <v>4396</v>
      </c>
      <c r="F419" s="8" t="s">
        <v>4938</v>
      </c>
      <c r="H419" s="8"/>
      <c r="I419" s="8" t="s">
        <v>5553</v>
      </c>
      <c r="J419" s="8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8" t="s">
        <v>3386</v>
      </c>
      <c r="E420" s="8" t="s">
        <v>4396</v>
      </c>
      <c r="F420" s="8" t="s">
        <v>4938</v>
      </c>
      <c r="H420" s="8"/>
      <c r="I420" s="8" t="s">
        <v>5555</v>
      </c>
      <c r="J420" s="8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8" t="s">
        <v>3386</v>
      </c>
      <c r="E421" s="8" t="s">
        <v>4396</v>
      </c>
      <c r="F421" s="8" t="s">
        <v>4938</v>
      </c>
      <c r="H421" s="8"/>
      <c r="I421" s="8" t="s">
        <v>5557</v>
      </c>
      <c r="J421" s="8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8" t="s">
        <v>4</v>
      </c>
      <c r="E422" s="8" t="s">
        <v>9</v>
      </c>
      <c r="F422" s="8"/>
      <c r="H422" s="8"/>
      <c r="I422" s="8" t="s">
        <v>5559</v>
      </c>
      <c r="J422" s="8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8" t="s">
        <v>884</v>
      </c>
      <c r="E423" s="8" t="s">
        <v>58</v>
      </c>
      <c r="F423" s="8"/>
      <c r="H423" s="8"/>
      <c r="I423" s="8" t="s">
        <v>5561</v>
      </c>
      <c r="J423" s="8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8" t="s">
        <v>4</v>
      </c>
      <c r="E424" s="8" t="s">
        <v>9</v>
      </c>
      <c r="F424" s="8"/>
      <c r="H424" s="8"/>
      <c r="I424" s="8" t="s">
        <v>5563</v>
      </c>
      <c r="J424" s="8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8" t="s">
        <v>4</v>
      </c>
      <c r="E425" s="8" t="s">
        <v>9</v>
      </c>
      <c r="F425" s="8"/>
      <c r="H425" s="8" t="s">
        <v>2352</v>
      </c>
      <c r="I425" s="8" t="s">
        <v>5565</v>
      </c>
      <c r="J425" s="8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8" t="s">
        <v>4</v>
      </c>
      <c r="E426" s="8" t="s">
        <v>9</v>
      </c>
      <c r="F426" s="8"/>
      <c r="H426" s="8" t="s">
        <v>2352</v>
      </c>
      <c r="I426" s="8" t="s">
        <v>5567</v>
      </c>
      <c r="J426" s="8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8" t="s">
        <v>4</v>
      </c>
      <c r="E427" s="8" t="s">
        <v>9</v>
      </c>
      <c r="F427" s="8"/>
      <c r="H427" s="8" t="s">
        <v>2352</v>
      </c>
      <c r="I427" s="8" t="s">
        <v>5569</v>
      </c>
      <c r="J427" s="8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8" t="s">
        <v>4</v>
      </c>
      <c r="E428" s="8" t="s">
        <v>9</v>
      </c>
      <c r="F428" s="8"/>
      <c r="H428" s="8" t="s">
        <v>2352</v>
      </c>
      <c r="I428" s="8" t="s">
        <v>5571</v>
      </c>
      <c r="J428" s="8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8" t="s">
        <v>4</v>
      </c>
      <c r="E429" s="8" t="s">
        <v>9</v>
      </c>
      <c r="F429" s="8"/>
      <c r="H429" s="8" t="s">
        <v>2352</v>
      </c>
      <c r="I429" s="8" t="s">
        <v>5573</v>
      </c>
      <c r="J429" s="8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8" t="s">
        <v>4</v>
      </c>
      <c r="E430" s="8" t="s">
        <v>9</v>
      </c>
      <c r="F430" s="8"/>
      <c r="H430" s="8" t="s">
        <v>2352</v>
      </c>
      <c r="I430" s="8" t="s">
        <v>5575</v>
      </c>
      <c r="J430" s="8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8" t="s">
        <v>4</v>
      </c>
      <c r="E431" s="8" t="s">
        <v>1274</v>
      </c>
      <c r="F431" s="8" t="s">
        <v>5696</v>
      </c>
      <c r="H431" s="8"/>
      <c r="I431" s="8" t="s">
        <v>5577</v>
      </c>
      <c r="J431" s="8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8" t="s">
        <v>4</v>
      </c>
      <c r="E432" s="8" t="s">
        <v>1274</v>
      </c>
      <c r="F432" s="8" t="s">
        <v>2462</v>
      </c>
      <c r="H432" s="8"/>
      <c r="I432" s="8" t="s">
        <v>5579</v>
      </c>
      <c r="J432" s="8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8" t="s">
        <v>4</v>
      </c>
      <c r="E433" s="8" t="s">
        <v>9</v>
      </c>
      <c r="F433" s="8"/>
      <c r="H433" s="8"/>
      <c r="I433" s="8" t="s">
        <v>5581</v>
      </c>
      <c r="J433" s="8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8" t="s">
        <v>1607</v>
      </c>
      <c r="E434" s="8" t="s">
        <v>9</v>
      </c>
      <c r="F434" s="8"/>
      <c r="H434" s="8"/>
      <c r="I434" s="8" t="s">
        <v>5583</v>
      </c>
      <c r="J434" s="8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8" t="s">
        <v>1607</v>
      </c>
      <c r="E435" s="8" t="s">
        <v>9</v>
      </c>
      <c r="F435" s="8"/>
      <c r="H435" s="8"/>
      <c r="I435" s="8" t="s">
        <v>5585</v>
      </c>
      <c r="J435" s="8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8" t="s">
        <v>4</v>
      </c>
      <c r="E436" s="8" t="s">
        <v>9</v>
      </c>
      <c r="F436" s="8"/>
      <c r="H436" s="8"/>
      <c r="I436" s="8" t="s">
        <v>5717</v>
      </c>
      <c r="J436" s="8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8" t="s">
        <v>4</v>
      </c>
      <c r="E437" s="8" t="s">
        <v>5736</v>
      </c>
      <c r="F437" s="8"/>
      <c r="H437" s="8"/>
      <c r="I437" s="8" t="s">
        <v>5719</v>
      </c>
      <c r="J437" s="8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8" t="s">
        <v>4</v>
      </c>
      <c r="E438" s="8" t="s">
        <v>5736</v>
      </c>
      <c r="F438" s="8"/>
      <c r="H438" s="8" t="s">
        <v>2352</v>
      </c>
      <c r="I438" s="8" t="s">
        <v>5721</v>
      </c>
      <c r="J438" s="8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8" t="s">
        <v>4</v>
      </c>
      <c r="E439" s="8" t="s">
        <v>9</v>
      </c>
      <c r="F439" s="8"/>
      <c r="H439" s="8"/>
      <c r="I439" s="8" t="s">
        <v>5778</v>
      </c>
      <c r="J439" s="8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8" t="s">
        <v>4</v>
      </c>
      <c r="E440" s="8" t="s">
        <v>5736</v>
      </c>
      <c r="F440" s="8"/>
      <c r="H440" s="8"/>
      <c r="I440" s="8" t="s">
        <v>5780</v>
      </c>
      <c r="J440" s="8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8" t="s">
        <v>4</v>
      </c>
      <c r="E441" s="8" t="s">
        <v>9</v>
      </c>
      <c r="F441" s="8"/>
      <c r="H441" s="8"/>
      <c r="I441" s="8" t="s">
        <v>5782</v>
      </c>
      <c r="J441" s="8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8" t="s">
        <v>4</v>
      </c>
      <c r="E442" s="8" t="s">
        <v>9</v>
      </c>
      <c r="F442" s="8"/>
      <c r="H442" s="8" t="s">
        <v>2352</v>
      </c>
      <c r="I442" s="8" t="s">
        <v>5784</v>
      </c>
      <c r="J442" s="8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8" t="s">
        <v>4</v>
      </c>
      <c r="E443" s="8" t="s">
        <v>9</v>
      </c>
      <c r="F443" s="8"/>
      <c r="H443" s="8" t="s">
        <v>2352</v>
      </c>
      <c r="I443" s="8" t="s">
        <v>5786</v>
      </c>
      <c r="J443" s="8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8" t="s">
        <v>4</v>
      </c>
      <c r="E444" s="8" t="s">
        <v>5736</v>
      </c>
      <c r="F444" s="8"/>
      <c r="H444" s="8"/>
      <c r="I444" s="8" t="s">
        <v>5788</v>
      </c>
      <c r="J444" s="8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8" t="s">
        <v>4</v>
      </c>
      <c r="E445" s="8" t="s">
        <v>9</v>
      </c>
      <c r="F445" s="8"/>
      <c r="H445" s="8" t="s">
        <v>2352</v>
      </c>
      <c r="I445" s="8" t="s">
        <v>5790</v>
      </c>
      <c r="J445" s="8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8" t="s">
        <v>4</v>
      </c>
      <c r="E446" s="8" t="s">
        <v>9</v>
      </c>
      <c r="F446" s="8"/>
      <c r="H446" s="8" t="s">
        <v>2352</v>
      </c>
      <c r="I446" s="8" t="s">
        <v>5792</v>
      </c>
      <c r="J446" s="8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8" t="s">
        <v>4</v>
      </c>
      <c r="E447" s="8" t="s">
        <v>9</v>
      </c>
      <c r="F447" s="8"/>
      <c r="H447" s="8" t="s">
        <v>2352</v>
      </c>
      <c r="I447" s="8" t="s">
        <v>5794</v>
      </c>
      <c r="J447" s="8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8" t="s">
        <v>4</v>
      </c>
      <c r="E448" s="8" t="s">
        <v>86</v>
      </c>
      <c r="F448" s="8"/>
      <c r="H448" s="8" t="s">
        <v>6158</v>
      </c>
      <c r="I448" s="8" t="s">
        <v>5796</v>
      </c>
      <c r="J448" s="8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8" t="s">
        <v>4</v>
      </c>
      <c r="E449" s="8" t="s">
        <v>86</v>
      </c>
      <c r="F449" s="8"/>
      <c r="H449" s="8" t="s">
        <v>6158</v>
      </c>
      <c r="I449" s="8" t="s">
        <v>5933</v>
      </c>
      <c r="J449" s="8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8" t="s">
        <v>4</v>
      </c>
      <c r="E450" s="8" t="s">
        <v>6157</v>
      </c>
      <c r="F450" s="8"/>
      <c r="H450" s="8"/>
      <c r="I450" s="8" t="s">
        <v>5935</v>
      </c>
      <c r="J450" s="8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8" t="s">
        <v>4</v>
      </c>
      <c r="E451" s="8" t="s">
        <v>86</v>
      </c>
      <c r="F451" s="8"/>
      <c r="H451" s="8" t="s">
        <v>6158</v>
      </c>
      <c r="I451" s="8" t="s">
        <v>5937</v>
      </c>
      <c r="J451" s="8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8" t="s">
        <v>4</v>
      </c>
      <c r="E452" s="8" t="s">
        <v>86</v>
      </c>
      <c r="F452" s="8"/>
      <c r="H452" s="8" t="s">
        <v>6158</v>
      </c>
      <c r="I452" s="8" t="s">
        <v>5939</v>
      </c>
      <c r="J452" s="8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8" t="s">
        <v>4</v>
      </c>
      <c r="E453" s="8" t="s">
        <v>6157</v>
      </c>
      <c r="F453" s="8"/>
      <c r="H453" s="8"/>
      <c r="I453" s="8" t="s">
        <v>5941</v>
      </c>
      <c r="J453" s="8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8" t="s">
        <v>4</v>
      </c>
      <c r="E454" s="8" t="s">
        <v>6157</v>
      </c>
      <c r="F454" s="8"/>
      <c r="H454" s="8"/>
      <c r="I454" s="8" t="s">
        <v>5943</v>
      </c>
      <c r="J454" s="8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8" t="s">
        <v>4</v>
      </c>
      <c r="E455" s="8" t="s">
        <v>86</v>
      </c>
      <c r="F455" s="8"/>
      <c r="H455" s="8" t="s">
        <v>6158</v>
      </c>
      <c r="I455" s="8" t="s">
        <v>5945</v>
      </c>
      <c r="J455" s="8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8" t="s">
        <v>4</v>
      </c>
      <c r="E456" s="8" t="s">
        <v>6157</v>
      </c>
      <c r="F456" s="8"/>
      <c r="H456" s="8"/>
      <c r="I456" s="8" t="s">
        <v>5947</v>
      </c>
      <c r="J456" s="8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8" t="s">
        <v>4</v>
      </c>
      <c r="E457" s="8" t="s">
        <v>86</v>
      </c>
      <c r="F457" s="8"/>
      <c r="H457" s="8" t="s">
        <v>6158</v>
      </c>
      <c r="I457" s="8" t="s">
        <v>5949</v>
      </c>
      <c r="J457" s="8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8" t="s">
        <v>4</v>
      </c>
      <c r="E458" s="8" t="s">
        <v>86</v>
      </c>
      <c r="F458" s="8"/>
      <c r="H458" s="8" t="s">
        <v>6158</v>
      </c>
      <c r="I458" s="8" t="s">
        <v>6174</v>
      </c>
      <c r="J458" s="8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8" t="s">
        <v>4</v>
      </c>
      <c r="E459" s="8" t="s">
        <v>6157</v>
      </c>
      <c r="F459" s="8"/>
      <c r="H459" s="8"/>
      <c r="I459" s="8" t="s">
        <v>6176</v>
      </c>
      <c r="J459" s="8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8" t="s">
        <v>4</v>
      </c>
      <c r="E460" s="8" t="s">
        <v>86</v>
      </c>
      <c r="F460" s="8"/>
      <c r="H460" s="8" t="s">
        <v>6158</v>
      </c>
      <c r="I460" s="8" t="s">
        <v>6178</v>
      </c>
      <c r="J460" s="8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8" t="s">
        <v>4</v>
      </c>
      <c r="E461" s="8" t="s">
        <v>6157</v>
      </c>
      <c r="F461" s="8"/>
      <c r="H461" s="8"/>
      <c r="I461" s="8" t="s">
        <v>6180</v>
      </c>
      <c r="J461" s="8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8" t="s">
        <v>4</v>
      </c>
      <c r="E462" s="8" t="s">
        <v>86</v>
      </c>
      <c r="F462" s="8"/>
      <c r="H462" s="8" t="s">
        <v>6158</v>
      </c>
      <c r="I462" s="8" t="s">
        <v>6182</v>
      </c>
      <c r="J462" s="8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8" t="s">
        <v>1607</v>
      </c>
      <c r="E463" s="8" t="s">
        <v>86</v>
      </c>
      <c r="F463" s="8"/>
      <c r="H463" s="8"/>
      <c r="I463" s="8" t="s">
        <v>6361</v>
      </c>
      <c r="J463" s="8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8" t="s">
        <v>1607</v>
      </c>
      <c r="E464" s="8" t="s">
        <v>86</v>
      </c>
      <c r="F464" s="8"/>
      <c r="H464" s="8"/>
      <c r="I464" s="8" t="s">
        <v>6363</v>
      </c>
      <c r="J464" s="8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8" t="s">
        <v>4</v>
      </c>
      <c r="E465" s="8" t="s">
        <v>6662</v>
      </c>
      <c r="F465" s="8"/>
      <c r="H465" s="8"/>
      <c r="I465" s="8" t="s">
        <v>6498</v>
      </c>
      <c r="J465" s="8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8" t="s">
        <v>884</v>
      </c>
      <c r="E466" s="8" t="s">
        <v>6662</v>
      </c>
      <c r="F466" s="8" t="s">
        <v>53</v>
      </c>
      <c r="G466">
        <v>2</v>
      </c>
      <c r="H466" s="8" t="s">
        <v>6689</v>
      </c>
      <c r="I466" s="8" t="s">
        <v>6500</v>
      </c>
      <c r="J466" s="8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8" t="s">
        <v>884</v>
      </c>
      <c r="E467" s="8" t="s">
        <v>6662</v>
      </c>
      <c r="F467" s="8" t="s">
        <v>53</v>
      </c>
      <c r="G467">
        <v>1</v>
      </c>
      <c r="H467" s="8"/>
      <c r="I467" s="8" t="s">
        <v>6502</v>
      </c>
      <c r="J467" s="8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8" t="s">
        <v>884</v>
      </c>
      <c r="E468" s="8" t="s">
        <v>6662</v>
      </c>
      <c r="F468" s="8" t="s">
        <v>53</v>
      </c>
      <c r="G468">
        <v>2</v>
      </c>
      <c r="H468" s="8"/>
      <c r="I468" s="8" t="s">
        <v>6504</v>
      </c>
      <c r="J468" s="8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8" t="s">
        <v>4</v>
      </c>
      <c r="E469" s="8" t="s">
        <v>1274</v>
      </c>
      <c r="F469" s="8"/>
      <c r="H469" s="8"/>
      <c r="I469" s="8" t="s">
        <v>6506</v>
      </c>
      <c r="J469" s="8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8" t="s">
        <v>1607</v>
      </c>
      <c r="E470" s="8" t="s">
        <v>86</v>
      </c>
      <c r="F470" s="8"/>
      <c r="H470" s="8" t="s">
        <v>4395</v>
      </c>
      <c r="I470" s="8" t="s">
        <v>6508</v>
      </c>
      <c r="J470" s="8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8" t="s">
        <v>1607</v>
      </c>
      <c r="E471" s="8" t="s">
        <v>86</v>
      </c>
      <c r="F471" s="8"/>
      <c r="H471" s="8" t="s">
        <v>4395</v>
      </c>
      <c r="I471" s="8" t="s">
        <v>6510</v>
      </c>
      <c r="J471" s="8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8" t="s">
        <v>1607</v>
      </c>
      <c r="E472" s="8" t="s">
        <v>86</v>
      </c>
      <c r="F472" s="8"/>
      <c r="H472" s="8" t="s">
        <v>4395</v>
      </c>
      <c r="I472" s="8" t="s">
        <v>6512</v>
      </c>
      <c r="J472" s="8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8" t="s">
        <v>1607</v>
      </c>
      <c r="E473" s="8" t="s">
        <v>86</v>
      </c>
      <c r="F473" s="8"/>
      <c r="H473" s="8" t="s">
        <v>4395</v>
      </c>
      <c r="I473" s="8" t="s">
        <v>6734</v>
      </c>
      <c r="J473" s="8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8" t="s">
        <v>1607</v>
      </c>
      <c r="E474" s="8" t="s">
        <v>86</v>
      </c>
      <c r="F474" s="8"/>
      <c r="H474" s="8" t="s">
        <v>4395</v>
      </c>
      <c r="I474" s="8" t="s">
        <v>6736</v>
      </c>
      <c r="J474" s="8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8" t="s">
        <v>1607</v>
      </c>
      <c r="E475" s="8" t="s">
        <v>86</v>
      </c>
      <c r="F475" s="8"/>
      <c r="H475" s="8" t="s">
        <v>4395</v>
      </c>
      <c r="I475" s="8" t="s">
        <v>6738</v>
      </c>
      <c r="J475" s="8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8" t="s">
        <v>1607</v>
      </c>
      <c r="E476" s="8" t="s">
        <v>86</v>
      </c>
      <c r="F476" s="8"/>
      <c r="H476" s="8" t="s">
        <v>4395</v>
      </c>
      <c r="I476" s="8" t="s">
        <v>6949</v>
      </c>
      <c r="J476" s="8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8" t="s">
        <v>1607</v>
      </c>
      <c r="E477" s="8" t="s">
        <v>86</v>
      </c>
      <c r="F477" s="8"/>
      <c r="H477" s="8" t="s">
        <v>4395</v>
      </c>
      <c r="I477" s="8" t="s">
        <v>6951</v>
      </c>
      <c r="J477" s="8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8" t="s">
        <v>1607</v>
      </c>
      <c r="E478" s="8" t="s">
        <v>7067</v>
      </c>
      <c r="F478" s="8"/>
      <c r="H478" s="8" t="s">
        <v>4395</v>
      </c>
      <c r="I478" s="8" t="s">
        <v>6953</v>
      </c>
      <c r="J478" s="8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8" t="s">
        <v>1607</v>
      </c>
      <c r="E479" s="8" t="s">
        <v>86</v>
      </c>
      <c r="F479" s="8"/>
      <c r="H479" s="8" t="s">
        <v>4395</v>
      </c>
      <c r="I479" s="8" t="s">
        <v>6955</v>
      </c>
      <c r="J479" s="8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8" t="s">
        <v>1607</v>
      </c>
      <c r="E480" s="8" t="s">
        <v>86</v>
      </c>
      <c r="F480" s="8"/>
      <c r="H480" s="8" t="s">
        <v>4395</v>
      </c>
      <c r="I480" s="8" t="s">
        <v>6957</v>
      </c>
      <c r="J480" s="8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8" t="s">
        <v>1607</v>
      </c>
      <c r="E481" s="8" t="s">
        <v>86</v>
      </c>
      <c r="F481" s="8"/>
      <c r="H481" s="8" t="s">
        <v>4395</v>
      </c>
      <c r="I481" s="8" t="s">
        <v>6959</v>
      </c>
      <c r="J481" s="8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8" t="s">
        <v>1607</v>
      </c>
      <c r="E482" s="8" t="s">
        <v>86</v>
      </c>
      <c r="F482" s="8"/>
      <c r="H482" s="8" t="s">
        <v>4395</v>
      </c>
      <c r="I482" s="8" t="s">
        <v>6961</v>
      </c>
      <c r="J482" s="8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8" t="s">
        <v>1607</v>
      </c>
      <c r="E483" s="8" t="s">
        <v>86</v>
      </c>
      <c r="F483" s="8"/>
      <c r="H483" s="8" t="s">
        <v>4395</v>
      </c>
      <c r="I483" s="8" t="s">
        <v>7128</v>
      </c>
      <c r="J483" s="8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8" t="s">
        <v>4</v>
      </c>
      <c r="E484" s="8" t="s">
        <v>9</v>
      </c>
      <c r="F484" s="8"/>
      <c r="H484" s="8"/>
      <c r="I484" s="8" t="s">
        <v>7130</v>
      </c>
      <c r="J484" s="8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8" t="s">
        <v>7354</v>
      </c>
      <c r="E485" s="8" t="s">
        <v>7355</v>
      </c>
      <c r="F485" s="8"/>
      <c r="H485" s="8"/>
      <c r="I485" s="8" t="s">
        <v>7132</v>
      </c>
      <c r="J485" s="8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8" t="s">
        <v>1627</v>
      </c>
      <c r="E486" s="8" t="s">
        <v>1058</v>
      </c>
      <c r="F486" s="8"/>
      <c r="H486" s="8"/>
      <c r="I486" s="8" t="s">
        <v>7134</v>
      </c>
      <c r="J486" s="8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8" t="s">
        <v>7354</v>
      </c>
      <c r="E487" s="8" t="s">
        <v>4131</v>
      </c>
      <c r="F487" s="8"/>
      <c r="H487" s="8"/>
      <c r="I487" s="8" t="s">
        <v>7136</v>
      </c>
      <c r="J487" s="8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8" t="s">
        <v>4392</v>
      </c>
      <c r="E488" s="8" t="s">
        <v>4396</v>
      </c>
      <c r="F488" s="8" t="s">
        <v>7356</v>
      </c>
      <c r="H488" s="8"/>
      <c r="I488" s="8" t="s">
        <v>7138</v>
      </c>
      <c r="J488" s="8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8" t="s">
        <v>4</v>
      </c>
      <c r="E489" s="8" t="s">
        <v>9</v>
      </c>
      <c r="F489" s="8"/>
      <c r="H489" s="8"/>
      <c r="I489" s="8" t="s">
        <v>7140</v>
      </c>
      <c r="J489" s="8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8" t="s">
        <v>4392</v>
      </c>
      <c r="E490" s="8" t="s">
        <v>4396</v>
      </c>
      <c r="F490" s="8" t="s">
        <v>7357</v>
      </c>
      <c r="H490" s="8"/>
      <c r="I490" s="8" t="s">
        <v>7142</v>
      </c>
      <c r="J490" s="8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8" t="s">
        <v>4</v>
      </c>
      <c r="E491" s="8" t="s">
        <v>7358</v>
      </c>
      <c r="F491" s="8"/>
      <c r="H491" s="8"/>
      <c r="I491" s="8" t="s">
        <v>7144</v>
      </c>
      <c r="J491" s="8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8" t="s">
        <v>4392</v>
      </c>
      <c r="E492" s="8" t="s">
        <v>4396</v>
      </c>
      <c r="F492" s="8" t="s">
        <v>7357</v>
      </c>
      <c r="H492" s="8"/>
      <c r="I492" s="8" t="s">
        <v>7146</v>
      </c>
      <c r="J492" s="8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8" t="s">
        <v>4392</v>
      </c>
      <c r="E493" s="8" t="s">
        <v>4396</v>
      </c>
      <c r="F493" s="8" t="s">
        <v>7357</v>
      </c>
      <c r="H493" s="8"/>
      <c r="I493" s="8" t="s">
        <v>7148</v>
      </c>
      <c r="J493" s="8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8" t="s">
        <v>4</v>
      </c>
      <c r="E494" s="8" t="s">
        <v>9</v>
      </c>
      <c r="F494" s="8"/>
      <c r="H494" s="8"/>
      <c r="I494" s="8" t="s">
        <v>7150</v>
      </c>
      <c r="J494" s="8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8" t="s">
        <v>4392</v>
      </c>
      <c r="E495" s="8" t="s">
        <v>4396</v>
      </c>
      <c r="F495" s="8" t="s">
        <v>7357</v>
      </c>
      <c r="H495" s="8"/>
      <c r="I495" s="8" t="s">
        <v>7152</v>
      </c>
      <c r="J495" s="8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8" t="s">
        <v>4392</v>
      </c>
      <c r="E496" s="8" t="s">
        <v>4396</v>
      </c>
      <c r="F496" s="8" t="s">
        <v>7357</v>
      </c>
      <c r="H496" s="8"/>
      <c r="I496" s="8" t="s">
        <v>7154</v>
      </c>
      <c r="J496" s="8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8" t="s">
        <v>4</v>
      </c>
      <c r="E497" s="8" t="s">
        <v>9</v>
      </c>
      <c r="F497" s="8"/>
      <c r="H497" s="8"/>
      <c r="I497" s="8" t="s">
        <v>7156</v>
      </c>
      <c r="J497" s="8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8" t="s">
        <v>4</v>
      </c>
      <c r="E498" s="8" t="s">
        <v>86</v>
      </c>
      <c r="F498" s="8"/>
      <c r="H498" s="8" t="s">
        <v>4395</v>
      </c>
      <c r="I498" s="8" t="s">
        <v>7158</v>
      </c>
      <c r="J498" s="8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8" t="s">
        <v>7359</v>
      </c>
      <c r="E499" s="8" t="s">
        <v>1058</v>
      </c>
      <c r="F499" s="8"/>
      <c r="H499" s="8"/>
      <c r="I499" s="8" t="s">
        <v>7160</v>
      </c>
      <c r="J499" s="8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8" t="s">
        <v>1627</v>
      </c>
      <c r="E500" s="8" t="s">
        <v>1058</v>
      </c>
      <c r="F500" s="8"/>
      <c r="H500" s="8"/>
      <c r="I500" s="8" t="s">
        <v>7162</v>
      </c>
      <c r="J500" s="8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8" t="s">
        <v>1627</v>
      </c>
      <c r="E501" s="8" t="s">
        <v>1058</v>
      </c>
      <c r="F501" s="8"/>
      <c r="H501" s="8"/>
      <c r="I501" s="8" t="s">
        <v>7164</v>
      </c>
      <c r="J501" s="8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8" t="s">
        <v>4</v>
      </c>
      <c r="E502" s="8" t="s">
        <v>9</v>
      </c>
      <c r="F502" s="8"/>
      <c r="H502" s="8"/>
      <c r="I502" s="8" t="s">
        <v>7166</v>
      </c>
      <c r="J502" s="8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8" t="s">
        <v>7354</v>
      </c>
      <c r="E503" s="8" t="s">
        <v>4131</v>
      </c>
      <c r="F503" s="8"/>
      <c r="H503" s="8"/>
      <c r="I503" s="8" t="s">
        <v>7168</v>
      </c>
      <c r="J503" s="8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8" t="s">
        <v>4392</v>
      </c>
      <c r="E504" s="8" t="s">
        <v>4396</v>
      </c>
      <c r="F504" s="8" t="s">
        <v>465</v>
      </c>
      <c r="H504" s="8"/>
      <c r="I504" s="8" t="s">
        <v>7170</v>
      </c>
      <c r="J504" s="8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8" t="s">
        <v>4</v>
      </c>
      <c r="E505" s="8" t="s">
        <v>6157</v>
      </c>
      <c r="F505" s="8"/>
      <c r="H505" s="8"/>
      <c r="I505" s="8" t="s">
        <v>7172</v>
      </c>
      <c r="J505" s="8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8" t="s">
        <v>7360</v>
      </c>
      <c r="E506" s="8" t="s">
        <v>1058</v>
      </c>
      <c r="F506" s="8"/>
      <c r="H506" s="8"/>
      <c r="I506" s="8" t="s">
        <v>7174</v>
      </c>
      <c r="J506" s="8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8" t="s">
        <v>7360</v>
      </c>
      <c r="E507" s="8" t="s">
        <v>1058</v>
      </c>
      <c r="F507" s="8"/>
      <c r="H507" s="8"/>
      <c r="I507" s="8" t="s">
        <v>7176</v>
      </c>
      <c r="J507" s="8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8" t="s">
        <v>4</v>
      </c>
      <c r="E508" s="8" t="s">
        <v>86</v>
      </c>
      <c r="F508" s="8"/>
      <c r="H508" s="8" t="s">
        <v>4395</v>
      </c>
      <c r="I508" s="8" t="s">
        <v>7178</v>
      </c>
      <c r="J508" s="8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8" t="s">
        <v>7563</v>
      </c>
      <c r="E509" s="8" t="s">
        <v>1058</v>
      </c>
      <c r="F509" s="8"/>
      <c r="H509" s="8"/>
      <c r="I509" s="8" t="s">
        <v>7422</v>
      </c>
      <c r="J509" s="8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8" t="s">
        <v>7563</v>
      </c>
      <c r="E510" s="8" t="s">
        <v>1058</v>
      </c>
      <c r="F510" s="8"/>
      <c r="H510" s="8"/>
      <c r="I510" s="8" t="s">
        <v>7424</v>
      </c>
      <c r="J510" s="8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8" t="s">
        <v>7563</v>
      </c>
      <c r="E511" s="8" t="s">
        <v>7564</v>
      </c>
      <c r="F511" s="8"/>
      <c r="H511" s="8"/>
      <c r="I511" s="8" t="s">
        <v>7426</v>
      </c>
      <c r="J511" s="8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8" t="s">
        <v>4</v>
      </c>
      <c r="E512" s="8" t="s">
        <v>6157</v>
      </c>
      <c r="F512" s="8"/>
      <c r="H512" s="8"/>
      <c r="I512" s="8" t="s">
        <v>7428</v>
      </c>
      <c r="J512" s="8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8" t="s">
        <v>7563</v>
      </c>
      <c r="E513" s="8" t="s">
        <v>1058</v>
      </c>
      <c r="F513" s="8"/>
      <c r="H513" s="8"/>
      <c r="I513" s="8" t="s">
        <v>7565</v>
      </c>
      <c r="J513" s="8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8" t="s">
        <v>7563</v>
      </c>
      <c r="E514" s="8" t="s">
        <v>1058</v>
      </c>
      <c r="F514" s="8"/>
      <c r="H514" s="8"/>
      <c r="I514" s="8" t="s">
        <v>7567</v>
      </c>
      <c r="J514" s="8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8" t="s">
        <v>7563</v>
      </c>
      <c r="E515" s="8" t="s">
        <v>1058</v>
      </c>
      <c r="F515" s="8"/>
      <c r="H515" s="8"/>
      <c r="I515" s="8" t="s">
        <v>7569</v>
      </c>
      <c r="J515" s="8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8" t="s">
        <v>7563</v>
      </c>
      <c r="E516" s="8" t="s">
        <v>1058</v>
      </c>
      <c r="F516" s="8"/>
      <c r="H516" s="8"/>
      <c r="I516" s="8" t="s">
        <v>7571</v>
      </c>
      <c r="J516" s="8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8" t="s">
        <v>7563</v>
      </c>
      <c r="E517" s="8" t="s">
        <v>1058</v>
      </c>
      <c r="F517" s="8"/>
      <c r="H517" s="8"/>
      <c r="I517" s="8" t="s">
        <v>7573</v>
      </c>
      <c r="J517" s="8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8" t="s">
        <v>7563</v>
      </c>
      <c r="E518" s="8" t="s">
        <v>1058</v>
      </c>
      <c r="F518" s="8"/>
      <c r="H518" s="8"/>
      <c r="I518" s="8" t="s">
        <v>7575</v>
      </c>
      <c r="J518" s="8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8" t="s">
        <v>7583</v>
      </c>
      <c r="E519" s="8" t="s">
        <v>1058</v>
      </c>
      <c r="F519" s="8"/>
      <c r="H519" s="8"/>
      <c r="I519" s="8" t="s">
        <v>7577</v>
      </c>
      <c r="J519" s="8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8" t="s">
        <v>7562</v>
      </c>
      <c r="E520" s="8" t="s">
        <v>4131</v>
      </c>
      <c r="F520" s="8"/>
      <c r="H520" s="8"/>
      <c r="I520" s="8" t="s">
        <v>7579</v>
      </c>
      <c r="J520" s="8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8" t="s">
        <v>4</v>
      </c>
      <c r="E521" s="8" t="s">
        <v>86</v>
      </c>
      <c r="F521" s="8"/>
      <c r="H521" s="8" t="s">
        <v>4395</v>
      </c>
      <c r="I521" s="8" t="s">
        <v>7581</v>
      </c>
      <c r="J521" s="8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8" t="s">
        <v>4</v>
      </c>
      <c r="E522" s="8" t="s">
        <v>86</v>
      </c>
      <c r="F522" s="8"/>
      <c r="H522" s="8" t="s">
        <v>4395</v>
      </c>
      <c r="I522" s="8" t="s">
        <v>7710</v>
      </c>
      <c r="J522" s="8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8" t="s">
        <v>4</v>
      </c>
      <c r="E523" s="8" t="s">
        <v>7745</v>
      </c>
      <c r="F523" s="8"/>
      <c r="H523" s="8"/>
      <c r="I523" s="8" t="s">
        <v>7712</v>
      </c>
      <c r="J523" s="8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8" t="s">
        <v>7746</v>
      </c>
      <c r="E524" s="8" t="s">
        <v>7355</v>
      </c>
      <c r="F524" s="8"/>
      <c r="H524" s="8"/>
      <c r="I524" s="8" t="s">
        <v>7714</v>
      </c>
      <c r="J524" s="8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8" t="s">
        <v>7563</v>
      </c>
      <c r="E525" s="8" t="s">
        <v>1058</v>
      </c>
      <c r="F525" s="8"/>
      <c r="H525" s="8"/>
      <c r="I525" s="8" t="s">
        <v>7825</v>
      </c>
      <c r="J525" s="8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8" t="s">
        <v>7563</v>
      </c>
      <c r="E526" s="8" t="s">
        <v>1058</v>
      </c>
      <c r="F526" s="8"/>
      <c r="H526" s="8"/>
      <c r="I526" s="8" t="s">
        <v>7827</v>
      </c>
      <c r="J526" s="8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8" t="s">
        <v>4</v>
      </c>
      <c r="E527" s="8" t="s">
        <v>9</v>
      </c>
      <c r="F527" s="8"/>
      <c r="H527" s="8"/>
      <c r="I527" s="8" t="s">
        <v>7829</v>
      </c>
      <c r="J527" s="8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8" t="s">
        <v>4</v>
      </c>
      <c r="E528" s="8" t="s">
        <v>4393</v>
      </c>
      <c r="F528" s="8"/>
      <c r="H528" s="8"/>
      <c r="I528" s="8" t="s">
        <v>7831</v>
      </c>
      <c r="J528" s="8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8" t="s">
        <v>4392</v>
      </c>
      <c r="E529" s="8" t="s">
        <v>4396</v>
      </c>
      <c r="F529" s="8" t="s">
        <v>7356</v>
      </c>
      <c r="G529">
        <v>1</v>
      </c>
      <c r="H529" s="8"/>
      <c r="I529" s="8" t="s">
        <v>7833</v>
      </c>
      <c r="J529" s="8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8" t="s">
        <v>4392</v>
      </c>
      <c r="E530" s="8" t="s">
        <v>4396</v>
      </c>
      <c r="F530" s="8" t="s">
        <v>7356</v>
      </c>
      <c r="G530">
        <v>2</v>
      </c>
      <c r="H530" s="8"/>
      <c r="I530" s="8" t="s">
        <v>7835</v>
      </c>
      <c r="J530" s="8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8" t="s">
        <v>4392</v>
      </c>
      <c r="E531" s="8" t="s">
        <v>4396</v>
      </c>
      <c r="F531" s="8" t="s">
        <v>7356</v>
      </c>
      <c r="G531">
        <v>1</v>
      </c>
      <c r="H531" s="8"/>
      <c r="I531" s="8" t="s">
        <v>7837</v>
      </c>
      <c r="J531" s="8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8" t="s">
        <v>4</v>
      </c>
      <c r="E532" s="8" t="s">
        <v>4393</v>
      </c>
      <c r="F532" s="8"/>
      <c r="H532" s="8"/>
      <c r="I532" s="8" t="s">
        <v>7839</v>
      </c>
      <c r="J532" s="8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8" t="s">
        <v>4</v>
      </c>
      <c r="E533" s="8" t="s">
        <v>4393</v>
      </c>
      <c r="F533" s="8"/>
      <c r="H533" s="8"/>
      <c r="I533" s="8" t="s">
        <v>7841</v>
      </c>
      <c r="J533" s="8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8" t="s">
        <v>4</v>
      </c>
      <c r="E534" s="8" t="s">
        <v>86</v>
      </c>
      <c r="F534" s="8"/>
      <c r="H534" s="8" t="s">
        <v>4395</v>
      </c>
      <c r="I534" s="8" t="s">
        <v>7843</v>
      </c>
      <c r="J534" s="8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8" t="s">
        <v>7354</v>
      </c>
      <c r="E535" s="8" t="s">
        <v>4131</v>
      </c>
      <c r="F535" s="8"/>
      <c r="H535" s="8"/>
      <c r="I535" s="8" t="s">
        <v>8005</v>
      </c>
      <c r="J535" s="8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8" t="s">
        <v>4</v>
      </c>
      <c r="E536" s="8" t="s">
        <v>6157</v>
      </c>
      <c r="F536" s="8"/>
      <c r="H536" s="8"/>
      <c r="I536" s="8" t="s">
        <v>8007</v>
      </c>
      <c r="J536" s="8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8" t="s">
        <v>4392</v>
      </c>
      <c r="E537" s="8" t="s">
        <v>4396</v>
      </c>
      <c r="F537" s="8" t="s">
        <v>7356</v>
      </c>
      <c r="G537">
        <v>1</v>
      </c>
      <c r="H537" s="8"/>
      <c r="I537" s="8" t="s">
        <v>8009</v>
      </c>
      <c r="J537" s="8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8" t="s">
        <v>4392</v>
      </c>
      <c r="E538" s="8" t="s">
        <v>4396</v>
      </c>
      <c r="F538" s="8" t="s">
        <v>7356</v>
      </c>
      <c r="G538">
        <v>1</v>
      </c>
      <c r="H538" s="8"/>
      <c r="I538" s="8" t="s">
        <v>8011</v>
      </c>
      <c r="J538" s="8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8" t="s">
        <v>7746</v>
      </c>
      <c r="E539" s="8" t="s">
        <v>4131</v>
      </c>
      <c r="F539" s="8"/>
      <c r="H539" s="8"/>
      <c r="I539" s="8" t="s">
        <v>8013</v>
      </c>
      <c r="J539" s="8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8" t="s">
        <v>4392</v>
      </c>
      <c r="E540" s="8" t="s">
        <v>4396</v>
      </c>
      <c r="F540" s="8" t="s">
        <v>7356</v>
      </c>
      <c r="G540">
        <v>2</v>
      </c>
      <c r="H540" s="8"/>
      <c r="I540" s="8" t="s">
        <v>8015</v>
      </c>
      <c r="J540" s="8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8" t="s">
        <v>136</v>
      </c>
      <c r="E541" s="8" t="s">
        <v>4396</v>
      </c>
      <c r="F541" s="8" t="s">
        <v>465</v>
      </c>
      <c r="G541">
        <v>1</v>
      </c>
      <c r="H541" s="8"/>
      <c r="I541" s="8" t="s">
        <v>8017</v>
      </c>
      <c r="J541" s="8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8" t="s">
        <v>587</v>
      </c>
      <c r="E542" s="8" t="s">
        <v>4396</v>
      </c>
      <c r="F542" s="8"/>
      <c r="H542" s="8"/>
      <c r="I542" s="8" t="s">
        <v>8019</v>
      </c>
      <c r="J542" s="8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8" t="s">
        <v>4</v>
      </c>
      <c r="E543" s="8" t="s">
        <v>7066</v>
      </c>
      <c r="F543" s="8"/>
      <c r="H543" s="8"/>
      <c r="I543" s="8" t="s">
        <v>8021</v>
      </c>
      <c r="J543" s="8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8" t="s">
        <v>4</v>
      </c>
      <c r="E544" s="8" t="s">
        <v>8331</v>
      </c>
      <c r="F544" s="8"/>
      <c r="H544" s="8" t="s">
        <v>4395</v>
      </c>
      <c r="I544" s="8" t="s">
        <v>8313</v>
      </c>
      <c r="J544" s="8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8" t="s">
        <v>4</v>
      </c>
      <c r="E545" s="8" t="s">
        <v>6157</v>
      </c>
      <c r="F545" s="8"/>
      <c r="H545" s="8"/>
      <c r="I545" s="8" t="s">
        <v>8315</v>
      </c>
      <c r="J545" s="8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8" t="s">
        <v>226</v>
      </c>
      <c r="E546" s="8" t="s">
        <v>7608</v>
      </c>
      <c r="F546" s="8" t="s">
        <v>58</v>
      </c>
      <c r="H546" s="8" t="s">
        <v>8374</v>
      </c>
      <c r="I546" s="8" t="s">
        <v>8317</v>
      </c>
      <c r="J546" s="8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8" t="s">
        <v>226</v>
      </c>
      <c r="E547" s="8" t="s">
        <v>7608</v>
      </c>
      <c r="F547" s="8" t="s">
        <v>58</v>
      </c>
      <c r="H547" s="8" t="s">
        <v>2352</v>
      </c>
      <c r="I547" s="8" t="s">
        <v>8320</v>
      </c>
      <c r="J547" s="8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8" t="s">
        <v>4</v>
      </c>
      <c r="E548" s="8" t="s">
        <v>4396</v>
      </c>
      <c r="F548" s="8"/>
      <c r="H548" s="8" t="s">
        <v>4395</v>
      </c>
      <c r="I548" s="8" t="s">
        <v>8323</v>
      </c>
      <c r="J548" s="8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8" t="s">
        <v>4</v>
      </c>
      <c r="E549" s="8" t="s">
        <v>4396</v>
      </c>
      <c r="F549" s="8"/>
      <c r="H549" s="8" t="s">
        <v>4395</v>
      </c>
      <c r="I549" s="8" t="s">
        <v>8389</v>
      </c>
      <c r="J549" s="8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8" t="s">
        <v>4</v>
      </c>
      <c r="E550" s="8" t="s">
        <v>4131</v>
      </c>
      <c r="F550" s="8"/>
      <c r="H550" s="8"/>
      <c r="I550" s="8" t="s">
        <v>8435</v>
      </c>
      <c r="J550" s="8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8" t="s">
        <v>7562</v>
      </c>
      <c r="E551" s="8" t="s">
        <v>468</v>
      </c>
      <c r="F551" s="8"/>
      <c r="H551" s="8"/>
      <c r="I551" s="8" t="s">
        <v>8486</v>
      </c>
      <c r="J551" s="8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8" t="s">
        <v>8527</v>
      </c>
      <c r="E552" s="8" t="s">
        <v>468</v>
      </c>
      <c r="F552" s="8"/>
      <c r="H552" s="8"/>
      <c r="I552" s="8" t="s">
        <v>8488</v>
      </c>
      <c r="J552" s="8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8" t="s">
        <v>7562</v>
      </c>
      <c r="E553" s="8" t="s">
        <v>468</v>
      </c>
      <c r="F553" s="8"/>
      <c r="H553" s="8"/>
      <c r="I553" s="8" t="s">
        <v>8490</v>
      </c>
      <c r="J553" s="8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8" t="s">
        <v>8527</v>
      </c>
      <c r="E554" s="8" t="s">
        <v>468</v>
      </c>
      <c r="F554" s="8"/>
      <c r="H554" s="8"/>
      <c r="I554" s="8" t="s">
        <v>8492</v>
      </c>
      <c r="J554" s="8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8" t="s">
        <v>4</v>
      </c>
      <c r="E555" s="8" t="s">
        <v>6157</v>
      </c>
      <c r="F555" s="8"/>
      <c r="H555" s="8"/>
      <c r="I555" s="8" t="s">
        <v>8494</v>
      </c>
      <c r="J555" s="8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8" t="s">
        <v>7562</v>
      </c>
      <c r="E556" s="8" t="s">
        <v>468</v>
      </c>
      <c r="F556" s="8"/>
      <c r="H556" s="8"/>
      <c r="I556" s="8" t="s">
        <v>8642</v>
      </c>
      <c r="J556" s="8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8" t="s">
        <v>4</v>
      </c>
      <c r="E557" s="8" t="s">
        <v>6157</v>
      </c>
      <c r="F557" s="8"/>
      <c r="H557" s="8"/>
      <c r="I557" s="8" t="s">
        <v>8644</v>
      </c>
      <c r="J557" s="8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8" t="s">
        <v>4392</v>
      </c>
      <c r="E558" s="8" t="s">
        <v>4396</v>
      </c>
      <c r="F558" s="8" t="s">
        <v>7356</v>
      </c>
      <c r="H558" s="8"/>
      <c r="I558" s="8" t="s">
        <v>8646</v>
      </c>
      <c r="J558" s="8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8" t="s">
        <v>7746</v>
      </c>
      <c r="E559" s="8" t="s">
        <v>4131</v>
      </c>
      <c r="F559" s="8"/>
      <c r="H559" s="8"/>
      <c r="I559" s="8" t="s">
        <v>8648</v>
      </c>
      <c r="J559" s="8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8" t="s">
        <v>4392</v>
      </c>
      <c r="E560" s="8" t="s">
        <v>4396</v>
      </c>
      <c r="F560" s="8" t="s">
        <v>7356</v>
      </c>
      <c r="H560" s="8"/>
      <c r="I560" s="8" t="s">
        <v>8650</v>
      </c>
      <c r="J560" s="8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8" t="s">
        <v>136</v>
      </c>
      <c r="E561" s="8" t="s">
        <v>7355</v>
      </c>
      <c r="F561" s="8" t="s">
        <v>2345</v>
      </c>
      <c r="H561" s="8"/>
      <c r="I561" s="8" t="s">
        <v>8652</v>
      </c>
      <c r="J561" s="8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8" t="s">
        <v>7354</v>
      </c>
      <c r="E562" s="8" t="s">
        <v>4131</v>
      </c>
      <c r="F562" s="8"/>
      <c r="H562" s="8"/>
      <c r="I562" s="8" t="s">
        <v>8654</v>
      </c>
      <c r="J562" s="8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8" t="s">
        <v>7562</v>
      </c>
      <c r="E563" s="8" t="s">
        <v>468</v>
      </c>
      <c r="F563" s="8"/>
      <c r="H563" s="8"/>
      <c r="I563" s="8" t="s">
        <v>8656</v>
      </c>
      <c r="J563" s="8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8" t="s">
        <v>7354</v>
      </c>
      <c r="E564" s="8" t="s">
        <v>4131</v>
      </c>
      <c r="F564" s="8"/>
      <c r="H564" s="8"/>
      <c r="I564" s="8" t="s">
        <v>8658</v>
      </c>
      <c r="J564" s="8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8" t="s">
        <v>7354</v>
      </c>
      <c r="E565" s="8" t="s">
        <v>4131</v>
      </c>
      <c r="F565" s="8"/>
      <c r="H565" s="8"/>
      <c r="I565" s="8" t="s">
        <v>8660</v>
      </c>
      <c r="J565" s="8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8" t="s">
        <v>1627</v>
      </c>
      <c r="E566" s="8" t="s">
        <v>1058</v>
      </c>
      <c r="F566" s="8"/>
      <c r="H566" s="8" t="s">
        <v>8719</v>
      </c>
      <c r="I566" s="8" t="s">
        <v>8662</v>
      </c>
      <c r="J566" s="8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8" t="s">
        <v>7354</v>
      </c>
      <c r="E567" s="8" t="s">
        <v>4131</v>
      </c>
      <c r="F567" s="8"/>
      <c r="H567" s="8"/>
      <c r="I567" s="8" t="s">
        <v>8664</v>
      </c>
      <c r="J567" s="8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8" t="s">
        <v>7562</v>
      </c>
      <c r="E568" s="8" t="s">
        <v>468</v>
      </c>
      <c r="F568" s="8"/>
      <c r="H568" s="8"/>
      <c r="I568" s="8" t="s">
        <v>8763</v>
      </c>
      <c r="J568" s="8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8" t="s">
        <v>4</v>
      </c>
      <c r="E569" s="8" t="s">
        <v>6157</v>
      </c>
      <c r="F569" s="8"/>
      <c r="H569" s="8"/>
      <c r="I569" s="8" t="s">
        <v>8765</v>
      </c>
      <c r="J569" s="8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8" t="s">
        <v>4</v>
      </c>
      <c r="E570" s="8" t="s">
        <v>4396</v>
      </c>
      <c r="F570" s="8"/>
      <c r="H570" s="8" t="s">
        <v>4395</v>
      </c>
      <c r="I570" s="8" t="s">
        <v>8767</v>
      </c>
      <c r="J570" s="8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8" t="s">
        <v>8921</v>
      </c>
      <c r="E571" s="8" t="s">
        <v>8922</v>
      </c>
      <c r="F571" s="8"/>
      <c r="H571" s="8"/>
      <c r="I571" s="8" t="s">
        <v>8842</v>
      </c>
      <c r="J571" s="8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8" t="s">
        <v>7746</v>
      </c>
      <c r="E572" s="8" t="s">
        <v>1274</v>
      </c>
      <c r="F572" s="8"/>
      <c r="H572" s="8"/>
      <c r="I572" s="8" t="s">
        <v>8844</v>
      </c>
      <c r="J572" s="8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8" t="s">
        <v>4</v>
      </c>
      <c r="E573" s="8" t="s">
        <v>9</v>
      </c>
      <c r="F573" s="8"/>
      <c r="H573" s="8"/>
      <c r="I573" s="8" t="s">
        <v>8994</v>
      </c>
      <c r="J573" s="8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8" t="s">
        <v>136</v>
      </c>
      <c r="E574" s="8" t="s">
        <v>4396</v>
      </c>
      <c r="F574" s="8" t="s">
        <v>465</v>
      </c>
      <c r="G574">
        <v>1</v>
      </c>
      <c r="H574" s="8"/>
      <c r="I574" s="8" t="s">
        <v>8996</v>
      </c>
      <c r="J574" s="8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8" t="s">
        <v>4392</v>
      </c>
      <c r="E575" s="8" t="s">
        <v>4396</v>
      </c>
      <c r="F575" s="8" t="s">
        <v>7357</v>
      </c>
      <c r="G575">
        <v>1</v>
      </c>
      <c r="H575" s="8"/>
      <c r="I575" s="8" t="s">
        <v>8998</v>
      </c>
      <c r="J575" s="8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8" t="s">
        <v>7354</v>
      </c>
      <c r="E576" s="8" t="s">
        <v>7355</v>
      </c>
      <c r="F576" s="8"/>
      <c r="H576" s="8"/>
      <c r="I576" s="8" t="s">
        <v>9000</v>
      </c>
      <c r="J576" s="8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8" t="s">
        <v>1627</v>
      </c>
      <c r="E577" s="8" t="s">
        <v>1058</v>
      </c>
      <c r="F577" s="8"/>
      <c r="H577" s="8" t="s">
        <v>8719</v>
      </c>
      <c r="I577" s="8" t="s">
        <v>9002</v>
      </c>
      <c r="J577" s="8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8" t="s">
        <v>7354</v>
      </c>
      <c r="E578" s="8" t="s">
        <v>7355</v>
      </c>
      <c r="F578" s="8"/>
      <c r="H578" s="8"/>
      <c r="I578" s="8" t="s">
        <v>9004</v>
      </c>
      <c r="J578" s="8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8" t="s">
        <v>7354</v>
      </c>
      <c r="E579" s="8" t="s">
        <v>7355</v>
      </c>
      <c r="F579" s="8"/>
      <c r="H579" s="8"/>
      <c r="I579" s="8" t="s">
        <v>9006</v>
      </c>
      <c r="J579" s="8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8" t="s">
        <v>7746</v>
      </c>
      <c r="E580" s="8" t="s">
        <v>1274</v>
      </c>
      <c r="F580" s="8"/>
      <c r="H580" s="8"/>
      <c r="I580" s="8" t="s">
        <v>9008</v>
      </c>
      <c r="J580" s="8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8" t="s">
        <v>4</v>
      </c>
      <c r="E581" s="8" t="s">
        <v>6157</v>
      </c>
      <c r="F581" s="8"/>
      <c r="H581" s="8"/>
      <c r="I581" s="8" t="s">
        <v>9010</v>
      </c>
      <c r="J581" s="8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8" t="s">
        <v>7354</v>
      </c>
      <c r="E582" s="8" t="s">
        <v>7355</v>
      </c>
      <c r="F582" s="8"/>
      <c r="H582" s="8"/>
      <c r="I582" s="8" t="s">
        <v>9183</v>
      </c>
      <c r="J582" s="8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8" t="s">
        <v>7354</v>
      </c>
      <c r="E583" s="8" t="s">
        <v>7355</v>
      </c>
      <c r="F583" s="8"/>
      <c r="H583" s="8"/>
      <c r="I583" s="8" t="s">
        <v>9185</v>
      </c>
      <c r="J583" s="8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8" t="s">
        <v>7746</v>
      </c>
      <c r="E584" s="8" t="s">
        <v>1274</v>
      </c>
      <c r="F584" s="8"/>
      <c r="H584" s="8"/>
      <c r="I584" s="8" t="s">
        <v>9187</v>
      </c>
      <c r="J584" s="8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8" t="s">
        <v>9316</v>
      </c>
      <c r="E585" s="8" t="s">
        <v>1274</v>
      </c>
      <c r="F585" s="8"/>
      <c r="H585" s="8"/>
      <c r="I585" s="8" t="s">
        <v>9189</v>
      </c>
      <c r="J585" s="8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8" t="s">
        <v>7354</v>
      </c>
      <c r="E586" s="8" t="s">
        <v>7355</v>
      </c>
      <c r="F586" s="8"/>
      <c r="H586" s="8"/>
      <c r="I586" s="8" t="s">
        <v>9191</v>
      </c>
      <c r="J586" s="8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8" t="s">
        <v>1627</v>
      </c>
      <c r="E587" s="8" t="s">
        <v>1058</v>
      </c>
      <c r="F587" s="8"/>
      <c r="H587" s="8"/>
      <c r="I587" s="8" t="s">
        <v>9193</v>
      </c>
      <c r="J587" s="8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8" t="s">
        <v>4</v>
      </c>
      <c r="E588" s="8" t="s">
        <v>9</v>
      </c>
      <c r="F588" s="8"/>
      <c r="H588" s="8"/>
      <c r="I588" s="8" t="s">
        <v>9195</v>
      </c>
      <c r="J588" s="8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8" t="s">
        <v>4</v>
      </c>
      <c r="E589" s="8" t="s">
        <v>9</v>
      </c>
      <c r="F589" s="8"/>
      <c r="H589" s="8"/>
      <c r="I589" s="8" t="s">
        <v>9197</v>
      </c>
      <c r="J589" s="8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8" t="s">
        <v>7354</v>
      </c>
      <c r="E590" s="8" t="s">
        <v>7355</v>
      </c>
      <c r="F590" s="8"/>
      <c r="H590" s="8"/>
      <c r="I590" s="8" t="s">
        <v>9199</v>
      </c>
      <c r="J590" s="8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8" t="s">
        <v>4</v>
      </c>
      <c r="E591" s="8" t="s">
        <v>9317</v>
      </c>
      <c r="F591" s="8"/>
      <c r="H591" s="8"/>
      <c r="I591" s="8" t="s">
        <v>9201</v>
      </c>
      <c r="J591" s="8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8" t="s">
        <v>7746</v>
      </c>
      <c r="E592" s="8" t="s">
        <v>1274</v>
      </c>
      <c r="F592" s="8"/>
      <c r="H592" s="8" t="s">
        <v>9318</v>
      </c>
      <c r="I592" s="8" t="s">
        <v>9203</v>
      </c>
      <c r="J592" s="8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8" t="s">
        <v>7354</v>
      </c>
      <c r="E593" s="8" t="s">
        <v>7355</v>
      </c>
      <c r="F593" s="8"/>
      <c r="H593" s="8"/>
      <c r="I593" s="8" t="s">
        <v>9205</v>
      </c>
      <c r="J593" s="8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8" t="s">
        <v>4</v>
      </c>
      <c r="E594" s="8" t="s">
        <v>6157</v>
      </c>
      <c r="F594" s="8"/>
      <c r="H594" s="8"/>
      <c r="I594" s="8" t="s">
        <v>9364</v>
      </c>
      <c r="J594" s="8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8" t="s">
        <v>1627</v>
      </c>
      <c r="E595" s="8" t="s">
        <v>1058</v>
      </c>
      <c r="F595" s="8"/>
      <c r="H595" s="8"/>
      <c r="I595" s="8" t="s">
        <v>9366</v>
      </c>
      <c r="J595" s="8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8" t="s">
        <v>7354</v>
      </c>
      <c r="E596" s="8" t="s">
        <v>7355</v>
      </c>
      <c r="F596" s="8"/>
      <c r="H596" s="8"/>
      <c r="I596" s="8" t="s">
        <v>9368</v>
      </c>
      <c r="J596" s="8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8" t="s">
        <v>7746</v>
      </c>
      <c r="E597" s="8" t="s">
        <v>1274</v>
      </c>
      <c r="F597" s="8"/>
      <c r="H597" s="8"/>
      <c r="I597" s="8" t="s">
        <v>9370</v>
      </c>
      <c r="J597" s="8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8" t="s">
        <v>7746</v>
      </c>
      <c r="E598" s="8" t="s">
        <v>1274</v>
      </c>
      <c r="F598" s="8"/>
      <c r="H598" s="8"/>
      <c r="I598" s="8" t="s">
        <v>9372</v>
      </c>
      <c r="J598" s="8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8" t="s">
        <v>7354</v>
      </c>
      <c r="E599" s="8" t="s">
        <v>7355</v>
      </c>
      <c r="F599" s="8"/>
      <c r="H599" s="8"/>
      <c r="I599" s="8" t="s">
        <v>9374</v>
      </c>
      <c r="J599" s="8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8" t="s">
        <v>7354</v>
      </c>
      <c r="E600" s="8" t="s">
        <v>7355</v>
      </c>
      <c r="F600" s="8"/>
      <c r="H600" s="8"/>
      <c r="I600" s="8" t="s">
        <v>9376</v>
      </c>
      <c r="J600" s="8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8" t="s">
        <v>4</v>
      </c>
      <c r="E601" s="8" t="s">
        <v>9</v>
      </c>
      <c r="F601" s="8"/>
      <c r="H601" s="8"/>
      <c r="I601" s="8" t="s">
        <v>9378</v>
      </c>
      <c r="J601" s="8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8" t="s">
        <v>4</v>
      </c>
      <c r="E602" s="8" t="s">
        <v>9</v>
      </c>
      <c r="F602" s="8"/>
      <c r="H602" s="8" t="s">
        <v>2352</v>
      </c>
      <c r="I602" s="8" t="s">
        <v>9380</v>
      </c>
      <c r="J602" s="8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8" t="s">
        <v>4</v>
      </c>
      <c r="E603" s="8" t="s">
        <v>9422</v>
      </c>
      <c r="F603" s="8"/>
      <c r="H603" s="8"/>
      <c r="I603" s="8" t="s">
        <v>9382</v>
      </c>
      <c r="J603" s="8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8" t="s">
        <v>4</v>
      </c>
      <c r="E604" s="8" t="s">
        <v>9</v>
      </c>
      <c r="F604" s="8"/>
      <c r="H604" s="8"/>
      <c r="I604" s="8" t="s">
        <v>10743</v>
      </c>
      <c r="J604" s="8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8" t="s">
        <v>4</v>
      </c>
      <c r="E605" s="8" t="s">
        <v>9</v>
      </c>
      <c r="F605" s="8"/>
      <c r="H605" s="8"/>
      <c r="I605" s="8" t="s">
        <v>10745</v>
      </c>
      <c r="J605" s="8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8" t="s">
        <v>4</v>
      </c>
      <c r="E606" s="8" t="s">
        <v>9</v>
      </c>
      <c r="F606" s="8"/>
      <c r="H606" s="8"/>
      <c r="I606" s="8" t="s">
        <v>10747</v>
      </c>
      <c r="J606" s="8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8" t="s">
        <v>1627</v>
      </c>
      <c r="E607" s="8" t="s">
        <v>1058</v>
      </c>
      <c r="F607" s="8"/>
      <c r="H607" s="8"/>
      <c r="I607" s="8" t="s">
        <v>10749</v>
      </c>
      <c r="J607" s="8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8" t="s">
        <v>1627</v>
      </c>
      <c r="E608" s="8" t="s">
        <v>1058</v>
      </c>
      <c r="F608" s="8"/>
      <c r="H608" s="8"/>
      <c r="I608" s="8" t="s">
        <v>10751</v>
      </c>
      <c r="J608" s="8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8" t="s">
        <v>1627</v>
      </c>
      <c r="E609" s="8" t="s">
        <v>1058</v>
      </c>
      <c r="F609" s="8"/>
      <c r="H609" s="8"/>
      <c r="I609" s="8" t="s">
        <v>10753</v>
      </c>
      <c r="J609" s="8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8" t="s">
        <v>1627</v>
      </c>
      <c r="E610" s="8" t="s">
        <v>1058</v>
      </c>
      <c r="F610" s="8"/>
      <c r="H610" s="8"/>
      <c r="I610" s="8" t="s">
        <v>10755</v>
      </c>
      <c r="J610" s="8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8" t="s">
        <v>4</v>
      </c>
      <c r="E611" s="8" t="s">
        <v>9</v>
      </c>
      <c r="F611" s="8"/>
      <c r="H611" s="8"/>
      <c r="I611" s="8" t="s">
        <v>10757</v>
      </c>
      <c r="J611" s="8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8" t="s">
        <v>4</v>
      </c>
      <c r="E612" s="8" t="s">
        <v>9</v>
      </c>
      <c r="F612" s="8"/>
      <c r="H612" s="8"/>
      <c r="I612" s="8" t="s">
        <v>13804</v>
      </c>
      <c r="J612" s="8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8" t="s">
        <v>1627</v>
      </c>
      <c r="E613" s="8" t="s">
        <v>1058</v>
      </c>
      <c r="F613" s="8"/>
      <c r="H613" s="8"/>
      <c r="I613" s="8" t="s">
        <v>13807</v>
      </c>
      <c r="J613" s="8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8" t="s">
        <v>1627</v>
      </c>
      <c r="E614" s="8" t="s">
        <v>1058</v>
      </c>
      <c r="F614" s="8"/>
      <c r="H614" s="8"/>
      <c r="I614" s="8" t="s">
        <v>13810</v>
      </c>
      <c r="J614" s="8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8" t="s">
        <v>1627</v>
      </c>
      <c r="E615" s="8" t="s">
        <v>1058</v>
      </c>
      <c r="F615" s="8"/>
      <c r="H615" s="8"/>
      <c r="I615" s="8" t="s">
        <v>13813</v>
      </c>
      <c r="J615" s="8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8" t="s">
        <v>4</v>
      </c>
      <c r="E616" s="8" t="s">
        <v>9</v>
      </c>
      <c r="F616" s="8"/>
      <c r="H616" s="8"/>
      <c r="I616" s="8" t="s">
        <v>13816</v>
      </c>
      <c r="J616" s="8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8" t="s">
        <v>1627</v>
      </c>
      <c r="E617" s="8" t="s">
        <v>1058</v>
      </c>
      <c r="F617" s="8"/>
      <c r="H617" s="8"/>
      <c r="I617" s="8" t="s">
        <v>13819</v>
      </c>
      <c r="J617" s="8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8" t="s">
        <v>4</v>
      </c>
      <c r="E618" s="8" t="s">
        <v>9</v>
      </c>
      <c r="F618" s="8"/>
      <c r="H618" s="8"/>
      <c r="I618" s="8" t="s">
        <v>13822</v>
      </c>
      <c r="J618" s="8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8" t="s">
        <v>4</v>
      </c>
      <c r="E619" s="8" t="s">
        <v>9</v>
      </c>
      <c r="F619" s="8"/>
      <c r="H619" s="8"/>
      <c r="I619" s="8" t="s">
        <v>13825</v>
      </c>
      <c r="J619" s="8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8" t="s">
        <v>4</v>
      </c>
      <c r="E620" s="8" t="s">
        <v>9</v>
      </c>
      <c r="F620" s="8"/>
      <c r="H620" s="8"/>
      <c r="I620" s="8" t="s">
        <v>13828</v>
      </c>
      <c r="J620" s="8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8" t="s">
        <v>1627</v>
      </c>
      <c r="E621" s="8" t="s">
        <v>1058</v>
      </c>
      <c r="F621" s="8"/>
      <c r="H621" s="8"/>
      <c r="I621" s="8" t="s">
        <v>13831</v>
      </c>
      <c r="J621" s="8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8" t="s">
        <v>1627</v>
      </c>
      <c r="E622" s="8" t="s">
        <v>1058</v>
      </c>
      <c r="F622" s="8"/>
      <c r="H622" s="8"/>
      <c r="I622" s="8" t="s">
        <v>13834</v>
      </c>
      <c r="J622" s="8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8" t="s">
        <v>7354</v>
      </c>
      <c r="E623" s="8" t="s">
        <v>7355</v>
      </c>
      <c r="F623" s="8"/>
      <c r="H623" s="8"/>
      <c r="I623" s="8" t="s">
        <v>13837</v>
      </c>
      <c r="J623" s="8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8" t="s">
        <v>4</v>
      </c>
      <c r="E624" s="8" t="s">
        <v>8</v>
      </c>
      <c r="F624" s="8"/>
      <c r="H624" s="8"/>
      <c r="I624" s="8" t="s">
        <v>13951</v>
      </c>
      <c r="J624" s="8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8" t="s">
        <v>1607</v>
      </c>
      <c r="E625" s="8" t="s">
        <v>8</v>
      </c>
      <c r="F625" s="8"/>
      <c r="H625" s="8"/>
      <c r="I625" s="8" t="s">
        <v>13954</v>
      </c>
      <c r="J625" s="8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8" t="s">
        <v>1607</v>
      </c>
      <c r="E626" s="8" t="s">
        <v>8</v>
      </c>
      <c r="F626" s="8"/>
      <c r="H626" s="8"/>
      <c r="I626" s="8" t="s">
        <v>13957</v>
      </c>
      <c r="J626" s="8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8" t="s">
        <v>1607</v>
      </c>
      <c r="E627" s="8" t="s">
        <v>9</v>
      </c>
      <c r="F627" s="8"/>
      <c r="H627" s="8"/>
      <c r="I627" s="8" t="s">
        <v>16153</v>
      </c>
      <c r="J627" s="8" t="s">
        <v>11086</v>
      </c>
      <c r="K627" t="s">
        <v>16154</v>
      </c>
      <c r="L627" t="s">
        <v>16155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8" t="s">
        <v>1607</v>
      </c>
      <c r="E628" s="8" t="s">
        <v>9</v>
      </c>
      <c r="F628" s="8"/>
      <c r="H628" s="8"/>
      <c r="I628" s="8" t="s">
        <v>16156</v>
      </c>
      <c r="J628" s="8" t="s">
        <v>11086</v>
      </c>
      <c r="K628" t="s">
        <v>16157</v>
      </c>
      <c r="L628" t="s">
        <v>16158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8" t="s">
        <v>1607</v>
      </c>
      <c r="E629" s="8" t="s">
        <v>9</v>
      </c>
      <c r="F629" s="8"/>
      <c r="H629" s="8"/>
      <c r="I629" s="8" t="s">
        <v>16159</v>
      </c>
      <c r="J629" s="8" t="s">
        <v>11086</v>
      </c>
      <c r="K629" t="s">
        <v>16160</v>
      </c>
      <c r="L629" t="s">
        <v>16161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8" t="s">
        <v>7354</v>
      </c>
      <c r="E630" s="8" t="s">
        <v>7355</v>
      </c>
      <c r="F630" s="8"/>
      <c r="H630" s="8"/>
      <c r="I630" s="8" t="s">
        <v>16162</v>
      </c>
      <c r="J630" s="8" t="s">
        <v>11086</v>
      </c>
      <c r="K630" t="s">
        <v>16163</v>
      </c>
      <c r="L630" t="s">
        <v>16164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8" t="s">
        <v>7354</v>
      </c>
      <c r="E631" s="8" t="s">
        <v>4131</v>
      </c>
      <c r="F631" s="8"/>
      <c r="H631" s="8"/>
      <c r="I631" s="8" t="s">
        <v>16165</v>
      </c>
      <c r="J631" s="8" t="s">
        <v>11086</v>
      </c>
      <c r="K631" t="s">
        <v>16166</v>
      </c>
      <c r="L631" t="s">
        <v>16167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8" t="s">
        <v>4</v>
      </c>
      <c r="E632" s="8" t="s">
        <v>9</v>
      </c>
      <c r="F632" s="8"/>
      <c r="H632" s="8"/>
      <c r="I632" s="8" t="s">
        <v>16168</v>
      </c>
      <c r="J632" s="8" t="s">
        <v>11086</v>
      </c>
      <c r="K632" t="s">
        <v>16169</v>
      </c>
      <c r="L632" t="s">
        <v>16170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8" t="s">
        <v>1607</v>
      </c>
      <c r="E633" s="8" t="s">
        <v>9</v>
      </c>
      <c r="F633" s="8"/>
      <c r="H633" s="8"/>
      <c r="I633" s="8" t="s">
        <v>16171</v>
      </c>
      <c r="J633" s="8" t="s">
        <v>11086</v>
      </c>
      <c r="K633" t="s">
        <v>16172</v>
      </c>
      <c r="L633" t="s">
        <v>16173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8" t="s">
        <v>1607</v>
      </c>
      <c r="E634" s="8" t="s">
        <v>9</v>
      </c>
      <c r="F634" s="8"/>
      <c r="H634" s="8"/>
      <c r="I634" s="8" t="s">
        <v>16174</v>
      </c>
      <c r="J634" s="8" t="s">
        <v>11086</v>
      </c>
      <c r="K634" t="s">
        <v>16175</v>
      </c>
      <c r="L634" t="s">
        <v>16176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8" t="s">
        <v>1607</v>
      </c>
      <c r="E635" s="8" t="s">
        <v>9</v>
      </c>
      <c r="F635" s="8"/>
      <c r="H635" s="8"/>
      <c r="I635" s="8" t="s">
        <v>16177</v>
      </c>
      <c r="J635" s="8" t="s">
        <v>11086</v>
      </c>
      <c r="K635" t="s">
        <v>16178</v>
      </c>
      <c r="L635" t="s">
        <v>16179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8" t="s">
        <v>1607</v>
      </c>
      <c r="E636" s="8" t="s">
        <v>9</v>
      </c>
      <c r="F636" s="8"/>
      <c r="H636" s="8" t="s">
        <v>16672</v>
      </c>
      <c r="I636" s="8" t="s">
        <v>16180</v>
      </c>
      <c r="J636" s="8" t="s">
        <v>11086</v>
      </c>
      <c r="K636" t="s">
        <v>16181</v>
      </c>
      <c r="L636" t="s">
        <v>16182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8" t="s">
        <v>20</v>
      </c>
      <c r="E637" s="8"/>
      <c r="F637" s="8"/>
      <c r="H637" s="8"/>
      <c r="I637" s="8" t="s">
        <v>16321</v>
      </c>
      <c r="J637" s="8" t="s">
        <v>11086</v>
      </c>
      <c r="K637" t="s">
        <v>16322</v>
      </c>
      <c r="L637" t="s">
        <v>16323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8" t="s">
        <v>4</v>
      </c>
      <c r="E638" s="8" t="s">
        <v>9</v>
      </c>
      <c r="F638" s="8"/>
      <c r="H638" s="8"/>
      <c r="I638" s="8" t="s">
        <v>16324</v>
      </c>
      <c r="J638" s="8" t="s">
        <v>11086</v>
      </c>
      <c r="K638" t="s">
        <v>16325</v>
      </c>
      <c r="L638" t="s">
        <v>16326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8" t="s">
        <v>7354</v>
      </c>
      <c r="E639" s="8" t="s">
        <v>7355</v>
      </c>
      <c r="F639" s="8"/>
      <c r="H639" s="8"/>
      <c r="I639" s="8" t="s">
        <v>16327</v>
      </c>
      <c r="J639" s="8" t="s">
        <v>11086</v>
      </c>
      <c r="K639" t="s">
        <v>16328</v>
      </c>
      <c r="L639" t="s">
        <v>16329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8" t="s">
        <v>7354</v>
      </c>
      <c r="E640" s="8" t="s">
        <v>7355</v>
      </c>
      <c r="F640" s="8"/>
      <c r="H640" s="8"/>
      <c r="I640" s="8" t="s">
        <v>16330</v>
      </c>
      <c r="J640" s="8" t="s">
        <v>11086</v>
      </c>
      <c r="K640" t="s">
        <v>16331</v>
      </c>
      <c r="L640" t="s">
        <v>16332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8" t="s">
        <v>7354</v>
      </c>
      <c r="E641" s="8" t="s">
        <v>7355</v>
      </c>
      <c r="F641" s="8"/>
      <c r="H641" s="8"/>
      <c r="I641" s="8" t="s">
        <v>16333</v>
      </c>
      <c r="J641" s="8" t="s">
        <v>11086</v>
      </c>
      <c r="K641" t="s">
        <v>16334</v>
      </c>
      <c r="L641" t="s">
        <v>16335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8" t="s">
        <v>4</v>
      </c>
      <c r="E642" s="8" t="s">
        <v>9</v>
      </c>
      <c r="F642" s="8"/>
      <c r="H642" s="8"/>
      <c r="I642" s="8" t="s">
        <v>16336</v>
      </c>
      <c r="J642" s="8" t="s">
        <v>11086</v>
      </c>
      <c r="K642" t="s">
        <v>16337</v>
      </c>
      <c r="L642" t="s">
        <v>16338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8" t="s">
        <v>7354</v>
      </c>
      <c r="E643" s="8" t="s">
        <v>7355</v>
      </c>
      <c r="F643" s="8"/>
      <c r="H643" s="8"/>
      <c r="I643" s="8" t="s">
        <v>16339</v>
      </c>
      <c r="J643" s="8" t="s">
        <v>11086</v>
      </c>
      <c r="K643" t="s">
        <v>16340</v>
      </c>
      <c r="L643" t="s">
        <v>16341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8" t="s">
        <v>7354</v>
      </c>
      <c r="E644" s="8" t="s">
        <v>7355</v>
      </c>
      <c r="F644" s="8"/>
      <c r="H644" s="8"/>
      <c r="I644" s="8" t="s">
        <v>16342</v>
      </c>
      <c r="J644" s="8" t="s">
        <v>11086</v>
      </c>
      <c r="K644" t="s">
        <v>16343</v>
      </c>
      <c r="L644" t="s">
        <v>16344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8" t="s">
        <v>7354</v>
      </c>
      <c r="E645" s="8" t="s">
        <v>7355</v>
      </c>
      <c r="F645" s="8"/>
      <c r="H645" s="8"/>
      <c r="I645" s="8" t="s">
        <v>16345</v>
      </c>
      <c r="J645" s="8" t="s">
        <v>11086</v>
      </c>
      <c r="K645" t="s">
        <v>16346</v>
      </c>
      <c r="L645" t="s">
        <v>16347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8" t="s">
        <v>7354</v>
      </c>
      <c r="E646" s="8" t="s">
        <v>7355</v>
      </c>
      <c r="F646" s="8"/>
      <c r="H646" s="8"/>
      <c r="I646" s="8" t="s">
        <v>16348</v>
      </c>
      <c r="J646" s="8" t="s">
        <v>11086</v>
      </c>
      <c r="K646" t="s">
        <v>16349</v>
      </c>
      <c r="L646" t="s">
        <v>16350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8" t="s">
        <v>4</v>
      </c>
      <c r="E647" s="8" t="s">
        <v>9</v>
      </c>
      <c r="F647" s="8"/>
      <c r="H647" s="8"/>
      <c r="I647" s="8" t="s">
        <v>16351</v>
      </c>
      <c r="J647" s="8" t="s">
        <v>11086</v>
      </c>
      <c r="K647" t="s">
        <v>16352</v>
      </c>
      <c r="L647" t="s">
        <v>16353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8" t="s">
        <v>16673</v>
      </c>
      <c r="E648" s="8" t="s">
        <v>7355</v>
      </c>
      <c r="F648" s="8"/>
      <c r="H648" s="8"/>
      <c r="I648" s="8" t="s">
        <v>16354</v>
      </c>
      <c r="J648" s="8" t="s">
        <v>11086</v>
      </c>
      <c r="K648" t="s">
        <v>16355</v>
      </c>
      <c r="L648" t="s">
        <v>16356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8" t="s">
        <v>4</v>
      </c>
      <c r="E649" s="8" t="s">
        <v>4131</v>
      </c>
      <c r="F649" s="8"/>
      <c r="H649" s="8"/>
      <c r="I649" s="8" t="s">
        <v>16357</v>
      </c>
      <c r="J649" s="8" t="s">
        <v>11086</v>
      </c>
      <c r="K649" t="s">
        <v>16358</v>
      </c>
      <c r="L649" t="s">
        <v>16359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8" t="s">
        <v>7354</v>
      </c>
      <c r="E650" s="8" t="s">
        <v>7355</v>
      </c>
      <c r="F650" s="8"/>
      <c r="H650" s="8"/>
      <c r="I650" s="8" t="s">
        <v>16360</v>
      </c>
      <c r="J650" s="8" t="s">
        <v>11086</v>
      </c>
      <c r="K650" t="s">
        <v>16361</v>
      </c>
      <c r="L650" t="s">
        <v>16362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8" t="s">
        <v>7354</v>
      </c>
      <c r="E651" s="8" t="s">
        <v>7355</v>
      </c>
      <c r="F651" s="8"/>
      <c r="H651" s="8"/>
      <c r="I651" s="8" t="s">
        <v>16363</v>
      </c>
      <c r="J651" s="8" t="s">
        <v>11086</v>
      </c>
      <c r="K651" t="s">
        <v>16364</v>
      </c>
      <c r="L651" t="s">
        <v>16365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8" t="s">
        <v>1607</v>
      </c>
      <c r="E652" s="8" t="s">
        <v>9</v>
      </c>
      <c r="F652" s="8"/>
      <c r="H652" s="8"/>
      <c r="I652" s="8" t="s">
        <v>16366</v>
      </c>
      <c r="J652" s="8" t="s">
        <v>11086</v>
      </c>
      <c r="K652" t="s">
        <v>16367</v>
      </c>
      <c r="L652" t="s">
        <v>16368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8" t="s">
        <v>4</v>
      </c>
      <c r="E653" s="8" t="s">
        <v>9</v>
      </c>
      <c r="F653" s="8"/>
      <c r="H653" s="8"/>
      <c r="I653" s="8" t="s">
        <v>16369</v>
      </c>
      <c r="J653" s="8" t="s">
        <v>11086</v>
      </c>
      <c r="K653" t="s">
        <v>16370</v>
      </c>
      <c r="L653" t="s">
        <v>16371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8" t="s">
        <v>4</v>
      </c>
      <c r="E654" s="8" t="s">
        <v>4131</v>
      </c>
      <c r="F654" s="8"/>
      <c r="H654" s="8"/>
      <c r="I654" s="8" t="s">
        <v>16372</v>
      </c>
      <c r="J654" s="8" t="s">
        <v>11086</v>
      </c>
      <c r="K654" t="s">
        <v>16373</v>
      </c>
      <c r="L654" t="s">
        <v>16374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8" t="s">
        <v>7354</v>
      </c>
      <c r="E655" s="8" t="s">
        <v>4131</v>
      </c>
      <c r="F655" s="8"/>
      <c r="H655" s="8"/>
      <c r="I655" s="8" t="s">
        <v>16375</v>
      </c>
      <c r="J655" s="8" t="s">
        <v>11086</v>
      </c>
      <c r="K655" t="s">
        <v>16376</v>
      </c>
      <c r="L655" t="s">
        <v>16377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8" t="s">
        <v>7354</v>
      </c>
      <c r="E656" s="8" t="s">
        <v>7355</v>
      </c>
      <c r="F656" s="8"/>
      <c r="H656" s="8"/>
      <c r="I656" s="8" t="s">
        <v>16378</v>
      </c>
      <c r="J656" s="8" t="s">
        <v>11086</v>
      </c>
      <c r="K656" t="s">
        <v>16379</v>
      </c>
      <c r="L656" t="s">
        <v>16380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8" t="s">
        <v>16674</v>
      </c>
      <c r="E657" s="8"/>
      <c r="F657" s="8"/>
      <c r="H657" s="8"/>
      <c r="I657" s="8" t="s">
        <v>16381</v>
      </c>
      <c r="J657" s="8" t="s">
        <v>11086</v>
      </c>
      <c r="K657" t="s">
        <v>16382</v>
      </c>
      <c r="L657" t="s">
        <v>16383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8" t="s">
        <v>16674</v>
      </c>
      <c r="E658" s="8"/>
      <c r="F658" s="8"/>
      <c r="H658" s="8" t="s">
        <v>2352</v>
      </c>
      <c r="I658" s="8" t="s">
        <v>16384</v>
      </c>
      <c r="J658" s="8" t="s">
        <v>11086</v>
      </c>
      <c r="K658" t="s">
        <v>16385</v>
      </c>
      <c r="L658" t="s">
        <v>16386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8" t="s">
        <v>16674</v>
      </c>
      <c r="E659" s="8"/>
      <c r="F659" s="8"/>
      <c r="H659" s="8" t="s">
        <v>2352</v>
      </c>
      <c r="I659" s="8" t="s">
        <v>16387</v>
      </c>
      <c r="J659" s="8" t="s">
        <v>11086</v>
      </c>
      <c r="K659" t="s">
        <v>16388</v>
      </c>
      <c r="L659" t="s">
        <v>16389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8" t="s">
        <v>16669</v>
      </c>
      <c r="E660" s="8"/>
      <c r="F660" s="8"/>
      <c r="H660" s="8"/>
      <c r="I660" s="8" t="s">
        <v>16390</v>
      </c>
      <c r="J660" s="8" t="s">
        <v>11086</v>
      </c>
      <c r="K660" t="s">
        <v>16391</v>
      </c>
      <c r="L660" t="s">
        <v>16392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8" t="s">
        <v>4</v>
      </c>
      <c r="E661" s="8" t="s">
        <v>9</v>
      </c>
      <c r="F661" s="8"/>
      <c r="H661" s="8"/>
      <c r="I661" s="8" t="s">
        <v>16393</v>
      </c>
      <c r="J661" s="8" t="s">
        <v>11086</v>
      </c>
      <c r="K661" t="s">
        <v>16394</v>
      </c>
      <c r="L661" t="s">
        <v>16395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8" t="s">
        <v>1607</v>
      </c>
      <c r="E662" s="8" t="s">
        <v>9</v>
      </c>
      <c r="F662" s="8"/>
      <c r="H662" s="8"/>
      <c r="I662" s="8" t="s">
        <v>16396</v>
      </c>
      <c r="J662" s="8" t="s">
        <v>11086</v>
      </c>
      <c r="K662" t="s">
        <v>16397</v>
      </c>
      <c r="L662" t="s">
        <v>16398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8" t="s">
        <v>1607</v>
      </c>
      <c r="E663" s="8" t="s">
        <v>9</v>
      </c>
      <c r="F663" s="8"/>
      <c r="H663" s="8"/>
      <c r="I663" s="8" t="s">
        <v>16399</v>
      </c>
      <c r="J663" s="8" t="s">
        <v>11086</v>
      </c>
      <c r="K663" t="s">
        <v>16400</v>
      </c>
      <c r="L663" t="s">
        <v>16401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8" t="s">
        <v>1607</v>
      </c>
      <c r="E664" s="8" t="s">
        <v>9</v>
      </c>
      <c r="F664" s="8"/>
      <c r="H664" s="8"/>
      <c r="I664" s="8" t="s">
        <v>16402</v>
      </c>
      <c r="J664" s="8" t="s">
        <v>11086</v>
      </c>
      <c r="K664" t="s">
        <v>16403</v>
      </c>
      <c r="L664" t="s">
        <v>16404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8" t="s">
        <v>7354</v>
      </c>
      <c r="E665" s="8" t="s">
        <v>7355</v>
      </c>
      <c r="F665" s="8"/>
      <c r="H665" s="8"/>
      <c r="I665" s="8" t="s">
        <v>16405</v>
      </c>
      <c r="J665" s="8" t="s">
        <v>11086</v>
      </c>
      <c r="K665" t="s">
        <v>16406</v>
      </c>
      <c r="L665" t="s">
        <v>16407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8" t="s">
        <v>7354</v>
      </c>
      <c r="E666" s="8" t="s">
        <v>4131</v>
      </c>
      <c r="F666" s="8"/>
      <c r="H666" s="8"/>
      <c r="I666" s="8" t="s">
        <v>16408</v>
      </c>
      <c r="J666" s="8" t="s">
        <v>11086</v>
      </c>
      <c r="K666" t="s">
        <v>16409</v>
      </c>
      <c r="L666" t="s">
        <v>16410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8" t="s">
        <v>7354</v>
      </c>
      <c r="E667" s="8" t="s">
        <v>4131</v>
      </c>
      <c r="F667" s="8"/>
      <c r="H667" s="8"/>
      <c r="I667" s="8" t="s">
        <v>16411</v>
      </c>
      <c r="J667" s="8" t="s">
        <v>11086</v>
      </c>
      <c r="K667" t="s">
        <v>16412</v>
      </c>
      <c r="L667" t="s">
        <v>16413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8" t="s">
        <v>4</v>
      </c>
      <c r="E668" s="8" t="s">
        <v>4131</v>
      </c>
      <c r="F668" s="8"/>
      <c r="H668" s="8"/>
      <c r="I668" s="8" t="s">
        <v>16414</v>
      </c>
      <c r="J668" s="8" t="s">
        <v>11086</v>
      </c>
      <c r="K668" t="s">
        <v>16415</v>
      </c>
      <c r="L668" t="s">
        <v>16416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8" t="s">
        <v>4</v>
      </c>
      <c r="E669" s="8" t="s">
        <v>9</v>
      </c>
      <c r="F669" s="8"/>
      <c r="H669" s="8"/>
      <c r="I669" s="8" t="s">
        <v>16417</v>
      </c>
      <c r="J669" s="8" t="s">
        <v>11086</v>
      </c>
      <c r="K669" t="s">
        <v>16418</v>
      </c>
      <c r="L669" t="s">
        <v>16419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8" t="s">
        <v>4</v>
      </c>
      <c r="E670" s="8" t="s">
        <v>17477</v>
      </c>
      <c r="F670" s="8"/>
      <c r="H670" s="8"/>
      <c r="I670" s="8" t="s">
        <v>17386</v>
      </c>
      <c r="J670" s="8" t="s">
        <v>11086</v>
      </c>
      <c r="K670" t="s">
        <v>17387</v>
      </c>
      <c r="L670" t="s">
        <v>17388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8" t="s">
        <v>4</v>
      </c>
      <c r="E671" s="8" t="s">
        <v>17477</v>
      </c>
      <c r="F671" s="8"/>
      <c r="H671" s="8"/>
      <c r="I671" s="8" t="s">
        <v>17389</v>
      </c>
      <c r="J671" s="8" t="s">
        <v>11086</v>
      </c>
      <c r="K671" t="s">
        <v>17390</v>
      </c>
      <c r="L671" t="s">
        <v>17391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8" t="s">
        <v>4</v>
      </c>
      <c r="E672" s="8" t="s">
        <v>17476</v>
      </c>
      <c r="F672" s="8"/>
      <c r="H672" s="8" t="s">
        <v>17478</v>
      </c>
      <c r="I672" s="8" t="s">
        <v>17392</v>
      </c>
      <c r="J672" s="8" t="s">
        <v>11086</v>
      </c>
      <c r="K672" t="s">
        <v>17393</v>
      </c>
      <c r="L672" t="s">
        <v>17394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8" t="s">
        <v>1607</v>
      </c>
      <c r="E673" s="8" t="s">
        <v>9</v>
      </c>
      <c r="F673" s="8"/>
      <c r="H673" s="8"/>
      <c r="I673" s="8" t="s">
        <v>17395</v>
      </c>
      <c r="J673" s="8" t="s">
        <v>11086</v>
      </c>
      <c r="K673" t="s">
        <v>17396</v>
      </c>
      <c r="L673" t="s">
        <v>17397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8" t="s">
        <v>1607</v>
      </c>
      <c r="E674" s="8" t="s">
        <v>9</v>
      </c>
      <c r="F674" s="8"/>
      <c r="H674" s="8"/>
      <c r="I674" s="8" t="s">
        <v>17398</v>
      </c>
      <c r="J674" s="8" t="s">
        <v>11086</v>
      </c>
      <c r="K674" t="s">
        <v>17399</v>
      </c>
      <c r="L674" t="s">
        <v>17400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8" t="s">
        <v>1627</v>
      </c>
      <c r="E675" s="8" t="s">
        <v>687</v>
      </c>
      <c r="F675" s="8"/>
      <c r="H675" s="8"/>
      <c r="I675" s="8" t="s">
        <v>17401</v>
      </c>
      <c r="J675" s="8" t="s">
        <v>11086</v>
      </c>
      <c r="K675" t="s">
        <v>17402</v>
      </c>
      <c r="L675" t="s">
        <v>17403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8" t="s">
        <v>1627</v>
      </c>
      <c r="E676" s="8" t="s">
        <v>687</v>
      </c>
      <c r="F676" s="8"/>
      <c r="H676" s="8"/>
      <c r="I676" s="8" t="s">
        <v>17404</v>
      </c>
      <c r="J676" s="8" t="s">
        <v>11086</v>
      </c>
      <c r="K676" t="s">
        <v>17405</v>
      </c>
      <c r="L676" t="s">
        <v>17406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8" t="s">
        <v>1627</v>
      </c>
      <c r="E677" s="8" t="s">
        <v>687</v>
      </c>
      <c r="F677" s="8"/>
      <c r="H677" s="8"/>
      <c r="I677" s="8" t="s">
        <v>17407</v>
      </c>
      <c r="J677" s="8" t="s">
        <v>11086</v>
      </c>
      <c r="K677" t="s">
        <v>17408</v>
      </c>
      <c r="L677" t="s">
        <v>17409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8" t="s">
        <v>1627</v>
      </c>
      <c r="E678" s="8" t="s">
        <v>687</v>
      </c>
      <c r="F678" s="8"/>
      <c r="H678" s="8"/>
      <c r="I678" s="8" t="s">
        <v>17410</v>
      </c>
      <c r="J678" s="8" t="s">
        <v>11086</v>
      </c>
      <c r="K678" t="s">
        <v>17411</v>
      </c>
      <c r="L678" t="s">
        <v>17412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8" t="s">
        <v>1627</v>
      </c>
      <c r="E679" s="8" t="s">
        <v>687</v>
      </c>
      <c r="F679" s="8"/>
      <c r="H679" s="8"/>
      <c r="I679" s="8" t="s">
        <v>17413</v>
      </c>
      <c r="J679" s="8" t="s">
        <v>11086</v>
      </c>
      <c r="K679" t="s">
        <v>17414</v>
      </c>
      <c r="L679" t="s">
        <v>17415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8" t="s">
        <v>1627</v>
      </c>
      <c r="E680" s="8" t="s">
        <v>687</v>
      </c>
      <c r="F680" s="8"/>
      <c r="H680" s="8"/>
      <c r="I680" s="8" t="s">
        <v>17416</v>
      </c>
      <c r="J680" s="8" t="s">
        <v>11086</v>
      </c>
      <c r="K680" t="s">
        <v>17417</v>
      </c>
      <c r="L680" t="s">
        <v>17418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8" t="s">
        <v>1627</v>
      </c>
      <c r="E681" s="8" t="s">
        <v>687</v>
      </c>
      <c r="F681" s="8"/>
      <c r="H681" s="8"/>
      <c r="I681" s="8" t="s">
        <v>17419</v>
      </c>
      <c r="J681" s="8" t="s">
        <v>11086</v>
      </c>
      <c r="K681" t="s">
        <v>17420</v>
      </c>
      <c r="L681" t="s">
        <v>17421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8" t="s">
        <v>1627</v>
      </c>
      <c r="E682" s="8" t="s">
        <v>687</v>
      </c>
      <c r="F682" s="8"/>
      <c r="H682" s="8"/>
      <c r="I682" s="8" t="s">
        <v>17422</v>
      </c>
      <c r="J682" s="8" t="s">
        <v>11086</v>
      </c>
      <c r="K682" t="s">
        <v>17423</v>
      </c>
      <c r="L682" t="s">
        <v>17424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8" t="s">
        <v>1627</v>
      </c>
      <c r="E683" s="8" t="s">
        <v>687</v>
      </c>
      <c r="F683" s="8"/>
      <c r="H683" s="8"/>
      <c r="I683" s="8" t="s">
        <v>17425</v>
      </c>
      <c r="J683" s="8" t="s">
        <v>11086</v>
      </c>
      <c r="K683" t="s">
        <v>17426</v>
      </c>
      <c r="L683" t="s">
        <v>17427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8" t="s">
        <v>1627</v>
      </c>
      <c r="E684" s="8" t="s">
        <v>687</v>
      </c>
      <c r="F684" s="8"/>
      <c r="H684" s="8"/>
      <c r="I684" s="8" t="s">
        <v>17428</v>
      </c>
      <c r="J684" s="8" t="s">
        <v>11086</v>
      </c>
      <c r="K684" t="s">
        <v>17429</v>
      </c>
      <c r="L684" t="s">
        <v>17430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8" t="s">
        <v>1627</v>
      </c>
      <c r="E685" s="8" t="s">
        <v>687</v>
      </c>
      <c r="F685" s="8"/>
      <c r="H685" s="8"/>
      <c r="I685" s="8" t="s">
        <v>17431</v>
      </c>
      <c r="J685" s="8" t="s">
        <v>11086</v>
      </c>
      <c r="K685" t="s">
        <v>17432</v>
      </c>
      <c r="L685" t="s">
        <v>17433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8" t="s">
        <v>4</v>
      </c>
      <c r="E686" s="8" t="s">
        <v>9</v>
      </c>
      <c r="F686" s="8"/>
      <c r="H686" s="8"/>
      <c r="I686" s="8" t="s">
        <v>17434</v>
      </c>
      <c r="J686" s="8" t="s">
        <v>11086</v>
      </c>
      <c r="K686" t="s">
        <v>17435</v>
      </c>
      <c r="L686" t="s">
        <v>17436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8" t="s">
        <v>4</v>
      </c>
      <c r="E687" s="8" t="s">
        <v>9</v>
      </c>
      <c r="F687" s="8"/>
      <c r="H687" s="8"/>
      <c r="I687" s="8" t="s">
        <v>17437</v>
      </c>
      <c r="J687" s="8" t="s">
        <v>11086</v>
      </c>
      <c r="K687" t="s">
        <v>17438</v>
      </c>
      <c r="L687" t="s">
        <v>17439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8" t="s">
        <v>7746</v>
      </c>
      <c r="E688" s="8" t="s">
        <v>1274</v>
      </c>
      <c r="F688" s="8"/>
      <c r="H688" s="8"/>
      <c r="I688" s="8" t="s">
        <v>17440</v>
      </c>
      <c r="J688" s="8" t="s">
        <v>11086</v>
      </c>
      <c r="K688" t="s">
        <v>17441</v>
      </c>
      <c r="L688" t="s">
        <v>17442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8" t="s">
        <v>7746</v>
      </c>
      <c r="E689" s="8" t="s">
        <v>1274</v>
      </c>
      <c r="F689" s="8"/>
      <c r="H689" s="8"/>
      <c r="I689" s="8" t="s">
        <v>17443</v>
      </c>
      <c r="J689" s="8" t="s">
        <v>11086</v>
      </c>
      <c r="K689" t="s">
        <v>17444</v>
      </c>
      <c r="L689" t="s">
        <v>17445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8" t="s">
        <v>4</v>
      </c>
      <c r="E690" s="8" t="s">
        <v>9</v>
      </c>
      <c r="F690" s="8"/>
      <c r="H690" s="8"/>
      <c r="I690" s="8" t="s">
        <v>17622</v>
      </c>
      <c r="J690" s="8" t="s">
        <v>11086</v>
      </c>
      <c r="K690" t="s">
        <v>17623</v>
      </c>
      <c r="L690" t="s">
        <v>17624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8" t="s">
        <v>1607</v>
      </c>
      <c r="E691" s="8" t="s">
        <v>9</v>
      </c>
      <c r="F691" s="8"/>
      <c r="H691" s="8"/>
      <c r="I691" s="8" t="s">
        <v>17625</v>
      </c>
      <c r="J691" s="8" t="s">
        <v>11086</v>
      </c>
      <c r="K691" t="s">
        <v>17626</v>
      </c>
      <c r="L691" t="s">
        <v>17627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8" t="s">
        <v>1607</v>
      </c>
      <c r="E692" s="8" t="s">
        <v>9</v>
      </c>
      <c r="F692" s="8"/>
      <c r="H692" s="8"/>
      <c r="I692" s="8" t="s">
        <v>17628</v>
      </c>
      <c r="J692" s="8" t="s">
        <v>11086</v>
      </c>
      <c r="K692" t="s">
        <v>17629</v>
      </c>
      <c r="L692" t="s">
        <v>17630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8" t="s">
        <v>1607</v>
      </c>
      <c r="E693" s="8" t="s">
        <v>9</v>
      </c>
      <c r="F693" s="8"/>
      <c r="H693" s="8"/>
      <c r="I693" s="8" t="s">
        <v>18139</v>
      </c>
      <c r="J693" s="8" t="s">
        <v>11086</v>
      </c>
      <c r="K693" t="s">
        <v>18140</v>
      </c>
      <c r="L693" t="s">
        <v>18141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8" t="s">
        <v>7354</v>
      </c>
      <c r="E694" s="8" t="s">
        <v>4131</v>
      </c>
      <c r="F694" s="8"/>
      <c r="H694" s="8"/>
      <c r="I694" s="8" t="s">
        <v>18142</v>
      </c>
      <c r="J694" s="8" t="s">
        <v>11086</v>
      </c>
      <c r="K694" t="s">
        <v>18143</v>
      </c>
      <c r="L694" t="s">
        <v>18144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8" t="s">
        <v>7354</v>
      </c>
      <c r="E695" s="8" t="s">
        <v>4131</v>
      </c>
      <c r="F695" s="8"/>
      <c r="H695" s="8"/>
      <c r="I695" s="8" t="s">
        <v>18145</v>
      </c>
      <c r="J695" s="8" t="s">
        <v>11086</v>
      </c>
      <c r="K695" t="s">
        <v>18146</v>
      </c>
      <c r="L695" t="s">
        <v>18147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8" t="s">
        <v>7354</v>
      </c>
      <c r="E696" s="8" t="s">
        <v>4131</v>
      </c>
      <c r="F696" s="8"/>
      <c r="H696" s="8"/>
      <c r="I696" s="8" t="s">
        <v>18148</v>
      </c>
      <c r="J696" s="8" t="s">
        <v>11086</v>
      </c>
      <c r="K696" t="s">
        <v>18149</v>
      </c>
      <c r="L696" t="s">
        <v>18150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8" t="s">
        <v>7354</v>
      </c>
      <c r="E697" s="8" t="s">
        <v>4131</v>
      </c>
      <c r="F697" s="8"/>
      <c r="H697" s="8"/>
      <c r="I697" s="8" t="s">
        <v>18151</v>
      </c>
      <c r="J697" s="8" t="s">
        <v>11086</v>
      </c>
      <c r="K697" t="s">
        <v>18152</v>
      </c>
      <c r="L697" t="s">
        <v>18153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8" t="s">
        <v>4</v>
      </c>
      <c r="E698" s="8" t="s">
        <v>9</v>
      </c>
      <c r="F698" s="8"/>
      <c r="H698" s="8"/>
      <c r="I698" s="8" t="s">
        <v>18154</v>
      </c>
      <c r="J698" s="8" t="s">
        <v>11086</v>
      </c>
      <c r="K698" t="s">
        <v>18155</v>
      </c>
      <c r="L698" t="s">
        <v>18156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s="8" t="s">
        <v>4</v>
      </c>
      <c r="E699" s="8" t="s">
        <v>9</v>
      </c>
      <c r="F699" s="8"/>
      <c r="H699" s="8"/>
      <c r="I699" s="8" t="s">
        <v>18480</v>
      </c>
      <c r="J699" s="8" t="s">
        <v>11086</v>
      </c>
      <c r="K699" t="s">
        <v>18481</v>
      </c>
      <c r="L699" t="s">
        <v>18482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s="8" t="s">
        <v>16674</v>
      </c>
      <c r="E700" s="8"/>
      <c r="F700" s="8"/>
      <c r="H700" s="8"/>
      <c r="I700" s="8" t="s">
        <v>18483</v>
      </c>
      <c r="J700" s="8" t="s">
        <v>11086</v>
      </c>
      <c r="K700" t="s">
        <v>18484</v>
      </c>
      <c r="L700" t="s">
        <v>18485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s="8" t="s">
        <v>16669</v>
      </c>
      <c r="E701" s="8"/>
      <c r="F701" s="8"/>
      <c r="H701" s="8"/>
      <c r="I701" s="8" t="s">
        <v>18486</v>
      </c>
      <c r="J701" s="8" t="s">
        <v>11086</v>
      </c>
      <c r="K701" t="s">
        <v>18487</v>
      </c>
      <c r="L701" t="s">
        <v>18488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s="8" t="s">
        <v>7354</v>
      </c>
      <c r="E702" s="8" t="s">
        <v>7355</v>
      </c>
      <c r="F702" s="8"/>
      <c r="H702" s="8"/>
      <c r="I702" s="8" t="s">
        <v>18489</v>
      </c>
      <c r="J702" s="8" t="s">
        <v>11086</v>
      </c>
      <c r="K702" t="s">
        <v>18490</v>
      </c>
      <c r="L702" t="s">
        <v>18491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s="8" t="s">
        <v>18879</v>
      </c>
      <c r="E703" s="8" t="s">
        <v>468</v>
      </c>
      <c r="F703" s="8"/>
      <c r="H703" s="8"/>
      <c r="I703" s="8" t="s">
        <v>18492</v>
      </c>
      <c r="J703" s="8" t="s">
        <v>11086</v>
      </c>
      <c r="K703" t="s">
        <v>18493</v>
      </c>
      <c r="L703" t="s">
        <v>18494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s="8" t="s">
        <v>18879</v>
      </c>
      <c r="E704" s="8" t="s">
        <v>468</v>
      </c>
      <c r="F704" s="8"/>
      <c r="H704" s="8" t="s">
        <v>2352</v>
      </c>
      <c r="I704" s="8" t="s">
        <v>18495</v>
      </c>
      <c r="J704" s="8" t="s">
        <v>11086</v>
      </c>
      <c r="K704" t="s">
        <v>18496</v>
      </c>
      <c r="L704" t="s">
        <v>18497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s="8" t="s">
        <v>1627</v>
      </c>
      <c r="E705" s="8" t="s">
        <v>687</v>
      </c>
      <c r="F705" s="8"/>
      <c r="H705" s="8"/>
      <c r="I705" s="8" t="s">
        <v>18498</v>
      </c>
      <c r="J705" s="8" t="s">
        <v>11086</v>
      </c>
      <c r="K705" t="s">
        <v>18499</v>
      </c>
      <c r="L705" t="s">
        <v>18500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s="8" t="s">
        <v>1627</v>
      </c>
      <c r="E706" s="8" t="s">
        <v>687</v>
      </c>
      <c r="F706" s="8"/>
      <c r="H706" s="8"/>
      <c r="I706" s="8" t="s">
        <v>18501</v>
      </c>
      <c r="J706" s="8" t="s">
        <v>11086</v>
      </c>
      <c r="K706" t="s">
        <v>18502</v>
      </c>
      <c r="L706" t="s">
        <v>18503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s="8" t="s">
        <v>7354</v>
      </c>
      <c r="E707" s="8" t="s">
        <v>7355</v>
      </c>
      <c r="F707" s="8"/>
      <c r="H707" s="8"/>
      <c r="I707" s="8" t="s">
        <v>18504</v>
      </c>
      <c r="J707" s="8" t="s">
        <v>11086</v>
      </c>
      <c r="K707" t="s">
        <v>18505</v>
      </c>
      <c r="L707" t="s">
        <v>18506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s="8" t="s">
        <v>16674</v>
      </c>
      <c r="E708" s="8"/>
      <c r="F708" s="8"/>
      <c r="H708" s="8"/>
      <c r="I708" s="8" t="s">
        <v>18507</v>
      </c>
      <c r="J708" s="8" t="s">
        <v>11086</v>
      </c>
      <c r="K708" t="s">
        <v>18508</v>
      </c>
      <c r="L708" t="s">
        <v>18509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s="8" t="s">
        <v>16674</v>
      </c>
      <c r="E709" s="8"/>
      <c r="F709" s="8"/>
      <c r="H709" s="8"/>
      <c r="I709" s="8" t="s">
        <v>18510</v>
      </c>
      <c r="J709" s="8" t="s">
        <v>11086</v>
      </c>
      <c r="K709" t="s">
        <v>18511</v>
      </c>
      <c r="L709" t="s">
        <v>18512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s="8" t="s">
        <v>16674</v>
      </c>
      <c r="E710" s="8"/>
      <c r="F710" s="8"/>
      <c r="H710" s="8"/>
      <c r="I710" s="8" t="s">
        <v>18513</v>
      </c>
      <c r="J710" s="8" t="s">
        <v>11086</v>
      </c>
      <c r="K710" t="s">
        <v>18514</v>
      </c>
      <c r="L710" t="s">
        <v>18515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s="8" t="s">
        <v>16669</v>
      </c>
      <c r="E711" s="8"/>
      <c r="F711" s="8"/>
      <c r="H711" s="8"/>
      <c r="I711" s="8" t="s">
        <v>18516</v>
      </c>
      <c r="J711" s="8" t="s">
        <v>11086</v>
      </c>
      <c r="K711" t="s">
        <v>18517</v>
      </c>
      <c r="L711" t="s">
        <v>18518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s="8" t="s">
        <v>4</v>
      </c>
      <c r="E712" s="8" t="s">
        <v>9</v>
      </c>
      <c r="F712" s="8"/>
      <c r="H712" s="8"/>
      <c r="I712" s="8" t="s">
        <v>18519</v>
      </c>
      <c r="J712" s="8" t="s">
        <v>11086</v>
      </c>
      <c r="K712" t="s">
        <v>18520</v>
      </c>
      <c r="L712" t="s">
        <v>18521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s="8" t="s">
        <v>4</v>
      </c>
      <c r="E713" s="8" t="s">
        <v>9</v>
      </c>
      <c r="F713" s="8"/>
      <c r="H713" s="8"/>
      <c r="I713" s="8" t="s">
        <v>19300</v>
      </c>
      <c r="J713" s="8" t="s">
        <v>11086</v>
      </c>
      <c r="K713" t="s">
        <v>19301</v>
      </c>
      <c r="L713" t="s">
        <v>19302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s="8" t="s">
        <v>4</v>
      </c>
      <c r="E714" s="8" t="s">
        <v>9</v>
      </c>
      <c r="F714" s="8"/>
      <c r="H714" s="8"/>
      <c r="I714" s="8" t="s">
        <v>19303</v>
      </c>
      <c r="J714" s="8" t="s">
        <v>11086</v>
      </c>
      <c r="K714" t="s">
        <v>19304</v>
      </c>
      <c r="L714" t="s">
        <v>19305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s="8" t="s">
        <v>1607</v>
      </c>
      <c r="E715" s="8" t="s">
        <v>9</v>
      </c>
      <c r="F715" s="8"/>
      <c r="H715" s="8"/>
      <c r="I715" s="8" t="s">
        <v>19306</v>
      </c>
      <c r="J715" s="8" t="s">
        <v>11086</v>
      </c>
      <c r="K715" t="s">
        <v>19307</v>
      </c>
      <c r="L715" t="s">
        <v>19308</v>
      </c>
      <c r="M715" s="2" t="str">
        <f>HYPERLINK(склад2въезд13192021222[[#This Row],[RelativePath]])</f>
        <v>9 Ангар рейсмус\GA3948333_2_20260313T185943Z.jpg</v>
      </c>
    </row>
  </sheetData>
  <conditionalFormatting sqref="D716:D726 E716:E729 G2:H715 D2:E715">
    <cfRule type="containsText" dxfId="762" priority="14" operator="containsText" text="Выезд с территории">
      <formula>NOT(ISERROR(SEARCH("Выезд с территории",D2)))</formula>
    </cfRule>
  </conditionalFormatting>
  <conditionalFormatting sqref="F2:F715">
    <cfRule type="notContainsText" dxfId="761" priority="13" operator="notContains" text="порожний">
      <formula>ISERROR(SEARCH("порожний",F2))</formula>
    </cfRule>
  </conditionalFormatting>
  <conditionalFormatting sqref="E2:E729">
    <cfRule type="containsText" dxfId="760" priority="11" operator="containsText" text="Газель базы">
      <formula>NOT(ISERROR(SEARCH("Газель базы",E2)))</formula>
    </cfRule>
    <cfRule type="containsText" dxfId="759" priority="12" operator="containsText" text="Погрузчик базы">
      <formula>NOT(ISERROR(SEARCH("Погрузчик базы",E2)))</formula>
    </cfRule>
  </conditionalFormatting>
  <conditionalFormatting sqref="E2:E729">
    <cfRule type="containsText" dxfId="758" priority="10" operator="containsText" text="Трактор базы">
      <formula>NOT(ISERROR(SEARCH("Трактор базы",E2)))</formula>
    </cfRule>
  </conditionalFormatting>
  <conditionalFormatting sqref="A2:C715">
    <cfRule type="expression" dxfId="757" priority="9">
      <formula>$A2="пн"</formula>
    </cfRule>
  </conditionalFormatting>
  <conditionalFormatting sqref="A2:C717">
    <cfRule type="expression" dxfId="756" priority="3">
      <formula>$A2="вс"</formula>
    </cfRule>
    <cfRule type="expression" dxfId="755" priority="4">
      <formula>$A2="сб"</formula>
    </cfRule>
    <cfRule type="expression" dxfId="754" priority="5">
      <formula>$A2="пт"</formula>
    </cfRule>
    <cfRule type="expression" dxfId="753" priority="6">
      <formula>$A2="чт"</formula>
    </cfRule>
    <cfRule type="expression" dxfId="752" priority="7">
      <formula>$A2="ср"</formula>
    </cfRule>
    <cfRule type="expression" dxfId="751" priority="8">
      <formula>$A2="вт"</formula>
    </cfRule>
  </conditionalFormatting>
  <conditionalFormatting sqref="D2:D726">
    <cfRule type="containsText" dxfId="75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26">
    <cfRule type="containsText" dxfId="74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788"/>
  <sheetViews>
    <sheetView zoomScale="90" zoomScaleNormal="90" workbookViewId="0">
      <pane ySplit="1" topLeftCell="A760" activePane="bottomLeft" state="frozen"/>
      <selection pane="bottomLeft" activeCell="I777" sqref="I777:I78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28515625" bestFit="1" customWidth="1"/>
    <col min="5" max="5" width="44.5703125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1061</v>
      </c>
      <c r="J2" s="8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8" t="s">
        <v>4</v>
      </c>
      <c r="E3" s="8" t="s">
        <v>8</v>
      </c>
      <c r="F3" s="8"/>
      <c r="H3" s="8"/>
      <c r="I3" s="8" t="s">
        <v>1064</v>
      </c>
      <c r="J3" s="8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8" t="s">
        <v>4</v>
      </c>
      <c r="E4" s="8" t="s">
        <v>8</v>
      </c>
      <c r="F4" s="8"/>
      <c r="H4" s="8"/>
      <c r="I4" s="8" t="s">
        <v>1066</v>
      </c>
      <c r="J4" s="8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8" t="s">
        <v>1271</v>
      </c>
      <c r="E5" s="8" t="s">
        <v>890</v>
      </c>
      <c r="F5" s="8"/>
      <c r="H5" s="8"/>
      <c r="I5" s="8" t="s">
        <v>1068</v>
      </c>
      <c r="J5" s="8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8" t="s">
        <v>1271</v>
      </c>
      <c r="E6" s="8" t="s">
        <v>890</v>
      </c>
      <c r="F6" s="8"/>
      <c r="H6" s="8"/>
      <c r="I6" s="8" t="s">
        <v>1070</v>
      </c>
      <c r="J6" s="8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8" t="s">
        <v>1271</v>
      </c>
      <c r="E7" s="8" t="s">
        <v>890</v>
      </c>
      <c r="F7" s="8"/>
      <c r="H7" s="8"/>
      <c r="I7" s="8" t="s">
        <v>1072</v>
      </c>
      <c r="J7" s="8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8" t="s">
        <v>1271</v>
      </c>
      <c r="E8" s="8" t="s">
        <v>890</v>
      </c>
      <c r="F8" s="8"/>
      <c r="H8" s="8"/>
      <c r="I8" s="8" t="s">
        <v>1074</v>
      </c>
      <c r="J8" s="8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8" t="s">
        <v>137</v>
      </c>
      <c r="E9" s="8" t="s">
        <v>86</v>
      </c>
      <c r="F9" s="8" t="s">
        <v>60</v>
      </c>
      <c r="H9" s="8" t="s">
        <v>1272</v>
      </c>
      <c r="I9" s="8" t="s">
        <v>1076</v>
      </c>
      <c r="J9" s="8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8" t="s">
        <v>887</v>
      </c>
      <c r="E10" s="8" t="s">
        <v>888</v>
      </c>
      <c r="F10" s="8"/>
      <c r="H10" s="8"/>
      <c r="I10" s="8" t="s">
        <v>1078</v>
      </c>
      <c r="J10" s="8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8" t="s">
        <v>887</v>
      </c>
      <c r="E11" s="8" t="s">
        <v>888</v>
      </c>
      <c r="F11" s="8"/>
      <c r="H11" s="8"/>
      <c r="I11" s="8" t="s">
        <v>1080</v>
      </c>
      <c r="J11" s="8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8" t="s">
        <v>137</v>
      </c>
      <c r="E12" s="8" t="s">
        <v>86</v>
      </c>
      <c r="F12" s="8" t="s">
        <v>51</v>
      </c>
      <c r="H12" s="8"/>
      <c r="I12" s="8" t="s">
        <v>1082</v>
      </c>
      <c r="J12" s="8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8" t="s">
        <v>1273</v>
      </c>
      <c r="E13" s="8" t="s">
        <v>86</v>
      </c>
      <c r="F13" s="8" t="s">
        <v>51</v>
      </c>
      <c r="H13" s="8"/>
      <c r="I13" s="8" t="s">
        <v>1084</v>
      </c>
      <c r="J13" s="8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8" t="s">
        <v>226</v>
      </c>
      <c r="E14" s="8" t="s">
        <v>86</v>
      </c>
      <c r="F14" s="8" t="s">
        <v>53</v>
      </c>
      <c r="G14">
        <v>1</v>
      </c>
      <c r="H14" s="8"/>
      <c r="I14" s="8" t="s">
        <v>1086</v>
      </c>
      <c r="J14" s="8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8" t="s">
        <v>587</v>
      </c>
      <c r="E15" s="8" t="s">
        <v>86</v>
      </c>
      <c r="F15" s="8" t="s">
        <v>1276</v>
      </c>
      <c r="H15" s="8"/>
      <c r="I15" s="8" t="s">
        <v>1088</v>
      </c>
      <c r="J15" s="8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8" t="s">
        <v>4</v>
      </c>
      <c r="E16" s="8" t="s">
        <v>8</v>
      </c>
      <c r="F16" s="8"/>
      <c r="H16" s="8"/>
      <c r="I16" s="8" t="s">
        <v>1090</v>
      </c>
      <c r="J16" s="8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8" t="s">
        <v>1273</v>
      </c>
      <c r="E17" s="8" t="s">
        <v>86</v>
      </c>
      <c r="F17" s="8" t="s">
        <v>51</v>
      </c>
      <c r="H17" s="8"/>
      <c r="I17" s="8" t="s">
        <v>1092</v>
      </c>
      <c r="J17" s="8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8" t="s">
        <v>226</v>
      </c>
      <c r="E18" s="8" t="s">
        <v>86</v>
      </c>
      <c r="F18" s="8" t="s">
        <v>53</v>
      </c>
      <c r="G18">
        <v>1</v>
      </c>
      <c r="H18" s="8"/>
      <c r="I18" s="8" t="s">
        <v>1094</v>
      </c>
      <c r="J18" s="8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8" t="s">
        <v>587</v>
      </c>
      <c r="E19" s="8" t="s">
        <v>86</v>
      </c>
      <c r="F19" s="8" t="s">
        <v>1276</v>
      </c>
      <c r="H19" s="8"/>
      <c r="I19" s="8" t="s">
        <v>1096</v>
      </c>
      <c r="J19" s="8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8" t="s">
        <v>1273</v>
      </c>
      <c r="E20" s="8" t="s">
        <v>86</v>
      </c>
      <c r="F20" s="8" t="s">
        <v>51</v>
      </c>
      <c r="H20" s="8"/>
      <c r="I20" s="8" t="s">
        <v>1098</v>
      </c>
      <c r="J20" s="8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8" t="s">
        <v>226</v>
      </c>
      <c r="E21" s="8" t="s">
        <v>86</v>
      </c>
      <c r="F21" s="8" t="s">
        <v>53</v>
      </c>
      <c r="G21">
        <v>1</v>
      </c>
      <c r="H21" s="8"/>
      <c r="I21" s="8" t="s">
        <v>1100</v>
      </c>
      <c r="J21" s="8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8" t="s">
        <v>587</v>
      </c>
      <c r="E22" s="8" t="s">
        <v>86</v>
      </c>
      <c r="F22" s="8" t="s">
        <v>1276</v>
      </c>
      <c r="H22" s="8"/>
      <c r="I22" s="8" t="s">
        <v>1102</v>
      </c>
      <c r="J22" s="8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8" t="s">
        <v>4</v>
      </c>
      <c r="E23" s="8" t="s">
        <v>1274</v>
      </c>
      <c r="F23" s="8" t="s">
        <v>1275</v>
      </c>
      <c r="H23" s="8"/>
      <c r="I23" s="8" t="s">
        <v>1104</v>
      </c>
      <c r="J23" s="8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8" t="s">
        <v>4</v>
      </c>
      <c r="E24" s="8" t="s">
        <v>1274</v>
      </c>
      <c r="F24" s="8" t="s">
        <v>1275</v>
      </c>
      <c r="H24" s="8"/>
      <c r="I24" s="8" t="s">
        <v>1106</v>
      </c>
      <c r="J24" s="8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8" t="s">
        <v>137</v>
      </c>
      <c r="E25" s="8" t="s">
        <v>86</v>
      </c>
      <c r="F25" s="8" t="s">
        <v>60</v>
      </c>
      <c r="H25" s="8" t="s">
        <v>1272</v>
      </c>
      <c r="I25" s="8" t="s">
        <v>1108</v>
      </c>
      <c r="J25" s="8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8" t="s">
        <v>4</v>
      </c>
      <c r="E26" s="8" t="s">
        <v>8</v>
      </c>
      <c r="F26" s="8"/>
      <c r="H26" s="8"/>
      <c r="I26" s="8" t="s">
        <v>1110</v>
      </c>
      <c r="J26" s="8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8" t="s">
        <v>1273</v>
      </c>
      <c r="E27" s="8" t="s">
        <v>86</v>
      </c>
      <c r="F27" s="8" t="s">
        <v>51</v>
      </c>
      <c r="H27" s="8"/>
      <c r="I27" s="8" t="s">
        <v>1112</v>
      </c>
      <c r="J27" s="8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8" t="s">
        <v>4</v>
      </c>
      <c r="E28" s="8" t="s">
        <v>8</v>
      </c>
      <c r="F28" s="8"/>
      <c r="H28" s="8"/>
      <c r="I28" s="8" t="s">
        <v>1114</v>
      </c>
      <c r="J28" s="8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8" t="s">
        <v>587</v>
      </c>
      <c r="E29" s="8" t="s">
        <v>86</v>
      </c>
      <c r="F29" s="8" t="s">
        <v>51</v>
      </c>
      <c r="H29" s="8"/>
      <c r="I29" s="8" t="s">
        <v>1116</v>
      </c>
      <c r="J29" s="8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8" t="s">
        <v>4</v>
      </c>
      <c r="E30" s="8" t="s">
        <v>8</v>
      </c>
      <c r="F30" s="8"/>
      <c r="H30" s="8"/>
      <c r="I30" s="8" t="s">
        <v>1118</v>
      </c>
      <c r="J30" s="8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8" t="s">
        <v>1273</v>
      </c>
      <c r="E31" s="8" t="s">
        <v>56</v>
      </c>
      <c r="F31" s="8" t="s">
        <v>51</v>
      </c>
      <c r="H31" s="8"/>
      <c r="I31" s="8" t="s">
        <v>1120</v>
      </c>
      <c r="J31" s="8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8" t="s">
        <v>226</v>
      </c>
      <c r="E32" s="8" t="s">
        <v>56</v>
      </c>
      <c r="F32" s="8" t="s">
        <v>53</v>
      </c>
      <c r="G32">
        <v>3</v>
      </c>
      <c r="H32" s="8"/>
      <c r="I32" s="8" t="s">
        <v>1122</v>
      </c>
      <c r="J32" s="8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8" t="s">
        <v>587</v>
      </c>
      <c r="E33" s="8" t="s">
        <v>56</v>
      </c>
      <c r="F33" s="8" t="s">
        <v>1276</v>
      </c>
      <c r="H33" s="8"/>
      <c r="I33" s="8" t="s">
        <v>1125</v>
      </c>
      <c r="J33" s="8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8" t="s">
        <v>470</v>
      </c>
      <c r="E34" s="8" t="s">
        <v>468</v>
      </c>
      <c r="F34" s="8" t="s">
        <v>58</v>
      </c>
      <c r="H34" s="8" t="s">
        <v>1279</v>
      </c>
      <c r="I34" s="8" t="s">
        <v>1127</v>
      </c>
      <c r="J34" s="8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8" t="s">
        <v>470</v>
      </c>
      <c r="E35" s="8" t="s">
        <v>468</v>
      </c>
      <c r="F35" s="8" t="s">
        <v>58</v>
      </c>
      <c r="H35" s="8" t="s">
        <v>1279</v>
      </c>
      <c r="I35" s="8" t="s">
        <v>1129</v>
      </c>
      <c r="J35" s="8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8" t="s">
        <v>470</v>
      </c>
      <c r="E36" s="8" t="s">
        <v>468</v>
      </c>
      <c r="F36" s="8" t="s">
        <v>58</v>
      </c>
      <c r="H36" s="8" t="s">
        <v>1279</v>
      </c>
      <c r="I36" s="8" t="s">
        <v>1131</v>
      </c>
      <c r="J36" s="8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8" t="s">
        <v>470</v>
      </c>
      <c r="E37" s="8" t="s">
        <v>468</v>
      </c>
      <c r="F37" s="8" t="s">
        <v>58</v>
      </c>
      <c r="H37" s="8" t="s">
        <v>1279</v>
      </c>
      <c r="I37" s="8" t="s">
        <v>1133</v>
      </c>
      <c r="J37" s="8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8" t="s">
        <v>4</v>
      </c>
      <c r="E38" s="8" t="s">
        <v>8</v>
      </c>
      <c r="F38" s="8"/>
      <c r="H38" s="8"/>
      <c r="I38" s="8" t="s">
        <v>1135</v>
      </c>
      <c r="J38" s="8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8" t="s">
        <v>470</v>
      </c>
      <c r="E39" s="8" t="s">
        <v>1277</v>
      </c>
      <c r="F39" s="8" t="s">
        <v>58</v>
      </c>
      <c r="H39" s="8" t="s">
        <v>1278</v>
      </c>
      <c r="I39" s="8" t="s">
        <v>1137</v>
      </c>
      <c r="J39" s="8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8" t="s">
        <v>470</v>
      </c>
      <c r="E40" s="8" t="s">
        <v>1277</v>
      </c>
      <c r="F40" s="8" t="s">
        <v>58</v>
      </c>
      <c r="H40" s="8" t="s">
        <v>1278</v>
      </c>
      <c r="I40" s="8" t="s">
        <v>1139</v>
      </c>
      <c r="J40" s="8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8" t="s">
        <v>470</v>
      </c>
      <c r="E41" s="8" t="s">
        <v>1277</v>
      </c>
      <c r="F41" s="8" t="s">
        <v>58</v>
      </c>
      <c r="H41" s="8" t="s">
        <v>1278</v>
      </c>
      <c r="I41" s="8" t="s">
        <v>1141</v>
      </c>
      <c r="J41" s="8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8" t="s">
        <v>470</v>
      </c>
      <c r="E42" s="8" t="s">
        <v>468</v>
      </c>
      <c r="F42" s="8" t="s">
        <v>58</v>
      </c>
      <c r="H42" s="8" t="s">
        <v>1279</v>
      </c>
      <c r="I42" s="8" t="s">
        <v>1143</v>
      </c>
      <c r="J42" s="8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8" t="s">
        <v>470</v>
      </c>
      <c r="E43" s="8" t="s">
        <v>468</v>
      </c>
      <c r="F43" s="8" t="s">
        <v>58</v>
      </c>
      <c r="H43" s="8" t="s">
        <v>1279</v>
      </c>
      <c r="I43" s="8" t="s">
        <v>1146</v>
      </c>
      <c r="J43" s="8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1148</v>
      </c>
      <c r="J44" s="8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8" t="s">
        <v>4</v>
      </c>
      <c r="E45" s="8" t="s">
        <v>8</v>
      </c>
      <c r="F45" s="8"/>
      <c r="H45" s="8"/>
      <c r="I45" s="8" t="s">
        <v>1150</v>
      </c>
      <c r="J45" s="8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8" t="s">
        <v>226</v>
      </c>
      <c r="E46" s="8" t="s">
        <v>86</v>
      </c>
      <c r="F46" s="8" t="s">
        <v>890</v>
      </c>
      <c r="H46" s="8"/>
      <c r="I46" s="8" t="s">
        <v>1152</v>
      </c>
      <c r="J46" s="8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8" t="s">
        <v>226</v>
      </c>
      <c r="E47" s="8" t="s">
        <v>86</v>
      </c>
      <c r="F47" s="8" t="s">
        <v>888</v>
      </c>
      <c r="H47" s="8"/>
      <c r="I47" s="8" t="s">
        <v>1154</v>
      </c>
      <c r="J47" s="8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8" t="s">
        <v>470</v>
      </c>
      <c r="E48" s="8" t="s">
        <v>86</v>
      </c>
      <c r="F48" s="8" t="s">
        <v>1280</v>
      </c>
      <c r="H48" s="8" t="s">
        <v>1279</v>
      </c>
      <c r="I48" s="8" t="s">
        <v>1156</v>
      </c>
      <c r="J48" s="8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8" t="s">
        <v>1282</v>
      </c>
      <c r="E49" s="8" t="s">
        <v>86</v>
      </c>
      <c r="F49" s="8" t="s">
        <v>1281</v>
      </c>
      <c r="H49" s="8"/>
      <c r="I49" s="8" t="s">
        <v>1158</v>
      </c>
      <c r="J49" s="8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8" t="s">
        <v>1273</v>
      </c>
      <c r="E50" s="8" t="s">
        <v>63</v>
      </c>
      <c r="F50" s="8" t="s">
        <v>51</v>
      </c>
      <c r="H50" s="8"/>
      <c r="I50" s="8" t="s">
        <v>1160</v>
      </c>
      <c r="J50" s="8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8" t="s">
        <v>226</v>
      </c>
      <c r="E51" s="8" t="s">
        <v>63</v>
      </c>
      <c r="F51" s="8" t="s">
        <v>58</v>
      </c>
      <c r="H51" s="8" t="s">
        <v>1287</v>
      </c>
      <c r="I51" s="8" t="s">
        <v>1162</v>
      </c>
      <c r="J51" s="8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8" t="s">
        <v>1602</v>
      </c>
      <c r="E52" s="8" t="s">
        <v>63</v>
      </c>
      <c r="F52" s="8" t="s">
        <v>58</v>
      </c>
      <c r="H52" s="8" t="s">
        <v>1287</v>
      </c>
      <c r="I52" s="8" t="s">
        <v>1165</v>
      </c>
      <c r="J52" s="8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8" t="s">
        <v>1602</v>
      </c>
      <c r="E53" s="8" t="s">
        <v>63</v>
      </c>
      <c r="F53" s="8" t="s">
        <v>58</v>
      </c>
      <c r="H53" s="8" t="s">
        <v>1287</v>
      </c>
      <c r="I53" s="8" t="s">
        <v>1168</v>
      </c>
      <c r="J53" s="8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8" t="s">
        <v>587</v>
      </c>
      <c r="E54" s="8" t="s">
        <v>63</v>
      </c>
      <c r="F54" s="8" t="s">
        <v>58</v>
      </c>
      <c r="H54" s="8"/>
      <c r="I54" s="8" t="s">
        <v>1171</v>
      </c>
      <c r="J54" s="8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8" t="s">
        <v>1273</v>
      </c>
      <c r="E55" s="8" t="s">
        <v>55</v>
      </c>
      <c r="F55" s="8" t="s">
        <v>51</v>
      </c>
      <c r="H55" s="8"/>
      <c r="I55" s="8" t="s">
        <v>1173</v>
      </c>
      <c r="J55" s="8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8" t="s">
        <v>226</v>
      </c>
      <c r="E56" s="8" t="s">
        <v>55</v>
      </c>
      <c r="F56" s="8" t="s">
        <v>1284</v>
      </c>
      <c r="H56" s="8" t="s">
        <v>1285</v>
      </c>
      <c r="I56" s="8" t="s">
        <v>1175</v>
      </c>
      <c r="J56" s="8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8" t="s">
        <v>1283</v>
      </c>
      <c r="E57" s="8" t="s">
        <v>55</v>
      </c>
      <c r="F57" s="8" t="s">
        <v>1284</v>
      </c>
      <c r="H57" s="8" t="s">
        <v>1285</v>
      </c>
      <c r="I57" s="8" t="s">
        <v>1178</v>
      </c>
      <c r="J57" s="8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8" t="s">
        <v>1283</v>
      </c>
      <c r="E58" s="8" t="s">
        <v>55</v>
      </c>
      <c r="F58" s="8" t="s">
        <v>1284</v>
      </c>
      <c r="H58" s="8" t="s">
        <v>1285</v>
      </c>
      <c r="I58" s="8" t="s">
        <v>1181</v>
      </c>
      <c r="J58" s="8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8" t="s">
        <v>1283</v>
      </c>
      <c r="E59" s="8" t="s">
        <v>55</v>
      </c>
      <c r="F59" s="8" t="s">
        <v>1286</v>
      </c>
      <c r="H59" s="8" t="s">
        <v>1287</v>
      </c>
      <c r="I59" s="8" t="s">
        <v>1184</v>
      </c>
      <c r="J59" s="8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8" t="s">
        <v>1283</v>
      </c>
      <c r="E60" s="8" t="s">
        <v>55</v>
      </c>
      <c r="F60" s="8" t="s">
        <v>1288</v>
      </c>
      <c r="H60" s="8"/>
      <c r="I60" s="8" t="s">
        <v>1187</v>
      </c>
      <c r="J60" s="8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8" t="s">
        <v>1283</v>
      </c>
      <c r="E61" s="8" t="s">
        <v>55</v>
      </c>
      <c r="F61" s="8" t="s">
        <v>1289</v>
      </c>
      <c r="H61" s="8"/>
      <c r="I61" s="8" t="s">
        <v>1190</v>
      </c>
      <c r="J61" s="8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8" t="s">
        <v>587</v>
      </c>
      <c r="E62" s="8" t="s">
        <v>55</v>
      </c>
      <c r="F62" s="8" t="s">
        <v>1289</v>
      </c>
      <c r="G62">
        <v>6</v>
      </c>
      <c r="H62" s="8" t="s">
        <v>1287</v>
      </c>
      <c r="I62" s="8" t="s">
        <v>1193</v>
      </c>
      <c r="J62" s="8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8" t="s">
        <v>4</v>
      </c>
      <c r="E63" s="8" t="s">
        <v>8</v>
      </c>
      <c r="F63" s="8"/>
      <c r="H63" s="8"/>
      <c r="I63" s="8" t="s">
        <v>1195</v>
      </c>
      <c r="J63" s="8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8" t="s">
        <v>137</v>
      </c>
      <c r="E64" s="8" t="s">
        <v>86</v>
      </c>
      <c r="F64" s="8" t="s">
        <v>60</v>
      </c>
      <c r="H64" s="8" t="s">
        <v>1272</v>
      </c>
      <c r="I64" s="8" t="s">
        <v>1197</v>
      </c>
      <c r="J64" s="8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8" t="s">
        <v>137</v>
      </c>
      <c r="E65" s="8" t="s">
        <v>86</v>
      </c>
      <c r="F65" s="8" t="s">
        <v>60</v>
      </c>
      <c r="H65" s="8" t="s">
        <v>1272</v>
      </c>
      <c r="I65" s="8" t="s">
        <v>1199</v>
      </c>
      <c r="J65" s="8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8" t="s">
        <v>137</v>
      </c>
      <c r="E66" s="8" t="s">
        <v>86</v>
      </c>
      <c r="F66" s="8" t="s">
        <v>60</v>
      </c>
      <c r="H66" s="8" t="s">
        <v>1272</v>
      </c>
      <c r="I66" s="8" t="s">
        <v>1201</v>
      </c>
      <c r="J66" s="8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8" t="s">
        <v>137</v>
      </c>
      <c r="E67" s="8" t="s">
        <v>86</v>
      </c>
      <c r="F67" s="8" t="s">
        <v>60</v>
      </c>
      <c r="H67" s="8" t="s">
        <v>1272</v>
      </c>
      <c r="I67" s="8" t="s">
        <v>1203</v>
      </c>
      <c r="J67" s="8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8" t="s">
        <v>137</v>
      </c>
      <c r="E68" s="8" t="s">
        <v>86</v>
      </c>
      <c r="F68" s="8" t="s">
        <v>1288</v>
      </c>
      <c r="H68" s="8" t="s">
        <v>1272</v>
      </c>
      <c r="I68" s="8" t="s">
        <v>1205</v>
      </c>
      <c r="J68" s="8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8" t="s">
        <v>4</v>
      </c>
      <c r="E69" s="8" t="s">
        <v>8</v>
      </c>
      <c r="F69" s="8"/>
      <c r="H69" s="8"/>
      <c r="I69" s="8" t="s">
        <v>1207</v>
      </c>
      <c r="J69" s="8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8" t="s">
        <v>1290</v>
      </c>
      <c r="E70" s="8"/>
      <c r="F70" s="8"/>
      <c r="H70" s="8"/>
      <c r="I70" s="8" t="s">
        <v>1209</v>
      </c>
      <c r="J70" s="8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8" t="s">
        <v>470</v>
      </c>
      <c r="E71" s="8" t="s">
        <v>468</v>
      </c>
      <c r="F71" s="8" t="s">
        <v>1291</v>
      </c>
      <c r="H71" s="8"/>
      <c r="I71" s="8" t="s">
        <v>1211</v>
      </c>
      <c r="J71" s="8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8" t="s">
        <v>1273</v>
      </c>
      <c r="E72" s="8" t="s">
        <v>70</v>
      </c>
      <c r="F72" s="8" t="s">
        <v>51</v>
      </c>
      <c r="H72" s="8"/>
      <c r="I72" s="8" t="s">
        <v>1213</v>
      </c>
      <c r="J72" s="8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8" t="s">
        <v>403</v>
      </c>
      <c r="E73" s="8" t="s">
        <v>70</v>
      </c>
      <c r="F73" s="8" t="s">
        <v>58</v>
      </c>
      <c r="H73" s="8" t="s">
        <v>1287</v>
      </c>
      <c r="I73" s="8" t="s">
        <v>1215</v>
      </c>
      <c r="J73" s="8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8" t="s">
        <v>403</v>
      </c>
      <c r="E74" s="8" t="s">
        <v>70</v>
      </c>
      <c r="F74" s="8" t="s">
        <v>58</v>
      </c>
      <c r="H74" s="8" t="s">
        <v>1287</v>
      </c>
      <c r="I74" s="8" t="s">
        <v>1218</v>
      </c>
      <c r="J74" s="8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8" t="s">
        <v>4</v>
      </c>
      <c r="E75" s="8" t="s">
        <v>8</v>
      </c>
      <c r="F75" s="8"/>
      <c r="H75" s="8"/>
      <c r="I75" s="8" t="s">
        <v>1221</v>
      </c>
      <c r="J75" s="8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8" t="s">
        <v>137</v>
      </c>
      <c r="E76" s="8" t="s">
        <v>86</v>
      </c>
      <c r="F76" s="8" t="s">
        <v>60</v>
      </c>
      <c r="H76" s="8" t="s">
        <v>1272</v>
      </c>
      <c r="I76" s="8" t="s">
        <v>1223</v>
      </c>
      <c r="J76" s="8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8" t="s">
        <v>4</v>
      </c>
      <c r="E77" s="8" t="s">
        <v>8</v>
      </c>
      <c r="F77" s="8"/>
      <c r="H77" s="8" t="s">
        <v>1292</v>
      </c>
      <c r="I77" s="8" t="s">
        <v>1225</v>
      </c>
      <c r="J77" s="8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1227</v>
      </c>
      <c r="J78" s="8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8" t="s">
        <v>1290</v>
      </c>
      <c r="E79" s="8"/>
      <c r="F79" s="8"/>
      <c r="H79" s="8"/>
      <c r="I79" s="8" t="s">
        <v>1229</v>
      </c>
      <c r="J79" s="8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8" t="s">
        <v>137</v>
      </c>
      <c r="E80" s="8" t="s">
        <v>86</v>
      </c>
      <c r="F80" s="8" t="s">
        <v>165</v>
      </c>
      <c r="H80" s="8"/>
      <c r="I80" s="8" t="s">
        <v>1231</v>
      </c>
      <c r="J80" s="8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8" t="s">
        <v>137</v>
      </c>
      <c r="E81" s="8" t="s">
        <v>86</v>
      </c>
      <c r="F81" s="8" t="s">
        <v>165</v>
      </c>
      <c r="H81" s="8"/>
      <c r="I81" s="8" t="s">
        <v>1233</v>
      </c>
      <c r="J81" s="8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8" t="s">
        <v>137</v>
      </c>
      <c r="E82" s="8" t="s">
        <v>86</v>
      </c>
      <c r="F82" s="8" t="s">
        <v>165</v>
      </c>
      <c r="H82" s="8"/>
      <c r="I82" s="8" t="s">
        <v>1235</v>
      </c>
      <c r="J82" s="8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8" t="s">
        <v>4</v>
      </c>
      <c r="E83" s="8" t="s">
        <v>8</v>
      </c>
      <c r="F83" s="8"/>
      <c r="H83" s="8"/>
      <c r="I83" s="8" t="s">
        <v>1237</v>
      </c>
      <c r="J83" s="8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8" t="s">
        <v>137</v>
      </c>
      <c r="E84" s="8" t="s">
        <v>86</v>
      </c>
      <c r="F84" s="8" t="s">
        <v>60</v>
      </c>
      <c r="H84" s="8"/>
      <c r="I84" s="8" t="s">
        <v>1239</v>
      </c>
      <c r="J84" s="8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8" t="s">
        <v>137</v>
      </c>
      <c r="E85" s="8" t="s">
        <v>86</v>
      </c>
      <c r="F85" s="8" t="s">
        <v>165</v>
      </c>
      <c r="H85" s="8"/>
      <c r="I85" s="8" t="s">
        <v>1241</v>
      </c>
      <c r="J85" s="8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8" t="s">
        <v>137</v>
      </c>
      <c r="E86" s="8" t="s">
        <v>86</v>
      </c>
      <c r="F86" s="8" t="s">
        <v>165</v>
      </c>
      <c r="H86" s="8"/>
      <c r="I86" s="8" t="s">
        <v>1243</v>
      </c>
      <c r="J86" s="8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8" t="s">
        <v>137</v>
      </c>
      <c r="E87" s="8" t="s">
        <v>86</v>
      </c>
      <c r="F87" s="8" t="s">
        <v>165</v>
      </c>
      <c r="H87" s="8"/>
      <c r="I87" s="8" t="s">
        <v>1245</v>
      </c>
      <c r="J87" s="8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8" t="s">
        <v>137</v>
      </c>
      <c r="E88" s="8" t="s">
        <v>86</v>
      </c>
      <c r="F88" s="8" t="s">
        <v>87</v>
      </c>
      <c r="H88" s="8" t="s">
        <v>1293</v>
      </c>
      <c r="I88" s="8" t="s">
        <v>1247</v>
      </c>
      <c r="J88" s="8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8" t="s">
        <v>1290</v>
      </c>
      <c r="E89" s="8"/>
      <c r="F89" s="8"/>
      <c r="H89" s="8"/>
      <c r="I89" s="8" t="s">
        <v>1249</v>
      </c>
      <c r="J89" s="8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8" t="s">
        <v>4</v>
      </c>
      <c r="E90" s="8" t="s">
        <v>8</v>
      </c>
      <c r="F90" s="8"/>
      <c r="H90" s="8" t="s">
        <v>1292</v>
      </c>
      <c r="I90" s="8" t="s">
        <v>1251</v>
      </c>
      <c r="J90" s="8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1253</v>
      </c>
      <c r="J91" s="8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8" t="s">
        <v>1290</v>
      </c>
      <c r="E92" s="8"/>
      <c r="F92" s="8"/>
      <c r="H92" s="8"/>
      <c r="I92" s="8" t="s">
        <v>1255</v>
      </c>
      <c r="J92" s="8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8" t="s">
        <v>4</v>
      </c>
      <c r="E93" s="8" t="s">
        <v>8</v>
      </c>
      <c r="F93" s="8"/>
      <c r="H93" s="8"/>
      <c r="I93" s="8" t="s">
        <v>1257</v>
      </c>
      <c r="J93" s="8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8" t="s">
        <v>4</v>
      </c>
      <c r="E94" s="8" t="s">
        <v>8</v>
      </c>
      <c r="F94" s="8"/>
      <c r="H94" s="8" t="s">
        <v>1292</v>
      </c>
      <c r="I94" s="8" t="s">
        <v>1259</v>
      </c>
      <c r="J94" s="8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1261</v>
      </c>
      <c r="J95" s="8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8" t="s">
        <v>1290</v>
      </c>
      <c r="E96" s="8"/>
      <c r="F96" s="8"/>
      <c r="H96" s="8"/>
      <c r="I96" s="8" t="s">
        <v>1263</v>
      </c>
      <c r="J96" s="8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8" t="s">
        <v>4</v>
      </c>
      <c r="E97" s="8" t="s">
        <v>8</v>
      </c>
      <c r="F97" s="8"/>
      <c r="H97" s="8"/>
      <c r="I97" s="8" t="s">
        <v>1265</v>
      </c>
      <c r="J97" s="8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8" t="s">
        <v>4</v>
      </c>
      <c r="E98" s="8" t="s">
        <v>8</v>
      </c>
      <c r="F98" s="8"/>
      <c r="H98" s="8" t="s">
        <v>1292</v>
      </c>
      <c r="I98" s="8" t="s">
        <v>1267</v>
      </c>
      <c r="J98" s="8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8" t="s">
        <v>1290</v>
      </c>
      <c r="E99" s="8"/>
      <c r="F99" s="8"/>
      <c r="H99" s="8"/>
      <c r="I99" s="8" t="s">
        <v>1269</v>
      </c>
      <c r="J99" s="8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8" t="s">
        <v>470</v>
      </c>
      <c r="E100" s="8" t="s">
        <v>468</v>
      </c>
      <c r="F100" s="8" t="s">
        <v>58</v>
      </c>
      <c r="H100" s="8" t="s">
        <v>2364</v>
      </c>
      <c r="I100" s="8" t="s">
        <v>2104</v>
      </c>
      <c r="J100" s="8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8" t="s">
        <v>470</v>
      </c>
      <c r="E101" s="8" t="s">
        <v>468</v>
      </c>
      <c r="F101" s="8" t="s">
        <v>58</v>
      </c>
      <c r="H101" s="8" t="s">
        <v>2364</v>
      </c>
      <c r="I101" s="8" t="s">
        <v>2106</v>
      </c>
      <c r="J101" s="8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8" t="s">
        <v>470</v>
      </c>
      <c r="E102" s="8" t="s">
        <v>468</v>
      </c>
      <c r="F102" s="8" t="s">
        <v>58</v>
      </c>
      <c r="H102" s="8" t="s">
        <v>1287</v>
      </c>
      <c r="I102" s="8" t="s">
        <v>2108</v>
      </c>
      <c r="J102" s="8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8" t="s">
        <v>470</v>
      </c>
      <c r="E103" s="8" t="s">
        <v>468</v>
      </c>
      <c r="F103" s="8" t="s">
        <v>58</v>
      </c>
      <c r="H103" s="8" t="s">
        <v>1287</v>
      </c>
      <c r="I103" s="8" t="s">
        <v>2110</v>
      </c>
      <c r="J103" s="8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8" t="s">
        <v>470</v>
      </c>
      <c r="E104" s="8" t="s">
        <v>468</v>
      </c>
      <c r="F104" s="8" t="s">
        <v>58</v>
      </c>
      <c r="H104" s="8" t="s">
        <v>1278</v>
      </c>
      <c r="I104" s="8" t="s">
        <v>2112</v>
      </c>
      <c r="J104" s="8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8" t="s">
        <v>470</v>
      </c>
      <c r="E105" s="8" t="s">
        <v>468</v>
      </c>
      <c r="F105" s="8" t="s">
        <v>58</v>
      </c>
      <c r="H105" s="8" t="s">
        <v>1278</v>
      </c>
      <c r="I105" s="8" t="s">
        <v>2114</v>
      </c>
      <c r="J105" s="8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8" t="s">
        <v>470</v>
      </c>
      <c r="E106" s="8" t="s">
        <v>468</v>
      </c>
      <c r="F106" s="8" t="s">
        <v>58</v>
      </c>
      <c r="H106" s="8" t="s">
        <v>2365</v>
      </c>
      <c r="I106" s="8" t="s">
        <v>2116</v>
      </c>
      <c r="J106" s="8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8" t="s">
        <v>4</v>
      </c>
      <c r="E107" s="8" t="s">
        <v>8</v>
      </c>
      <c r="F107" s="8"/>
      <c r="H107" s="8"/>
      <c r="I107" s="8" t="s">
        <v>2118</v>
      </c>
      <c r="J107" s="8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8" t="s">
        <v>1273</v>
      </c>
      <c r="E108" s="8" t="s">
        <v>70</v>
      </c>
      <c r="F108" s="8" t="s">
        <v>51</v>
      </c>
      <c r="H108" s="8"/>
      <c r="I108" s="8" t="s">
        <v>2120</v>
      </c>
      <c r="J108" s="8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8" t="s">
        <v>226</v>
      </c>
      <c r="E109" s="8" t="s">
        <v>70</v>
      </c>
      <c r="F109" s="8" t="s">
        <v>58</v>
      </c>
      <c r="H109" s="8" t="s">
        <v>2372</v>
      </c>
      <c r="I109" s="8" t="s">
        <v>2122</v>
      </c>
      <c r="J109" s="8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8" t="s">
        <v>1602</v>
      </c>
      <c r="E110" s="8" t="s">
        <v>70</v>
      </c>
      <c r="F110" s="8" t="s">
        <v>58</v>
      </c>
      <c r="H110" s="8" t="s">
        <v>2372</v>
      </c>
      <c r="I110" s="8" t="s">
        <v>2125</v>
      </c>
      <c r="J110" s="8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8" t="s">
        <v>1602</v>
      </c>
      <c r="E111" s="8" t="s">
        <v>70</v>
      </c>
      <c r="F111" s="8" t="s">
        <v>58</v>
      </c>
      <c r="H111" s="8" t="s">
        <v>2372</v>
      </c>
      <c r="I111" s="8" t="s">
        <v>2128</v>
      </c>
      <c r="J111" s="8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8" t="s">
        <v>1602</v>
      </c>
      <c r="E112" s="8" t="s">
        <v>70</v>
      </c>
      <c r="F112" s="8" t="s">
        <v>58</v>
      </c>
      <c r="H112" s="8" t="s">
        <v>2372</v>
      </c>
      <c r="I112" s="8" t="s">
        <v>2131</v>
      </c>
      <c r="J112" s="8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8" t="s">
        <v>1602</v>
      </c>
      <c r="E113" s="8" t="s">
        <v>70</v>
      </c>
      <c r="F113" s="8" t="s">
        <v>58</v>
      </c>
      <c r="H113" s="8" t="s">
        <v>2372</v>
      </c>
      <c r="I113" s="8" t="s">
        <v>2134</v>
      </c>
      <c r="J113" s="8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8" t="s">
        <v>1602</v>
      </c>
      <c r="E114" s="8" t="s">
        <v>70</v>
      </c>
      <c r="F114" s="8" t="s">
        <v>2366</v>
      </c>
      <c r="H114" s="8" t="s">
        <v>2372</v>
      </c>
      <c r="I114" s="8" t="s">
        <v>2137</v>
      </c>
      <c r="J114" s="8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8" t="s">
        <v>1602</v>
      </c>
      <c r="E115" s="8" t="s">
        <v>70</v>
      </c>
      <c r="F115" s="8" t="s">
        <v>2367</v>
      </c>
      <c r="H115" s="8" t="s">
        <v>2372</v>
      </c>
      <c r="I115" s="8" t="s">
        <v>2140</v>
      </c>
      <c r="J115" s="8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8" t="s">
        <v>1602</v>
      </c>
      <c r="E116" s="8" t="s">
        <v>70</v>
      </c>
      <c r="F116" s="8" t="s">
        <v>2368</v>
      </c>
      <c r="H116" s="8" t="s">
        <v>2372</v>
      </c>
      <c r="I116" s="8" t="s">
        <v>2143</v>
      </c>
      <c r="J116" s="8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8" t="s">
        <v>2369</v>
      </c>
      <c r="E117" s="8" t="s">
        <v>70</v>
      </c>
      <c r="F117" s="8"/>
      <c r="H117" s="8"/>
      <c r="I117" s="8" t="s">
        <v>2146</v>
      </c>
      <c r="J117" s="8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8" t="s">
        <v>470</v>
      </c>
      <c r="E118" s="8" t="s">
        <v>1274</v>
      </c>
      <c r="F118" s="8" t="s">
        <v>58</v>
      </c>
      <c r="H118" s="8" t="s">
        <v>2370</v>
      </c>
      <c r="I118" s="8" t="s">
        <v>2148</v>
      </c>
      <c r="J118" s="8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8" t="s">
        <v>470</v>
      </c>
      <c r="E119" s="8" t="s">
        <v>1274</v>
      </c>
      <c r="F119" s="8" t="s">
        <v>58</v>
      </c>
      <c r="H119" s="8" t="s">
        <v>2370</v>
      </c>
      <c r="I119" s="8" t="s">
        <v>2150</v>
      </c>
      <c r="J119" s="8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8" t="s">
        <v>137</v>
      </c>
      <c r="E120" s="8" t="s">
        <v>2336</v>
      </c>
      <c r="F120" s="8"/>
      <c r="H120" s="8"/>
      <c r="I120" s="8" t="s">
        <v>2152</v>
      </c>
      <c r="J120" s="8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8" t="s">
        <v>1273</v>
      </c>
      <c r="E121" s="8" t="s">
        <v>2336</v>
      </c>
      <c r="F121" s="8"/>
      <c r="H121" s="8" t="s">
        <v>2371</v>
      </c>
      <c r="I121" s="8" t="s">
        <v>2154</v>
      </c>
      <c r="J121" s="8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8" t="s">
        <v>226</v>
      </c>
      <c r="E122" s="8" t="s">
        <v>2336</v>
      </c>
      <c r="F122" s="8" t="s">
        <v>58</v>
      </c>
      <c r="H122" s="8" t="s">
        <v>2373</v>
      </c>
      <c r="I122" s="8" t="s">
        <v>2156</v>
      </c>
      <c r="J122" s="8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8" t="s">
        <v>1602</v>
      </c>
      <c r="E123" s="8" t="s">
        <v>2336</v>
      </c>
      <c r="F123" s="8" t="s">
        <v>58</v>
      </c>
      <c r="H123" s="8" t="s">
        <v>2373</v>
      </c>
      <c r="I123" s="8" t="s">
        <v>2158</v>
      </c>
      <c r="J123" s="8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8" t="s">
        <v>1602</v>
      </c>
      <c r="E124" s="8" t="s">
        <v>2336</v>
      </c>
      <c r="F124" s="8" t="s">
        <v>58</v>
      </c>
      <c r="H124" s="8" t="s">
        <v>2373</v>
      </c>
      <c r="I124" s="8" t="s">
        <v>2160</v>
      </c>
      <c r="J124" s="8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8" t="s">
        <v>470</v>
      </c>
      <c r="E125" s="8" t="s">
        <v>1274</v>
      </c>
      <c r="F125" s="8" t="s">
        <v>58</v>
      </c>
      <c r="H125" s="8" t="s">
        <v>2374</v>
      </c>
      <c r="I125" s="8" t="s">
        <v>2163</v>
      </c>
      <c r="J125" s="8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8" t="s">
        <v>470</v>
      </c>
      <c r="E126" s="8" t="s">
        <v>1274</v>
      </c>
      <c r="F126" s="8" t="s">
        <v>58</v>
      </c>
      <c r="H126" s="8" t="s">
        <v>2374</v>
      </c>
      <c r="I126" s="8" t="s">
        <v>2165</v>
      </c>
      <c r="J126" s="8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8" t="s">
        <v>470</v>
      </c>
      <c r="E127" s="8" t="s">
        <v>1274</v>
      </c>
      <c r="F127" s="8" t="s">
        <v>58</v>
      </c>
      <c r="H127" s="8" t="s">
        <v>2374</v>
      </c>
      <c r="I127" s="8" t="s">
        <v>2167</v>
      </c>
      <c r="J127" s="8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8" t="s">
        <v>470</v>
      </c>
      <c r="E128" s="8" t="s">
        <v>1274</v>
      </c>
      <c r="F128" s="8" t="s">
        <v>58</v>
      </c>
      <c r="H128" s="8" t="s">
        <v>2370</v>
      </c>
      <c r="I128" s="8" t="s">
        <v>2375</v>
      </c>
      <c r="J128" s="8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8" t="s">
        <v>470</v>
      </c>
      <c r="E129" s="8" t="s">
        <v>1274</v>
      </c>
      <c r="F129" s="8" t="s">
        <v>58</v>
      </c>
      <c r="H129" s="8" t="s">
        <v>2370</v>
      </c>
      <c r="I129" s="8" t="s">
        <v>2169</v>
      </c>
      <c r="J129" s="8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8" t="s">
        <v>4</v>
      </c>
      <c r="E130" s="8" t="s">
        <v>8</v>
      </c>
      <c r="F130" s="8"/>
      <c r="H130" s="8"/>
      <c r="I130" s="8" t="s">
        <v>2171</v>
      </c>
      <c r="J130" s="8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8" t="s">
        <v>470</v>
      </c>
      <c r="E131" s="8" t="s">
        <v>1274</v>
      </c>
      <c r="F131" s="8" t="s">
        <v>2377</v>
      </c>
      <c r="H131" s="8" t="s">
        <v>2370</v>
      </c>
      <c r="I131" s="8" t="s">
        <v>2173</v>
      </c>
      <c r="J131" s="8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8" t="s">
        <v>470</v>
      </c>
      <c r="E132" s="8" t="s">
        <v>1274</v>
      </c>
      <c r="F132" s="8" t="s">
        <v>2377</v>
      </c>
      <c r="H132" s="8" t="s">
        <v>2370</v>
      </c>
      <c r="I132" s="8" t="s">
        <v>2175</v>
      </c>
      <c r="J132" s="8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8" t="s">
        <v>470</v>
      </c>
      <c r="E133" s="8" t="s">
        <v>1274</v>
      </c>
      <c r="F133" s="8" t="s">
        <v>2377</v>
      </c>
      <c r="H133" s="8" t="s">
        <v>2370</v>
      </c>
      <c r="I133" s="8" t="s">
        <v>2177</v>
      </c>
      <c r="J133" s="8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8" t="s">
        <v>1273</v>
      </c>
      <c r="E134" s="8" t="s">
        <v>70</v>
      </c>
      <c r="F134" s="8" t="s">
        <v>51</v>
      </c>
      <c r="H134" s="8"/>
      <c r="I134" s="8" t="s">
        <v>2179</v>
      </c>
      <c r="J134" s="8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8" t="s">
        <v>226</v>
      </c>
      <c r="E135" s="8" t="s">
        <v>70</v>
      </c>
      <c r="F135" s="8" t="s">
        <v>58</v>
      </c>
      <c r="H135" s="8" t="s">
        <v>2372</v>
      </c>
      <c r="I135" s="8" t="s">
        <v>2181</v>
      </c>
      <c r="J135" s="8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8" t="s">
        <v>1602</v>
      </c>
      <c r="E136" s="8" t="s">
        <v>70</v>
      </c>
      <c r="F136" s="8" t="s">
        <v>58</v>
      </c>
      <c r="H136" s="8" t="s">
        <v>2372</v>
      </c>
      <c r="I136" s="8" t="s">
        <v>2184</v>
      </c>
      <c r="J136" s="8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8" t="s">
        <v>1602</v>
      </c>
      <c r="E137" s="8" t="s">
        <v>70</v>
      </c>
      <c r="F137" s="8" t="s">
        <v>58</v>
      </c>
      <c r="H137" s="8" t="s">
        <v>2372</v>
      </c>
      <c r="I137" s="8" t="s">
        <v>2187</v>
      </c>
      <c r="J137" s="8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8" t="s">
        <v>1602</v>
      </c>
      <c r="E138" s="8" t="s">
        <v>70</v>
      </c>
      <c r="F138" s="8" t="s">
        <v>58</v>
      </c>
      <c r="H138" s="8" t="s">
        <v>2372</v>
      </c>
      <c r="I138" s="8" t="s">
        <v>2190</v>
      </c>
      <c r="J138" s="8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8" t="s">
        <v>1602</v>
      </c>
      <c r="E139" s="8" t="s">
        <v>70</v>
      </c>
      <c r="F139" s="8" t="s">
        <v>58</v>
      </c>
      <c r="H139" s="8" t="s">
        <v>2372</v>
      </c>
      <c r="I139" s="8" t="s">
        <v>2193</v>
      </c>
      <c r="J139" s="8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8" t="s">
        <v>1602</v>
      </c>
      <c r="E140" s="8" t="s">
        <v>70</v>
      </c>
      <c r="F140" s="8" t="s">
        <v>58</v>
      </c>
      <c r="H140" s="8" t="s">
        <v>2372</v>
      </c>
      <c r="I140" s="8" t="s">
        <v>2196</v>
      </c>
      <c r="J140" s="8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8" t="s">
        <v>1602</v>
      </c>
      <c r="E141" s="8" t="s">
        <v>70</v>
      </c>
      <c r="F141" s="8" t="s">
        <v>58</v>
      </c>
      <c r="H141" s="8" t="s">
        <v>2372</v>
      </c>
      <c r="I141" s="8" t="s">
        <v>2199</v>
      </c>
      <c r="J141" s="8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8" t="s">
        <v>1602</v>
      </c>
      <c r="E142" s="8" t="s">
        <v>70</v>
      </c>
      <c r="F142" s="8" t="s">
        <v>58</v>
      </c>
      <c r="H142" s="8" t="s">
        <v>2372</v>
      </c>
      <c r="I142" s="8" t="s">
        <v>2202</v>
      </c>
      <c r="J142" s="8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8" t="s">
        <v>1602</v>
      </c>
      <c r="E143" s="8" t="s">
        <v>70</v>
      </c>
      <c r="F143" s="8" t="s">
        <v>58</v>
      </c>
      <c r="H143" s="8" t="s">
        <v>2372</v>
      </c>
      <c r="I143" s="8" t="s">
        <v>2205</v>
      </c>
      <c r="J143" s="8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8" t="s">
        <v>1602</v>
      </c>
      <c r="E144" s="8" t="s">
        <v>70</v>
      </c>
      <c r="F144" s="8" t="s">
        <v>58</v>
      </c>
      <c r="H144" s="8" t="s">
        <v>2372</v>
      </c>
      <c r="I144" s="8" t="s">
        <v>2208</v>
      </c>
      <c r="J144" s="8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8" t="s">
        <v>1602</v>
      </c>
      <c r="E145" s="8" t="s">
        <v>70</v>
      </c>
      <c r="F145" s="8" t="s">
        <v>58</v>
      </c>
      <c r="H145" s="8" t="s">
        <v>2378</v>
      </c>
      <c r="I145" s="8" t="s">
        <v>2211</v>
      </c>
      <c r="J145" s="8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8" t="s">
        <v>1602</v>
      </c>
      <c r="E146" s="8" t="s">
        <v>70</v>
      </c>
      <c r="F146" s="8" t="s">
        <v>2377</v>
      </c>
      <c r="H146" s="8" t="s">
        <v>2372</v>
      </c>
      <c r="I146" s="8" t="s">
        <v>2214</v>
      </c>
      <c r="J146" s="8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8" t="s">
        <v>1602</v>
      </c>
      <c r="E147" s="8" t="s">
        <v>70</v>
      </c>
      <c r="F147" s="8" t="s">
        <v>58</v>
      </c>
      <c r="H147" s="8" t="s">
        <v>2378</v>
      </c>
      <c r="I147" s="8" t="s">
        <v>2217</v>
      </c>
      <c r="J147" s="8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8" t="s">
        <v>1602</v>
      </c>
      <c r="E148" s="8" t="s">
        <v>70</v>
      </c>
      <c r="F148" s="8" t="s">
        <v>58</v>
      </c>
      <c r="H148" s="8" t="s">
        <v>2378</v>
      </c>
      <c r="I148" s="8" t="s">
        <v>2220</v>
      </c>
      <c r="J148" s="8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8" t="s">
        <v>1602</v>
      </c>
      <c r="E149" s="8" t="s">
        <v>70</v>
      </c>
      <c r="F149" s="8" t="s">
        <v>58</v>
      </c>
      <c r="H149" s="8" t="s">
        <v>2378</v>
      </c>
      <c r="I149" s="8" t="s">
        <v>2223</v>
      </c>
      <c r="J149" s="8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8" t="s">
        <v>1602</v>
      </c>
      <c r="E150" s="8" t="s">
        <v>70</v>
      </c>
      <c r="F150" s="8" t="s">
        <v>58</v>
      </c>
      <c r="H150" s="8" t="s">
        <v>2373</v>
      </c>
      <c r="I150" s="8" t="s">
        <v>2226</v>
      </c>
      <c r="J150" s="8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8" t="s">
        <v>1602</v>
      </c>
      <c r="E151" s="8" t="s">
        <v>70</v>
      </c>
      <c r="F151" s="8" t="s">
        <v>2377</v>
      </c>
      <c r="H151" s="8" t="s">
        <v>2373</v>
      </c>
      <c r="I151" s="8" t="s">
        <v>2229</v>
      </c>
      <c r="J151" s="8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8" t="s">
        <v>1602</v>
      </c>
      <c r="E152" s="8" t="s">
        <v>70</v>
      </c>
      <c r="F152" s="8" t="s">
        <v>2377</v>
      </c>
      <c r="H152" s="8" t="s">
        <v>2373</v>
      </c>
      <c r="I152" s="8" t="s">
        <v>2232</v>
      </c>
      <c r="J152" s="8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8" t="s">
        <v>1602</v>
      </c>
      <c r="E153" s="8" t="s">
        <v>70</v>
      </c>
      <c r="F153" s="8" t="s">
        <v>2377</v>
      </c>
      <c r="H153" s="8" t="s">
        <v>2373</v>
      </c>
      <c r="I153" s="8" t="s">
        <v>2235</v>
      </c>
      <c r="J153" s="8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8" t="s">
        <v>1602</v>
      </c>
      <c r="E154" s="8" t="s">
        <v>70</v>
      </c>
      <c r="F154" s="8" t="s">
        <v>2377</v>
      </c>
      <c r="H154" s="8" t="s">
        <v>2373</v>
      </c>
      <c r="I154" s="8" t="s">
        <v>2238</v>
      </c>
      <c r="J154" s="8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8" t="s">
        <v>1602</v>
      </c>
      <c r="E155" s="8" t="s">
        <v>70</v>
      </c>
      <c r="F155" s="8" t="s">
        <v>2377</v>
      </c>
      <c r="H155" s="8" t="s">
        <v>2373</v>
      </c>
      <c r="I155" s="8" t="s">
        <v>2241</v>
      </c>
      <c r="J155" s="8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8" t="s">
        <v>2369</v>
      </c>
      <c r="E156" s="8" t="s">
        <v>70</v>
      </c>
      <c r="F156" s="8"/>
      <c r="H156" s="8"/>
      <c r="I156" s="8" t="s">
        <v>2244</v>
      </c>
      <c r="J156" s="8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8" t="s">
        <v>470</v>
      </c>
      <c r="E157" s="8" t="s">
        <v>1274</v>
      </c>
      <c r="F157" s="8" t="s">
        <v>58</v>
      </c>
      <c r="H157" s="8" t="s">
        <v>1278</v>
      </c>
      <c r="I157" s="8" t="s">
        <v>2246</v>
      </c>
      <c r="J157" s="8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8" t="s">
        <v>470</v>
      </c>
      <c r="E158" s="8" t="s">
        <v>1274</v>
      </c>
      <c r="F158" s="8" t="s">
        <v>58</v>
      </c>
      <c r="H158" s="8" t="s">
        <v>1278</v>
      </c>
      <c r="I158" s="8" t="s">
        <v>2248</v>
      </c>
      <c r="J158" s="8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8" t="s">
        <v>470</v>
      </c>
      <c r="E159" s="8" t="s">
        <v>1274</v>
      </c>
      <c r="F159" s="8" t="s">
        <v>58</v>
      </c>
      <c r="H159" s="8" t="s">
        <v>1278</v>
      </c>
      <c r="I159" s="8" t="s">
        <v>2250</v>
      </c>
      <c r="J159" s="8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8" t="s">
        <v>4</v>
      </c>
      <c r="E160" s="8" t="s">
        <v>8</v>
      </c>
      <c r="F160" s="8"/>
      <c r="H160" s="8"/>
      <c r="I160" s="8" t="s">
        <v>2252</v>
      </c>
      <c r="J160" s="8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8" t="s">
        <v>470</v>
      </c>
      <c r="E161" s="8" t="s">
        <v>1274</v>
      </c>
      <c r="F161" s="8" t="s">
        <v>2360</v>
      </c>
      <c r="H161" s="8" t="s">
        <v>2365</v>
      </c>
      <c r="I161" s="8" t="s">
        <v>2254</v>
      </c>
      <c r="J161" s="8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8" t="s">
        <v>470</v>
      </c>
      <c r="E162" s="8" t="s">
        <v>1274</v>
      </c>
      <c r="F162" s="8" t="s">
        <v>2360</v>
      </c>
      <c r="H162" s="8" t="s">
        <v>2365</v>
      </c>
      <c r="I162" s="8" t="s">
        <v>2256</v>
      </c>
      <c r="J162" s="8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8" t="s">
        <v>470</v>
      </c>
      <c r="E163" s="8" t="s">
        <v>468</v>
      </c>
      <c r="F163" s="8" t="s">
        <v>58</v>
      </c>
      <c r="H163" s="8" t="s">
        <v>2374</v>
      </c>
      <c r="I163" s="8" t="s">
        <v>2258</v>
      </c>
      <c r="J163" s="8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8" t="s">
        <v>470</v>
      </c>
      <c r="E164" s="8" t="s">
        <v>468</v>
      </c>
      <c r="F164" s="8" t="s">
        <v>58</v>
      </c>
      <c r="H164" s="8" t="s">
        <v>2374</v>
      </c>
      <c r="I164" s="8" t="s">
        <v>2260</v>
      </c>
      <c r="J164" s="8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8" t="s">
        <v>470</v>
      </c>
      <c r="E165" s="8" t="s">
        <v>468</v>
      </c>
      <c r="F165" s="8" t="s">
        <v>58</v>
      </c>
      <c r="H165" s="8" t="s">
        <v>2374</v>
      </c>
      <c r="I165" s="8" t="s">
        <v>2262</v>
      </c>
      <c r="J165" s="8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8" t="s">
        <v>470</v>
      </c>
      <c r="E166" s="8" t="s">
        <v>468</v>
      </c>
      <c r="F166" s="8" t="s">
        <v>2379</v>
      </c>
      <c r="H166" s="8" t="s">
        <v>2374</v>
      </c>
      <c r="I166" s="8" t="s">
        <v>2264</v>
      </c>
      <c r="J166" s="8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8" t="s">
        <v>470</v>
      </c>
      <c r="E167" s="8" t="s">
        <v>1274</v>
      </c>
      <c r="F167" s="8" t="s">
        <v>58</v>
      </c>
      <c r="H167" s="8" t="s">
        <v>2365</v>
      </c>
      <c r="I167" s="8" t="s">
        <v>2266</v>
      </c>
      <c r="J167" s="8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8" t="s">
        <v>470</v>
      </c>
      <c r="E168" s="8" t="s">
        <v>1274</v>
      </c>
      <c r="F168" s="8" t="s">
        <v>58</v>
      </c>
      <c r="H168" s="8" t="s">
        <v>2365</v>
      </c>
      <c r="I168" s="8" t="s">
        <v>2268</v>
      </c>
      <c r="J168" s="8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8" t="s">
        <v>2380</v>
      </c>
      <c r="E169" s="8"/>
      <c r="F169" s="8"/>
      <c r="H169" s="8"/>
      <c r="I169" s="8" t="s">
        <v>2270</v>
      </c>
      <c r="J169" s="8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8" t="s">
        <v>2380</v>
      </c>
      <c r="E170" s="8"/>
      <c r="F170" s="8"/>
      <c r="H170" s="8"/>
      <c r="I170" s="8" t="s">
        <v>2272</v>
      </c>
      <c r="J170" s="8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8" t="s">
        <v>4</v>
      </c>
      <c r="E171" s="8" t="s">
        <v>8</v>
      </c>
      <c r="F171" s="8"/>
      <c r="H171" s="10" t="s">
        <v>2382</v>
      </c>
      <c r="I171" s="8" t="s">
        <v>2274</v>
      </c>
      <c r="J171" s="8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8" t="s">
        <v>470</v>
      </c>
      <c r="E172" s="8" t="s">
        <v>468</v>
      </c>
      <c r="F172" s="8" t="s">
        <v>58</v>
      </c>
      <c r="H172" s="8" t="s">
        <v>2370</v>
      </c>
      <c r="I172" s="8" t="s">
        <v>2276</v>
      </c>
      <c r="J172" s="8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8" t="s">
        <v>470</v>
      </c>
      <c r="E173" s="8" t="s">
        <v>468</v>
      </c>
      <c r="F173" s="8" t="s">
        <v>58</v>
      </c>
      <c r="H173" s="8" t="s">
        <v>2370</v>
      </c>
      <c r="I173" s="8" t="s">
        <v>2278</v>
      </c>
      <c r="J173" s="8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8" t="s">
        <v>470</v>
      </c>
      <c r="E174" s="8" t="s">
        <v>468</v>
      </c>
      <c r="F174" s="8" t="s">
        <v>58</v>
      </c>
      <c r="H174" s="8" t="s">
        <v>2370</v>
      </c>
      <c r="I174" s="8" t="s">
        <v>2280</v>
      </c>
      <c r="J174" s="8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8" t="s">
        <v>4</v>
      </c>
      <c r="E175" s="8" t="s">
        <v>8</v>
      </c>
      <c r="F175" s="8"/>
      <c r="H175" s="8" t="s">
        <v>2352</v>
      </c>
      <c r="I175" s="8" t="s">
        <v>2282</v>
      </c>
      <c r="J175" s="8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8" t="s">
        <v>4</v>
      </c>
      <c r="E176" s="8" t="s">
        <v>8</v>
      </c>
      <c r="F176" s="8"/>
      <c r="H176" s="10" t="s">
        <v>2382</v>
      </c>
      <c r="I176" s="8" t="s">
        <v>2284</v>
      </c>
      <c r="J176" s="8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8" t="s">
        <v>470</v>
      </c>
      <c r="E177" s="8" t="s">
        <v>1274</v>
      </c>
      <c r="F177" s="8" t="s">
        <v>58</v>
      </c>
      <c r="H177" s="8" t="s">
        <v>2374</v>
      </c>
      <c r="I177" s="8" t="s">
        <v>2286</v>
      </c>
      <c r="J177" s="8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8" t="s">
        <v>2381</v>
      </c>
      <c r="E178" s="8" t="s">
        <v>1274</v>
      </c>
      <c r="F178" s="8" t="s">
        <v>58</v>
      </c>
      <c r="H178" s="8" t="s">
        <v>2374</v>
      </c>
      <c r="I178" s="8" t="s">
        <v>2288</v>
      </c>
      <c r="J178" s="8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8" t="s">
        <v>470</v>
      </c>
      <c r="E179" s="8" t="s">
        <v>1274</v>
      </c>
      <c r="F179" s="8" t="s">
        <v>58</v>
      </c>
      <c r="H179" s="8" t="s">
        <v>2370</v>
      </c>
      <c r="I179" s="8" t="s">
        <v>2290</v>
      </c>
      <c r="J179" s="8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8" t="s">
        <v>2381</v>
      </c>
      <c r="E180" s="8" t="s">
        <v>1274</v>
      </c>
      <c r="F180" s="8" t="s">
        <v>58</v>
      </c>
      <c r="H180" s="8" t="s">
        <v>2370</v>
      </c>
      <c r="I180" s="8" t="s">
        <v>2292</v>
      </c>
      <c r="J180" s="8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8" t="s">
        <v>2381</v>
      </c>
      <c r="E181" s="8" t="s">
        <v>1274</v>
      </c>
      <c r="F181" s="8" t="s">
        <v>58</v>
      </c>
      <c r="H181" s="8" t="s">
        <v>2370</v>
      </c>
      <c r="I181" s="8" t="s">
        <v>2294</v>
      </c>
      <c r="J181" s="8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8" t="s">
        <v>2381</v>
      </c>
      <c r="E182" s="8" t="s">
        <v>1274</v>
      </c>
      <c r="F182" s="8" t="s">
        <v>58</v>
      </c>
      <c r="H182" s="8" t="s">
        <v>2370</v>
      </c>
      <c r="I182" s="8" t="s">
        <v>2296</v>
      </c>
      <c r="J182" s="8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8" t="s">
        <v>470</v>
      </c>
      <c r="E183" s="8" t="s">
        <v>1274</v>
      </c>
      <c r="F183" s="8" t="s">
        <v>58</v>
      </c>
      <c r="H183" s="8" t="s">
        <v>1278</v>
      </c>
      <c r="I183" s="8" t="s">
        <v>2298</v>
      </c>
      <c r="J183" s="8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8" t="s">
        <v>470</v>
      </c>
      <c r="E184" s="8" t="s">
        <v>1274</v>
      </c>
      <c r="F184" s="8" t="s">
        <v>58</v>
      </c>
      <c r="H184" s="8" t="s">
        <v>1278</v>
      </c>
      <c r="I184" s="8" t="s">
        <v>2300</v>
      </c>
      <c r="J184" s="8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8" t="s">
        <v>4</v>
      </c>
      <c r="E185" s="8" t="s">
        <v>8</v>
      </c>
      <c r="F185" s="8"/>
      <c r="H185" s="8"/>
      <c r="I185" s="8" t="s">
        <v>2302</v>
      </c>
      <c r="J185" s="8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8" t="s">
        <v>4</v>
      </c>
      <c r="E186" s="8" t="s">
        <v>8</v>
      </c>
      <c r="F186" s="8"/>
      <c r="H186" s="8"/>
      <c r="I186" s="8" t="s">
        <v>2304</v>
      </c>
      <c r="J186" s="8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8" t="s">
        <v>1607</v>
      </c>
      <c r="E187" s="8"/>
      <c r="F187" s="8"/>
      <c r="H187" s="8"/>
      <c r="I187" s="8" t="s">
        <v>2306</v>
      </c>
      <c r="J187" s="8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8" t="s">
        <v>4</v>
      </c>
      <c r="E188" s="8" t="s">
        <v>8</v>
      </c>
      <c r="F188" s="8"/>
      <c r="H188" s="8"/>
      <c r="I188" s="8" t="s">
        <v>2308</v>
      </c>
      <c r="J188" s="8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8" t="s">
        <v>1607</v>
      </c>
      <c r="E189" s="8"/>
      <c r="F189" s="8"/>
      <c r="H189" s="8"/>
      <c r="I189" s="8" t="s">
        <v>2310</v>
      </c>
      <c r="J189" s="8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8" t="s">
        <v>3388</v>
      </c>
      <c r="E190" s="8" t="s">
        <v>86</v>
      </c>
      <c r="F190" s="8" t="s">
        <v>165</v>
      </c>
      <c r="H190" s="8" t="s">
        <v>3389</v>
      </c>
      <c r="I190" s="8" t="s">
        <v>3092</v>
      </c>
      <c r="J190" s="8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8" t="s">
        <v>3390</v>
      </c>
      <c r="E191" s="8" t="s">
        <v>86</v>
      </c>
      <c r="F191" s="8"/>
      <c r="H191" s="8"/>
      <c r="I191" s="8" t="s">
        <v>3094</v>
      </c>
      <c r="J191" s="8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8" t="s">
        <v>3388</v>
      </c>
      <c r="E192" s="8" t="s">
        <v>86</v>
      </c>
      <c r="F192" s="8" t="s">
        <v>165</v>
      </c>
      <c r="H192" s="8" t="s">
        <v>1272</v>
      </c>
      <c r="I192" s="8" t="s">
        <v>3096</v>
      </c>
      <c r="J192" s="8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8" t="s">
        <v>1273</v>
      </c>
      <c r="E193" s="8" t="s">
        <v>70</v>
      </c>
      <c r="F193" s="8" t="s">
        <v>1276</v>
      </c>
      <c r="H193" s="8"/>
      <c r="I193" s="8" t="s">
        <v>3098</v>
      </c>
      <c r="J193" s="8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8" t="s">
        <v>3391</v>
      </c>
      <c r="E194" s="8" t="s">
        <v>70</v>
      </c>
      <c r="F194" s="8" t="s">
        <v>58</v>
      </c>
      <c r="H194" s="8"/>
      <c r="I194" s="8" t="s">
        <v>3100</v>
      </c>
      <c r="J194" s="8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8" t="s">
        <v>587</v>
      </c>
      <c r="E195" s="8" t="s">
        <v>70</v>
      </c>
      <c r="F195" s="8"/>
      <c r="H195" s="8"/>
      <c r="I195" s="8" t="s">
        <v>3102</v>
      </c>
      <c r="J195" s="8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8" t="s">
        <v>4</v>
      </c>
      <c r="E196" s="8" t="s">
        <v>8</v>
      </c>
      <c r="F196" s="8"/>
      <c r="H196" s="8"/>
      <c r="I196" s="8" t="s">
        <v>3104</v>
      </c>
      <c r="J196" s="8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8" t="s">
        <v>3392</v>
      </c>
      <c r="E197" s="8" t="s">
        <v>3393</v>
      </c>
      <c r="F197" s="8" t="s">
        <v>58</v>
      </c>
      <c r="H197" s="8" t="s">
        <v>3394</v>
      </c>
      <c r="I197" s="8" t="s">
        <v>3106</v>
      </c>
      <c r="J197" s="8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8" t="s">
        <v>4</v>
      </c>
      <c r="E198" s="8" t="s">
        <v>8</v>
      </c>
      <c r="F198" s="8"/>
      <c r="H198" s="8"/>
      <c r="I198" s="8" t="s">
        <v>3108</v>
      </c>
      <c r="J198" s="8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8" t="s">
        <v>4</v>
      </c>
      <c r="E199" s="8" t="s">
        <v>8</v>
      </c>
      <c r="F199" s="8"/>
      <c r="H199" s="8" t="s">
        <v>2352</v>
      </c>
      <c r="I199" s="8" t="s">
        <v>3110</v>
      </c>
      <c r="J199" s="8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8" t="s">
        <v>4</v>
      </c>
      <c r="E200" s="8" t="s">
        <v>8</v>
      </c>
      <c r="F200" s="8"/>
      <c r="H200" s="8" t="s">
        <v>2352</v>
      </c>
      <c r="I200" s="8" t="s">
        <v>3112</v>
      </c>
      <c r="J200" s="8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8" t="s">
        <v>3388</v>
      </c>
      <c r="E201" s="8" t="s">
        <v>86</v>
      </c>
      <c r="F201" s="8" t="s">
        <v>465</v>
      </c>
      <c r="H201" s="8" t="s">
        <v>1272</v>
      </c>
      <c r="I201" s="8" t="s">
        <v>3114</v>
      </c>
      <c r="J201" s="8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8" t="s">
        <v>1273</v>
      </c>
      <c r="E202" s="8" t="s">
        <v>70</v>
      </c>
      <c r="F202" s="8" t="s">
        <v>1276</v>
      </c>
      <c r="H202" s="8"/>
      <c r="I202" s="8" t="s">
        <v>3116</v>
      </c>
      <c r="J202" s="8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8" t="s">
        <v>4</v>
      </c>
      <c r="E203" s="8" t="s">
        <v>70</v>
      </c>
      <c r="F203" s="8"/>
      <c r="H203" s="8" t="s">
        <v>3395</v>
      </c>
      <c r="I203" s="8" t="s">
        <v>3118</v>
      </c>
      <c r="J203" s="8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8" t="s">
        <v>470</v>
      </c>
      <c r="E204" s="8" t="s">
        <v>1274</v>
      </c>
      <c r="F204" s="8" t="s">
        <v>58</v>
      </c>
      <c r="H204" s="8" t="s">
        <v>1272</v>
      </c>
      <c r="I204" s="8" t="s">
        <v>3120</v>
      </c>
      <c r="J204" s="8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8" t="s">
        <v>470</v>
      </c>
      <c r="E205" s="8" t="s">
        <v>1274</v>
      </c>
      <c r="F205" s="8" t="s">
        <v>58</v>
      </c>
      <c r="H205" s="8" t="s">
        <v>1272</v>
      </c>
      <c r="I205" s="8" t="s">
        <v>3122</v>
      </c>
      <c r="J205" s="8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8" t="s">
        <v>227</v>
      </c>
      <c r="E206" s="8" t="s">
        <v>70</v>
      </c>
      <c r="F206" s="8" t="s">
        <v>3396</v>
      </c>
      <c r="H206" s="8" t="s">
        <v>1278</v>
      </c>
      <c r="I206" s="8" t="s">
        <v>3124</v>
      </c>
      <c r="J206" s="8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8" t="s">
        <v>227</v>
      </c>
      <c r="E207" s="8" t="s">
        <v>70</v>
      </c>
      <c r="F207" s="8" t="s">
        <v>3396</v>
      </c>
      <c r="H207" s="8" t="s">
        <v>2352</v>
      </c>
      <c r="I207" s="8" t="s">
        <v>3126</v>
      </c>
      <c r="J207" s="8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8" t="s">
        <v>227</v>
      </c>
      <c r="E208" s="8" t="s">
        <v>70</v>
      </c>
      <c r="F208" s="8" t="s">
        <v>3396</v>
      </c>
      <c r="H208" s="8" t="s">
        <v>1278</v>
      </c>
      <c r="I208" s="8" t="s">
        <v>3128</v>
      </c>
      <c r="J208" s="8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8" t="s">
        <v>227</v>
      </c>
      <c r="E209" s="8" t="s">
        <v>70</v>
      </c>
      <c r="F209" s="8" t="s">
        <v>3396</v>
      </c>
      <c r="H209" s="8" t="s">
        <v>2370</v>
      </c>
      <c r="I209" s="8" t="s">
        <v>3130</v>
      </c>
      <c r="J209" s="8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8" t="s">
        <v>226</v>
      </c>
      <c r="E210" s="8" t="s">
        <v>70</v>
      </c>
      <c r="F210" s="8" t="s">
        <v>58</v>
      </c>
      <c r="H210" s="8" t="s">
        <v>1287</v>
      </c>
      <c r="I210" s="8" t="s">
        <v>3132</v>
      </c>
      <c r="J210" s="8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8" t="s">
        <v>226</v>
      </c>
      <c r="E211" s="8" t="s">
        <v>70</v>
      </c>
      <c r="F211" s="8" t="s">
        <v>58</v>
      </c>
      <c r="H211" s="8" t="s">
        <v>2352</v>
      </c>
      <c r="I211" s="8" t="s">
        <v>3135</v>
      </c>
      <c r="J211" s="8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8" t="s">
        <v>226</v>
      </c>
      <c r="E212" s="8" t="s">
        <v>70</v>
      </c>
      <c r="F212" s="8" t="s">
        <v>58</v>
      </c>
      <c r="H212" s="8" t="s">
        <v>2352</v>
      </c>
      <c r="I212" s="8" t="s">
        <v>3138</v>
      </c>
      <c r="J212" s="8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8" t="s">
        <v>226</v>
      </c>
      <c r="E213" s="8" t="s">
        <v>70</v>
      </c>
      <c r="F213" s="8" t="s">
        <v>58</v>
      </c>
      <c r="H213" s="8" t="s">
        <v>2352</v>
      </c>
      <c r="I213" s="8" t="s">
        <v>3141</v>
      </c>
      <c r="J213" s="8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8" t="s">
        <v>226</v>
      </c>
      <c r="E214" s="8" t="s">
        <v>70</v>
      </c>
      <c r="F214" s="8" t="s">
        <v>58</v>
      </c>
      <c r="H214" s="8" t="s">
        <v>2352</v>
      </c>
      <c r="I214" s="8" t="s">
        <v>3144</v>
      </c>
      <c r="J214" s="8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8" t="s">
        <v>226</v>
      </c>
      <c r="E215" s="8" t="s">
        <v>70</v>
      </c>
      <c r="F215" s="8" t="s">
        <v>58</v>
      </c>
      <c r="H215" s="8" t="s">
        <v>2352</v>
      </c>
      <c r="I215" s="8" t="s">
        <v>3147</v>
      </c>
      <c r="J215" s="8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8" t="s">
        <v>226</v>
      </c>
      <c r="E216" s="8" t="s">
        <v>70</v>
      </c>
      <c r="F216" s="8" t="s">
        <v>58</v>
      </c>
      <c r="H216" s="8" t="s">
        <v>2352</v>
      </c>
      <c r="I216" s="8" t="s">
        <v>3150</v>
      </c>
      <c r="J216" s="8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8" t="s">
        <v>226</v>
      </c>
      <c r="E217" s="8" t="s">
        <v>70</v>
      </c>
      <c r="F217" s="8" t="s">
        <v>58</v>
      </c>
      <c r="H217" s="8" t="s">
        <v>2352</v>
      </c>
      <c r="I217" s="8" t="s">
        <v>3153</v>
      </c>
      <c r="J217" s="8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8" t="s">
        <v>3397</v>
      </c>
      <c r="E218" s="8" t="s">
        <v>70</v>
      </c>
      <c r="F218" s="8" t="s">
        <v>58</v>
      </c>
      <c r="H218" s="8"/>
      <c r="I218" s="8" t="s">
        <v>3156</v>
      </c>
      <c r="J218" s="8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8" t="s">
        <v>226</v>
      </c>
      <c r="E219" s="8" t="s">
        <v>70</v>
      </c>
      <c r="F219" s="8" t="s">
        <v>3398</v>
      </c>
      <c r="H219" s="8" t="s">
        <v>1285</v>
      </c>
      <c r="I219" s="8" t="s">
        <v>3158</v>
      </c>
      <c r="J219" s="8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8" t="s">
        <v>3400</v>
      </c>
      <c r="E220" s="8" t="s">
        <v>70</v>
      </c>
      <c r="F220" s="8" t="s">
        <v>3398</v>
      </c>
      <c r="H220" s="8"/>
      <c r="I220" s="8" t="s">
        <v>3161</v>
      </c>
      <c r="J220" s="8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8" t="s">
        <v>1273</v>
      </c>
      <c r="E221" s="8" t="s">
        <v>3357</v>
      </c>
      <c r="F221" s="8"/>
      <c r="H221" s="8"/>
      <c r="I221" s="8" t="s">
        <v>3164</v>
      </c>
      <c r="J221" s="8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8" t="s">
        <v>226</v>
      </c>
      <c r="E222" s="8" t="s">
        <v>3357</v>
      </c>
      <c r="F222" s="8" t="s">
        <v>58</v>
      </c>
      <c r="H222" s="8" t="s">
        <v>1287</v>
      </c>
      <c r="I222" s="8" t="s">
        <v>3166</v>
      </c>
      <c r="J222" s="8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8" t="s">
        <v>226</v>
      </c>
      <c r="E223" s="8" t="s">
        <v>3357</v>
      </c>
      <c r="F223" s="8" t="s">
        <v>58</v>
      </c>
      <c r="H223" s="8" t="s">
        <v>2352</v>
      </c>
      <c r="I223" s="8" t="s">
        <v>3169</v>
      </c>
      <c r="J223" s="8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8" t="s">
        <v>226</v>
      </c>
      <c r="E224" s="8" t="s">
        <v>3357</v>
      </c>
      <c r="F224" s="8" t="s">
        <v>58</v>
      </c>
      <c r="H224" s="8" t="s">
        <v>2352</v>
      </c>
      <c r="I224" s="8" t="s">
        <v>3172</v>
      </c>
      <c r="J224" s="8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8" t="s">
        <v>226</v>
      </c>
      <c r="E225" s="8" t="s">
        <v>3357</v>
      </c>
      <c r="F225" s="8" t="s">
        <v>58</v>
      </c>
      <c r="H225" s="8" t="s">
        <v>2352</v>
      </c>
      <c r="I225" s="8" t="s">
        <v>3175</v>
      </c>
      <c r="J225" s="8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8" t="s">
        <v>226</v>
      </c>
      <c r="E226" s="8" t="s">
        <v>3357</v>
      </c>
      <c r="F226" s="8" t="s">
        <v>58</v>
      </c>
      <c r="H226" s="8" t="s">
        <v>2352</v>
      </c>
      <c r="I226" s="8" t="s">
        <v>3178</v>
      </c>
      <c r="J226" s="8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8" t="s">
        <v>226</v>
      </c>
      <c r="E227" s="8" t="s">
        <v>3357</v>
      </c>
      <c r="F227" s="8" t="s">
        <v>58</v>
      </c>
      <c r="H227" s="8" t="s">
        <v>2352</v>
      </c>
      <c r="I227" s="8" t="s">
        <v>3181</v>
      </c>
      <c r="J227" s="8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8" t="s">
        <v>226</v>
      </c>
      <c r="E228" s="8" t="s">
        <v>3357</v>
      </c>
      <c r="F228" s="8" t="s">
        <v>58</v>
      </c>
      <c r="H228" s="8" t="s">
        <v>2352</v>
      </c>
      <c r="I228" s="8" t="s">
        <v>3184</v>
      </c>
      <c r="J228" s="8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8" t="s">
        <v>1616</v>
      </c>
      <c r="E229" s="8" t="s">
        <v>3357</v>
      </c>
      <c r="F229" s="8"/>
      <c r="H229" s="8" t="s">
        <v>3401</v>
      </c>
      <c r="I229" s="8" t="s">
        <v>3187</v>
      </c>
      <c r="J229" s="8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8" t="s">
        <v>226</v>
      </c>
      <c r="E230" s="8" t="s">
        <v>3357</v>
      </c>
      <c r="F230" s="8" t="s">
        <v>58</v>
      </c>
      <c r="H230" s="8"/>
      <c r="I230" s="8" t="s">
        <v>3189</v>
      </c>
      <c r="J230" s="8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8" t="s">
        <v>226</v>
      </c>
      <c r="E231" s="8" t="s">
        <v>3357</v>
      </c>
      <c r="F231" s="8" t="s">
        <v>58</v>
      </c>
      <c r="H231" s="8" t="s">
        <v>2352</v>
      </c>
      <c r="I231" s="8" t="s">
        <v>3192</v>
      </c>
      <c r="J231" s="8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8" t="s">
        <v>226</v>
      </c>
      <c r="E232" s="8" t="s">
        <v>3357</v>
      </c>
      <c r="F232" s="8" t="s">
        <v>58</v>
      </c>
      <c r="H232" s="8" t="s">
        <v>2352</v>
      </c>
      <c r="I232" s="8" t="s">
        <v>3195</v>
      </c>
      <c r="J232" s="8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8" t="s">
        <v>3397</v>
      </c>
      <c r="E233" s="8" t="s">
        <v>3357</v>
      </c>
      <c r="F233" s="8" t="s">
        <v>58</v>
      </c>
      <c r="H233" s="8"/>
      <c r="I233" s="8" t="s">
        <v>3198</v>
      </c>
      <c r="J233" s="8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8" t="s">
        <v>1616</v>
      </c>
      <c r="E234" s="8" t="s">
        <v>3357</v>
      </c>
      <c r="F234" s="8"/>
      <c r="H234" s="8" t="s">
        <v>3402</v>
      </c>
      <c r="I234" s="8" t="s">
        <v>3200</v>
      </c>
      <c r="J234" s="8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8" t="s">
        <v>226</v>
      </c>
      <c r="E235" s="8" t="s">
        <v>3357</v>
      </c>
      <c r="F235" s="8" t="s">
        <v>58</v>
      </c>
      <c r="H235" s="8"/>
      <c r="I235" s="8" t="s">
        <v>3202</v>
      </c>
      <c r="J235" s="8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8" t="s">
        <v>226</v>
      </c>
      <c r="E236" s="8" t="s">
        <v>3357</v>
      </c>
      <c r="F236" s="8" t="s">
        <v>58</v>
      </c>
      <c r="H236" s="8" t="s">
        <v>2352</v>
      </c>
      <c r="I236" s="8" t="s">
        <v>3205</v>
      </c>
      <c r="J236" s="8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8" t="s">
        <v>226</v>
      </c>
      <c r="E237" s="8" t="s">
        <v>3357</v>
      </c>
      <c r="F237" s="8" t="s">
        <v>58</v>
      </c>
      <c r="H237" s="8" t="s">
        <v>2352</v>
      </c>
      <c r="I237" s="8" t="s">
        <v>3208</v>
      </c>
      <c r="J237" s="8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8" t="s">
        <v>226</v>
      </c>
      <c r="E238" s="8" t="s">
        <v>3357</v>
      </c>
      <c r="F238" s="8" t="s">
        <v>58</v>
      </c>
      <c r="H238" s="8" t="s">
        <v>2352</v>
      </c>
      <c r="I238" s="8" t="s">
        <v>3211</v>
      </c>
      <c r="J238" s="8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8" t="s">
        <v>3400</v>
      </c>
      <c r="E239" s="8" t="s">
        <v>3357</v>
      </c>
      <c r="F239" s="8" t="s">
        <v>58</v>
      </c>
      <c r="H239" s="8"/>
      <c r="I239" s="8" t="s">
        <v>3214</v>
      </c>
      <c r="J239" s="8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8" t="s">
        <v>4</v>
      </c>
      <c r="E240" s="8" t="s">
        <v>86</v>
      </c>
      <c r="F240" s="8" t="s">
        <v>3403</v>
      </c>
      <c r="H240" s="8" t="s">
        <v>3404</v>
      </c>
      <c r="I240" s="8" t="s">
        <v>3216</v>
      </c>
      <c r="J240" s="8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8" t="s">
        <v>226</v>
      </c>
      <c r="E241" s="8" t="s">
        <v>86</v>
      </c>
      <c r="F241" s="8" t="s">
        <v>3405</v>
      </c>
      <c r="H241" s="8"/>
      <c r="I241" s="8" t="s">
        <v>3218</v>
      </c>
      <c r="J241" s="8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8" t="s">
        <v>3406</v>
      </c>
      <c r="E242" s="8" t="s">
        <v>86</v>
      </c>
      <c r="F242" s="8" t="s">
        <v>3405</v>
      </c>
      <c r="H242" s="8" t="s">
        <v>3401</v>
      </c>
      <c r="I242" s="8" t="s">
        <v>3220</v>
      </c>
      <c r="J242" s="8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8" t="s">
        <v>2459</v>
      </c>
      <c r="E243" s="8" t="s">
        <v>86</v>
      </c>
      <c r="F243" s="8" t="s">
        <v>58</v>
      </c>
      <c r="H243" s="8" t="s">
        <v>1287</v>
      </c>
      <c r="I243" s="8" t="s">
        <v>3222</v>
      </c>
      <c r="J243" s="8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8" t="s">
        <v>887</v>
      </c>
      <c r="E244" s="8" t="s">
        <v>86</v>
      </c>
      <c r="F244" s="8" t="s">
        <v>58</v>
      </c>
      <c r="H244" s="8" t="s">
        <v>2370</v>
      </c>
      <c r="I244" s="8" t="s">
        <v>3224</v>
      </c>
      <c r="J244" s="8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8" t="s">
        <v>470</v>
      </c>
      <c r="E245" s="8" t="s">
        <v>1274</v>
      </c>
      <c r="F245" s="8" t="s">
        <v>58</v>
      </c>
      <c r="H245" s="8" t="s">
        <v>2374</v>
      </c>
      <c r="I245" s="8" t="s">
        <v>3226</v>
      </c>
      <c r="J245" s="8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8" t="s">
        <v>470</v>
      </c>
      <c r="E246" s="8" t="s">
        <v>1274</v>
      </c>
      <c r="F246" s="8" t="s">
        <v>58</v>
      </c>
      <c r="H246" s="8" t="s">
        <v>2374</v>
      </c>
      <c r="I246" s="8" t="s">
        <v>3228</v>
      </c>
      <c r="J246" s="8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8" t="s">
        <v>470</v>
      </c>
      <c r="E247" s="8" t="s">
        <v>1274</v>
      </c>
      <c r="F247" s="8" t="s">
        <v>58</v>
      </c>
      <c r="H247" s="8" t="s">
        <v>2374</v>
      </c>
      <c r="I247" s="8" t="s">
        <v>3230</v>
      </c>
      <c r="J247" s="8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8" t="s">
        <v>470</v>
      </c>
      <c r="E248" s="8" t="s">
        <v>1274</v>
      </c>
      <c r="F248" s="8" t="s">
        <v>58</v>
      </c>
      <c r="H248" s="8" t="s">
        <v>2374</v>
      </c>
      <c r="I248" s="8" t="s">
        <v>3232</v>
      </c>
      <c r="J248" s="8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8" t="s">
        <v>470</v>
      </c>
      <c r="E249" s="8" t="s">
        <v>1274</v>
      </c>
      <c r="F249" s="8" t="s">
        <v>58</v>
      </c>
      <c r="H249" s="8" t="s">
        <v>2374</v>
      </c>
      <c r="I249" s="8" t="s">
        <v>3234</v>
      </c>
      <c r="J249" s="8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8" t="s">
        <v>470</v>
      </c>
      <c r="E250" s="8" t="s">
        <v>1274</v>
      </c>
      <c r="F250" s="8" t="s">
        <v>58</v>
      </c>
      <c r="H250" s="8" t="s">
        <v>2374</v>
      </c>
      <c r="I250" s="8" t="s">
        <v>3236</v>
      </c>
      <c r="J250" s="8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8" t="s">
        <v>470</v>
      </c>
      <c r="E251" s="8" t="s">
        <v>1274</v>
      </c>
      <c r="F251" s="8" t="s">
        <v>58</v>
      </c>
      <c r="H251" s="8" t="s">
        <v>2374</v>
      </c>
      <c r="I251" s="8" t="s">
        <v>3238</v>
      </c>
      <c r="J251" s="8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8" t="s">
        <v>470</v>
      </c>
      <c r="E252" s="8" t="s">
        <v>1274</v>
      </c>
      <c r="F252" s="8" t="s">
        <v>58</v>
      </c>
      <c r="H252" s="8" t="s">
        <v>2374</v>
      </c>
      <c r="I252" s="8" t="s">
        <v>3240</v>
      </c>
      <c r="J252" s="8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8" t="s">
        <v>470</v>
      </c>
      <c r="E253" s="8" t="s">
        <v>1274</v>
      </c>
      <c r="F253" s="8" t="s">
        <v>58</v>
      </c>
      <c r="H253" s="8" t="s">
        <v>2374</v>
      </c>
      <c r="I253" s="8" t="s">
        <v>3242</v>
      </c>
      <c r="J253" s="8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8" t="s">
        <v>470</v>
      </c>
      <c r="E254" s="8" t="s">
        <v>1274</v>
      </c>
      <c r="F254" s="8" t="s">
        <v>58</v>
      </c>
      <c r="H254" s="8" t="s">
        <v>2374</v>
      </c>
      <c r="I254" s="8" t="s">
        <v>3244</v>
      </c>
      <c r="J254" s="8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8" t="s">
        <v>470</v>
      </c>
      <c r="E255" s="8" t="s">
        <v>1274</v>
      </c>
      <c r="F255" s="8" t="s">
        <v>58</v>
      </c>
      <c r="H255" s="8" t="s">
        <v>2374</v>
      </c>
      <c r="I255" s="8" t="s">
        <v>3246</v>
      </c>
      <c r="J255" s="8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8" t="s">
        <v>470</v>
      </c>
      <c r="E256" s="8" t="s">
        <v>1274</v>
      </c>
      <c r="F256" s="8" t="s">
        <v>892</v>
      </c>
      <c r="H256" s="8" t="s">
        <v>1287</v>
      </c>
      <c r="I256" s="8" t="s">
        <v>3248</v>
      </c>
      <c r="J256" s="8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8" t="s">
        <v>1607</v>
      </c>
      <c r="E257" s="8"/>
      <c r="F257" s="8"/>
      <c r="H257" s="8"/>
      <c r="I257" s="8" t="s">
        <v>3444</v>
      </c>
      <c r="J257" s="8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8" t="s">
        <v>470</v>
      </c>
      <c r="E258" s="8" t="s">
        <v>1274</v>
      </c>
      <c r="F258" s="8" t="s">
        <v>892</v>
      </c>
      <c r="H258" s="8" t="s">
        <v>1287</v>
      </c>
      <c r="I258" s="8" t="s">
        <v>3855</v>
      </c>
      <c r="J258" s="8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8" t="s">
        <v>4</v>
      </c>
      <c r="E259" s="8" t="s">
        <v>8</v>
      </c>
      <c r="F259" s="8"/>
      <c r="H259" s="8"/>
      <c r="I259" s="8" t="s">
        <v>3857</v>
      </c>
      <c r="J259" s="8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8" t="s">
        <v>470</v>
      </c>
      <c r="E260" s="8" t="s">
        <v>468</v>
      </c>
      <c r="F260" s="8" t="s">
        <v>58</v>
      </c>
      <c r="H260" s="8" t="s">
        <v>3401</v>
      </c>
      <c r="I260" s="8" t="s">
        <v>3859</v>
      </c>
      <c r="J260" s="8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8" t="s">
        <v>4</v>
      </c>
      <c r="E261" s="8" t="s">
        <v>8</v>
      </c>
      <c r="F261" s="8"/>
      <c r="H261" s="8"/>
      <c r="I261" s="8" t="s">
        <v>3861</v>
      </c>
      <c r="J261" s="8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8" t="s">
        <v>470</v>
      </c>
      <c r="E262" s="8" t="s">
        <v>468</v>
      </c>
      <c r="F262" s="8" t="s">
        <v>58</v>
      </c>
      <c r="H262" s="8" t="s">
        <v>3401</v>
      </c>
      <c r="I262" s="8" t="s">
        <v>3863</v>
      </c>
      <c r="J262" s="8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8" t="s">
        <v>226</v>
      </c>
      <c r="E263" s="8" t="s">
        <v>86</v>
      </c>
      <c r="F263" s="8" t="s">
        <v>3405</v>
      </c>
      <c r="H263" s="8"/>
      <c r="I263" s="8" t="s">
        <v>3865</v>
      </c>
      <c r="J263" s="8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8" t="s">
        <v>226</v>
      </c>
      <c r="E264" s="8" t="s">
        <v>86</v>
      </c>
      <c r="F264" s="8" t="s">
        <v>3405</v>
      </c>
      <c r="H264" s="8" t="s">
        <v>2352</v>
      </c>
      <c r="I264" s="8" t="s">
        <v>3867</v>
      </c>
      <c r="J264" s="8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8" t="s">
        <v>226</v>
      </c>
      <c r="E265" s="8" t="s">
        <v>86</v>
      </c>
      <c r="F265" s="8" t="s">
        <v>3405</v>
      </c>
      <c r="H265" s="8"/>
      <c r="I265" s="8" t="s">
        <v>3869</v>
      </c>
      <c r="J265" s="8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8" t="s">
        <v>3406</v>
      </c>
      <c r="E266" s="8" t="s">
        <v>86</v>
      </c>
      <c r="F266" s="8" t="s">
        <v>3405</v>
      </c>
      <c r="H266" s="8" t="s">
        <v>3401</v>
      </c>
      <c r="I266" s="8" t="s">
        <v>3871</v>
      </c>
      <c r="J266" s="8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8" t="s">
        <v>470</v>
      </c>
      <c r="E267" s="8" t="s">
        <v>468</v>
      </c>
      <c r="F267" s="8" t="s">
        <v>58</v>
      </c>
      <c r="H267" s="8" t="s">
        <v>3401</v>
      </c>
      <c r="I267" s="8" t="s">
        <v>3873</v>
      </c>
      <c r="J267" s="8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8" t="s">
        <v>470</v>
      </c>
      <c r="E268" s="8" t="s">
        <v>468</v>
      </c>
      <c r="F268" s="8" t="s">
        <v>58</v>
      </c>
      <c r="H268" s="8" t="s">
        <v>3401</v>
      </c>
      <c r="I268" s="8" t="s">
        <v>3875</v>
      </c>
      <c r="J268" s="8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8" t="s">
        <v>470</v>
      </c>
      <c r="E269" s="8" t="s">
        <v>468</v>
      </c>
      <c r="F269" s="8" t="s">
        <v>58</v>
      </c>
      <c r="H269" s="8" t="s">
        <v>3401</v>
      </c>
      <c r="I269" s="8" t="s">
        <v>3877</v>
      </c>
      <c r="J269" s="8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8" t="s">
        <v>226</v>
      </c>
      <c r="E270" s="8" t="s">
        <v>86</v>
      </c>
      <c r="F270" s="8" t="s">
        <v>3405</v>
      </c>
      <c r="H270" s="8"/>
      <c r="I270" s="8" t="s">
        <v>3879</v>
      </c>
      <c r="J270" s="8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8" t="s">
        <v>3406</v>
      </c>
      <c r="E271" s="8" t="s">
        <v>86</v>
      </c>
      <c r="F271" s="8" t="s">
        <v>3405</v>
      </c>
      <c r="H271" s="8" t="s">
        <v>3401</v>
      </c>
      <c r="I271" s="8" t="s">
        <v>3881</v>
      </c>
      <c r="J271" s="8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8" t="s">
        <v>470</v>
      </c>
      <c r="E272" s="8" t="s">
        <v>468</v>
      </c>
      <c r="F272" s="8" t="s">
        <v>58</v>
      </c>
      <c r="H272" s="8" t="s">
        <v>3401</v>
      </c>
      <c r="I272" s="8" t="s">
        <v>3883</v>
      </c>
      <c r="J272" s="8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8" t="s">
        <v>470</v>
      </c>
      <c r="E273" s="8" t="s">
        <v>468</v>
      </c>
      <c r="F273" s="8" t="s">
        <v>58</v>
      </c>
      <c r="H273" s="8" t="s">
        <v>3401</v>
      </c>
      <c r="I273" s="8" t="s">
        <v>3885</v>
      </c>
      <c r="J273" s="8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8" t="s">
        <v>226</v>
      </c>
      <c r="E274" s="8" t="s">
        <v>86</v>
      </c>
      <c r="F274" s="8" t="s">
        <v>3405</v>
      </c>
      <c r="H274" s="8"/>
      <c r="I274" s="8" t="s">
        <v>3887</v>
      </c>
      <c r="J274" s="8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8" t="s">
        <v>3406</v>
      </c>
      <c r="E275" s="8" t="s">
        <v>86</v>
      </c>
      <c r="F275" s="8" t="s">
        <v>3405</v>
      </c>
      <c r="H275" s="8" t="s">
        <v>3401</v>
      </c>
      <c r="I275" s="8" t="s">
        <v>3889</v>
      </c>
      <c r="J275" s="8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8" t="s">
        <v>470</v>
      </c>
      <c r="E276" s="8" t="s">
        <v>468</v>
      </c>
      <c r="F276" s="8" t="s">
        <v>892</v>
      </c>
      <c r="H276" s="8" t="s">
        <v>3401</v>
      </c>
      <c r="I276" s="8" t="s">
        <v>3891</v>
      </c>
      <c r="J276" s="8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8" t="s">
        <v>470</v>
      </c>
      <c r="E277" s="8" t="s">
        <v>468</v>
      </c>
      <c r="F277" s="8" t="s">
        <v>58</v>
      </c>
      <c r="H277" s="8" t="s">
        <v>3401</v>
      </c>
      <c r="I277" s="8" t="s">
        <v>3893</v>
      </c>
      <c r="J277" s="8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8" t="s">
        <v>3392</v>
      </c>
      <c r="E278" s="8" t="s">
        <v>468</v>
      </c>
      <c r="F278" s="8" t="s">
        <v>3398</v>
      </c>
      <c r="H278" s="8" t="s">
        <v>2373</v>
      </c>
      <c r="I278" s="8" t="s">
        <v>3895</v>
      </c>
      <c r="J278" s="8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8" t="s">
        <v>4</v>
      </c>
      <c r="E279" s="8" t="s">
        <v>8</v>
      </c>
      <c r="F279" s="8"/>
      <c r="H279" s="8"/>
      <c r="I279" s="8" t="s">
        <v>3897</v>
      </c>
      <c r="J279" s="8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8" t="s">
        <v>1607</v>
      </c>
      <c r="E280" s="8" t="s">
        <v>8</v>
      </c>
      <c r="F280" s="8"/>
      <c r="H280" s="8"/>
      <c r="I280" s="8" t="s">
        <v>3899</v>
      </c>
      <c r="J280" s="8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8" t="s">
        <v>4</v>
      </c>
      <c r="E281" s="8" t="s">
        <v>8</v>
      </c>
      <c r="F281" s="8"/>
      <c r="H281" s="8"/>
      <c r="I281" s="8" t="s">
        <v>4173</v>
      </c>
      <c r="J281" s="8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8" t="s">
        <v>1273</v>
      </c>
      <c r="E282" s="8" t="s">
        <v>4236</v>
      </c>
      <c r="F282" s="8" t="s">
        <v>51</v>
      </c>
      <c r="H282" s="8"/>
      <c r="I282" s="8" t="s">
        <v>4175</v>
      </c>
      <c r="J282" s="8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8" t="s">
        <v>226</v>
      </c>
      <c r="E283" s="8" t="s">
        <v>4236</v>
      </c>
      <c r="F283" s="8" t="s">
        <v>3398</v>
      </c>
      <c r="H283" s="8"/>
      <c r="I283" s="8" t="s">
        <v>4177</v>
      </c>
      <c r="J283" s="8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8" t="s">
        <v>226</v>
      </c>
      <c r="E284" s="8" t="s">
        <v>4236</v>
      </c>
      <c r="F284" s="8" t="s">
        <v>3398</v>
      </c>
      <c r="H284" s="8" t="s">
        <v>2352</v>
      </c>
      <c r="I284" s="8" t="s">
        <v>4180</v>
      </c>
      <c r="J284" s="8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8" t="s">
        <v>3397</v>
      </c>
      <c r="E285" s="8" t="s">
        <v>4236</v>
      </c>
      <c r="F285" s="8" t="s">
        <v>3398</v>
      </c>
      <c r="H285" s="8"/>
      <c r="I285" s="8" t="s">
        <v>4183</v>
      </c>
      <c r="J285" s="8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8" t="s">
        <v>226</v>
      </c>
      <c r="E286" s="8" t="s">
        <v>86</v>
      </c>
      <c r="F286" s="8" t="s">
        <v>3405</v>
      </c>
      <c r="H286" s="8"/>
      <c r="I286" s="8" t="s">
        <v>4326</v>
      </c>
      <c r="J286" s="8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8" t="s">
        <v>3406</v>
      </c>
      <c r="E287" s="8" t="s">
        <v>86</v>
      </c>
      <c r="F287" s="8" t="s">
        <v>3405</v>
      </c>
      <c r="H287" s="8"/>
      <c r="I287" s="8" t="s">
        <v>4328</v>
      </c>
      <c r="J287" s="8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8" t="s">
        <v>470</v>
      </c>
      <c r="E288" s="8" t="s">
        <v>468</v>
      </c>
      <c r="F288" s="8" t="s">
        <v>892</v>
      </c>
      <c r="H288" s="8" t="s">
        <v>1287</v>
      </c>
      <c r="I288" s="8" t="s">
        <v>4330</v>
      </c>
      <c r="J288" s="8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8" t="s">
        <v>4</v>
      </c>
      <c r="E289" s="8" t="s">
        <v>8</v>
      </c>
      <c r="F289" s="8"/>
      <c r="H289" s="8"/>
      <c r="I289" s="8" t="s">
        <v>4332</v>
      </c>
      <c r="J289" s="8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8" t="s">
        <v>470</v>
      </c>
      <c r="E290" s="8" t="s">
        <v>468</v>
      </c>
      <c r="F290" s="8" t="s">
        <v>58</v>
      </c>
      <c r="H290" s="8" t="s">
        <v>3401</v>
      </c>
      <c r="I290" s="8" t="s">
        <v>4333</v>
      </c>
      <c r="J290" s="8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8" t="s">
        <v>470</v>
      </c>
      <c r="E291" s="8" t="s">
        <v>468</v>
      </c>
      <c r="F291" s="8" t="s">
        <v>58</v>
      </c>
      <c r="H291" s="8" t="s">
        <v>3401</v>
      </c>
      <c r="I291" s="8" t="s">
        <v>4335</v>
      </c>
      <c r="J291" s="8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8" t="s">
        <v>470</v>
      </c>
      <c r="E292" s="8" t="s">
        <v>468</v>
      </c>
      <c r="F292" s="8" t="s">
        <v>58</v>
      </c>
      <c r="H292" s="8" t="s">
        <v>3401</v>
      </c>
      <c r="I292" s="8" t="s">
        <v>4337</v>
      </c>
      <c r="J292" s="8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8" t="s">
        <v>470</v>
      </c>
      <c r="E293" s="8" t="s">
        <v>468</v>
      </c>
      <c r="F293" s="8" t="s">
        <v>58</v>
      </c>
      <c r="H293" s="8" t="s">
        <v>3401</v>
      </c>
      <c r="I293" s="8" t="s">
        <v>4339</v>
      </c>
      <c r="J293" s="8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8" t="s">
        <v>470</v>
      </c>
      <c r="E294" s="8" t="s">
        <v>468</v>
      </c>
      <c r="F294" s="8" t="s">
        <v>58</v>
      </c>
      <c r="H294" s="8" t="s">
        <v>3401</v>
      </c>
      <c r="I294" s="8" t="s">
        <v>4341</v>
      </c>
      <c r="J294" s="8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8" t="s">
        <v>3388</v>
      </c>
      <c r="E295" s="8" t="s">
        <v>86</v>
      </c>
      <c r="F295" s="8" t="s">
        <v>58</v>
      </c>
      <c r="H295" s="8"/>
      <c r="I295" s="8" t="s">
        <v>4343</v>
      </c>
      <c r="J295" s="8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8" t="s">
        <v>3388</v>
      </c>
      <c r="E296" s="8" t="s">
        <v>86</v>
      </c>
      <c r="F296" s="8" t="s">
        <v>58</v>
      </c>
      <c r="H296" s="8" t="s">
        <v>2370</v>
      </c>
      <c r="I296" s="8" t="s">
        <v>4345</v>
      </c>
      <c r="J296" s="8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8" t="s">
        <v>3388</v>
      </c>
      <c r="E297" s="8" t="s">
        <v>86</v>
      </c>
      <c r="F297" s="8" t="s">
        <v>58</v>
      </c>
      <c r="H297" s="8"/>
      <c r="I297" s="8" t="s">
        <v>4347</v>
      </c>
      <c r="J297" s="8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8" t="s">
        <v>3388</v>
      </c>
      <c r="E298" s="8" t="s">
        <v>86</v>
      </c>
      <c r="F298" s="8" t="s">
        <v>58</v>
      </c>
      <c r="H298" s="8" t="s">
        <v>2370</v>
      </c>
      <c r="I298" s="8" t="s">
        <v>4349</v>
      </c>
      <c r="J298" s="8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8" t="s">
        <v>3388</v>
      </c>
      <c r="E299" s="8" t="s">
        <v>86</v>
      </c>
      <c r="F299" s="8" t="s">
        <v>58</v>
      </c>
      <c r="H299" s="8"/>
      <c r="I299" s="8" t="s">
        <v>4351</v>
      </c>
      <c r="J299" s="8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8" t="s">
        <v>3388</v>
      </c>
      <c r="E300" s="8" t="s">
        <v>86</v>
      </c>
      <c r="F300" s="8" t="s">
        <v>58</v>
      </c>
      <c r="H300" s="8" t="s">
        <v>2352</v>
      </c>
      <c r="I300" s="8" t="s">
        <v>4353</v>
      </c>
      <c r="J300" s="8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8" t="s">
        <v>3388</v>
      </c>
      <c r="E301" s="8" t="s">
        <v>86</v>
      </c>
      <c r="F301" s="8" t="s">
        <v>58</v>
      </c>
      <c r="H301" s="8" t="s">
        <v>3401</v>
      </c>
      <c r="I301" s="8" t="s">
        <v>4355</v>
      </c>
      <c r="J301" s="8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8" t="s">
        <v>3388</v>
      </c>
      <c r="E302" s="8" t="s">
        <v>86</v>
      </c>
      <c r="F302" s="8" t="s">
        <v>58</v>
      </c>
      <c r="H302" s="8"/>
      <c r="I302" s="8" t="s">
        <v>4357</v>
      </c>
      <c r="J302" s="8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8" t="s">
        <v>3388</v>
      </c>
      <c r="E303" s="8" t="s">
        <v>86</v>
      </c>
      <c r="F303" s="8" t="s">
        <v>58</v>
      </c>
      <c r="H303" s="8" t="s">
        <v>2370</v>
      </c>
      <c r="I303" s="8" t="s">
        <v>4359</v>
      </c>
      <c r="J303" s="8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8" t="s">
        <v>470</v>
      </c>
      <c r="E304" s="8" t="s">
        <v>468</v>
      </c>
      <c r="F304" s="8" t="s">
        <v>58</v>
      </c>
      <c r="H304" s="8" t="s">
        <v>3401</v>
      </c>
      <c r="I304" s="8" t="s">
        <v>4361</v>
      </c>
      <c r="J304" s="8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8" t="s">
        <v>470</v>
      </c>
      <c r="E305" s="8" t="s">
        <v>468</v>
      </c>
      <c r="F305" s="8" t="s">
        <v>58</v>
      </c>
      <c r="H305" s="8" t="s">
        <v>3401</v>
      </c>
      <c r="I305" s="8" t="s">
        <v>4363</v>
      </c>
      <c r="J305" s="8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8" t="s">
        <v>3388</v>
      </c>
      <c r="E306" s="8" t="s">
        <v>86</v>
      </c>
      <c r="F306" s="8" t="s">
        <v>165</v>
      </c>
      <c r="H306" s="8" t="s">
        <v>1272</v>
      </c>
      <c r="I306" s="8" t="s">
        <v>4365</v>
      </c>
      <c r="J306" s="8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8" t="s">
        <v>3388</v>
      </c>
      <c r="E307" s="8" t="s">
        <v>86</v>
      </c>
      <c r="F307" s="8" t="s">
        <v>165</v>
      </c>
      <c r="H307" s="8" t="s">
        <v>1272</v>
      </c>
      <c r="I307" s="8" t="s">
        <v>4367</v>
      </c>
      <c r="J307" s="8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8" t="s">
        <v>4</v>
      </c>
      <c r="E308" s="8" t="s">
        <v>8</v>
      </c>
      <c r="F308" s="8"/>
      <c r="H308" s="8"/>
      <c r="I308" s="8" t="s">
        <v>4369</v>
      </c>
      <c r="J308" s="8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8" t="s">
        <v>4</v>
      </c>
      <c r="E309" s="8" t="s">
        <v>8</v>
      </c>
      <c r="F309" s="8"/>
      <c r="H309" s="8"/>
      <c r="I309" s="8" t="s">
        <v>4595</v>
      </c>
      <c r="J309" s="8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8" t="s">
        <v>3388</v>
      </c>
      <c r="E310" s="8" t="s">
        <v>86</v>
      </c>
      <c r="F310" s="8" t="s">
        <v>5697</v>
      </c>
      <c r="H310" s="8"/>
      <c r="I310" s="8" t="s">
        <v>4597</v>
      </c>
      <c r="J310" s="8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8" t="s">
        <v>470</v>
      </c>
      <c r="E311" s="8" t="s">
        <v>468</v>
      </c>
      <c r="F311" s="8" t="s">
        <v>58</v>
      </c>
      <c r="H311" s="8" t="s">
        <v>3401</v>
      </c>
      <c r="I311" s="8" t="s">
        <v>4599</v>
      </c>
      <c r="J311" s="8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8" t="s">
        <v>136</v>
      </c>
      <c r="E312" s="8" t="s">
        <v>86</v>
      </c>
      <c r="F312" s="8" t="s">
        <v>465</v>
      </c>
      <c r="G312">
        <v>1</v>
      </c>
      <c r="H312" s="8" t="s">
        <v>1272</v>
      </c>
      <c r="I312" s="8" t="s">
        <v>4601</v>
      </c>
      <c r="J312" s="8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8" t="s">
        <v>136</v>
      </c>
      <c r="E313" s="8" t="s">
        <v>86</v>
      </c>
      <c r="F313" s="8" t="s">
        <v>465</v>
      </c>
      <c r="G313">
        <v>1</v>
      </c>
      <c r="H313" s="8" t="s">
        <v>1272</v>
      </c>
      <c r="I313" s="8" t="s">
        <v>4603</v>
      </c>
      <c r="J313" s="8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8" t="s">
        <v>136</v>
      </c>
      <c r="E314" s="8" t="s">
        <v>86</v>
      </c>
      <c r="F314" s="8" t="s">
        <v>465</v>
      </c>
      <c r="G314">
        <v>1</v>
      </c>
      <c r="H314" s="8" t="s">
        <v>1272</v>
      </c>
      <c r="I314" s="8" t="s">
        <v>4605</v>
      </c>
      <c r="J314" s="8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8" t="s">
        <v>470</v>
      </c>
      <c r="E315" s="8" t="s">
        <v>468</v>
      </c>
      <c r="F315" s="8" t="s">
        <v>2360</v>
      </c>
      <c r="H315" s="8" t="s">
        <v>1287</v>
      </c>
      <c r="I315" s="8" t="s">
        <v>4607</v>
      </c>
      <c r="J315" s="8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8" t="s">
        <v>3388</v>
      </c>
      <c r="E316" s="8" t="s">
        <v>86</v>
      </c>
      <c r="F316" s="8" t="s">
        <v>4933</v>
      </c>
      <c r="H316" s="8"/>
      <c r="I316" s="8" t="s">
        <v>4609</v>
      </c>
      <c r="J316" s="8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8" t="s">
        <v>3388</v>
      </c>
      <c r="E317" s="8" t="s">
        <v>86</v>
      </c>
      <c r="F317" s="8" t="s">
        <v>4933</v>
      </c>
      <c r="H317" s="8" t="s">
        <v>2352</v>
      </c>
      <c r="I317" s="8" t="s">
        <v>4611</v>
      </c>
      <c r="J317" s="8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8" t="s">
        <v>470</v>
      </c>
      <c r="E318" s="8" t="s">
        <v>468</v>
      </c>
      <c r="F318" s="8" t="s">
        <v>2360</v>
      </c>
      <c r="H318" s="8" t="s">
        <v>1287</v>
      </c>
      <c r="I318" s="8" t="s">
        <v>4613</v>
      </c>
      <c r="J318" s="8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8" t="s">
        <v>3388</v>
      </c>
      <c r="E319" s="8" t="s">
        <v>86</v>
      </c>
      <c r="F319" s="8" t="s">
        <v>4933</v>
      </c>
      <c r="H319" s="8"/>
      <c r="I319" s="8" t="s">
        <v>4615</v>
      </c>
      <c r="J319" s="8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8" t="s">
        <v>226</v>
      </c>
      <c r="E320" s="8" t="s">
        <v>86</v>
      </c>
      <c r="F320" s="8" t="s">
        <v>5697</v>
      </c>
      <c r="H320" s="8"/>
      <c r="I320" s="8" t="s">
        <v>4617</v>
      </c>
      <c r="J320" s="8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8" t="s">
        <v>587</v>
      </c>
      <c r="E321" s="8" t="s">
        <v>86</v>
      </c>
      <c r="F321" s="8" t="s">
        <v>5697</v>
      </c>
      <c r="H321" s="8"/>
      <c r="I321" s="8" t="s">
        <v>4619</v>
      </c>
      <c r="J321" s="8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8" t="s">
        <v>470</v>
      </c>
      <c r="E322" s="8" t="s">
        <v>468</v>
      </c>
      <c r="F322" s="8" t="s">
        <v>58</v>
      </c>
      <c r="H322" s="8" t="s">
        <v>3401</v>
      </c>
      <c r="I322" s="8" t="s">
        <v>4621</v>
      </c>
      <c r="J322" s="8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8" t="s">
        <v>136</v>
      </c>
      <c r="E323" s="8" t="s">
        <v>86</v>
      </c>
      <c r="F323" s="8" t="s">
        <v>465</v>
      </c>
      <c r="G323">
        <v>1</v>
      </c>
      <c r="H323" s="8" t="s">
        <v>1272</v>
      </c>
      <c r="I323" s="8" t="s">
        <v>4623</v>
      </c>
      <c r="J323" s="8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8" t="s">
        <v>136</v>
      </c>
      <c r="E324" s="8" t="s">
        <v>86</v>
      </c>
      <c r="F324" s="8" t="s">
        <v>465</v>
      </c>
      <c r="G324">
        <v>1</v>
      </c>
      <c r="H324" s="8" t="s">
        <v>1272</v>
      </c>
      <c r="I324" s="8" t="s">
        <v>4625</v>
      </c>
      <c r="J324" s="8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8" t="s">
        <v>4</v>
      </c>
      <c r="E325" s="8" t="s">
        <v>8</v>
      </c>
      <c r="F325" s="8"/>
      <c r="H325" s="8"/>
      <c r="I325" s="8" t="s">
        <v>4627</v>
      </c>
      <c r="J325" s="8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8" t="s">
        <v>4</v>
      </c>
      <c r="E326" s="8" t="s">
        <v>8</v>
      </c>
      <c r="F326" s="8"/>
      <c r="H326" s="8"/>
      <c r="I326" s="8" t="s">
        <v>4629</v>
      </c>
      <c r="J326" s="8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8" t="s">
        <v>4</v>
      </c>
      <c r="E327" s="8" t="s">
        <v>8</v>
      </c>
      <c r="F327" s="8"/>
      <c r="H327" s="8"/>
      <c r="I327" s="8" t="s">
        <v>4631</v>
      </c>
      <c r="J327" s="8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8" t="s">
        <v>4</v>
      </c>
      <c r="E328" s="8" t="s">
        <v>8</v>
      </c>
      <c r="F328" s="8"/>
      <c r="H328" s="8"/>
      <c r="I328" s="8" t="s">
        <v>4696</v>
      </c>
      <c r="J328" s="8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8" t="s">
        <v>4</v>
      </c>
      <c r="E329" s="8" t="s">
        <v>86</v>
      </c>
      <c r="F329" s="8" t="s">
        <v>3405</v>
      </c>
      <c r="H329" s="8" t="s">
        <v>1287</v>
      </c>
      <c r="I329" s="8" t="s">
        <v>4698</v>
      </c>
      <c r="J329" s="8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8" t="s">
        <v>3388</v>
      </c>
      <c r="E330" s="8" t="s">
        <v>86</v>
      </c>
      <c r="F330" s="8" t="s">
        <v>4922</v>
      </c>
      <c r="H330" s="8"/>
      <c r="I330" s="8" t="s">
        <v>4700</v>
      </c>
      <c r="J330" s="8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8" t="s">
        <v>3386</v>
      </c>
      <c r="E331" s="8" t="s">
        <v>86</v>
      </c>
      <c r="F331" s="8" t="s">
        <v>58</v>
      </c>
      <c r="H331" s="8" t="s">
        <v>1287</v>
      </c>
      <c r="I331" s="8" t="s">
        <v>4702</v>
      </c>
      <c r="J331" s="8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8" t="s">
        <v>3386</v>
      </c>
      <c r="E332" s="8" t="s">
        <v>86</v>
      </c>
      <c r="F332" s="8" t="s">
        <v>58</v>
      </c>
      <c r="H332" s="8" t="s">
        <v>2352</v>
      </c>
      <c r="I332" s="8" t="s">
        <v>4704</v>
      </c>
      <c r="J332" s="8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8" t="s">
        <v>470</v>
      </c>
      <c r="E333" s="8" t="s">
        <v>468</v>
      </c>
      <c r="F333" s="8" t="s">
        <v>892</v>
      </c>
      <c r="H333" s="8" t="s">
        <v>1287</v>
      </c>
      <c r="I333" s="8" t="s">
        <v>4706</v>
      </c>
      <c r="J333" s="8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8" t="s">
        <v>470</v>
      </c>
      <c r="E334" s="8" t="s">
        <v>468</v>
      </c>
      <c r="F334" s="8" t="s">
        <v>892</v>
      </c>
      <c r="H334" s="8" t="s">
        <v>1287</v>
      </c>
      <c r="I334" s="8" t="s">
        <v>4708</v>
      </c>
      <c r="J334" s="8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8" t="s">
        <v>3388</v>
      </c>
      <c r="E335" s="8" t="s">
        <v>86</v>
      </c>
      <c r="F335" s="8" t="s">
        <v>165</v>
      </c>
      <c r="H335" s="8"/>
      <c r="I335" s="8" t="s">
        <v>4710</v>
      </c>
      <c r="J335" s="8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8" t="s">
        <v>3388</v>
      </c>
      <c r="E336" s="8" t="s">
        <v>86</v>
      </c>
      <c r="F336" s="8" t="s">
        <v>165</v>
      </c>
      <c r="H336" s="8"/>
      <c r="I336" s="8" t="s">
        <v>4712</v>
      </c>
      <c r="J336" s="8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8" t="s">
        <v>3388</v>
      </c>
      <c r="E337" s="8" t="s">
        <v>86</v>
      </c>
      <c r="F337" s="8" t="s">
        <v>165</v>
      </c>
      <c r="H337" s="8"/>
      <c r="I337" s="8" t="s">
        <v>4714</v>
      </c>
      <c r="J337" s="8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8" t="s">
        <v>3388</v>
      </c>
      <c r="E338" s="8" t="s">
        <v>86</v>
      </c>
      <c r="F338" s="8" t="s">
        <v>165</v>
      </c>
      <c r="H338" s="8"/>
      <c r="I338" s="8" t="s">
        <v>4716</v>
      </c>
      <c r="J338" s="8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8" t="s">
        <v>3388</v>
      </c>
      <c r="E339" s="8" t="s">
        <v>86</v>
      </c>
      <c r="F339" s="8" t="s">
        <v>165</v>
      </c>
      <c r="H339" s="8"/>
      <c r="I339" s="8" t="s">
        <v>4718</v>
      </c>
      <c r="J339" s="8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8" t="s">
        <v>3388</v>
      </c>
      <c r="E340" s="8" t="s">
        <v>86</v>
      </c>
      <c r="F340" s="8" t="s">
        <v>165</v>
      </c>
      <c r="H340" s="8"/>
      <c r="I340" s="8" t="s">
        <v>4720</v>
      </c>
      <c r="J340" s="8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8" t="s">
        <v>3388</v>
      </c>
      <c r="E341" s="8" t="s">
        <v>86</v>
      </c>
      <c r="F341" s="8" t="s">
        <v>165</v>
      </c>
      <c r="H341" s="8"/>
      <c r="I341" s="8" t="s">
        <v>4722</v>
      </c>
      <c r="J341" s="8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8" t="s">
        <v>4</v>
      </c>
      <c r="E342" s="8" t="s">
        <v>8</v>
      </c>
      <c r="F342" s="8"/>
      <c r="H342" s="8"/>
      <c r="I342" s="8" t="s">
        <v>4724</v>
      </c>
      <c r="J342" s="8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8" t="s">
        <v>4</v>
      </c>
      <c r="E343" s="8" t="s">
        <v>4917</v>
      </c>
      <c r="F343" s="8"/>
      <c r="H343" s="8"/>
      <c r="I343" s="8" t="s">
        <v>4859</v>
      </c>
      <c r="J343" s="8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8" t="s">
        <v>4</v>
      </c>
      <c r="E344" s="8" t="s">
        <v>8</v>
      </c>
      <c r="F344" s="8"/>
      <c r="H344" s="8"/>
      <c r="I344" s="8" t="s">
        <v>4861</v>
      </c>
      <c r="J344" s="8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8" t="s">
        <v>4</v>
      </c>
      <c r="E345" s="8" t="s">
        <v>4917</v>
      </c>
      <c r="F345" s="8"/>
      <c r="H345" s="8"/>
      <c r="I345" s="8" t="s">
        <v>4863</v>
      </c>
      <c r="J345" s="8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8" t="s">
        <v>4</v>
      </c>
      <c r="E346" s="8" t="s">
        <v>8</v>
      </c>
      <c r="F346" s="8"/>
      <c r="H346" s="8"/>
      <c r="I346" s="8" t="s">
        <v>4865</v>
      </c>
      <c r="J346" s="8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8" t="s">
        <v>1607</v>
      </c>
      <c r="E347" s="8" t="s">
        <v>8</v>
      </c>
      <c r="F347" s="8"/>
      <c r="H347" s="8"/>
      <c r="I347" s="8" t="s">
        <v>4983</v>
      </c>
      <c r="J347" s="8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8" t="s">
        <v>3388</v>
      </c>
      <c r="E348" s="8" t="s">
        <v>86</v>
      </c>
      <c r="F348" s="8" t="s">
        <v>3405</v>
      </c>
      <c r="H348" s="8" t="s">
        <v>5209</v>
      </c>
      <c r="I348" s="8" t="s">
        <v>5092</v>
      </c>
      <c r="J348" s="8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8" t="s">
        <v>3388</v>
      </c>
      <c r="E349" s="8" t="s">
        <v>86</v>
      </c>
      <c r="F349" s="8" t="s">
        <v>5210</v>
      </c>
      <c r="H349" s="8"/>
      <c r="I349" s="8" t="s">
        <v>5095</v>
      </c>
      <c r="J349" s="8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8" t="s">
        <v>3388</v>
      </c>
      <c r="E350" s="8" t="s">
        <v>86</v>
      </c>
      <c r="F350" s="8" t="s">
        <v>5210</v>
      </c>
      <c r="H350" s="8"/>
      <c r="I350" s="8" t="s">
        <v>5097</v>
      </c>
      <c r="J350" s="8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8" t="s">
        <v>1273</v>
      </c>
      <c r="E351" s="8" t="s">
        <v>5045</v>
      </c>
      <c r="F351" s="8"/>
      <c r="H351" s="8"/>
      <c r="I351" s="8" t="s">
        <v>5099</v>
      </c>
      <c r="J351" s="8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8" t="s">
        <v>226</v>
      </c>
      <c r="E352" s="8" t="s">
        <v>5045</v>
      </c>
      <c r="F352" s="8" t="s">
        <v>58</v>
      </c>
      <c r="H352" s="8" t="s">
        <v>1287</v>
      </c>
      <c r="I352" s="8" t="s">
        <v>5101</v>
      </c>
      <c r="J352" s="8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8" t="s">
        <v>226</v>
      </c>
      <c r="E353" s="8" t="s">
        <v>5045</v>
      </c>
      <c r="F353" s="8" t="s">
        <v>58</v>
      </c>
      <c r="H353" s="8" t="s">
        <v>2352</v>
      </c>
      <c r="I353" s="8" t="s">
        <v>5104</v>
      </c>
      <c r="J353" s="8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8" t="s">
        <v>226</v>
      </c>
      <c r="E354" s="8" t="s">
        <v>5045</v>
      </c>
      <c r="F354" s="8" t="s">
        <v>58</v>
      </c>
      <c r="H354" s="8" t="s">
        <v>2352</v>
      </c>
      <c r="I354" s="8" t="s">
        <v>5107</v>
      </c>
      <c r="J354" s="8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8" t="s">
        <v>226</v>
      </c>
      <c r="E355" s="8" t="s">
        <v>5045</v>
      </c>
      <c r="F355" s="8" t="s">
        <v>58</v>
      </c>
      <c r="H355" s="8" t="s">
        <v>2352</v>
      </c>
      <c r="I355" s="8" t="s">
        <v>5110</v>
      </c>
      <c r="J355" s="8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8" t="s">
        <v>226</v>
      </c>
      <c r="E356" s="8" t="s">
        <v>5045</v>
      </c>
      <c r="F356" s="8" t="s">
        <v>58</v>
      </c>
      <c r="H356" s="8" t="s">
        <v>2352</v>
      </c>
      <c r="I356" s="8" t="s">
        <v>5113</v>
      </c>
      <c r="J356" s="8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8" t="s">
        <v>226</v>
      </c>
      <c r="E357" s="8" t="s">
        <v>5045</v>
      </c>
      <c r="F357" s="8" t="s">
        <v>58</v>
      </c>
      <c r="H357" s="8" t="s">
        <v>2352</v>
      </c>
      <c r="I357" s="8" t="s">
        <v>5116</v>
      </c>
      <c r="J357" s="8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8" t="s">
        <v>226</v>
      </c>
      <c r="E358" s="8" t="s">
        <v>5045</v>
      </c>
      <c r="F358" s="8" t="s">
        <v>58</v>
      </c>
      <c r="H358" s="8" t="s">
        <v>2352</v>
      </c>
      <c r="I358" s="8" t="s">
        <v>5119</v>
      </c>
      <c r="J358" s="8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8" t="s">
        <v>226</v>
      </c>
      <c r="E359" s="8" t="s">
        <v>5045</v>
      </c>
      <c r="F359" s="8" t="s">
        <v>58</v>
      </c>
      <c r="H359" s="8" t="s">
        <v>2352</v>
      </c>
      <c r="I359" s="8" t="s">
        <v>5122</v>
      </c>
      <c r="J359" s="8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8" t="s">
        <v>226</v>
      </c>
      <c r="E360" s="8" t="s">
        <v>5045</v>
      </c>
      <c r="F360" s="8" t="s">
        <v>58</v>
      </c>
      <c r="H360" s="8" t="s">
        <v>2352</v>
      </c>
      <c r="I360" s="8" t="s">
        <v>5125</v>
      </c>
      <c r="J360" s="8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8" t="s">
        <v>226</v>
      </c>
      <c r="E361" s="8" t="s">
        <v>5045</v>
      </c>
      <c r="F361" s="8" t="s">
        <v>58</v>
      </c>
      <c r="H361" s="8" t="s">
        <v>2352</v>
      </c>
      <c r="I361" s="8" t="s">
        <v>5128</v>
      </c>
      <c r="J361" s="8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8" t="s">
        <v>226</v>
      </c>
      <c r="E362" s="8" t="s">
        <v>5045</v>
      </c>
      <c r="F362" s="8" t="s">
        <v>58</v>
      </c>
      <c r="H362" s="8" t="s">
        <v>2352</v>
      </c>
      <c r="I362" s="8" t="s">
        <v>5131</v>
      </c>
      <c r="J362" s="8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8" t="s">
        <v>226</v>
      </c>
      <c r="E363" s="8" t="s">
        <v>5045</v>
      </c>
      <c r="F363" s="8" t="s">
        <v>58</v>
      </c>
      <c r="H363" s="8" t="s">
        <v>2352</v>
      </c>
      <c r="I363" s="8" t="s">
        <v>5134</v>
      </c>
      <c r="J363" s="8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8" t="s">
        <v>226</v>
      </c>
      <c r="E364" s="8" t="s">
        <v>5045</v>
      </c>
      <c r="F364" s="8" t="s">
        <v>58</v>
      </c>
      <c r="H364" s="8" t="s">
        <v>2352</v>
      </c>
      <c r="I364" s="8" t="s">
        <v>5137</v>
      </c>
      <c r="J364" s="8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8" t="s">
        <v>226</v>
      </c>
      <c r="E365" s="8" t="s">
        <v>5045</v>
      </c>
      <c r="F365" s="8" t="s">
        <v>58</v>
      </c>
      <c r="H365" s="8" t="s">
        <v>2352</v>
      </c>
      <c r="I365" s="8" t="s">
        <v>5140</v>
      </c>
      <c r="J365" s="8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8" t="s">
        <v>226</v>
      </c>
      <c r="E366" s="8" t="s">
        <v>5045</v>
      </c>
      <c r="F366" s="8" t="s">
        <v>58</v>
      </c>
      <c r="H366" s="8" t="s">
        <v>5211</v>
      </c>
      <c r="I366" s="8" t="s">
        <v>5143</v>
      </c>
      <c r="J366" s="8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8" t="s">
        <v>226</v>
      </c>
      <c r="E367" s="8" t="s">
        <v>5045</v>
      </c>
      <c r="F367" s="8" t="s">
        <v>58</v>
      </c>
      <c r="H367" s="8" t="s">
        <v>2352</v>
      </c>
      <c r="I367" s="8" t="s">
        <v>5146</v>
      </c>
      <c r="J367" s="8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8" t="s">
        <v>226</v>
      </c>
      <c r="E368" s="8" t="s">
        <v>5045</v>
      </c>
      <c r="F368" s="8" t="s">
        <v>58</v>
      </c>
      <c r="H368" s="8" t="s">
        <v>2352</v>
      </c>
      <c r="I368" s="8" t="s">
        <v>5149</v>
      </c>
      <c r="J368" s="8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8" t="s">
        <v>226</v>
      </c>
      <c r="E369" s="8" t="s">
        <v>5045</v>
      </c>
      <c r="F369" s="8" t="s">
        <v>58</v>
      </c>
      <c r="H369" s="8" t="s">
        <v>2352</v>
      </c>
      <c r="I369" s="8" t="s">
        <v>5152</v>
      </c>
      <c r="J369" s="8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8" t="s">
        <v>226</v>
      </c>
      <c r="E370" s="8" t="s">
        <v>5045</v>
      </c>
      <c r="F370" s="8" t="s">
        <v>58</v>
      </c>
      <c r="H370" s="8" t="s">
        <v>1287</v>
      </c>
      <c r="I370" s="8" t="s">
        <v>5155</v>
      </c>
      <c r="J370" s="8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8" t="s">
        <v>226</v>
      </c>
      <c r="E371" s="8" t="s">
        <v>5045</v>
      </c>
      <c r="F371" s="8" t="s">
        <v>58</v>
      </c>
      <c r="H371" s="8" t="s">
        <v>2352</v>
      </c>
      <c r="I371" s="8" t="s">
        <v>5158</v>
      </c>
      <c r="J371" s="8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8" t="s">
        <v>226</v>
      </c>
      <c r="E372" s="8" t="s">
        <v>5045</v>
      </c>
      <c r="F372" s="8" t="s">
        <v>58</v>
      </c>
      <c r="H372" s="8" t="s">
        <v>2352</v>
      </c>
      <c r="I372" s="8" t="s">
        <v>5161</v>
      </c>
      <c r="J372" s="8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8" t="s">
        <v>226</v>
      </c>
      <c r="E373" s="8" t="s">
        <v>5045</v>
      </c>
      <c r="F373" s="8" t="s">
        <v>58</v>
      </c>
      <c r="H373" s="8" t="s">
        <v>2352</v>
      </c>
      <c r="I373" s="8" t="s">
        <v>5164</v>
      </c>
      <c r="J373" s="8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8" t="s">
        <v>587</v>
      </c>
      <c r="E374" s="8" t="s">
        <v>5045</v>
      </c>
      <c r="F374" s="8" t="s">
        <v>58</v>
      </c>
      <c r="H374" s="8"/>
      <c r="I374" s="8" t="s">
        <v>5167</v>
      </c>
      <c r="J374" s="8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8" t="s">
        <v>1273</v>
      </c>
      <c r="E375" s="8" t="s">
        <v>5212</v>
      </c>
      <c r="F375" s="8"/>
      <c r="H375" s="8"/>
      <c r="I375" s="8" t="s">
        <v>5169</v>
      </c>
      <c r="J375" s="8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8" t="s">
        <v>4</v>
      </c>
      <c r="E376" s="8" t="s">
        <v>5213</v>
      </c>
      <c r="F376" s="8"/>
      <c r="H376" s="8"/>
      <c r="I376" s="8" t="s">
        <v>5171</v>
      </c>
      <c r="J376" s="8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8" t="s">
        <v>226</v>
      </c>
      <c r="E377" s="8" t="s">
        <v>5212</v>
      </c>
      <c r="F377" s="8" t="s">
        <v>892</v>
      </c>
      <c r="G377">
        <v>2</v>
      </c>
      <c r="H377" s="8"/>
      <c r="I377" s="8" t="s">
        <v>5173</v>
      </c>
      <c r="J377" s="8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8" t="s">
        <v>587</v>
      </c>
      <c r="E378" s="8" t="s">
        <v>5212</v>
      </c>
      <c r="F378" s="8" t="s">
        <v>892</v>
      </c>
      <c r="H378" s="8"/>
      <c r="I378" s="8" t="s">
        <v>5176</v>
      </c>
      <c r="J378" s="8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8" t="s">
        <v>3388</v>
      </c>
      <c r="E379" s="8" t="s">
        <v>86</v>
      </c>
      <c r="F379" s="8" t="s">
        <v>465</v>
      </c>
      <c r="H379" s="8" t="s">
        <v>4098</v>
      </c>
      <c r="I379" s="8" t="s">
        <v>5178</v>
      </c>
      <c r="J379" s="8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8" t="s">
        <v>3388</v>
      </c>
      <c r="E380" s="8" t="s">
        <v>86</v>
      </c>
      <c r="F380" s="8" t="s">
        <v>465</v>
      </c>
      <c r="H380" s="8" t="s">
        <v>4098</v>
      </c>
      <c r="I380" s="8" t="s">
        <v>5180</v>
      </c>
      <c r="J380" s="8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8" t="s">
        <v>3388</v>
      </c>
      <c r="E381" s="8" t="s">
        <v>86</v>
      </c>
      <c r="F381" s="8" t="s">
        <v>1288</v>
      </c>
      <c r="H381" s="8" t="s">
        <v>4098</v>
      </c>
      <c r="I381" s="8" t="s">
        <v>5182</v>
      </c>
      <c r="J381" s="8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8" t="s">
        <v>4</v>
      </c>
      <c r="E382" s="8" t="s">
        <v>5214</v>
      </c>
      <c r="F382" s="8"/>
      <c r="H382" s="8"/>
      <c r="I382" s="8" t="s">
        <v>5184</v>
      </c>
      <c r="J382" s="8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8" t="s">
        <v>4</v>
      </c>
      <c r="E383" s="8" t="s">
        <v>5215</v>
      </c>
      <c r="F383" s="8"/>
      <c r="H383" s="8" t="s">
        <v>5216</v>
      </c>
      <c r="I383" s="8" t="s">
        <v>5186</v>
      </c>
      <c r="J383" s="8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8" t="s">
        <v>470</v>
      </c>
      <c r="E384" s="8" t="s">
        <v>468</v>
      </c>
      <c r="F384" s="8" t="s">
        <v>58</v>
      </c>
      <c r="H384" s="8" t="s">
        <v>3401</v>
      </c>
      <c r="I384" s="8" t="s">
        <v>5273</v>
      </c>
      <c r="J384" s="8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8" t="s">
        <v>470</v>
      </c>
      <c r="E385" s="8" t="s">
        <v>468</v>
      </c>
      <c r="F385" s="8" t="s">
        <v>58</v>
      </c>
      <c r="H385" s="8" t="s">
        <v>3401</v>
      </c>
      <c r="I385" s="8" t="s">
        <v>5275</v>
      </c>
      <c r="J385" s="8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8" t="s">
        <v>4</v>
      </c>
      <c r="E386" s="8" t="s">
        <v>8</v>
      </c>
      <c r="F386" s="8"/>
      <c r="H386" s="8"/>
      <c r="I386" s="8" t="s">
        <v>5277</v>
      </c>
      <c r="J386" s="8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8" t="s">
        <v>4</v>
      </c>
      <c r="E387" s="8" t="s">
        <v>8</v>
      </c>
      <c r="F387" s="8"/>
      <c r="H387" s="8"/>
      <c r="I387" s="8" t="s">
        <v>5279</v>
      </c>
      <c r="J387" s="8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8" t="s">
        <v>4</v>
      </c>
      <c r="E388" s="8" t="s">
        <v>8</v>
      </c>
      <c r="F388" s="8"/>
      <c r="H388" s="8"/>
      <c r="I388" s="8" t="s">
        <v>5281</v>
      </c>
      <c r="J388" s="8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8" t="s">
        <v>4</v>
      </c>
      <c r="E389" s="8" t="s">
        <v>8</v>
      </c>
      <c r="F389" s="8"/>
      <c r="H389" s="8"/>
      <c r="I389" s="8" t="s">
        <v>5283</v>
      </c>
      <c r="J389" s="8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8" t="s">
        <v>4</v>
      </c>
      <c r="E390" s="8" t="s">
        <v>8</v>
      </c>
      <c r="F390" s="8"/>
      <c r="H390" s="8"/>
      <c r="I390" s="8" t="s">
        <v>5285</v>
      </c>
      <c r="J390" s="8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8" t="s">
        <v>470</v>
      </c>
      <c r="E391" s="8" t="s">
        <v>468</v>
      </c>
      <c r="F391" s="8" t="s">
        <v>892</v>
      </c>
      <c r="H391" s="8"/>
      <c r="I391" s="8" t="s">
        <v>5287</v>
      </c>
      <c r="J391" s="8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8" t="s">
        <v>4</v>
      </c>
      <c r="E392" s="8" t="s">
        <v>8</v>
      </c>
      <c r="F392" s="8"/>
      <c r="H392" s="8"/>
      <c r="I392" s="8" t="s">
        <v>5289</v>
      </c>
      <c r="J392" s="8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8" t="s">
        <v>4</v>
      </c>
      <c r="E393" s="8" t="s">
        <v>8</v>
      </c>
      <c r="F393" s="8"/>
      <c r="H393" s="8"/>
      <c r="I393" s="8" t="s">
        <v>5291</v>
      </c>
      <c r="J393" s="8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8" t="s">
        <v>470</v>
      </c>
      <c r="E394" s="8" t="s">
        <v>468</v>
      </c>
      <c r="F394" s="8" t="s">
        <v>58</v>
      </c>
      <c r="H394" s="8" t="s">
        <v>3401</v>
      </c>
      <c r="I394" s="8" t="s">
        <v>5399</v>
      </c>
      <c r="J394" s="8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8" t="s">
        <v>470</v>
      </c>
      <c r="E395" s="8" t="s">
        <v>468</v>
      </c>
      <c r="F395" s="8" t="s">
        <v>5475</v>
      </c>
      <c r="H395" s="8" t="s">
        <v>3401</v>
      </c>
      <c r="I395" s="8" t="s">
        <v>5401</v>
      </c>
      <c r="J395" s="8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8" t="s">
        <v>470</v>
      </c>
      <c r="E396" s="8" t="s">
        <v>468</v>
      </c>
      <c r="F396" s="8" t="s">
        <v>58</v>
      </c>
      <c r="H396" s="8" t="s">
        <v>3401</v>
      </c>
      <c r="I396" s="8" t="s">
        <v>5403</v>
      </c>
      <c r="J396" s="8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8" t="s">
        <v>470</v>
      </c>
      <c r="E397" s="8" t="s">
        <v>468</v>
      </c>
      <c r="F397" s="8" t="s">
        <v>892</v>
      </c>
      <c r="H397" s="8" t="s">
        <v>3401</v>
      </c>
      <c r="I397" s="8" t="s">
        <v>5405</v>
      </c>
      <c r="J397" s="8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8" t="s">
        <v>470</v>
      </c>
      <c r="E398" s="8" t="s">
        <v>468</v>
      </c>
      <c r="F398" s="8" t="s">
        <v>58</v>
      </c>
      <c r="H398" s="8" t="s">
        <v>3401</v>
      </c>
      <c r="I398" s="8" t="s">
        <v>5407</v>
      </c>
      <c r="J398" s="8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8" t="s">
        <v>470</v>
      </c>
      <c r="E399" s="8" t="s">
        <v>468</v>
      </c>
      <c r="F399" s="8" t="s">
        <v>892</v>
      </c>
      <c r="H399" s="8" t="s">
        <v>3401</v>
      </c>
      <c r="I399" s="8" t="s">
        <v>5409</v>
      </c>
      <c r="J399" s="8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8" t="s">
        <v>470</v>
      </c>
      <c r="E400" s="8" t="s">
        <v>468</v>
      </c>
      <c r="F400" s="8" t="s">
        <v>58</v>
      </c>
      <c r="H400" s="8" t="s">
        <v>3401</v>
      </c>
      <c r="I400" s="8" t="s">
        <v>5411</v>
      </c>
      <c r="J400" s="8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8" t="s">
        <v>470</v>
      </c>
      <c r="E401" s="8" t="s">
        <v>468</v>
      </c>
      <c r="F401" s="8" t="s">
        <v>58</v>
      </c>
      <c r="H401" s="8" t="s">
        <v>3401</v>
      </c>
      <c r="I401" s="8" t="s">
        <v>5413</v>
      </c>
      <c r="J401" s="8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8" t="s">
        <v>470</v>
      </c>
      <c r="E402" s="8" t="s">
        <v>468</v>
      </c>
      <c r="F402" s="8" t="s">
        <v>892</v>
      </c>
      <c r="H402" s="8" t="s">
        <v>3401</v>
      </c>
      <c r="I402" s="8" t="s">
        <v>5415</v>
      </c>
      <c r="J402" s="8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8" t="s">
        <v>470</v>
      </c>
      <c r="E403" s="8" t="s">
        <v>468</v>
      </c>
      <c r="F403" s="8" t="s">
        <v>892</v>
      </c>
      <c r="H403" s="8" t="s">
        <v>3401</v>
      </c>
      <c r="I403" s="8" t="s">
        <v>5417</v>
      </c>
      <c r="J403" s="8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8" t="s">
        <v>470</v>
      </c>
      <c r="E404" s="8" t="s">
        <v>468</v>
      </c>
      <c r="F404" s="8" t="s">
        <v>5697</v>
      </c>
      <c r="H404" s="8" t="s">
        <v>5055</v>
      </c>
      <c r="I404" s="8" t="s">
        <v>5419</v>
      </c>
      <c r="J404" s="8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8" t="s">
        <v>4</v>
      </c>
      <c r="E405" s="8" t="s">
        <v>8</v>
      </c>
      <c r="F405" s="8"/>
      <c r="H405" s="8"/>
      <c r="I405" s="8" t="s">
        <v>5421</v>
      </c>
      <c r="J405" s="8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8" t="s">
        <v>470</v>
      </c>
      <c r="E406" s="8" t="s">
        <v>468</v>
      </c>
      <c r="F406" s="8" t="s">
        <v>58</v>
      </c>
      <c r="H406" s="8" t="s">
        <v>3401</v>
      </c>
      <c r="I406" s="8" t="s">
        <v>5423</v>
      </c>
      <c r="J406" s="8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8" t="s">
        <v>4</v>
      </c>
      <c r="E407" s="8" t="s">
        <v>8</v>
      </c>
      <c r="F407" s="8"/>
      <c r="H407" s="8"/>
      <c r="I407" s="8" t="s">
        <v>5587</v>
      </c>
      <c r="J407" s="8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8" t="s">
        <v>470</v>
      </c>
      <c r="E408" s="8" t="s">
        <v>468</v>
      </c>
      <c r="F408" s="8" t="s">
        <v>58</v>
      </c>
      <c r="H408" s="8" t="s">
        <v>2365</v>
      </c>
      <c r="I408" s="8" t="s">
        <v>5589</v>
      </c>
      <c r="J408" s="8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8" t="s">
        <v>470</v>
      </c>
      <c r="E409" s="8" t="s">
        <v>468</v>
      </c>
      <c r="F409" s="8" t="s">
        <v>58</v>
      </c>
      <c r="H409" s="8" t="s">
        <v>2352</v>
      </c>
      <c r="I409" s="8" t="s">
        <v>5591</v>
      </c>
      <c r="J409" s="8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8" t="s">
        <v>470</v>
      </c>
      <c r="E410" s="8" t="s">
        <v>468</v>
      </c>
      <c r="F410" s="8" t="s">
        <v>58</v>
      </c>
      <c r="H410" s="8" t="s">
        <v>3401</v>
      </c>
      <c r="I410" s="8" t="s">
        <v>5593</v>
      </c>
      <c r="J410" s="8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8" t="s">
        <v>3388</v>
      </c>
      <c r="E411" s="8" t="s">
        <v>4396</v>
      </c>
      <c r="F411" s="8" t="s">
        <v>2360</v>
      </c>
      <c r="H411" s="8"/>
      <c r="I411" s="8" t="s">
        <v>5595</v>
      </c>
      <c r="J411" s="8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8" t="s">
        <v>136</v>
      </c>
      <c r="E412" s="8" t="s">
        <v>86</v>
      </c>
      <c r="F412" s="8" t="s">
        <v>2360</v>
      </c>
      <c r="H412" s="8" t="s">
        <v>2370</v>
      </c>
      <c r="I412" s="8" t="s">
        <v>5597</v>
      </c>
      <c r="J412" s="8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8" t="s">
        <v>3388</v>
      </c>
      <c r="E413" s="8" t="s">
        <v>4396</v>
      </c>
      <c r="F413" s="8" t="s">
        <v>465</v>
      </c>
      <c r="H413" s="8"/>
      <c r="I413" s="8" t="s">
        <v>5599</v>
      </c>
      <c r="J413" s="8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8" t="s">
        <v>470</v>
      </c>
      <c r="E414" s="8" t="s">
        <v>468</v>
      </c>
      <c r="F414" s="8" t="s">
        <v>58</v>
      </c>
      <c r="H414" s="8" t="s">
        <v>3401</v>
      </c>
      <c r="I414" s="8" t="s">
        <v>5601</v>
      </c>
      <c r="J414" s="8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8" t="s">
        <v>470</v>
      </c>
      <c r="E415" s="8" t="s">
        <v>468</v>
      </c>
      <c r="F415" s="8" t="s">
        <v>58</v>
      </c>
      <c r="H415" s="8" t="s">
        <v>3401</v>
      </c>
      <c r="I415" s="8" t="s">
        <v>5603</v>
      </c>
      <c r="J415" s="8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8" t="s">
        <v>470</v>
      </c>
      <c r="E416" s="8" t="s">
        <v>468</v>
      </c>
      <c r="F416" s="8" t="s">
        <v>5475</v>
      </c>
      <c r="H416" s="8" t="s">
        <v>3401</v>
      </c>
      <c r="I416" s="8" t="s">
        <v>5605</v>
      </c>
      <c r="J416" s="8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8" t="s">
        <v>136</v>
      </c>
      <c r="E417" s="8" t="s">
        <v>468</v>
      </c>
      <c r="F417" s="8" t="s">
        <v>5475</v>
      </c>
      <c r="H417" s="8" t="s">
        <v>3401</v>
      </c>
      <c r="I417" s="8" t="s">
        <v>5607</v>
      </c>
      <c r="J417" s="8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8" t="s">
        <v>470</v>
      </c>
      <c r="E418" s="8" t="s">
        <v>468</v>
      </c>
      <c r="F418" s="8" t="s">
        <v>2360</v>
      </c>
      <c r="H418" s="8" t="s">
        <v>3401</v>
      </c>
      <c r="I418" s="8" t="s">
        <v>5609</v>
      </c>
      <c r="J418" s="8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8" t="s">
        <v>470</v>
      </c>
      <c r="E419" s="8" t="s">
        <v>468</v>
      </c>
      <c r="F419" s="8" t="s">
        <v>5698</v>
      </c>
      <c r="H419" s="8"/>
      <c r="I419" s="8" t="s">
        <v>5611</v>
      </c>
      <c r="J419" s="8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8" t="s">
        <v>470</v>
      </c>
      <c r="E420" s="8" t="s">
        <v>468</v>
      </c>
      <c r="F420" s="8" t="s">
        <v>5697</v>
      </c>
      <c r="H420" s="8" t="s">
        <v>5055</v>
      </c>
      <c r="I420" s="8" t="s">
        <v>5613</v>
      </c>
      <c r="J420" s="8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8" t="s">
        <v>3386</v>
      </c>
      <c r="E421" s="8" t="s">
        <v>86</v>
      </c>
      <c r="F421" s="8" t="s">
        <v>58</v>
      </c>
      <c r="H421" s="8" t="s">
        <v>1287</v>
      </c>
      <c r="I421" s="8" t="s">
        <v>5615</v>
      </c>
      <c r="J421" s="8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8" t="s">
        <v>136</v>
      </c>
      <c r="E422" s="8" t="s">
        <v>86</v>
      </c>
      <c r="F422" s="8" t="s">
        <v>58</v>
      </c>
      <c r="H422" s="8" t="s">
        <v>2370</v>
      </c>
      <c r="I422" s="8" t="s">
        <v>5617</v>
      </c>
      <c r="J422" s="8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8" t="s">
        <v>3386</v>
      </c>
      <c r="E423" s="8" t="s">
        <v>86</v>
      </c>
      <c r="F423" s="8" t="s">
        <v>2377</v>
      </c>
      <c r="H423" s="8" t="s">
        <v>1287</v>
      </c>
      <c r="I423" s="8" t="s">
        <v>5619</v>
      </c>
      <c r="J423" s="8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8" t="s">
        <v>3386</v>
      </c>
      <c r="E424" s="8" t="s">
        <v>86</v>
      </c>
      <c r="F424" s="8" t="s">
        <v>2377</v>
      </c>
      <c r="H424" s="8" t="s">
        <v>2352</v>
      </c>
      <c r="I424" s="8" t="s">
        <v>5621</v>
      </c>
      <c r="J424" s="8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8" t="s">
        <v>3386</v>
      </c>
      <c r="E425" s="8" t="s">
        <v>86</v>
      </c>
      <c r="F425" s="8" t="s">
        <v>2377</v>
      </c>
      <c r="H425" s="8" t="s">
        <v>2352</v>
      </c>
      <c r="I425" s="8" t="s">
        <v>5623</v>
      </c>
      <c r="J425" s="8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8" t="s">
        <v>470</v>
      </c>
      <c r="E426" s="8" t="s">
        <v>468</v>
      </c>
      <c r="F426" s="8" t="s">
        <v>5697</v>
      </c>
      <c r="H426" s="8" t="s">
        <v>5055</v>
      </c>
      <c r="I426" s="8" t="s">
        <v>5625</v>
      </c>
      <c r="J426" s="8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8" t="s">
        <v>470</v>
      </c>
      <c r="E427" s="8" t="s">
        <v>468</v>
      </c>
      <c r="F427" s="8" t="s">
        <v>58</v>
      </c>
      <c r="H427" s="8" t="s">
        <v>2370</v>
      </c>
      <c r="I427" s="8" t="s">
        <v>5627</v>
      </c>
      <c r="J427" s="8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8" t="s">
        <v>470</v>
      </c>
      <c r="E428" s="8" t="s">
        <v>468</v>
      </c>
      <c r="F428" s="8" t="s">
        <v>58</v>
      </c>
      <c r="H428" s="8" t="s">
        <v>2352</v>
      </c>
      <c r="I428" s="8" t="s">
        <v>5629</v>
      </c>
      <c r="J428" s="8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8" t="s">
        <v>470</v>
      </c>
      <c r="E429" s="8" t="s">
        <v>468</v>
      </c>
      <c r="F429" s="8" t="s">
        <v>58</v>
      </c>
      <c r="H429" s="8" t="s">
        <v>2370</v>
      </c>
      <c r="I429" s="8" t="s">
        <v>5631</v>
      </c>
      <c r="J429" s="8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8" t="s">
        <v>470</v>
      </c>
      <c r="E430" s="8" t="s">
        <v>468</v>
      </c>
      <c r="F430" s="8" t="s">
        <v>5696</v>
      </c>
      <c r="H430" s="8" t="s">
        <v>3401</v>
      </c>
      <c r="I430" s="8" t="s">
        <v>5633</v>
      </c>
      <c r="J430" s="8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8" t="s">
        <v>470</v>
      </c>
      <c r="E431" s="8" t="s">
        <v>468</v>
      </c>
      <c r="F431" s="8" t="s">
        <v>2462</v>
      </c>
      <c r="H431" s="8" t="s">
        <v>3401</v>
      </c>
      <c r="I431" s="8" t="s">
        <v>5635</v>
      </c>
      <c r="J431" s="8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8" t="s">
        <v>4</v>
      </c>
      <c r="E432" s="8" t="s">
        <v>8</v>
      </c>
      <c r="F432" s="8"/>
      <c r="H432" s="8"/>
      <c r="I432" s="8" t="s">
        <v>5637</v>
      </c>
      <c r="J432" s="8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8" t="s">
        <v>1607</v>
      </c>
      <c r="E433" s="8" t="s">
        <v>8</v>
      </c>
      <c r="F433" s="8"/>
      <c r="H433" s="8"/>
      <c r="I433" s="8" t="s">
        <v>5639</v>
      </c>
      <c r="J433" s="8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8" t="s">
        <v>1607</v>
      </c>
      <c r="E434" s="8" t="s">
        <v>8</v>
      </c>
      <c r="F434" s="8"/>
      <c r="H434" s="8"/>
      <c r="I434" s="8" t="s">
        <v>5723</v>
      </c>
      <c r="J434" s="8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8" t="s">
        <v>1607</v>
      </c>
      <c r="E435" s="8" t="s">
        <v>8</v>
      </c>
      <c r="F435" s="8"/>
      <c r="H435" s="8"/>
      <c r="I435" s="8" t="s">
        <v>5798</v>
      </c>
      <c r="J435" s="8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8" t="s">
        <v>1607</v>
      </c>
      <c r="E436" s="8" t="s">
        <v>8</v>
      </c>
      <c r="F436" s="8"/>
      <c r="H436" s="8"/>
      <c r="I436" s="8" t="s">
        <v>5800</v>
      </c>
      <c r="J436" s="8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8" t="s">
        <v>1607</v>
      </c>
      <c r="E437" s="8" t="s">
        <v>8</v>
      </c>
      <c r="F437" s="8"/>
      <c r="H437" s="8"/>
      <c r="I437" s="8" t="s">
        <v>5959</v>
      </c>
      <c r="J437" s="8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8" t="s">
        <v>6159</v>
      </c>
      <c r="E438" s="8" t="s">
        <v>1274</v>
      </c>
      <c r="F438" s="8"/>
      <c r="H438" s="8"/>
      <c r="I438" s="8" t="s">
        <v>5961</v>
      </c>
      <c r="J438" s="8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8" t="s">
        <v>6159</v>
      </c>
      <c r="E439" s="8" t="s">
        <v>1274</v>
      </c>
      <c r="F439" s="8"/>
      <c r="H439" s="8"/>
      <c r="I439" s="8" t="s">
        <v>5963</v>
      </c>
      <c r="J439" s="8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8" t="s">
        <v>1607</v>
      </c>
      <c r="E440" s="8" t="s">
        <v>8</v>
      </c>
      <c r="F440" s="8"/>
      <c r="H440" s="8"/>
      <c r="I440" s="8" t="s">
        <v>5965</v>
      </c>
      <c r="J440" s="8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8" t="s">
        <v>226</v>
      </c>
      <c r="E441" s="8" t="s">
        <v>70</v>
      </c>
      <c r="F441" s="8" t="s">
        <v>58</v>
      </c>
      <c r="H441" s="8" t="s">
        <v>1285</v>
      </c>
      <c r="I441" s="8" t="s">
        <v>5967</v>
      </c>
      <c r="J441" s="8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8" t="s">
        <v>226</v>
      </c>
      <c r="E442" s="8" t="s">
        <v>70</v>
      </c>
      <c r="F442" s="8" t="s">
        <v>58</v>
      </c>
      <c r="H442" s="8" t="s">
        <v>2352</v>
      </c>
      <c r="I442" s="8" t="s">
        <v>5970</v>
      </c>
      <c r="J442" s="8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8" t="s">
        <v>226</v>
      </c>
      <c r="E443" s="8" t="s">
        <v>70</v>
      </c>
      <c r="F443" s="8" t="s">
        <v>58</v>
      </c>
      <c r="H443" s="8" t="s">
        <v>2352</v>
      </c>
      <c r="I443" s="8" t="s">
        <v>5973</v>
      </c>
      <c r="J443" s="8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8" t="s">
        <v>226</v>
      </c>
      <c r="E444" s="8" t="s">
        <v>70</v>
      </c>
      <c r="F444" s="8" t="s">
        <v>58</v>
      </c>
      <c r="H444" s="8" t="s">
        <v>2352</v>
      </c>
      <c r="I444" s="8" t="s">
        <v>5976</v>
      </c>
      <c r="J444" s="8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8" t="s">
        <v>226</v>
      </c>
      <c r="E445" s="8" t="s">
        <v>70</v>
      </c>
      <c r="F445" s="8" t="s">
        <v>58</v>
      </c>
      <c r="H445" s="8" t="s">
        <v>2352</v>
      </c>
      <c r="I445" s="8" t="s">
        <v>5979</v>
      </c>
      <c r="J445" s="8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8" t="s">
        <v>587</v>
      </c>
      <c r="E446" s="8" t="s">
        <v>70</v>
      </c>
      <c r="F446" s="8" t="s">
        <v>58</v>
      </c>
      <c r="H446" s="8"/>
      <c r="I446" s="8" t="s">
        <v>5982</v>
      </c>
      <c r="J446" s="8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8" t="s">
        <v>6160</v>
      </c>
      <c r="E447" s="8" t="s">
        <v>468</v>
      </c>
      <c r="F447" s="8"/>
      <c r="H447" s="8"/>
      <c r="I447" s="8" t="s">
        <v>5984</v>
      </c>
      <c r="J447" s="8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8" t="s">
        <v>3388</v>
      </c>
      <c r="E448" s="8" t="s">
        <v>86</v>
      </c>
      <c r="F448" s="8" t="s">
        <v>6161</v>
      </c>
      <c r="H448" s="8"/>
      <c r="I448" s="8" t="s">
        <v>5986</v>
      </c>
      <c r="J448" s="8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8" t="s">
        <v>3388</v>
      </c>
      <c r="E449" s="8" t="s">
        <v>86</v>
      </c>
      <c r="F449" s="8" t="s">
        <v>6161</v>
      </c>
      <c r="H449" s="8" t="s">
        <v>2352</v>
      </c>
      <c r="I449" s="8" t="s">
        <v>5988</v>
      </c>
      <c r="J449" s="8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8" t="s">
        <v>3388</v>
      </c>
      <c r="E450" s="8" t="s">
        <v>86</v>
      </c>
      <c r="F450" s="8" t="s">
        <v>6161</v>
      </c>
      <c r="H450" s="8"/>
      <c r="I450" s="8" t="s">
        <v>5990</v>
      </c>
      <c r="J450" s="8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8" t="s">
        <v>1607</v>
      </c>
      <c r="E451" s="8" t="s">
        <v>8</v>
      </c>
      <c r="F451" s="8"/>
      <c r="H451" s="8"/>
      <c r="I451" s="8" t="s">
        <v>5992</v>
      </c>
      <c r="J451" s="8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8" t="s">
        <v>1607</v>
      </c>
      <c r="E452" s="8" t="s">
        <v>8</v>
      </c>
      <c r="F452" s="8"/>
      <c r="H452" s="8"/>
      <c r="I452" s="8" t="s">
        <v>5994</v>
      </c>
      <c r="J452" s="8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8" t="s">
        <v>1607</v>
      </c>
      <c r="E453" s="8" t="s">
        <v>8</v>
      </c>
      <c r="F453" s="8"/>
      <c r="H453" s="8"/>
      <c r="I453" s="8" t="s">
        <v>6184</v>
      </c>
      <c r="J453" s="8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8" t="s">
        <v>1273</v>
      </c>
      <c r="E454" s="8" t="s">
        <v>5310</v>
      </c>
      <c r="F454" s="8" t="s">
        <v>4070</v>
      </c>
      <c r="H454" s="8"/>
      <c r="I454" s="8" t="s">
        <v>6426</v>
      </c>
      <c r="J454" s="8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8" t="s">
        <v>6436</v>
      </c>
      <c r="E455" s="8" t="s">
        <v>5310</v>
      </c>
      <c r="F455" s="8" t="s">
        <v>4070</v>
      </c>
      <c r="H455" s="8" t="s">
        <v>6446</v>
      </c>
      <c r="I455" s="8" t="s">
        <v>6428</v>
      </c>
      <c r="J455" s="8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8" t="s">
        <v>587</v>
      </c>
      <c r="E456" s="8" t="s">
        <v>5310</v>
      </c>
      <c r="F456" s="8" t="s">
        <v>4070</v>
      </c>
      <c r="H456" s="8"/>
      <c r="I456" s="8" t="s">
        <v>6430</v>
      </c>
      <c r="J456" s="8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8" t="s">
        <v>4</v>
      </c>
      <c r="E457" s="8" t="s">
        <v>1274</v>
      </c>
      <c r="F457" s="8" t="s">
        <v>6447</v>
      </c>
      <c r="H457" s="8"/>
      <c r="I457" s="8" t="s">
        <v>6432</v>
      </c>
      <c r="J457" s="8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8" t="s">
        <v>1273</v>
      </c>
      <c r="E458" s="8" t="s">
        <v>70</v>
      </c>
      <c r="F458" s="8"/>
      <c r="H458" s="8"/>
      <c r="I458" s="8" t="s">
        <v>6550</v>
      </c>
      <c r="J458" s="8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8" t="s">
        <v>227</v>
      </c>
      <c r="E459" s="8" t="s">
        <v>70</v>
      </c>
      <c r="F459" s="8" t="s">
        <v>4087</v>
      </c>
      <c r="H459" s="8" t="s">
        <v>2365</v>
      </c>
      <c r="I459" s="8" t="s">
        <v>6552</v>
      </c>
      <c r="J459" s="8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8" t="s">
        <v>227</v>
      </c>
      <c r="E460" s="8" t="s">
        <v>70</v>
      </c>
      <c r="F460" s="8" t="s">
        <v>4087</v>
      </c>
      <c r="H460" s="8" t="s">
        <v>2365</v>
      </c>
      <c r="I460" s="8" t="s">
        <v>6554</v>
      </c>
      <c r="J460" s="8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8" t="s">
        <v>227</v>
      </c>
      <c r="E461" s="8" t="s">
        <v>70</v>
      </c>
      <c r="F461" s="8" t="s">
        <v>4087</v>
      </c>
      <c r="H461" s="8" t="s">
        <v>2365</v>
      </c>
      <c r="I461" s="8" t="s">
        <v>6556</v>
      </c>
      <c r="J461" s="8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8" t="s">
        <v>587</v>
      </c>
      <c r="E462" s="8" t="s">
        <v>70</v>
      </c>
      <c r="F462" s="8"/>
      <c r="H462" s="8"/>
      <c r="I462" s="8" t="s">
        <v>6558</v>
      </c>
      <c r="J462" s="8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8" t="s">
        <v>470</v>
      </c>
      <c r="E463" s="8" t="s">
        <v>468</v>
      </c>
      <c r="F463" s="8" t="s">
        <v>6677</v>
      </c>
      <c r="H463" s="8"/>
      <c r="I463" s="8" t="s">
        <v>6560</v>
      </c>
      <c r="J463" s="8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8" t="s">
        <v>4</v>
      </c>
      <c r="E464" s="8" t="s">
        <v>468</v>
      </c>
      <c r="F464" s="8"/>
      <c r="H464" s="8"/>
      <c r="I464" s="8" t="s">
        <v>6562</v>
      </c>
      <c r="J464" s="8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8" t="s">
        <v>4</v>
      </c>
      <c r="E465" s="8" t="s">
        <v>6678</v>
      </c>
      <c r="F465" s="8"/>
      <c r="H465" s="8"/>
      <c r="I465" s="8" t="s">
        <v>6564</v>
      </c>
      <c r="J465" s="8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8" t="s">
        <v>4</v>
      </c>
      <c r="E466" s="8" t="s">
        <v>6678</v>
      </c>
      <c r="F466" s="8"/>
      <c r="H466" s="8"/>
      <c r="I466" s="8" t="s">
        <v>6566</v>
      </c>
      <c r="J466" s="8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8" t="s">
        <v>4</v>
      </c>
      <c r="E467" s="8" t="s">
        <v>6680</v>
      </c>
      <c r="F467" s="8"/>
      <c r="H467" s="8"/>
      <c r="I467" s="8" t="s">
        <v>6568</v>
      </c>
      <c r="J467" s="8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8" t="s">
        <v>226</v>
      </c>
      <c r="E468" s="8" t="s">
        <v>6679</v>
      </c>
      <c r="F468" s="8" t="s">
        <v>1288</v>
      </c>
      <c r="H468" s="8"/>
      <c r="I468" s="8" t="s">
        <v>6570</v>
      </c>
      <c r="J468" s="8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8" t="s">
        <v>4</v>
      </c>
      <c r="E469" s="8" t="s">
        <v>8</v>
      </c>
      <c r="F469" s="8"/>
      <c r="H469" s="8"/>
      <c r="I469" s="8" t="s">
        <v>6573</v>
      </c>
      <c r="J469" s="8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8" t="s">
        <v>4</v>
      </c>
      <c r="E470" s="8" t="s">
        <v>8</v>
      </c>
      <c r="F470" s="8"/>
      <c r="H470" s="8"/>
      <c r="I470" s="8" t="s">
        <v>6575</v>
      </c>
      <c r="J470" s="8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8" t="s">
        <v>4</v>
      </c>
      <c r="E471" s="8" t="s">
        <v>8</v>
      </c>
      <c r="F471" s="8"/>
      <c r="H471" s="8"/>
      <c r="I471" s="8" t="s">
        <v>6577</v>
      </c>
      <c r="J471" s="8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8" t="s">
        <v>1273</v>
      </c>
      <c r="E472" s="8" t="s">
        <v>70</v>
      </c>
      <c r="F472" s="8"/>
      <c r="H472" s="8"/>
      <c r="I472" s="8" t="s">
        <v>6579</v>
      </c>
      <c r="J472" s="8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8" t="s">
        <v>227</v>
      </c>
      <c r="E473" s="8" t="s">
        <v>70</v>
      </c>
      <c r="F473" s="8" t="s">
        <v>4087</v>
      </c>
      <c r="H473" s="8"/>
      <c r="I473" s="8" t="s">
        <v>6581</v>
      </c>
      <c r="J473" s="8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8" t="s">
        <v>227</v>
      </c>
      <c r="E474" s="8" t="s">
        <v>70</v>
      </c>
      <c r="F474" s="8" t="s">
        <v>4087</v>
      </c>
      <c r="H474" s="8"/>
      <c r="I474" s="8" t="s">
        <v>6583</v>
      </c>
      <c r="J474" s="8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8" t="s">
        <v>227</v>
      </c>
      <c r="E475" s="8" t="s">
        <v>70</v>
      </c>
      <c r="F475" s="8" t="s">
        <v>4087</v>
      </c>
      <c r="H475" s="8"/>
      <c r="I475" s="8" t="s">
        <v>6585</v>
      </c>
      <c r="J475" s="8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8" t="s">
        <v>587</v>
      </c>
      <c r="E476" s="8" t="s">
        <v>70</v>
      </c>
      <c r="F476" s="8"/>
      <c r="H476" s="8"/>
      <c r="I476" s="8" t="s">
        <v>6587</v>
      </c>
      <c r="J476" s="8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8" t="s">
        <v>1273</v>
      </c>
      <c r="E477" s="8" t="s">
        <v>6681</v>
      </c>
      <c r="F477" s="8"/>
      <c r="H477" s="8" t="s">
        <v>6682</v>
      </c>
      <c r="I477" s="8" t="s">
        <v>6589</v>
      </c>
      <c r="J477" s="8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8" t="s">
        <v>4921</v>
      </c>
      <c r="E478" s="8" t="s">
        <v>6681</v>
      </c>
      <c r="F478" s="8"/>
      <c r="H478" s="8" t="s">
        <v>6683</v>
      </c>
      <c r="I478" s="8" t="s">
        <v>6591</v>
      </c>
      <c r="J478" s="8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8" t="s">
        <v>587</v>
      </c>
      <c r="E479" s="8" t="s">
        <v>6681</v>
      </c>
      <c r="F479" s="8"/>
      <c r="H479" s="8"/>
      <c r="I479" s="8" t="s">
        <v>6593</v>
      </c>
      <c r="J479" s="8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8" t="s">
        <v>6684</v>
      </c>
      <c r="E480" s="8" t="s">
        <v>4087</v>
      </c>
      <c r="F480" s="8"/>
      <c r="H480" s="8" t="s">
        <v>6685</v>
      </c>
      <c r="I480" s="8" t="s">
        <v>6595</v>
      </c>
      <c r="J480" s="8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8" t="s">
        <v>1607</v>
      </c>
      <c r="E481" s="8" t="s">
        <v>8</v>
      </c>
      <c r="F481" s="8"/>
      <c r="H481" s="8"/>
      <c r="I481" s="8" t="s">
        <v>6597</v>
      </c>
      <c r="J481" s="8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8" t="s">
        <v>1607</v>
      </c>
      <c r="E482" s="8" t="s">
        <v>8</v>
      </c>
      <c r="F482" s="8"/>
      <c r="H482" s="8"/>
      <c r="I482" s="8" t="s">
        <v>6599</v>
      </c>
      <c r="J482" s="8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8" t="s">
        <v>1607</v>
      </c>
      <c r="E483" s="8" t="s">
        <v>8</v>
      </c>
      <c r="F483" s="8"/>
      <c r="H483" s="8"/>
      <c r="I483" s="8" t="s">
        <v>6749</v>
      </c>
      <c r="J483" s="8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8" t="s">
        <v>1607</v>
      </c>
      <c r="E484" s="8" t="s">
        <v>8</v>
      </c>
      <c r="F484" s="8"/>
      <c r="H484" s="8"/>
      <c r="I484" s="8" t="s">
        <v>6751</v>
      </c>
      <c r="J484" s="8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8" t="s">
        <v>1607</v>
      </c>
      <c r="E485" s="8" t="s">
        <v>8</v>
      </c>
      <c r="F485" s="8"/>
      <c r="H485" s="8"/>
      <c r="I485" s="8" t="s">
        <v>6753</v>
      </c>
      <c r="J485" s="8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8" t="s">
        <v>1607</v>
      </c>
      <c r="E486" s="8" t="s">
        <v>8</v>
      </c>
      <c r="F486" s="8"/>
      <c r="H486" s="8"/>
      <c r="I486" s="8" t="s">
        <v>6963</v>
      </c>
      <c r="J486" s="8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8" t="s">
        <v>1607</v>
      </c>
      <c r="E487" s="8" t="s">
        <v>7068</v>
      </c>
      <c r="F487" s="8"/>
      <c r="H487" s="8"/>
      <c r="I487" s="8" t="s">
        <v>6965</v>
      </c>
      <c r="J487" s="8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8" t="s">
        <v>1607</v>
      </c>
      <c r="E488" s="8" t="s">
        <v>7068</v>
      </c>
      <c r="F488" s="8"/>
      <c r="H488" s="8"/>
      <c r="I488" s="8" t="s">
        <v>6967</v>
      </c>
      <c r="J488" s="8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8" t="s">
        <v>1607</v>
      </c>
      <c r="E489" s="8" t="s">
        <v>8</v>
      </c>
      <c r="F489" s="8"/>
      <c r="H489" s="8"/>
      <c r="I489" s="8" t="s">
        <v>6969</v>
      </c>
      <c r="J489" s="8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8" t="s">
        <v>1607</v>
      </c>
      <c r="E490" s="8" t="s">
        <v>7068</v>
      </c>
      <c r="F490" s="8"/>
      <c r="H490" s="8"/>
      <c r="I490" s="8" t="s">
        <v>6971</v>
      </c>
      <c r="J490" s="8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8" t="s">
        <v>1607</v>
      </c>
      <c r="E491" s="8" t="s">
        <v>7068</v>
      </c>
      <c r="F491" s="8"/>
      <c r="H491" s="8"/>
      <c r="I491" s="8" t="s">
        <v>6973</v>
      </c>
      <c r="J491" s="8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8" t="s">
        <v>4</v>
      </c>
      <c r="E492" s="8" t="s">
        <v>7047</v>
      </c>
      <c r="F492" s="8"/>
      <c r="H492" s="8"/>
      <c r="I492" s="8" t="s">
        <v>6975</v>
      </c>
      <c r="J492" s="8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8" t="s">
        <v>4</v>
      </c>
      <c r="E493" s="8" t="s">
        <v>8</v>
      </c>
      <c r="F493" s="8"/>
      <c r="H493" s="8"/>
      <c r="I493" s="8" t="s">
        <v>7221</v>
      </c>
      <c r="J493" s="8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8" t="s">
        <v>226</v>
      </c>
      <c r="E494" s="8" t="s">
        <v>86</v>
      </c>
      <c r="F494" s="8" t="s">
        <v>7344</v>
      </c>
      <c r="H494" s="8"/>
      <c r="I494" s="8" t="s">
        <v>7223</v>
      </c>
      <c r="J494" s="8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8" t="s">
        <v>3386</v>
      </c>
      <c r="E495" s="8" t="s">
        <v>86</v>
      </c>
      <c r="F495" s="8" t="s">
        <v>7344</v>
      </c>
      <c r="H495" s="8"/>
      <c r="I495" s="8" t="s">
        <v>7225</v>
      </c>
      <c r="J495" s="8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8" t="s">
        <v>3386</v>
      </c>
      <c r="E496" s="8" t="s">
        <v>7361</v>
      </c>
      <c r="F496" s="8" t="s">
        <v>7344</v>
      </c>
      <c r="H496" s="8"/>
      <c r="I496" s="8" t="s">
        <v>7227</v>
      </c>
      <c r="J496" s="8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8" t="s">
        <v>3388</v>
      </c>
      <c r="E497" s="8" t="s">
        <v>86</v>
      </c>
      <c r="F497" s="8" t="s">
        <v>60</v>
      </c>
      <c r="H497" s="8" t="s">
        <v>1272</v>
      </c>
      <c r="I497" s="8" t="s">
        <v>7229</v>
      </c>
      <c r="J497" s="8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8" t="s">
        <v>3388</v>
      </c>
      <c r="E498" s="8" t="s">
        <v>86</v>
      </c>
      <c r="F498" s="8" t="s">
        <v>7356</v>
      </c>
      <c r="H498" s="8"/>
      <c r="I498" s="8" t="s">
        <v>7231</v>
      </c>
      <c r="J498" s="8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8" t="s">
        <v>3388</v>
      </c>
      <c r="E499" s="8" t="s">
        <v>86</v>
      </c>
      <c r="F499" s="8" t="s">
        <v>7356</v>
      </c>
      <c r="H499" s="8" t="s">
        <v>2352</v>
      </c>
      <c r="I499" s="8" t="s">
        <v>7233</v>
      </c>
      <c r="J499" s="8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8" t="s">
        <v>3388</v>
      </c>
      <c r="E500" s="8" t="s">
        <v>86</v>
      </c>
      <c r="F500" s="8" t="s">
        <v>7357</v>
      </c>
      <c r="H500" s="8"/>
      <c r="I500" s="8" t="s">
        <v>7235</v>
      </c>
      <c r="J500" s="8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8" t="s">
        <v>3388</v>
      </c>
      <c r="E501" s="8" t="s">
        <v>86</v>
      </c>
      <c r="F501" s="8" t="s">
        <v>7357</v>
      </c>
      <c r="H501" s="8"/>
      <c r="I501" s="8" t="s">
        <v>7237</v>
      </c>
      <c r="J501" s="8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8" t="s">
        <v>3388</v>
      </c>
      <c r="E502" s="8" t="s">
        <v>86</v>
      </c>
      <c r="F502" s="8" t="s">
        <v>7357</v>
      </c>
      <c r="H502" s="8"/>
      <c r="I502" s="8" t="s">
        <v>7239</v>
      </c>
      <c r="J502" s="8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8" t="s">
        <v>3388</v>
      </c>
      <c r="E503" s="8" t="s">
        <v>86</v>
      </c>
      <c r="F503" s="8" t="s">
        <v>7357</v>
      </c>
      <c r="H503" s="8"/>
      <c r="I503" s="8" t="s">
        <v>7241</v>
      </c>
      <c r="J503" s="8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8" t="s">
        <v>3388</v>
      </c>
      <c r="E504" s="8" t="s">
        <v>86</v>
      </c>
      <c r="F504" s="8" t="s">
        <v>7357</v>
      </c>
      <c r="H504" s="8"/>
      <c r="I504" s="8" t="s">
        <v>7243</v>
      </c>
      <c r="J504" s="8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8" t="s">
        <v>3388</v>
      </c>
      <c r="E505" s="8" t="s">
        <v>86</v>
      </c>
      <c r="F505" s="8" t="s">
        <v>60</v>
      </c>
      <c r="H505" s="8" t="s">
        <v>1272</v>
      </c>
      <c r="I505" s="8" t="s">
        <v>7245</v>
      </c>
      <c r="J505" s="8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8" t="s">
        <v>3388</v>
      </c>
      <c r="E506" s="8" t="s">
        <v>86</v>
      </c>
      <c r="F506" s="8" t="s">
        <v>60</v>
      </c>
      <c r="H506" s="8" t="s">
        <v>1272</v>
      </c>
      <c r="I506" s="8" t="s">
        <v>7247</v>
      </c>
      <c r="J506" s="8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8" t="s">
        <v>3388</v>
      </c>
      <c r="E507" s="8" t="s">
        <v>86</v>
      </c>
      <c r="F507" s="8" t="s">
        <v>7357</v>
      </c>
      <c r="H507" s="8"/>
      <c r="I507" s="8" t="s">
        <v>7249</v>
      </c>
      <c r="J507" s="8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8" t="s">
        <v>470</v>
      </c>
      <c r="E508" s="8" t="s">
        <v>468</v>
      </c>
      <c r="F508" s="8" t="s">
        <v>58</v>
      </c>
      <c r="H508" s="8"/>
      <c r="I508" s="8" t="s">
        <v>7251</v>
      </c>
      <c r="J508" s="8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8" t="s">
        <v>470</v>
      </c>
      <c r="E509" s="8" t="s">
        <v>468</v>
      </c>
      <c r="F509" s="8" t="s">
        <v>58</v>
      </c>
      <c r="H509" s="8"/>
      <c r="I509" s="8" t="s">
        <v>7253</v>
      </c>
      <c r="J509" s="8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8" t="s">
        <v>470</v>
      </c>
      <c r="E510" s="8" t="s">
        <v>468</v>
      </c>
      <c r="F510" s="8" t="s">
        <v>58</v>
      </c>
      <c r="H510" s="8"/>
      <c r="I510" s="8" t="s">
        <v>7255</v>
      </c>
      <c r="J510" s="8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8" t="s">
        <v>470</v>
      </c>
      <c r="E511" s="8" t="s">
        <v>468</v>
      </c>
      <c r="F511" s="8" t="s">
        <v>58</v>
      </c>
      <c r="H511" s="8"/>
      <c r="I511" s="8" t="s">
        <v>7257</v>
      </c>
      <c r="J511" s="8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8" t="s">
        <v>470</v>
      </c>
      <c r="E512" s="8" t="s">
        <v>468</v>
      </c>
      <c r="F512" s="8" t="s">
        <v>58</v>
      </c>
      <c r="H512" s="8"/>
      <c r="I512" s="8" t="s">
        <v>7259</v>
      </c>
      <c r="J512" s="8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8" t="s">
        <v>470</v>
      </c>
      <c r="E513" s="8" t="s">
        <v>468</v>
      </c>
      <c r="F513" s="8" t="s">
        <v>7362</v>
      </c>
      <c r="H513" s="8"/>
      <c r="I513" s="8" t="s">
        <v>7261</v>
      </c>
      <c r="J513" s="8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8" t="s">
        <v>470</v>
      </c>
      <c r="E514" s="8" t="s">
        <v>468</v>
      </c>
      <c r="F514" s="8" t="s">
        <v>58</v>
      </c>
      <c r="H514" s="8"/>
      <c r="I514" s="8" t="s">
        <v>7263</v>
      </c>
      <c r="J514" s="8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8" t="s">
        <v>470</v>
      </c>
      <c r="E515" s="8" t="s">
        <v>468</v>
      </c>
      <c r="F515" s="8" t="s">
        <v>7356</v>
      </c>
      <c r="H515" s="8"/>
      <c r="I515" s="8" t="s">
        <v>7265</v>
      </c>
      <c r="J515" s="8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8" t="s">
        <v>3388</v>
      </c>
      <c r="E516" s="8" t="s">
        <v>86</v>
      </c>
      <c r="F516" s="8" t="s">
        <v>465</v>
      </c>
      <c r="H516" s="8"/>
      <c r="I516" s="8" t="s">
        <v>7267</v>
      </c>
      <c r="J516" s="8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8" t="s">
        <v>3388</v>
      </c>
      <c r="E517" s="8" t="s">
        <v>86</v>
      </c>
      <c r="F517" s="8" t="s">
        <v>465</v>
      </c>
      <c r="H517" s="8" t="s">
        <v>2352</v>
      </c>
      <c r="I517" s="8" t="s">
        <v>7269</v>
      </c>
      <c r="J517" s="8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8" t="s">
        <v>470</v>
      </c>
      <c r="E518" s="8" t="s">
        <v>468</v>
      </c>
      <c r="F518" s="8" t="s">
        <v>58</v>
      </c>
      <c r="H518" s="8"/>
      <c r="I518" s="8" t="s">
        <v>7271</v>
      </c>
      <c r="J518" s="8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8" t="s">
        <v>470</v>
      </c>
      <c r="E519" s="8" t="s">
        <v>468</v>
      </c>
      <c r="F519" s="8" t="s">
        <v>58</v>
      </c>
      <c r="H519" s="8"/>
      <c r="I519" s="8" t="s">
        <v>7273</v>
      </c>
      <c r="J519" s="8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8" t="s">
        <v>470</v>
      </c>
      <c r="E520" s="8" t="s">
        <v>468</v>
      </c>
      <c r="F520" s="8" t="s">
        <v>7363</v>
      </c>
      <c r="H520" s="8"/>
      <c r="I520" s="8" t="s">
        <v>7275</v>
      </c>
      <c r="J520" s="8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8" t="s">
        <v>470</v>
      </c>
      <c r="E521" s="8" t="s">
        <v>468</v>
      </c>
      <c r="F521" s="8" t="s">
        <v>7364</v>
      </c>
      <c r="H521" s="8"/>
      <c r="I521" s="8" t="s">
        <v>7277</v>
      </c>
      <c r="J521" s="8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8" t="s">
        <v>6436</v>
      </c>
      <c r="E522" s="8" t="s">
        <v>3358</v>
      </c>
      <c r="F522" s="8"/>
      <c r="H522" s="8"/>
      <c r="I522" s="8" t="s">
        <v>7430</v>
      </c>
      <c r="J522" s="8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8" t="s">
        <v>470</v>
      </c>
      <c r="E523" s="8" t="s">
        <v>1274</v>
      </c>
      <c r="F523" s="8" t="s">
        <v>58</v>
      </c>
      <c r="H523" s="8"/>
      <c r="I523" s="8" t="s">
        <v>7432</v>
      </c>
      <c r="J523" s="8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8" t="s">
        <v>6436</v>
      </c>
      <c r="E524" s="8" t="s">
        <v>3358</v>
      </c>
      <c r="F524" s="8"/>
      <c r="H524" s="8"/>
      <c r="I524" s="8" t="s">
        <v>7434</v>
      </c>
      <c r="J524" s="8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8" t="s">
        <v>4</v>
      </c>
      <c r="E525" s="8" t="s">
        <v>8</v>
      </c>
      <c r="F525" s="8"/>
      <c r="H525" s="8"/>
      <c r="I525" s="8" t="s">
        <v>7436</v>
      </c>
      <c r="J525" s="8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8" t="s">
        <v>470</v>
      </c>
      <c r="E526" s="8" t="s">
        <v>1274</v>
      </c>
      <c r="F526" s="8" t="s">
        <v>58</v>
      </c>
      <c r="H526" s="8" t="s">
        <v>7607</v>
      </c>
      <c r="I526" s="8" t="s">
        <v>7584</v>
      </c>
      <c r="J526" s="8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8" t="s">
        <v>470</v>
      </c>
      <c r="E527" s="8" t="s">
        <v>1274</v>
      </c>
      <c r="F527" s="8" t="s">
        <v>58</v>
      </c>
      <c r="H527" s="8" t="s">
        <v>7607</v>
      </c>
      <c r="I527" s="8" t="s">
        <v>7586</v>
      </c>
      <c r="J527" s="8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8" t="s">
        <v>470</v>
      </c>
      <c r="E528" s="8" t="s">
        <v>1274</v>
      </c>
      <c r="F528" s="8" t="s">
        <v>58</v>
      </c>
      <c r="H528" s="8" t="s">
        <v>2365</v>
      </c>
      <c r="I528" s="8" t="s">
        <v>7588</v>
      </c>
      <c r="J528" s="8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8" t="s">
        <v>1273</v>
      </c>
      <c r="E529" s="8" t="s">
        <v>7608</v>
      </c>
      <c r="F529" s="8"/>
      <c r="H529" s="8"/>
      <c r="I529" s="8" t="s">
        <v>7590</v>
      </c>
      <c r="J529" s="8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8" t="s">
        <v>587</v>
      </c>
      <c r="E530" s="8" t="s">
        <v>7608</v>
      </c>
      <c r="F530" s="8"/>
      <c r="H530" s="8"/>
      <c r="I530" s="8" t="s">
        <v>7592</v>
      </c>
      <c r="J530" s="8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8" t="s">
        <v>470</v>
      </c>
      <c r="E531" s="8" t="s">
        <v>1274</v>
      </c>
      <c r="F531" s="8" t="s">
        <v>58</v>
      </c>
      <c r="H531" s="8" t="s">
        <v>7607</v>
      </c>
      <c r="I531" s="8" t="s">
        <v>7594</v>
      </c>
      <c r="J531" s="8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8" t="s">
        <v>1273</v>
      </c>
      <c r="E532" s="8" t="s">
        <v>7609</v>
      </c>
      <c r="F532" s="8"/>
      <c r="H532" s="8"/>
      <c r="I532" s="8" t="s">
        <v>7596</v>
      </c>
      <c r="J532" s="8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8" t="s">
        <v>226</v>
      </c>
      <c r="E533" s="8" t="s">
        <v>7609</v>
      </c>
      <c r="F533" s="8" t="s">
        <v>2360</v>
      </c>
      <c r="H533" s="8"/>
      <c r="I533" s="8" t="s">
        <v>7598</v>
      </c>
      <c r="J533" s="8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8" t="s">
        <v>587</v>
      </c>
      <c r="E534" s="8" t="s">
        <v>7609</v>
      </c>
      <c r="F534" s="8" t="s">
        <v>2360</v>
      </c>
      <c r="H534" s="8"/>
      <c r="I534" s="8" t="s">
        <v>7601</v>
      </c>
      <c r="J534" s="8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8" t="s">
        <v>470</v>
      </c>
      <c r="E535" s="8" t="s">
        <v>1274</v>
      </c>
      <c r="F535" s="8" t="s">
        <v>58</v>
      </c>
      <c r="H535" s="8" t="s">
        <v>7607</v>
      </c>
      <c r="I535" s="8" t="s">
        <v>7603</v>
      </c>
      <c r="J535" s="8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8" t="s">
        <v>4</v>
      </c>
      <c r="E536" s="8" t="s">
        <v>8</v>
      </c>
      <c r="F536" s="8"/>
      <c r="H536" s="8"/>
      <c r="I536" s="8" t="s">
        <v>7605</v>
      </c>
      <c r="J536" s="8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8" t="s">
        <v>4</v>
      </c>
      <c r="E537" s="8" t="s">
        <v>5310</v>
      </c>
      <c r="F537" s="8" t="s">
        <v>7464</v>
      </c>
      <c r="H537" s="8"/>
      <c r="I537" s="8" t="s">
        <v>7716</v>
      </c>
      <c r="J537" s="8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8" t="s">
        <v>4</v>
      </c>
      <c r="E538" s="8" t="s">
        <v>5310</v>
      </c>
      <c r="F538" s="8" t="s">
        <v>7464</v>
      </c>
      <c r="H538" s="8"/>
      <c r="I538" s="8" t="s">
        <v>7718</v>
      </c>
      <c r="J538" s="8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8" t="s">
        <v>470</v>
      </c>
      <c r="E539" s="8" t="s">
        <v>1274</v>
      </c>
      <c r="F539" s="8" t="s">
        <v>58</v>
      </c>
      <c r="H539" s="8"/>
      <c r="I539" s="8" t="s">
        <v>7720</v>
      </c>
      <c r="J539" s="8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8" t="s">
        <v>1607</v>
      </c>
      <c r="E540" s="8" t="s">
        <v>8</v>
      </c>
      <c r="F540" s="8"/>
      <c r="H540" s="8"/>
      <c r="I540" s="8" t="s">
        <v>7845</v>
      </c>
      <c r="J540" s="8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8" t="s">
        <v>470</v>
      </c>
      <c r="E541" s="8" t="s">
        <v>1274</v>
      </c>
      <c r="F541" s="8" t="s">
        <v>58</v>
      </c>
      <c r="H541" s="8"/>
      <c r="I541" s="8" t="s">
        <v>7847</v>
      </c>
      <c r="J541" s="8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8" t="s">
        <v>3388</v>
      </c>
      <c r="E542" s="8" t="s">
        <v>86</v>
      </c>
      <c r="F542" s="8" t="s">
        <v>7356</v>
      </c>
      <c r="H542" s="8"/>
      <c r="I542" s="8" t="s">
        <v>7849</v>
      </c>
      <c r="J542" s="8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8" t="s">
        <v>3388</v>
      </c>
      <c r="E543" s="8" t="s">
        <v>86</v>
      </c>
      <c r="F543" s="8" t="s">
        <v>7356</v>
      </c>
      <c r="H543" s="8"/>
      <c r="I543" s="8" t="s">
        <v>7851</v>
      </c>
      <c r="J543" s="8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8" t="s">
        <v>3388</v>
      </c>
      <c r="E544" s="8" t="s">
        <v>86</v>
      </c>
      <c r="F544" s="8" t="s">
        <v>7356</v>
      </c>
      <c r="H544" s="8"/>
      <c r="I544" s="8" t="s">
        <v>7853</v>
      </c>
      <c r="J544" s="8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8" t="s">
        <v>1273</v>
      </c>
      <c r="E545" s="8" t="s">
        <v>8099</v>
      </c>
      <c r="F545" s="8"/>
      <c r="H545" s="8"/>
      <c r="I545" s="8" t="s">
        <v>8023</v>
      </c>
      <c r="J545" s="8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8" t="s">
        <v>587</v>
      </c>
      <c r="E546" s="8" t="s">
        <v>8099</v>
      </c>
      <c r="F546" s="8"/>
      <c r="H546" s="8"/>
      <c r="I546" s="8" t="s">
        <v>8025</v>
      </c>
      <c r="J546" s="8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8" t="s">
        <v>137</v>
      </c>
      <c r="E547" s="8" t="s">
        <v>8099</v>
      </c>
      <c r="F547" s="8"/>
      <c r="H547" s="8"/>
      <c r="I547" s="8" t="s">
        <v>8027</v>
      </c>
      <c r="J547" s="8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8" t="s">
        <v>470</v>
      </c>
      <c r="E548" s="8" t="s">
        <v>1274</v>
      </c>
      <c r="F548" s="8" t="s">
        <v>58</v>
      </c>
      <c r="H548" s="8"/>
      <c r="I548" s="8" t="s">
        <v>8029</v>
      </c>
      <c r="J548" s="8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8" t="s">
        <v>8100</v>
      </c>
      <c r="E549" s="8" t="s">
        <v>8099</v>
      </c>
      <c r="F549" s="8"/>
      <c r="H549" s="8"/>
      <c r="I549" s="8" t="s">
        <v>8031</v>
      </c>
      <c r="J549" s="8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8" t="s">
        <v>470</v>
      </c>
      <c r="E550" s="8" t="s">
        <v>1274</v>
      </c>
      <c r="F550" s="8" t="s">
        <v>58</v>
      </c>
      <c r="H550" s="8"/>
      <c r="I550" s="8" t="s">
        <v>8033</v>
      </c>
      <c r="J550" s="8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8" t="s">
        <v>3388</v>
      </c>
      <c r="E551" s="8" t="s">
        <v>86</v>
      </c>
      <c r="F551" s="8" t="s">
        <v>7356</v>
      </c>
      <c r="H551" s="8"/>
      <c r="I551" s="8" t="s">
        <v>8035</v>
      </c>
      <c r="J551" s="8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8" t="s">
        <v>137</v>
      </c>
      <c r="E552" s="8" t="s">
        <v>3358</v>
      </c>
      <c r="F552" s="8"/>
      <c r="H552" s="8"/>
      <c r="I552" s="8" t="s">
        <v>8037</v>
      </c>
      <c r="J552" s="8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8" t="s">
        <v>470</v>
      </c>
      <c r="E553" s="8" t="s">
        <v>1274</v>
      </c>
      <c r="F553" s="8" t="s">
        <v>58</v>
      </c>
      <c r="H553" s="8"/>
      <c r="I553" s="8" t="s">
        <v>8039</v>
      </c>
      <c r="J553" s="8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8" t="s">
        <v>8101</v>
      </c>
      <c r="E554" s="8" t="s">
        <v>3358</v>
      </c>
      <c r="F554" s="8"/>
      <c r="H554" s="8"/>
      <c r="I554" s="8" t="s">
        <v>8041</v>
      </c>
      <c r="J554" s="8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8" t="s">
        <v>470</v>
      </c>
      <c r="E555" s="8" t="s">
        <v>1274</v>
      </c>
      <c r="F555" s="8" t="s">
        <v>58</v>
      </c>
      <c r="H555" s="8"/>
      <c r="I555" s="8" t="s">
        <v>8043</v>
      </c>
      <c r="J555" s="8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8" t="s">
        <v>3388</v>
      </c>
      <c r="E556" s="8" t="s">
        <v>86</v>
      </c>
      <c r="F556" s="8" t="s">
        <v>7356</v>
      </c>
      <c r="H556" s="8" t="s">
        <v>3401</v>
      </c>
      <c r="I556" s="8" t="s">
        <v>8045</v>
      </c>
      <c r="J556" s="8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8" t="s">
        <v>3388</v>
      </c>
      <c r="E557" s="8" t="s">
        <v>86</v>
      </c>
      <c r="F557" s="8" t="s">
        <v>7356</v>
      </c>
      <c r="H557" s="8" t="s">
        <v>3401</v>
      </c>
      <c r="I557" s="8" t="s">
        <v>8047</v>
      </c>
      <c r="J557" s="8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8" t="s">
        <v>470</v>
      </c>
      <c r="E558" s="8" t="s">
        <v>1274</v>
      </c>
      <c r="F558" s="8" t="s">
        <v>53</v>
      </c>
      <c r="H558" s="8"/>
      <c r="I558" s="8" t="s">
        <v>8049</v>
      </c>
      <c r="J558" s="8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8" t="s">
        <v>8371</v>
      </c>
      <c r="E559" s="8" t="s">
        <v>1274</v>
      </c>
      <c r="F559" s="8"/>
      <c r="H559" s="8"/>
      <c r="I559" s="8" t="s">
        <v>8325</v>
      </c>
      <c r="J559" s="8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8" t="s">
        <v>226</v>
      </c>
      <c r="E560" s="8" t="s">
        <v>7609</v>
      </c>
      <c r="F560" s="8" t="s">
        <v>58</v>
      </c>
      <c r="H560" s="8" t="s">
        <v>8372</v>
      </c>
      <c r="I560" s="8" t="s">
        <v>8332</v>
      </c>
      <c r="J560" s="8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8" t="s">
        <v>587</v>
      </c>
      <c r="E561" s="8" t="s">
        <v>7609</v>
      </c>
      <c r="F561" s="8" t="s">
        <v>58</v>
      </c>
      <c r="H561" s="8" t="s">
        <v>8373</v>
      </c>
      <c r="I561" s="8" t="s">
        <v>8335</v>
      </c>
      <c r="J561" s="8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8" t="s">
        <v>4</v>
      </c>
      <c r="E562" s="8" t="s">
        <v>8439</v>
      </c>
      <c r="F562" s="8"/>
      <c r="H562" s="8"/>
      <c r="I562" s="8" t="s">
        <v>8437</v>
      </c>
      <c r="J562" s="8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8" t="s">
        <v>4</v>
      </c>
      <c r="E563" s="8" t="s">
        <v>399</v>
      </c>
      <c r="F563" s="8"/>
      <c r="H563" s="8"/>
      <c r="I563" s="8" t="s">
        <v>8391</v>
      </c>
      <c r="J563" s="8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8" t="s">
        <v>4</v>
      </c>
      <c r="E564" s="8" t="s">
        <v>8528</v>
      </c>
      <c r="F564" s="8"/>
      <c r="H564" s="8"/>
      <c r="I564" s="8" t="s">
        <v>8496</v>
      </c>
      <c r="J564" s="8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8" t="s">
        <v>4</v>
      </c>
      <c r="E565" s="8" t="s">
        <v>8528</v>
      </c>
      <c r="F565" s="8"/>
      <c r="H565" s="8"/>
      <c r="I565" s="8" t="s">
        <v>8498</v>
      </c>
      <c r="J565" s="8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8" t="s">
        <v>4</v>
      </c>
      <c r="E566" s="8" t="s">
        <v>8528</v>
      </c>
      <c r="F566" s="8"/>
      <c r="H566" s="8"/>
      <c r="I566" s="8" t="s">
        <v>8500</v>
      </c>
      <c r="J566" s="8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8" t="s">
        <v>4</v>
      </c>
      <c r="E567" s="8" t="s">
        <v>8439</v>
      </c>
      <c r="F567" s="8"/>
      <c r="H567" s="8"/>
      <c r="I567" s="8" t="s">
        <v>8502</v>
      </c>
      <c r="J567" s="8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8" t="s">
        <v>3388</v>
      </c>
      <c r="E568" s="8" t="s">
        <v>86</v>
      </c>
      <c r="F568" s="8" t="s">
        <v>7356</v>
      </c>
      <c r="H568" s="8"/>
      <c r="I568" s="8" t="s">
        <v>8666</v>
      </c>
      <c r="J568" s="8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8" t="s">
        <v>470</v>
      </c>
      <c r="E569" s="8" t="s">
        <v>1274</v>
      </c>
      <c r="F569" s="8" t="s">
        <v>2345</v>
      </c>
      <c r="H569" s="8"/>
      <c r="I569" s="8" t="s">
        <v>8668</v>
      </c>
      <c r="J569" s="8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8" t="s">
        <v>3388</v>
      </c>
      <c r="E570" s="8" t="s">
        <v>86</v>
      </c>
      <c r="F570" s="8" t="s">
        <v>7356</v>
      </c>
      <c r="H570" s="8"/>
      <c r="I570" s="8" t="s">
        <v>8670</v>
      </c>
      <c r="J570" s="8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8" t="s">
        <v>470</v>
      </c>
      <c r="E571" s="8" t="s">
        <v>1274</v>
      </c>
      <c r="F571" s="8" t="s">
        <v>2345</v>
      </c>
      <c r="H571" s="8" t="s">
        <v>5055</v>
      </c>
      <c r="I571" s="8" t="s">
        <v>8672</v>
      </c>
      <c r="J571" s="8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8" t="s">
        <v>470</v>
      </c>
      <c r="E572" s="8" t="s">
        <v>1274</v>
      </c>
      <c r="F572" s="8" t="s">
        <v>2345</v>
      </c>
      <c r="H572" s="8"/>
      <c r="I572" s="8" t="s">
        <v>8674</v>
      </c>
      <c r="J572" s="8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8" t="s">
        <v>470</v>
      </c>
      <c r="E573" s="8" t="s">
        <v>1274</v>
      </c>
      <c r="F573" s="8" t="s">
        <v>2345</v>
      </c>
      <c r="H573" s="8"/>
      <c r="I573" s="8" t="s">
        <v>8676</v>
      </c>
      <c r="J573" s="8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8" t="s">
        <v>470</v>
      </c>
      <c r="E574" s="8" t="s">
        <v>1274</v>
      </c>
      <c r="F574" s="8" t="s">
        <v>2345</v>
      </c>
      <c r="H574" s="8"/>
      <c r="I574" s="8" t="s">
        <v>8678</v>
      </c>
      <c r="J574" s="8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8" t="s">
        <v>470</v>
      </c>
      <c r="E575" s="8" t="s">
        <v>1274</v>
      </c>
      <c r="F575" s="8" t="s">
        <v>2345</v>
      </c>
      <c r="H575" s="8"/>
      <c r="I575" s="8" t="s">
        <v>8680</v>
      </c>
      <c r="J575" s="8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8" t="s">
        <v>470</v>
      </c>
      <c r="E576" s="8" t="s">
        <v>1274</v>
      </c>
      <c r="F576" s="8" t="s">
        <v>2345</v>
      </c>
      <c r="H576" s="8"/>
      <c r="I576" s="8" t="s">
        <v>8682</v>
      </c>
      <c r="J576" s="8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8" t="s">
        <v>470</v>
      </c>
      <c r="E577" s="8" t="s">
        <v>1274</v>
      </c>
      <c r="F577" s="8" t="s">
        <v>2345</v>
      </c>
      <c r="H577" s="8"/>
      <c r="I577" s="8" t="s">
        <v>8684</v>
      </c>
      <c r="J577" s="8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8" t="s">
        <v>1273</v>
      </c>
      <c r="E578" s="8" t="s">
        <v>70</v>
      </c>
      <c r="F578" s="8"/>
      <c r="H578" s="8"/>
      <c r="I578" s="8" t="s">
        <v>8769</v>
      </c>
      <c r="J578" s="8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8" t="s">
        <v>226</v>
      </c>
      <c r="E579" s="8" t="s">
        <v>70</v>
      </c>
      <c r="F579" s="8" t="s">
        <v>8811</v>
      </c>
      <c r="H579" s="8"/>
      <c r="I579" s="8" t="s">
        <v>8771</v>
      </c>
      <c r="J579" s="8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8" t="s">
        <v>226</v>
      </c>
      <c r="E580" s="8" t="s">
        <v>70</v>
      </c>
      <c r="F580" s="8" t="s">
        <v>8811</v>
      </c>
      <c r="H580" s="8" t="s">
        <v>2352</v>
      </c>
      <c r="I580" s="8" t="s">
        <v>8774</v>
      </c>
      <c r="J580" s="8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8" t="s">
        <v>226</v>
      </c>
      <c r="E581" s="8" t="s">
        <v>70</v>
      </c>
      <c r="F581" s="8" t="s">
        <v>8811</v>
      </c>
      <c r="H581" s="8" t="s">
        <v>2352</v>
      </c>
      <c r="I581" s="8" t="s">
        <v>8777</v>
      </c>
      <c r="J581" s="8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8" t="s">
        <v>226</v>
      </c>
      <c r="E582" s="8" t="s">
        <v>70</v>
      </c>
      <c r="F582" s="8" t="s">
        <v>8811</v>
      </c>
      <c r="H582" s="8" t="s">
        <v>2352</v>
      </c>
      <c r="I582" s="8" t="s">
        <v>8780</v>
      </c>
      <c r="J582" s="8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8" t="s">
        <v>587</v>
      </c>
      <c r="E583" s="8" t="s">
        <v>70</v>
      </c>
      <c r="F583" s="8"/>
      <c r="H583" s="8"/>
      <c r="I583" s="8" t="s">
        <v>8783</v>
      </c>
      <c r="J583" s="8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8" t="s">
        <v>3388</v>
      </c>
      <c r="E584" s="8" t="s">
        <v>86</v>
      </c>
      <c r="F584" s="8" t="s">
        <v>7356</v>
      </c>
      <c r="H584" s="8"/>
      <c r="I584" s="8" t="s">
        <v>8785</v>
      </c>
      <c r="J584" s="8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8" t="s">
        <v>137</v>
      </c>
      <c r="E585" s="8" t="s">
        <v>8099</v>
      </c>
      <c r="F585" s="8"/>
      <c r="H585" s="8"/>
      <c r="I585" s="8" t="s">
        <v>8787</v>
      </c>
      <c r="J585" s="8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8" t="s">
        <v>1273</v>
      </c>
      <c r="E586" s="8" t="s">
        <v>8099</v>
      </c>
      <c r="F586" s="8"/>
      <c r="H586" s="8"/>
      <c r="I586" s="8" t="s">
        <v>8789</v>
      </c>
      <c r="J586" s="8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8" t="s">
        <v>4</v>
      </c>
      <c r="E587" s="8" t="s">
        <v>8812</v>
      </c>
      <c r="F587" s="8"/>
      <c r="H587" s="8"/>
      <c r="I587" s="8" t="s">
        <v>8791</v>
      </c>
      <c r="J587" s="8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8" t="s">
        <v>587</v>
      </c>
      <c r="E588" s="8" t="s">
        <v>8099</v>
      </c>
      <c r="F588" s="8"/>
      <c r="H588" s="8"/>
      <c r="I588" s="8" t="s">
        <v>8793</v>
      </c>
      <c r="J588" s="8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8" t="s">
        <v>226</v>
      </c>
      <c r="E589" s="8" t="s">
        <v>8912</v>
      </c>
      <c r="F589" s="8" t="s">
        <v>5695</v>
      </c>
      <c r="G589">
        <v>1</v>
      </c>
      <c r="H589" s="8"/>
      <c r="I589" s="8" t="s">
        <v>8867</v>
      </c>
      <c r="J589" s="8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8" t="s">
        <v>226</v>
      </c>
      <c r="E590" s="8" t="s">
        <v>8912</v>
      </c>
      <c r="F590" s="8" t="s">
        <v>5695</v>
      </c>
      <c r="G590">
        <v>1</v>
      </c>
      <c r="H590" s="8"/>
      <c r="I590" s="8" t="s">
        <v>8870</v>
      </c>
      <c r="J590" s="8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8" t="s">
        <v>226</v>
      </c>
      <c r="E591" s="8" t="s">
        <v>8912</v>
      </c>
      <c r="F591" s="8" t="s">
        <v>5695</v>
      </c>
      <c r="G591">
        <v>1</v>
      </c>
      <c r="H591" s="8"/>
      <c r="I591" s="8" t="s">
        <v>8873</v>
      </c>
      <c r="J591" s="8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8" t="s">
        <v>226</v>
      </c>
      <c r="E592" s="8" t="s">
        <v>8912</v>
      </c>
      <c r="F592" s="8" t="s">
        <v>5695</v>
      </c>
      <c r="G592">
        <v>1</v>
      </c>
      <c r="H592" s="8"/>
      <c r="I592" s="8" t="s">
        <v>8876</v>
      </c>
      <c r="J592" s="8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8" t="s">
        <v>226</v>
      </c>
      <c r="E593" s="8" t="s">
        <v>8912</v>
      </c>
      <c r="F593" s="8" t="s">
        <v>5695</v>
      </c>
      <c r="G593">
        <v>1</v>
      </c>
      <c r="H593" s="8"/>
      <c r="I593" s="8" t="s">
        <v>8879</v>
      </c>
      <c r="J593" s="8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8" t="s">
        <v>226</v>
      </c>
      <c r="E594" s="8" t="s">
        <v>8912</v>
      </c>
      <c r="F594" s="8" t="s">
        <v>5695</v>
      </c>
      <c r="G594">
        <v>1</v>
      </c>
      <c r="H594" s="8"/>
      <c r="I594" s="8" t="s">
        <v>8882</v>
      </c>
      <c r="J594" s="8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8" t="s">
        <v>226</v>
      </c>
      <c r="E595" s="8" t="s">
        <v>8912</v>
      </c>
      <c r="F595" s="8" t="s">
        <v>5695</v>
      </c>
      <c r="G595">
        <v>1</v>
      </c>
      <c r="H595" s="8"/>
      <c r="I595" s="8" t="s">
        <v>8885</v>
      </c>
      <c r="J595" s="8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8" t="s">
        <v>226</v>
      </c>
      <c r="E596" s="8" t="s">
        <v>8912</v>
      </c>
      <c r="F596" s="8" t="s">
        <v>5695</v>
      </c>
      <c r="G596">
        <v>1</v>
      </c>
      <c r="H596" s="8"/>
      <c r="I596" s="8" t="s">
        <v>8888</v>
      </c>
      <c r="J596" s="8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8" t="s">
        <v>226</v>
      </c>
      <c r="E597" s="8" t="s">
        <v>8912</v>
      </c>
      <c r="F597" s="8" t="s">
        <v>5695</v>
      </c>
      <c r="G597">
        <v>1</v>
      </c>
      <c r="H597" s="8"/>
      <c r="I597" s="8" t="s">
        <v>8891</v>
      </c>
      <c r="J597" s="8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8" t="s">
        <v>226</v>
      </c>
      <c r="E598" s="8" t="s">
        <v>8912</v>
      </c>
      <c r="F598" s="8" t="s">
        <v>5695</v>
      </c>
      <c r="G598">
        <v>1</v>
      </c>
      <c r="H598" s="8"/>
      <c r="I598" s="8" t="s">
        <v>8894</v>
      </c>
      <c r="J598" s="8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8" t="s">
        <v>226</v>
      </c>
      <c r="E599" s="8" t="s">
        <v>8912</v>
      </c>
      <c r="F599" s="8" t="s">
        <v>5695</v>
      </c>
      <c r="G599">
        <v>1</v>
      </c>
      <c r="H599" s="8"/>
      <c r="I599" s="8" t="s">
        <v>8897</v>
      </c>
      <c r="J599" s="8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8" t="s">
        <v>587</v>
      </c>
      <c r="E600" s="8" t="s">
        <v>8912</v>
      </c>
      <c r="F600" s="8"/>
      <c r="H600" s="8"/>
      <c r="I600" s="8" t="s">
        <v>8900</v>
      </c>
      <c r="J600" s="8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8" t="s">
        <v>470</v>
      </c>
      <c r="E601" s="8" t="s">
        <v>1274</v>
      </c>
      <c r="F601" s="8" t="s">
        <v>2345</v>
      </c>
      <c r="H601" s="8"/>
      <c r="I601" s="8" t="s">
        <v>8902</v>
      </c>
      <c r="J601" s="8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8" t="s">
        <v>470</v>
      </c>
      <c r="E602" s="8" t="s">
        <v>1274</v>
      </c>
      <c r="F602" s="8" t="s">
        <v>2345</v>
      </c>
      <c r="H602" s="8"/>
      <c r="I602" s="8" t="s">
        <v>8904</v>
      </c>
      <c r="J602" s="8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8" t="s">
        <v>470</v>
      </c>
      <c r="E603" s="8" t="s">
        <v>1274</v>
      </c>
      <c r="F603" s="8" t="s">
        <v>2345</v>
      </c>
      <c r="H603" s="8"/>
      <c r="I603" s="8" t="s">
        <v>9012</v>
      </c>
      <c r="J603" s="8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8" t="s">
        <v>9137</v>
      </c>
      <c r="E604" s="8" t="s">
        <v>86</v>
      </c>
      <c r="F604" s="8"/>
      <c r="H604" s="8"/>
      <c r="I604" s="8" t="s">
        <v>9014</v>
      </c>
      <c r="J604" s="8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8" t="s">
        <v>9138</v>
      </c>
      <c r="E605" s="8" t="s">
        <v>86</v>
      </c>
      <c r="F605" s="8"/>
      <c r="H605" s="8"/>
      <c r="I605" s="8" t="s">
        <v>9016</v>
      </c>
      <c r="J605" s="8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8" t="s">
        <v>470</v>
      </c>
      <c r="E606" s="8" t="s">
        <v>1274</v>
      </c>
      <c r="F606" s="8" t="s">
        <v>2345</v>
      </c>
      <c r="H606" s="8"/>
      <c r="I606" s="8" t="s">
        <v>9018</v>
      </c>
      <c r="J606" s="8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8" t="s">
        <v>470</v>
      </c>
      <c r="E607" s="8" t="s">
        <v>468</v>
      </c>
      <c r="F607" s="8" t="s">
        <v>7356</v>
      </c>
      <c r="H607" s="8"/>
      <c r="I607" s="8" t="s">
        <v>9020</v>
      </c>
      <c r="J607" s="8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8" t="s">
        <v>1273</v>
      </c>
      <c r="E608" s="8" t="s">
        <v>8099</v>
      </c>
      <c r="F608" s="8"/>
      <c r="H608" s="8"/>
      <c r="I608" s="8" t="s">
        <v>9022</v>
      </c>
      <c r="J608" s="8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8" t="s">
        <v>9139</v>
      </c>
      <c r="E609" s="8" t="s">
        <v>8099</v>
      </c>
      <c r="F609" s="8"/>
      <c r="H609" s="8"/>
      <c r="I609" s="8" t="s">
        <v>9024</v>
      </c>
      <c r="J609" s="8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8" t="s">
        <v>9140</v>
      </c>
      <c r="E610" s="8" t="s">
        <v>86</v>
      </c>
      <c r="F610" s="8"/>
      <c r="H610" s="8"/>
      <c r="I610" s="8" t="s">
        <v>9026</v>
      </c>
      <c r="J610" s="8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8" t="s">
        <v>470</v>
      </c>
      <c r="E611" s="8" t="s">
        <v>1274</v>
      </c>
      <c r="F611" s="8" t="s">
        <v>2345</v>
      </c>
      <c r="H611" s="8"/>
      <c r="I611" s="8" t="s">
        <v>9028</v>
      </c>
      <c r="J611" s="8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8" t="s">
        <v>587</v>
      </c>
      <c r="E612" s="8" t="s">
        <v>8099</v>
      </c>
      <c r="F612" s="8"/>
      <c r="H612" s="8"/>
      <c r="I612" s="8" t="s">
        <v>9030</v>
      </c>
      <c r="J612" s="8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8" t="s">
        <v>3388</v>
      </c>
      <c r="E613" s="8" t="s">
        <v>86</v>
      </c>
      <c r="F613" s="8" t="s">
        <v>9319</v>
      </c>
      <c r="H613" s="8"/>
      <c r="I613" s="8" t="s">
        <v>9207</v>
      </c>
      <c r="J613" s="8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8" t="s">
        <v>136</v>
      </c>
      <c r="E614" s="8" t="s">
        <v>86</v>
      </c>
      <c r="F614" s="8" t="s">
        <v>58</v>
      </c>
      <c r="H614" s="8" t="s">
        <v>9320</v>
      </c>
      <c r="I614" s="8" t="s">
        <v>9209</v>
      </c>
      <c r="J614" s="8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8" t="s">
        <v>9321</v>
      </c>
      <c r="E615" s="8" t="s">
        <v>1274</v>
      </c>
      <c r="F615" s="8"/>
      <c r="H615" s="8"/>
      <c r="I615" s="8" t="s">
        <v>9211</v>
      </c>
      <c r="J615" s="8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8" t="s">
        <v>9322</v>
      </c>
      <c r="E616" s="8" t="s">
        <v>1274</v>
      </c>
      <c r="F616" s="8"/>
      <c r="H616" s="8"/>
      <c r="I616" s="8" t="s">
        <v>9213</v>
      </c>
      <c r="J616" s="8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8" t="s">
        <v>9323</v>
      </c>
      <c r="E617" s="8" t="s">
        <v>1274</v>
      </c>
      <c r="F617" s="8"/>
      <c r="H617" s="8"/>
      <c r="I617" s="8" t="s">
        <v>9215</v>
      </c>
      <c r="J617" s="8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8" t="s">
        <v>9323</v>
      </c>
      <c r="E618" s="8" t="s">
        <v>1274</v>
      </c>
      <c r="F618" s="8"/>
      <c r="H618" s="8"/>
      <c r="I618" s="8" t="s">
        <v>9217</v>
      </c>
      <c r="J618" s="8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8" t="s">
        <v>9323</v>
      </c>
      <c r="E619" s="8" t="s">
        <v>1274</v>
      </c>
      <c r="F619" s="8"/>
      <c r="H619" s="8"/>
      <c r="I619" s="8" t="s">
        <v>9219</v>
      </c>
      <c r="J619" s="8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8" t="s">
        <v>1607</v>
      </c>
      <c r="E620" s="8" t="s">
        <v>8</v>
      </c>
      <c r="F620" s="8"/>
      <c r="H620" s="8"/>
      <c r="I620" s="8" t="s">
        <v>9384</v>
      </c>
      <c r="J620" s="8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8" t="s">
        <v>470</v>
      </c>
      <c r="E621" s="8" t="s">
        <v>1274</v>
      </c>
      <c r="F621" s="8" t="s">
        <v>58</v>
      </c>
      <c r="H621" s="8"/>
      <c r="I621" s="8" t="s">
        <v>9386</v>
      </c>
      <c r="J621" s="8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8" t="s">
        <v>470</v>
      </c>
      <c r="E622" s="8" t="s">
        <v>1274</v>
      </c>
      <c r="F622" s="8" t="s">
        <v>58</v>
      </c>
      <c r="H622" s="8"/>
      <c r="I622" s="8" t="s">
        <v>9388</v>
      </c>
      <c r="J622" s="8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8" t="s">
        <v>9137</v>
      </c>
      <c r="E623" s="8" t="s">
        <v>86</v>
      </c>
      <c r="F623" s="8"/>
      <c r="H623" s="8"/>
      <c r="I623" s="8" t="s">
        <v>10796</v>
      </c>
      <c r="J623" s="8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8" t="s">
        <v>4</v>
      </c>
      <c r="E624" s="8" t="s">
        <v>8</v>
      </c>
      <c r="F624" s="8"/>
      <c r="H624" s="8"/>
      <c r="I624" s="8" t="s">
        <v>10798</v>
      </c>
      <c r="J624" s="8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8" t="s">
        <v>4</v>
      </c>
      <c r="E625" s="8" t="s">
        <v>8</v>
      </c>
      <c r="F625" s="8"/>
      <c r="H625" s="8"/>
      <c r="I625" s="8" t="s">
        <v>10800</v>
      </c>
      <c r="J625" s="8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8" t="s">
        <v>1273</v>
      </c>
      <c r="E626" s="8" t="s">
        <v>11070</v>
      </c>
      <c r="F626" s="8"/>
      <c r="H626" s="8"/>
      <c r="I626" s="8" t="s">
        <v>10802</v>
      </c>
      <c r="J626" s="8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8" t="s">
        <v>226</v>
      </c>
      <c r="E627" s="8" t="s">
        <v>11070</v>
      </c>
      <c r="F627" s="8" t="s">
        <v>58</v>
      </c>
      <c r="G627">
        <v>1</v>
      </c>
      <c r="H627" s="8"/>
      <c r="I627" s="8" t="s">
        <v>10804</v>
      </c>
      <c r="J627" s="8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8" t="s">
        <v>226</v>
      </c>
      <c r="E628" s="8" t="s">
        <v>11070</v>
      </c>
      <c r="F628" s="8" t="s">
        <v>58</v>
      </c>
      <c r="G628">
        <v>2</v>
      </c>
      <c r="H628" s="8"/>
      <c r="I628" s="8" t="s">
        <v>10807</v>
      </c>
      <c r="J628" s="8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8" t="s">
        <v>587</v>
      </c>
      <c r="E629" s="8" t="s">
        <v>11070</v>
      </c>
      <c r="F629" s="8"/>
      <c r="H629" s="8"/>
      <c r="I629" s="8" t="s">
        <v>10810</v>
      </c>
      <c r="J629" s="8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8" t="s">
        <v>7354</v>
      </c>
      <c r="E630" s="8" t="s">
        <v>468</v>
      </c>
      <c r="F630" s="8"/>
      <c r="H630" s="8"/>
      <c r="I630" s="8" t="s">
        <v>10812</v>
      </c>
      <c r="J630" s="8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8" t="s">
        <v>7354</v>
      </c>
      <c r="E631" s="8" t="s">
        <v>468</v>
      </c>
      <c r="F631" s="8"/>
      <c r="H631" s="8"/>
      <c r="I631" s="8" t="s">
        <v>10814</v>
      </c>
      <c r="J631" s="8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8" t="s">
        <v>7354</v>
      </c>
      <c r="E632" s="8" t="s">
        <v>468</v>
      </c>
      <c r="F632" s="8"/>
      <c r="H632" s="8"/>
      <c r="I632" s="8" t="s">
        <v>10816</v>
      </c>
      <c r="J632" s="8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8" t="s">
        <v>4</v>
      </c>
      <c r="E633" s="8" t="s">
        <v>8</v>
      </c>
      <c r="F633" s="8"/>
      <c r="H633" s="8"/>
      <c r="I633" s="8" t="s">
        <v>10818</v>
      </c>
      <c r="J633" s="8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8" t="s">
        <v>4</v>
      </c>
      <c r="E634" s="8" t="s">
        <v>8</v>
      </c>
      <c r="F634" s="8"/>
      <c r="H634" s="8"/>
      <c r="I634" s="8" t="s">
        <v>13509</v>
      </c>
      <c r="J634" s="8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8" t="s">
        <v>4</v>
      </c>
      <c r="E635" s="8" t="s">
        <v>8</v>
      </c>
      <c r="F635" s="8"/>
      <c r="H635" s="8"/>
      <c r="I635" s="8" t="s">
        <v>13512</v>
      </c>
      <c r="J635" s="8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8" t="s">
        <v>7354</v>
      </c>
      <c r="E636" s="8" t="s">
        <v>468</v>
      </c>
      <c r="F636" s="8"/>
      <c r="H636" s="8"/>
      <c r="I636" s="8" t="s">
        <v>13515</v>
      </c>
      <c r="J636" s="8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8" t="s">
        <v>7354</v>
      </c>
      <c r="E637" s="8" t="s">
        <v>468</v>
      </c>
      <c r="F637" s="8"/>
      <c r="H637" s="8"/>
      <c r="I637" s="8" t="s">
        <v>13518</v>
      </c>
      <c r="J637" s="8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8" t="s">
        <v>4</v>
      </c>
      <c r="E638" s="8" t="s">
        <v>8</v>
      </c>
      <c r="F638" s="8"/>
      <c r="H638" s="8"/>
      <c r="I638" s="8" t="s">
        <v>13521</v>
      </c>
      <c r="J638" s="8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8" t="s">
        <v>13897</v>
      </c>
      <c r="E639" s="8" t="s">
        <v>1274</v>
      </c>
      <c r="F639" s="8"/>
      <c r="H639" s="8"/>
      <c r="I639" s="8" t="s">
        <v>13524</v>
      </c>
      <c r="J639" s="8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8" t="s">
        <v>13897</v>
      </c>
      <c r="E640" s="8" t="s">
        <v>1274</v>
      </c>
      <c r="F640" s="8"/>
      <c r="H640" s="8"/>
      <c r="I640" s="8" t="s">
        <v>13527</v>
      </c>
      <c r="J640" s="8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8" t="s">
        <v>4</v>
      </c>
      <c r="E641" s="8" t="s">
        <v>8</v>
      </c>
      <c r="F641" s="8"/>
      <c r="H641" s="8"/>
      <c r="I641" s="8" t="s">
        <v>13530</v>
      </c>
      <c r="J641" s="8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8" t="s">
        <v>4</v>
      </c>
      <c r="E642" s="8" t="s">
        <v>8</v>
      </c>
      <c r="F642" s="8"/>
      <c r="H642" s="8"/>
      <c r="I642" s="8" t="s">
        <v>13533</v>
      </c>
      <c r="J642" s="8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8" t="s">
        <v>4</v>
      </c>
      <c r="E643" s="8" t="s">
        <v>8</v>
      </c>
      <c r="F643" s="8"/>
      <c r="H643" s="8"/>
      <c r="I643" s="8" t="s">
        <v>13939</v>
      </c>
      <c r="J643" s="8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8" t="s">
        <v>1607</v>
      </c>
      <c r="E644" s="8" t="s">
        <v>8</v>
      </c>
      <c r="F644" s="8"/>
      <c r="H644" s="8"/>
      <c r="I644" s="8" t="s">
        <v>13942</v>
      </c>
      <c r="J644" s="8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8" t="s">
        <v>4</v>
      </c>
      <c r="E645" s="8" t="s">
        <v>8</v>
      </c>
      <c r="F645" s="8"/>
      <c r="H645" s="8"/>
      <c r="I645" s="8" t="s">
        <v>13945</v>
      </c>
      <c r="J645" s="8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8" t="s">
        <v>1607</v>
      </c>
      <c r="E646" s="8" t="s">
        <v>8</v>
      </c>
      <c r="F646" s="8"/>
      <c r="H646" s="8"/>
      <c r="I646" s="8" t="s">
        <v>13948</v>
      </c>
      <c r="J646" s="8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8" t="s">
        <v>4</v>
      </c>
      <c r="E647" s="8" t="s">
        <v>8</v>
      </c>
      <c r="F647" s="8"/>
      <c r="H647" s="8"/>
      <c r="I647" s="8" t="s">
        <v>14252</v>
      </c>
      <c r="J647" s="8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8" t="s">
        <v>7354</v>
      </c>
      <c r="E648" s="8" t="s">
        <v>468</v>
      </c>
      <c r="F648" s="8"/>
      <c r="H648" s="8"/>
      <c r="I648" s="8" t="s">
        <v>14256</v>
      </c>
      <c r="J648" s="8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8" t="s">
        <v>16675</v>
      </c>
      <c r="E649" s="8" t="s">
        <v>468</v>
      </c>
      <c r="F649" s="8"/>
      <c r="H649" s="8"/>
      <c r="I649" s="8" t="s">
        <v>14259</v>
      </c>
      <c r="J649" s="8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8" t="s">
        <v>4</v>
      </c>
      <c r="E650" s="8" t="s">
        <v>468</v>
      </c>
      <c r="F650" s="8"/>
      <c r="H650" s="8"/>
      <c r="I650" s="8" t="s">
        <v>14262</v>
      </c>
      <c r="J650" s="8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8" t="s">
        <v>4</v>
      </c>
      <c r="E651" s="8" t="s">
        <v>8</v>
      </c>
      <c r="F651" s="8"/>
      <c r="H651" s="8"/>
      <c r="I651" s="8" t="s">
        <v>14265</v>
      </c>
      <c r="J651" s="8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8" t="s">
        <v>1273</v>
      </c>
      <c r="E652" s="8" t="s">
        <v>11070</v>
      </c>
      <c r="F652" s="8"/>
      <c r="H652" s="8"/>
      <c r="I652" s="8" t="s">
        <v>14268</v>
      </c>
      <c r="J652" s="8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8" t="s">
        <v>16676</v>
      </c>
      <c r="E653" s="8" t="s">
        <v>11070</v>
      </c>
      <c r="F653" s="8"/>
      <c r="H653" s="8" t="s">
        <v>4390</v>
      </c>
      <c r="I653" s="8" t="s">
        <v>14271</v>
      </c>
      <c r="J653" s="8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8" t="s">
        <v>587</v>
      </c>
      <c r="E654" s="8" t="s">
        <v>11070</v>
      </c>
      <c r="F654" s="8"/>
      <c r="H654" s="8"/>
      <c r="I654" s="8" t="s">
        <v>14274</v>
      </c>
      <c r="J654" s="8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8" t="s">
        <v>16677</v>
      </c>
      <c r="E655" s="8" t="s">
        <v>1274</v>
      </c>
      <c r="F655" s="8"/>
      <c r="H655" s="8"/>
      <c r="I655" s="8" t="s">
        <v>14277</v>
      </c>
      <c r="J655" s="8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8" t="s">
        <v>1273</v>
      </c>
      <c r="E656" s="8" t="s">
        <v>9597</v>
      </c>
      <c r="F656" s="8"/>
      <c r="H656" s="8"/>
      <c r="I656" s="8" t="s">
        <v>14280</v>
      </c>
      <c r="J656" s="8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8" t="s">
        <v>227</v>
      </c>
      <c r="E657" s="8" t="s">
        <v>9597</v>
      </c>
      <c r="F657" s="8" t="s">
        <v>16678</v>
      </c>
      <c r="H657" s="8"/>
      <c r="I657" s="8" t="s">
        <v>14283</v>
      </c>
      <c r="J657" s="8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8" t="s">
        <v>587</v>
      </c>
      <c r="E658" s="8" t="s">
        <v>9597</v>
      </c>
      <c r="F658" s="8"/>
      <c r="H658" s="8"/>
      <c r="I658" s="8" t="s">
        <v>14286</v>
      </c>
      <c r="J658" s="8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8" t="s">
        <v>4</v>
      </c>
      <c r="E659" s="8" t="s">
        <v>8</v>
      </c>
      <c r="F659" s="8"/>
      <c r="H659" s="8"/>
      <c r="I659" s="8" t="s">
        <v>14289</v>
      </c>
      <c r="J659" s="8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8" t="s">
        <v>4</v>
      </c>
      <c r="E660" s="8" t="s">
        <v>8</v>
      </c>
      <c r="F660" s="8"/>
      <c r="H660" s="8"/>
      <c r="I660" s="8" t="s">
        <v>16489</v>
      </c>
      <c r="J660" s="8" t="s">
        <v>12007</v>
      </c>
      <c r="K660" t="s">
        <v>16490</v>
      </c>
      <c r="L660" t="s">
        <v>16491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8" t="s">
        <v>7354</v>
      </c>
      <c r="E661" s="8" t="s">
        <v>1274</v>
      </c>
      <c r="F661" s="8"/>
      <c r="H661" s="8"/>
      <c r="I661" s="8" t="s">
        <v>16492</v>
      </c>
      <c r="J661" s="8" t="s">
        <v>12007</v>
      </c>
      <c r="K661" t="s">
        <v>16493</v>
      </c>
      <c r="L661" t="s">
        <v>16494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8" t="s">
        <v>4</v>
      </c>
      <c r="E662" s="8" t="s">
        <v>468</v>
      </c>
      <c r="F662" s="8"/>
      <c r="H662" s="8"/>
      <c r="I662" s="8" t="s">
        <v>16495</v>
      </c>
      <c r="J662" s="8" t="s">
        <v>12007</v>
      </c>
      <c r="K662" t="s">
        <v>16496</v>
      </c>
      <c r="L662" t="s">
        <v>16497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8" t="s">
        <v>4</v>
      </c>
      <c r="E663" s="8" t="s">
        <v>8</v>
      </c>
      <c r="F663" s="8"/>
      <c r="H663" s="8"/>
      <c r="I663" s="8" t="s">
        <v>16498</v>
      </c>
      <c r="J663" s="8" t="s">
        <v>12007</v>
      </c>
      <c r="K663" t="s">
        <v>16499</v>
      </c>
      <c r="L663" t="s">
        <v>16500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8" t="s">
        <v>4</v>
      </c>
      <c r="E664" s="8" t="s">
        <v>8</v>
      </c>
      <c r="F664" s="8"/>
      <c r="H664" s="8"/>
      <c r="I664" s="8" t="s">
        <v>16501</v>
      </c>
      <c r="J664" s="8" t="s">
        <v>12007</v>
      </c>
      <c r="K664" t="s">
        <v>16502</v>
      </c>
      <c r="L664" t="s">
        <v>16503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8" t="s">
        <v>1607</v>
      </c>
      <c r="E665" s="8" t="s">
        <v>8</v>
      </c>
      <c r="F665" s="8"/>
      <c r="H665" s="8"/>
      <c r="I665" s="8" t="s">
        <v>16504</v>
      </c>
      <c r="J665" s="8" t="s">
        <v>12007</v>
      </c>
      <c r="K665" t="s">
        <v>16505</v>
      </c>
      <c r="L665" t="s">
        <v>16506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8" t="s">
        <v>4</v>
      </c>
      <c r="E666" s="8" t="s">
        <v>8</v>
      </c>
      <c r="F666" s="8"/>
      <c r="H666" s="8"/>
      <c r="I666" s="8" t="s">
        <v>16507</v>
      </c>
      <c r="J666" s="8" t="s">
        <v>12007</v>
      </c>
      <c r="K666" t="s">
        <v>16508</v>
      </c>
      <c r="L666" t="s">
        <v>16509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8" t="s">
        <v>4</v>
      </c>
      <c r="E667" s="8" t="s">
        <v>16679</v>
      </c>
      <c r="F667" s="8"/>
      <c r="H667" s="8"/>
      <c r="I667" s="8" t="s">
        <v>16510</v>
      </c>
      <c r="J667" s="8" t="s">
        <v>12007</v>
      </c>
      <c r="K667" t="s">
        <v>16511</v>
      </c>
      <c r="L667" t="s">
        <v>16512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8" t="s">
        <v>4</v>
      </c>
      <c r="E668" s="8" t="s">
        <v>7068</v>
      </c>
      <c r="F668" s="8"/>
      <c r="H668" s="8"/>
      <c r="I668" s="8" t="s">
        <v>16513</v>
      </c>
      <c r="J668" s="8" t="s">
        <v>12007</v>
      </c>
      <c r="K668" t="s">
        <v>16514</v>
      </c>
      <c r="L668" t="s">
        <v>16515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8" t="s">
        <v>7354</v>
      </c>
      <c r="E669" s="8" t="s">
        <v>468</v>
      </c>
      <c r="F669" s="8"/>
      <c r="H669" s="8"/>
      <c r="I669" s="8" t="s">
        <v>16516</v>
      </c>
      <c r="J669" s="8" t="s">
        <v>12007</v>
      </c>
      <c r="K669" t="s">
        <v>16517</v>
      </c>
      <c r="L669" t="s">
        <v>16518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8" t="s">
        <v>7354</v>
      </c>
      <c r="E670" s="8" t="s">
        <v>1274</v>
      </c>
      <c r="F670" s="8"/>
      <c r="H670" s="8"/>
      <c r="I670" s="8" t="s">
        <v>16519</v>
      </c>
      <c r="J670" s="8" t="s">
        <v>12007</v>
      </c>
      <c r="K670" t="s">
        <v>16520</v>
      </c>
      <c r="L670" t="s">
        <v>16521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8" t="s">
        <v>1273</v>
      </c>
      <c r="E671" s="8" t="s">
        <v>16656</v>
      </c>
      <c r="F671" s="8"/>
      <c r="H671" s="8"/>
      <c r="I671" s="8" t="s">
        <v>16522</v>
      </c>
      <c r="J671" s="8" t="s">
        <v>12007</v>
      </c>
      <c r="K671" t="s">
        <v>16523</v>
      </c>
      <c r="L671" t="s">
        <v>16524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8" t="s">
        <v>16680</v>
      </c>
      <c r="E672" s="8"/>
      <c r="F672" s="8"/>
      <c r="H672" s="8"/>
      <c r="I672" s="8" t="s">
        <v>16525</v>
      </c>
      <c r="J672" s="8" t="s">
        <v>12007</v>
      </c>
      <c r="K672" t="s">
        <v>16526</v>
      </c>
      <c r="L672" t="s">
        <v>16527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8" t="s">
        <v>16680</v>
      </c>
      <c r="E673" s="8"/>
      <c r="F673" s="8"/>
      <c r="H673" s="8" t="s">
        <v>2352</v>
      </c>
      <c r="I673" s="8" t="s">
        <v>16528</v>
      </c>
      <c r="J673" s="8" t="s">
        <v>12007</v>
      </c>
      <c r="K673" t="s">
        <v>16529</v>
      </c>
      <c r="L673" t="s">
        <v>16530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8" t="s">
        <v>16680</v>
      </c>
      <c r="E674" s="8"/>
      <c r="F674" s="8"/>
      <c r="H674" s="8" t="s">
        <v>2352</v>
      </c>
      <c r="I674" s="8" t="s">
        <v>16531</v>
      </c>
      <c r="J674" s="8" t="s">
        <v>12007</v>
      </c>
      <c r="K674" t="s">
        <v>16532</v>
      </c>
      <c r="L674" t="s">
        <v>16533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8" t="s">
        <v>16680</v>
      </c>
      <c r="E675" s="8"/>
      <c r="F675" s="8"/>
      <c r="H675" s="8" t="s">
        <v>2352</v>
      </c>
      <c r="I675" s="8" t="s">
        <v>16534</v>
      </c>
      <c r="J675" s="8" t="s">
        <v>12007</v>
      </c>
      <c r="K675" t="s">
        <v>16535</v>
      </c>
      <c r="L675" t="s">
        <v>16536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8" t="s">
        <v>226</v>
      </c>
      <c r="E676" s="8"/>
      <c r="F676" s="8" t="s">
        <v>53</v>
      </c>
      <c r="G676">
        <v>13</v>
      </c>
      <c r="H676" s="8"/>
      <c r="I676" s="8" t="s">
        <v>16537</v>
      </c>
      <c r="J676" s="8" t="s">
        <v>12007</v>
      </c>
      <c r="K676" t="s">
        <v>16538</v>
      </c>
      <c r="L676" t="s">
        <v>16539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8" t="s">
        <v>4</v>
      </c>
      <c r="E677" s="8" t="s">
        <v>8</v>
      </c>
      <c r="F677" s="8"/>
      <c r="H677" s="8"/>
      <c r="I677" s="8" t="s">
        <v>16540</v>
      </c>
      <c r="J677" s="8" t="s">
        <v>12007</v>
      </c>
      <c r="K677" t="s">
        <v>16541</v>
      </c>
      <c r="L677" t="s">
        <v>16542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8" t="s">
        <v>1607</v>
      </c>
      <c r="E678" s="8" t="s">
        <v>8</v>
      </c>
      <c r="F678" s="8"/>
      <c r="H678" s="8"/>
      <c r="I678" s="8" t="s">
        <v>16543</v>
      </c>
      <c r="J678" s="8" t="s">
        <v>12007</v>
      </c>
      <c r="K678" t="s">
        <v>16544</v>
      </c>
      <c r="L678" t="s">
        <v>16545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8" t="s">
        <v>1273</v>
      </c>
      <c r="E679" s="8" t="s">
        <v>16661</v>
      </c>
      <c r="F679" s="8"/>
      <c r="H679" s="8"/>
      <c r="I679" s="8" t="s">
        <v>16546</v>
      </c>
      <c r="J679" s="8" t="s">
        <v>12007</v>
      </c>
      <c r="K679" t="s">
        <v>16547</v>
      </c>
      <c r="L679" t="s">
        <v>16548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8" t="s">
        <v>226</v>
      </c>
      <c r="E680" s="8" t="s">
        <v>16661</v>
      </c>
      <c r="F680" s="8" t="s">
        <v>16657</v>
      </c>
      <c r="H680" s="8"/>
      <c r="I680" s="8" t="s">
        <v>16549</v>
      </c>
      <c r="J680" s="8" t="s">
        <v>12007</v>
      </c>
      <c r="K680" t="s">
        <v>16550</v>
      </c>
      <c r="L680" t="s">
        <v>16551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8" t="s">
        <v>226</v>
      </c>
      <c r="E681" s="8" t="s">
        <v>16661</v>
      </c>
      <c r="F681" s="8" t="s">
        <v>16657</v>
      </c>
      <c r="H681" s="8" t="s">
        <v>2352</v>
      </c>
      <c r="I681" s="8" t="s">
        <v>16552</v>
      </c>
      <c r="J681" s="8" t="s">
        <v>12007</v>
      </c>
      <c r="K681" t="s">
        <v>16553</v>
      </c>
      <c r="L681" t="s">
        <v>16554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8" t="s">
        <v>587</v>
      </c>
      <c r="E682" s="8" t="s">
        <v>16661</v>
      </c>
      <c r="F682" s="8" t="s">
        <v>16657</v>
      </c>
      <c r="H682" s="8"/>
      <c r="I682" s="8" t="s">
        <v>16555</v>
      </c>
      <c r="J682" s="8" t="s">
        <v>12007</v>
      </c>
      <c r="K682" t="s">
        <v>16556</v>
      </c>
      <c r="L682" t="s">
        <v>16557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8" t="s">
        <v>4</v>
      </c>
      <c r="E683" s="8" t="s">
        <v>8</v>
      </c>
      <c r="F683" s="8"/>
      <c r="H683" s="8"/>
      <c r="I683" s="8" t="s">
        <v>16558</v>
      </c>
      <c r="J683" s="8" t="s">
        <v>12007</v>
      </c>
      <c r="K683" t="s">
        <v>16559</v>
      </c>
      <c r="L683" t="s">
        <v>16560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8" t="s">
        <v>4</v>
      </c>
      <c r="E684" s="8" t="s">
        <v>7361</v>
      </c>
      <c r="F684" s="8"/>
      <c r="H684" s="8"/>
      <c r="I684" s="8" t="s">
        <v>16561</v>
      </c>
      <c r="J684" s="8" t="s">
        <v>12007</v>
      </c>
      <c r="K684" t="s">
        <v>16562</v>
      </c>
      <c r="L684" t="s">
        <v>16563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8" t="s">
        <v>7354</v>
      </c>
      <c r="E685" s="8" t="s">
        <v>86</v>
      </c>
      <c r="F685" s="8"/>
      <c r="H685" s="8" t="s">
        <v>2365</v>
      </c>
      <c r="I685" s="8" t="s">
        <v>16564</v>
      </c>
      <c r="J685" s="8" t="s">
        <v>12007</v>
      </c>
      <c r="K685" t="s">
        <v>16565</v>
      </c>
      <c r="L685" t="s">
        <v>16566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8" t="s">
        <v>7354</v>
      </c>
      <c r="E686" s="8" t="s">
        <v>86</v>
      </c>
      <c r="F686" s="8"/>
      <c r="H686" s="8" t="s">
        <v>2352</v>
      </c>
      <c r="I686" s="8" t="s">
        <v>16567</v>
      </c>
      <c r="J686" s="8" t="s">
        <v>12007</v>
      </c>
      <c r="K686" t="s">
        <v>16568</v>
      </c>
      <c r="L686" t="s">
        <v>16569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8" t="s">
        <v>7354</v>
      </c>
      <c r="E687" s="8" t="s">
        <v>86</v>
      </c>
      <c r="F687" s="8"/>
      <c r="H687" s="8" t="s">
        <v>2352</v>
      </c>
      <c r="I687" s="8" t="s">
        <v>16570</v>
      </c>
      <c r="J687" s="8" t="s">
        <v>12007</v>
      </c>
      <c r="K687" t="s">
        <v>16571</v>
      </c>
      <c r="L687" t="s">
        <v>16572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8" t="s">
        <v>7354</v>
      </c>
      <c r="E688" s="8" t="s">
        <v>86</v>
      </c>
      <c r="F688" s="8"/>
      <c r="H688" s="8"/>
      <c r="I688" s="8" t="s">
        <v>16573</v>
      </c>
      <c r="J688" s="8" t="s">
        <v>12007</v>
      </c>
      <c r="K688" t="s">
        <v>16574</v>
      </c>
      <c r="L688" t="s">
        <v>16575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8" t="s">
        <v>1273</v>
      </c>
      <c r="E689" s="8" t="s">
        <v>10130</v>
      </c>
      <c r="F689" s="8"/>
      <c r="H689" s="8"/>
      <c r="I689" s="8" t="s">
        <v>16576</v>
      </c>
      <c r="J689" s="8" t="s">
        <v>12007</v>
      </c>
      <c r="K689" t="s">
        <v>16577</v>
      </c>
      <c r="L689" t="s">
        <v>16578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8" t="s">
        <v>16676</v>
      </c>
      <c r="E690" s="8" t="s">
        <v>10130</v>
      </c>
      <c r="F690" s="8"/>
      <c r="H690" s="8" t="s">
        <v>4390</v>
      </c>
      <c r="I690" s="8" t="s">
        <v>16579</v>
      </c>
      <c r="J690" s="8" t="s">
        <v>12007</v>
      </c>
      <c r="K690" t="s">
        <v>16580</v>
      </c>
      <c r="L690" t="s">
        <v>16581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8" t="s">
        <v>587</v>
      </c>
      <c r="E691" s="8" t="s">
        <v>10130</v>
      </c>
      <c r="F691" s="8"/>
      <c r="H691" s="8"/>
      <c r="I691" s="8" t="s">
        <v>16582</v>
      </c>
      <c r="J691" s="8" t="s">
        <v>12007</v>
      </c>
      <c r="K691" t="s">
        <v>16583</v>
      </c>
      <c r="L691" t="s">
        <v>16584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8" t="s">
        <v>4</v>
      </c>
      <c r="E692" s="8" t="s">
        <v>468</v>
      </c>
      <c r="F692" s="8"/>
      <c r="H692" s="8"/>
      <c r="I692" s="8" t="s">
        <v>16585</v>
      </c>
      <c r="J692" s="8" t="s">
        <v>12007</v>
      </c>
      <c r="K692" t="s">
        <v>16586</v>
      </c>
      <c r="L692" t="s">
        <v>16587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8" t="s">
        <v>4</v>
      </c>
      <c r="E693" s="8" t="s">
        <v>468</v>
      </c>
      <c r="F693" s="8"/>
      <c r="H693" s="8"/>
      <c r="I693" s="8" t="s">
        <v>16588</v>
      </c>
      <c r="J693" s="8" t="s">
        <v>12007</v>
      </c>
      <c r="K693" t="s">
        <v>16589</v>
      </c>
      <c r="L693" t="s">
        <v>16590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8" t="s">
        <v>4</v>
      </c>
      <c r="E694" s="8" t="s">
        <v>8</v>
      </c>
      <c r="F694" s="8"/>
      <c r="H694" s="8"/>
      <c r="I694" s="8" t="s">
        <v>16591</v>
      </c>
      <c r="J694" s="8" t="s">
        <v>12007</v>
      </c>
      <c r="K694" t="s">
        <v>16592</v>
      </c>
      <c r="L694" t="s">
        <v>16593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8" t="s">
        <v>4</v>
      </c>
      <c r="E695" s="8" t="s">
        <v>8</v>
      </c>
      <c r="F695" s="8"/>
      <c r="H695" s="8"/>
      <c r="I695" s="8" t="s">
        <v>16827</v>
      </c>
      <c r="J695" s="8" t="s">
        <v>12007</v>
      </c>
      <c r="K695" t="s">
        <v>16828</v>
      </c>
      <c r="L695" t="s">
        <v>16829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8" t="s">
        <v>4</v>
      </c>
      <c r="E696" s="8" t="s">
        <v>17479</v>
      </c>
      <c r="F696" s="8"/>
      <c r="H696" s="8"/>
      <c r="I696" s="8" t="s">
        <v>16830</v>
      </c>
      <c r="J696" s="8" t="s">
        <v>12007</v>
      </c>
      <c r="K696" t="s">
        <v>16831</v>
      </c>
      <c r="L696" t="s">
        <v>16832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8" t="s">
        <v>4</v>
      </c>
      <c r="E697" s="8" t="s">
        <v>468</v>
      </c>
      <c r="F697" s="8"/>
      <c r="H697" s="8"/>
      <c r="I697" s="8" t="s">
        <v>16833</v>
      </c>
      <c r="J697" s="8" t="s">
        <v>12007</v>
      </c>
      <c r="K697" t="s">
        <v>16834</v>
      </c>
      <c r="L697" t="s">
        <v>16835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8" t="s">
        <v>4</v>
      </c>
      <c r="E698" s="8" t="s">
        <v>8</v>
      </c>
      <c r="F698" s="8"/>
      <c r="H698" s="8"/>
      <c r="I698" s="8" t="s">
        <v>16836</v>
      </c>
      <c r="J698" s="8" t="s">
        <v>12007</v>
      </c>
      <c r="K698" t="s">
        <v>16837</v>
      </c>
      <c r="L698" t="s">
        <v>16838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8" t="s">
        <v>4</v>
      </c>
      <c r="E699" s="8" t="s">
        <v>8</v>
      </c>
      <c r="F699" s="8"/>
      <c r="H699" s="8"/>
      <c r="I699" s="8" t="s">
        <v>16839</v>
      </c>
      <c r="J699" s="8" t="s">
        <v>12007</v>
      </c>
      <c r="K699" t="s">
        <v>16840</v>
      </c>
      <c r="L699" t="s">
        <v>16841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8" t="s">
        <v>4</v>
      </c>
      <c r="E700" s="8" t="s">
        <v>17479</v>
      </c>
      <c r="F700" s="8"/>
      <c r="H700" s="8"/>
      <c r="I700" s="8" t="s">
        <v>16842</v>
      </c>
      <c r="J700" s="8" t="s">
        <v>12007</v>
      </c>
      <c r="K700" t="s">
        <v>16843</v>
      </c>
      <c r="L700" t="s">
        <v>16844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8" t="s">
        <v>1607</v>
      </c>
      <c r="E701" s="8" t="s">
        <v>8</v>
      </c>
      <c r="F701" s="8"/>
      <c r="H701" s="8"/>
      <c r="I701" s="8" t="s">
        <v>16845</v>
      </c>
      <c r="J701" s="8" t="s">
        <v>12007</v>
      </c>
      <c r="K701" t="s">
        <v>16846</v>
      </c>
      <c r="L701" t="s">
        <v>16847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8" t="s">
        <v>4</v>
      </c>
      <c r="E702" s="8" t="s">
        <v>8</v>
      </c>
      <c r="F702" s="8"/>
      <c r="H702" s="8"/>
      <c r="I702" s="8" t="s">
        <v>16848</v>
      </c>
      <c r="J702" s="8" t="s">
        <v>12007</v>
      </c>
      <c r="K702" t="s">
        <v>16849</v>
      </c>
      <c r="L702" t="s">
        <v>16850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8" t="s">
        <v>17480</v>
      </c>
      <c r="E703" s="8" t="s">
        <v>1274</v>
      </c>
      <c r="F703" s="8"/>
      <c r="H703" s="8"/>
      <c r="I703" s="8" t="s">
        <v>16851</v>
      </c>
      <c r="J703" s="8" t="s">
        <v>12007</v>
      </c>
      <c r="K703" t="s">
        <v>16852</v>
      </c>
      <c r="L703" t="s">
        <v>16853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8" t="s">
        <v>17480</v>
      </c>
      <c r="E704" s="8" t="s">
        <v>1274</v>
      </c>
      <c r="F704" s="8"/>
      <c r="H704" s="8"/>
      <c r="I704" s="8" t="s">
        <v>16854</v>
      </c>
      <c r="J704" s="8" t="s">
        <v>12007</v>
      </c>
      <c r="K704" t="s">
        <v>16855</v>
      </c>
      <c r="L704" t="s">
        <v>16856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8" t="s">
        <v>17480</v>
      </c>
      <c r="E705" s="8" t="s">
        <v>1274</v>
      </c>
      <c r="F705" s="8"/>
      <c r="H705" s="8"/>
      <c r="I705" s="8" t="s">
        <v>16857</v>
      </c>
      <c r="J705" s="8" t="s">
        <v>12007</v>
      </c>
      <c r="K705" t="s">
        <v>16858</v>
      </c>
      <c r="L705" t="s">
        <v>16859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8" t="s">
        <v>17480</v>
      </c>
      <c r="E706" s="8" t="s">
        <v>1274</v>
      </c>
      <c r="F706" s="8"/>
      <c r="H706" s="8"/>
      <c r="I706" s="8" t="s">
        <v>16860</v>
      </c>
      <c r="J706" s="8" t="s">
        <v>12007</v>
      </c>
      <c r="K706" t="s">
        <v>16861</v>
      </c>
      <c r="L706" t="s">
        <v>16862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8" t="s">
        <v>17480</v>
      </c>
      <c r="E707" s="8" t="s">
        <v>1274</v>
      </c>
      <c r="F707" s="8"/>
      <c r="H707" s="8"/>
      <c r="I707" s="8" t="s">
        <v>16863</v>
      </c>
      <c r="J707" s="8" t="s">
        <v>12007</v>
      </c>
      <c r="K707" t="s">
        <v>16864</v>
      </c>
      <c r="L707" t="s">
        <v>16865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8" t="s">
        <v>17480</v>
      </c>
      <c r="E708" s="8" t="s">
        <v>1274</v>
      </c>
      <c r="F708" s="8"/>
      <c r="H708" s="8"/>
      <c r="I708" s="8" t="s">
        <v>16866</v>
      </c>
      <c r="J708" s="8" t="s">
        <v>12007</v>
      </c>
      <c r="K708" t="s">
        <v>16867</v>
      </c>
      <c r="L708" t="s">
        <v>16868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8" t="s">
        <v>17480</v>
      </c>
      <c r="E709" s="8" t="s">
        <v>1274</v>
      </c>
      <c r="F709" s="8"/>
      <c r="H709" s="8"/>
      <c r="I709" s="8" t="s">
        <v>16869</v>
      </c>
      <c r="J709" s="8" t="s">
        <v>12007</v>
      </c>
      <c r="K709" t="s">
        <v>16870</v>
      </c>
      <c r="L709" t="s">
        <v>16871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8" t="s">
        <v>17480</v>
      </c>
      <c r="E710" s="8" t="s">
        <v>1274</v>
      </c>
      <c r="F710" s="8"/>
      <c r="H710" s="8"/>
      <c r="I710" s="8" t="s">
        <v>16872</v>
      </c>
      <c r="J710" s="8" t="s">
        <v>12007</v>
      </c>
      <c r="K710" t="s">
        <v>16873</v>
      </c>
      <c r="L710" t="s">
        <v>16874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8" t="s">
        <v>4</v>
      </c>
      <c r="E711" s="8" t="s">
        <v>8</v>
      </c>
      <c r="F711" s="8"/>
      <c r="H711" s="8"/>
      <c r="I711" s="8" t="s">
        <v>16875</v>
      </c>
      <c r="J711" s="8" t="s">
        <v>12007</v>
      </c>
      <c r="K711" t="s">
        <v>16876</v>
      </c>
      <c r="L711" t="s">
        <v>16877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8" t="s">
        <v>4</v>
      </c>
      <c r="E712" s="8" t="s">
        <v>8</v>
      </c>
      <c r="F712" s="8"/>
      <c r="H712" s="8"/>
      <c r="I712" s="8" t="s">
        <v>17631</v>
      </c>
      <c r="J712" s="8" t="s">
        <v>12007</v>
      </c>
      <c r="K712" t="s">
        <v>17632</v>
      </c>
      <c r="L712" t="s">
        <v>17633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8" t="s">
        <v>16677</v>
      </c>
      <c r="E713" s="8" t="s">
        <v>1274</v>
      </c>
      <c r="F713" s="8"/>
      <c r="H713" s="8"/>
      <c r="I713" s="8" t="s">
        <v>17634</v>
      </c>
      <c r="J713" s="8" t="s">
        <v>12007</v>
      </c>
      <c r="K713" t="s">
        <v>17635</v>
      </c>
      <c r="L713" t="s">
        <v>17636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8" t="s">
        <v>1273</v>
      </c>
      <c r="E714" s="8" t="s">
        <v>70</v>
      </c>
      <c r="F714" s="8"/>
      <c r="H714" s="8" t="s">
        <v>17907</v>
      </c>
      <c r="I714" s="8" t="s">
        <v>17637</v>
      </c>
      <c r="J714" s="8" t="s">
        <v>12007</v>
      </c>
      <c r="K714" t="s">
        <v>17638</v>
      </c>
      <c r="L714" t="s">
        <v>17639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8" t="s">
        <v>10572</v>
      </c>
      <c r="E715" s="8" t="s">
        <v>70</v>
      </c>
      <c r="F715" s="8"/>
      <c r="H715" s="8"/>
      <c r="I715" s="8" t="s">
        <v>17640</v>
      </c>
      <c r="J715" s="8" t="s">
        <v>12007</v>
      </c>
      <c r="K715" t="s">
        <v>17641</v>
      </c>
      <c r="L715" t="s">
        <v>17642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8" t="s">
        <v>4</v>
      </c>
      <c r="E716" s="8" t="s">
        <v>70</v>
      </c>
      <c r="F716" s="8"/>
      <c r="H716" s="8" t="s">
        <v>17908</v>
      </c>
      <c r="I716" s="8" t="s">
        <v>17643</v>
      </c>
      <c r="J716" s="8" t="s">
        <v>12007</v>
      </c>
      <c r="K716" t="s">
        <v>17644</v>
      </c>
      <c r="L716" t="s">
        <v>17645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8" t="s">
        <v>10572</v>
      </c>
      <c r="E717" s="8" t="s">
        <v>70</v>
      </c>
      <c r="F717" s="8"/>
      <c r="H717" s="8"/>
      <c r="I717" s="8" t="s">
        <v>17646</v>
      </c>
      <c r="J717" s="8" t="s">
        <v>12007</v>
      </c>
      <c r="K717" t="s">
        <v>17647</v>
      </c>
      <c r="L717" t="s">
        <v>17648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8" t="s">
        <v>4</v>
      </c>
      <c r="E718" s="8" t="s">
        <v>70</v>
      </c>
      <c r="F718" s="8"/>
      <c r="H718" s="8" t="s">
        <v>17908</v>
      </c>
      <c r="I718" s="8" t="s">
        <v>17649</v>
      </c>
      <c r="J718" s="8" t="s">
        <v>12007</v>
      </c>
      <c r="K718" t="s">
        <v>17650</v>
      </c>
      <c r="L718" t="s">
        <v>17651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8" t="s">
        <v>4</v>
      </c>
      <c r="E719" s="8" t="s">
        <v>7068</v>
      </c>
      <c r="F719" s="8"/>
      <c r="H719" s="8"/>
      <c r="I719" s="8" t="s">
        <v>17652</v>
      </c>
      <c r="J719" s="8" t="s">
        <v>12007</v>
      </c>
      <c r="K719" t="s">
        <v>17653</v>
      </c>
      <c r="L719" t="s">
        <v>17654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8" t="s">
        <v>17910</v>
      </c>
      <c r="E720" s="8"/>
      <c r="F720" s="8"/>
      <c r="H720" s="8"/>
      <c r="I720" s="8" t="s">
        <v>17655</v>
      </c>
      <c r="J720" s="8" t="s">
        <v>12007</v>
      </c>
      <c r="K720" t="s">
        <v>17656</v>
      </c>
      <c r="L720" t="s">
        <v>17657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8" t="s">
        <v>4</v>
      </c>
      <c r="E721" s="8" t="s">
        <v>8</v>
      </c>
      <c r="F721" s="8"/>
      <c r="H721" s="8"/>
      <c r="I721" s="8" t="s">
        <v>17658</v>
      </c>
      <c r="J721" s="8" t="s">
        <v>12007</v>
      </c>
      <c r="K721" t="s">
        <v>17659</v>
      </c>
      <c r="L721" t="s">
        <v>17660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8" t="s">
        <v>4</v>
      </c>
      <c r="E722" s="8" t="s">
        <v>18349</v>
      </c>
      <c r="F722" s="8"/>
      <c r="H722" s="8"/>
      <c r="I722" s="8" t="s">
        <v>18157</v>
      </c>
      <c r="J722" s="8" t="s">
        <v>12007</v>
      </c>
      <c r="K722" t="s">
        <v>18158</v>
      </c>
      <c r="L722" t="s">
        <v>18159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8" t="s">
        <v>4</v>
      </c>
      <c r="E723" s="8" t="s">
        <v>18350</v>
      </c>
      <c r="F723" s="8"/>
      <c r="H723" s="8"/>
      <c r="I723" s="8" t="s">
        <v>18160</v>
      </c>
      <c r="J723" s="8" t="s">
        <v>12007</v>
      </c>
      <c r="K723" t="s">
        <v>18161</v>
      </c>
      <c r="L723" t="s">
        <v>18162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8" t="s">
        <v>4</v>
      </c>
      <c r="E724" s="8" t="s">
        <v>18350</v>
      </c>
      <c r="F724" s="8"/>
      <c r="H724" s="8"/>
      <c r="I724" s="8" t="s">
        <v>18163</v>
      </c>
      <c r="J724" s="8" t="s">
        <v>12007</v>
      </c>
      <c r="K724" t="s">
        <v>18164</v>
      </c>
      <c r="L724" t="s">
        <v>18165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8" t="s">
        <v>7354</v>
      </c>
      <c r="E725" s="8" t="s">
        <v>468</v>
      </c>
      <c r="F725" s="8"/>
      <c r="H725" s="8"/>
      <c r="I725" s="8" t="s">
        <v>18166</v>
      </c>
      <c r="J725" s="8" t="s">
        <v>12007</v>
      </c>
      <c r="K725" t="s">
        <v>18167</v>
      </c>
      <c r="L725" t="s">
        <v>18168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8" t="s">
        <v>7354</v>
      </c>
      <c r="E726" s="8" t="s">
        <v>468</v>
      </c>
      <c r="F726" s="8"/>
      <c r="H726" s="8"/>
      <c r="I726" s="8" t="s">
        <v>18169</v>
      </c>
      <c r="J726" s="8" t="s">
        <v>12007</v>
      </c>
      <c r="K726" t="s">
        <v>18170</v>
      </c>
      <c r="L726" t="s">
        <v>18171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8" t="s">
        <v>7354</v>
      </c>
      <c r="E727" s="8" t="s">
        <v>468</v>
      </c>
      <c r="F727" s="8"/>
      <c r="H727" s="8"/>
      <c r="I727" s="8" t="s">
        <v>18172</v>
      </c>
      <c r="J727" s="8" t="s">
        <v>12007</v>
      </c>
      <c r="K727" t="s">
        <v>18173</v>
      </c>
      <c r="L727" t="s">
        <v>18174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8" t="s">
        <v>7354</v>
      </c>
      <c r="E728" s="8" t="s">
        <v>468</v>
      </c>
      <c r="F728" s="8"/>
      <c r="H728" s="8"/>
      <c r="I728" s="8" t="s">
        <v>18175</v>
      </c>
      <c r="J728" s="8" t="s">
        <v>12007</v>
      </c>
      <c r="K728" t="s">
        <v>18176</v>
      </c>
      <c r="L728" t="s">
        <v>18177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8" t="s">
        <v>7354</v>
      </c>
      <c r="E729" s="8" t="s">
        <v>468</v>
      </c>
      <c r="F729" s="8"/>
      <c r="H729" s="8"/>
      <c r="I729" s="8" t="s">
        <v>18178</v>
      </c>
      <c r="J729" s="8" t="s">
        <v>12007</v>
      </c>
      <c r="K729" t="s">
        <v>18179</v>
      </c>
      <c r="L729" t="s">
        <v>18180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8" t="s">
        <v>7354</v>
      </c>
      <c r="E730" s="8" t="s">
        <v>468</v>
      </c>
      <c r="F730" s="8"/>
      <c r="H730" s="8"/>
      <c r="I730" s="8" t="s">
        <v>18181</v>
      </c>
      <c r="J730" s="8" t="s">
        <v>12007</v>
      </c>
      <c r="K730" t="s">
        <v>18182</v>
      </c>
      <c r="L730" t="s">
        <v>18183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8" t="s">
        <v>7354</v>
      </c>
      <c r="E731" s="8" t="s">
        <v>468</v>
      </c>
      <c r="F731" s="8"/>
      <c r="H731" s="8"/>
      <c r="I731" s="8" t="s">
        <v>18184</v>
      </c>
      <c r="J731" s="8" t="s">
        <v>12007</v>
      </c>
      <c r="K731" t="s">
        <v>18185</v>
      </c>
      <c r="L731" t="s">
        <v>18186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8" t="s">
        <v>7354</v>
      </c>
      <c r="E732" s="8" t="s">
        <v>468</v>
      </c>
      <c r="F732" s="8"/>
      <c r="H732" s="8"/>
      <c r="I732" s="8" t="s">
        <v>18187</v>
      </c>
      <c r="J732" s="8" t="s">
        <v>12007</v>
      </c>
      <c r="K732" t="s">
        <v>18188</v>
      </c>
      <c r="L732" t="s">
        <v>18189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8" t="s">
        <v>7354</v>
      </c>
      <c r="E733" s="8" t="s">
        <v>468</v>
      </c>
      <c r="F733" s="8"/>
      <c r="H733" s="8"/>
      <c r="I733" s="8" t="s">
        <v>18190</v>
      </c>
      <c r="J733" s="8" t="s">
        <v>12007</v>
      </c>
      <c r="K733" t="s">
        <v>18191</v>
      </c>
      <c r="L733" t="s">
        <v>18192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8" t="s">
        <v>7354</v>
      </c>
      <c r="E734" s="8" t="s">
        <v>468</v>
      </c>
      <c r="F734" s="8"/>
      <c r="H734" s="8"/>
      <c r="I734" s="8" t="s">
        <v>18193</v>
      </c>
      <c r="J734" s="8" t="s">
        <v>12007</v>
      </c>
      <c r="K734" t="s">
        <v>18194</v>
      </c>
      <c r="L734" t="s">
        <v>18195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8" t="s">
        <v>4</v>
      </c>
      <c r="E735" s="8" t="s">
        <v>8</v>
      </c>
      <c r="F735" s="8"/>
      <c r="H735" s="8"/>
      <c r="I735" s="8" t="s">
        <v>18196</v>
      </c>
      <c r="J735" s="8" t="s">
        <v>12007</v>
      </c>
      <c r="K735" t="s">
        <v>18197</v>
      </c>
      <c r="L735" t="s">
        <v>18198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8" t="s">
        <v>7354</v>
      </c>
      <c r="E736" s="8" t="s">
        <v>468</v>
      </c>
      <c r="F736" s="8"/>
      <c r="H736" s="8"/>
      <c r="I736" s="8" t="s">
        <v>18199</v>
      </c>
      <c r="J736" s="8" t="s">
        <v>12007</v>
      </c>
      <c r="K736" t="s">
        <v>18200</v>
      </c>
      <c r="L736" t="s">
        <v>18201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8" t="s">
        <v>7354</v>
      </c>
      <c r="E737" s="8" t="s">
        <v>468</v>
      </c>
      <c r="F737" s="8"/>
      <c r="H737" s="8"/>
      <c r="I737" s="8" t="s">
        <v>18202</v>
      </c>
      <c r="J737" s="8" t="s">
        <v>12007</v>
      </c>
      <c r="K737" t="s">
        <v>18203</v>
      </c>
      <c r="L737" t="s">
        <v>18204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8" t="s">
        <v>7354</v>
      </c>
      <c r="E738" s="8" t="s">
        <v>468</v>
      </c>
      <c r="F738" s="8"/>
      <c r="H738" s="8"/>
      <c r="I738" s="8" t="s">
        <v>18205</v>
      </c>
      <c r="J738" s="8" t="s">
        <v>12007</v>
      </c>
      <c r="K738" t="s">
        <v>18206</v>
      </c>
      <c r="L738" t="s">
        <v>18207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8" t="s">
        <v>7354</v>
      </c>
      <c r="E739" s="8" t="s">
        <v>468</v>
      </c>
      <c r="F739" s="8"/>
      <c r="H739" s="8"/>
      <c r="I739" s="8" t="s">
        <v>18208</v>
      </c>
      <c r="J739" s="8" t="s">
        <v>12007</v>
      </c>
      <c r="K739" t="s">
        <v>18209</v>
      </c>
      <c r="L739" t="s">
        <v>18210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8" t="s">
        <v>4</v>
      </c>
      <c r="E740" s="8" t="s">
        <v>8</v>
      </c>
      <c r="F740" s="8"/>
      <c r="H740" s="8"/>
      <c r="I740" s="8" t="s">
        <v>18211</v>
      </c>
      <c r="J740" s="8" t="s">
        <v>12007</v>
      </c>
      <c r="K740" t="s">
        <v>18212</v>
      </c>
      <c r="L740" t="s">
        <v>18213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s="8" t="s">
        <v>4</v>
      </c>
      <c r="E741" s="8" t="s">
        <v>8</v>
      </c>
      <c r="F741" s="8"/>
      <c r="H741" s="8"/>
      <c r="I741" s="8" t="s">
        <v>18522</v>
      </c>
      <c r="J741" s="8" t="s">
        <v>12007</v>
      </c>
      <c r="K741" t="s">
        <v>18523</v>
      </c>
      <c r="L741" t="s">
        <v>18524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s="8" t="s">
        <v>7354</v>
      </c>
      <c r="E742" s="8" t="s">
        <v>468</v>
      </c>
      <c r="F742" s="8"/>
      <c r="H742" s="8"/>
      <c r="I742" s="8" t="s">
        <v>18525</v>
      </c>
      <c r="J742" s="8" t="s">
        <v>12007</v>
      </c>
      <c r="K742" t="s">
        <v>18526</v>
      </c>
      <c r="L742" t="s">
        <v>18527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s="8" t="s">
        <v>7354</v>
      </c>
      <c r="E743" s="8" t="s">
        <v>468</v>
      </c>
      <c r="F743" s="8"/>
      <c r="H743" s="8"/>
      <c r="I743" s="8" t="s">
        <v>18528</v>
      </c>
      <c r="J743" s="8" t="s">
        <v>12007</v>
      </c>
      <c r="K743" t="s">
        <v>18529</v>
      </c>
      <c r="L743" t="s">
        <v>18530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s="8" t="s">
        <v>7354</v>
      </c>
      <c r="E744" s="8" t="s">
        <v>468</v>
      </c>
      <c r="F744" s="8"/>
      <c r="H744" s="8"/>
      <c r="I744" s="8" t="s">
        <v>18531</v>
      </c>
      <c r="J744" s="8" t="s">
        <v>12007</v>
      </c>
      <c r="K744" t="s">
        <v>18532</v>
      </c>
      <c r="L744" t="s">
        <v>18533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s="8" t="s">
        <v>4</v>
      </c>
      <c r="E745" s="8" t="s">
        <v>468</v>
      </c>
      <c r="F745" s="8"/>
      <c r="H745" s="8"/>
      <c r="I745" s="8" t="s">
        <v>18534</v>
      </c>
      <c r="J745" s="8" t="s">
        <v>12007</v>
      </c>
      <c r="K745" t="s">
        <v>18535</v>
      </c>
      <c r="L745" t="s">
        <v>18536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s="8" t="s">
        <v>7354</v>
      </c>
      <c r="E746" s="8" t="s">
        <v>468</v>
      </c>
      <c r="F746" s="8"/>
      <c r="H746" s="8"/>
      <c r="I746" s="8" t="s">
        <v>18537</v>
      </c>
      <c r="J746" s="8" t="s">
        <v>12007</v>
      </c>
      <c r="K746" t="s">
        <v>18538</v>
      </c>
      <c r="L746" t="s">
        <v>18539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s="8" t="s">
        <v>18880</v>
      </c>
      <c r="E747" s="8" t="s">
        <v>468</v>
      </c>
      <c r="F747" s="8"/>
      <c r="H747" s="8"/>
      <c r="I747" s="8" t="s">
        <v>18540</v>
      </c>
      <c r="J747" s="8" t="s">
        <v>12007</v>
      </c>
      <c r="K747" t="s">
        <v>18541</v>
      </c>
      <c r="L747" t="s">
        <v>18542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s="8" t="s">
        <v>18881</v>
      </c>
      <c r="E748" s="8" t="s">
        <v>468</v>
      </c>
      <c r="F748" s="8"/>
      <c r="H748" s="8"/>
      <c r="I748" s="8" t="s">
        <v>18543</v>
      </c>
      <c r="J748" s="8" t="s">
        <v>12007</v>
      </c>
      <c r="K748" t="s">
        <v>18544</v>
      </c>
      <c r="L748" t="s">
        <v>18545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s="8" t="s">
        <v>226</v>
      </c>
      <c r="E749" s="8" t="s">
        <v>18882</v>
      </c>
      <c r="F749" s="8" t="s">
        <v>53</v>
      </c>
      <c r="G749">
        <v>1</v>
      </c>
      <c r="H749" s="8"/>
      <c r="I749" s="8" t="s">
        <v>18546</v>
      </c>
      <c r="J749" s="8" t="s">
        <v>12007</v>
      </c>
      <c r="K749" t="s">
        <v>18547</v>
      </c>
      <c r="L749" t="s">
        <v>18548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s="8" t="s">
        <v>226</v>
      </c>
      <c r="E750" s="8" t="s">
        <v>18882</v>
      </c>
      <c r="F750" s="8" t="s">
        <v>53</v>
      </c>
      <c r="G750">
        <v>1</v>
      </c>
      <c r="H750" s="8"/>
      <c r="I750" s="8" t="s">
        <v>18549</v>
      </c>
      <c r="J750" s="8" t="s">
        <v>12007</v>
      </c>
      <c r="K750" t="s">
        <v>18550</v>
      </c>
      <c r="L750" t="s">
        <v>18551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s="8" t="s">
        <v>226</v>
      </c>
      <c r="E751" s="8" t="s">
        <v>18882</v>
      </c>
      <c r="F751" s="8" t="s">
        <v>53</v>
      </c>
      <c r="G751">
        <v>1</v>
      </c>
      <c r="H751" s="8"/>
      <c r="I751" s="8" t="s">
        <v>18552</v>
      </c>
      <c r="J751" s="8" t="s">
        <v>12007</v>
      </c>
      <c r="K751" t="s">
        <v>18553</v>
      </c>
      <c r="L751" t="s">
        <v>18554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s="8" t="s">
        <v>226</v>
      </c>
      <c r="E752" s="8" t="s">
        <v>18882</v>
      </c>
      <c r="F752" s="8" t="s">
        <v>53</v>
      </c>
      <c r="G752">
        <v>1</v>
      </c>
      <c r="H752" s="8"/>
      <c r="I752" s="8" t="s">
        <v>18555</v>
      </c>
      <c r="J752" s="8" t="s">
        <v>12007</v>
      </c>
      <c r="K752" t="s">
        <v>18556</v>
      </c>
      <c r="L752" t="s">
        <v>18557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s="8" t="s">
        <v>587</v>
      </c>
      <c r="E753" s="8" t="s">
        <v>18882</v>
      </c>
      <c r="F753" s="8" t="s">
        <v>53</v>
      </c>
      <c r="G753">
        <v>4</v>
      </c>
      <c r="H753" s="8"/>
      <c r="I753" s="8" t="s">
        <v>18558</v>
      </c>
      <c r="J753" s="8" t="s">
        <v>12007</v>
      </c>
      <c r="K753" t="s">
        <v>18559</v>
      </c>
      <c r="L753" t="s">
        <v>18560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s="8" t="s">
        <v>1273</v>
      </c>
      <c r="E754" s="8" t="s">
        <v>3356</v>
      </c>
      <c r="F754" s="8"/>
      <c r="H754" s="8"/>
      <c r="I754" s="8" t="s">
        <v>18561</v>
      </c>
      <c r="J754" s="8" t="s">
        <v>12007</v>
      </c>
      <c r="K754" t="s">
        <v>18562</v>
      </c>
      <c r="L754" t="s">
        <v>18563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s="8" t="s">
        <v>226</v>
      </c>
      <c r="E755" s="8" t="s">
        <v>3356</v>
      </c>
      <c r="F755" s="8" t="s">
        <v>53</v>
      </c>
      <c r="H755" s="8"/>
      <c r="I755" s="8" t="s">
        <v>18564</v>
      </c>
      <c r="J755" s="8" t="s">
        <v>12007</v>
      </c>
      <c r="K755" t="s">
        <v>18565</v>
      </c>
      <c r="L755" t="s">
        <v>18566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s="8" t="s">
        <v>226</v>
      </c>
      <c r="E756" s="8" t="s">
        <v>3356</v>
      </c>
      <c r="F756" s="8" t="s">
        <v>53</v>
      </c>
      <c r="H756" s="8"/>
      <c r="I756" s="8" t="s">
        <v>18567</v>
      </c>
      <c r="J756" s="8" t="s">
        <v>12007</v>
      </c>
      <c r="K756" t="s">
        <v>18568</v>
      </c>
      <c r="L756" t="s">
        <v>18569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s="8" t="s">
        <v>226</v>
      </c>
      <c r="E757" s="8" t="s">
        <v>3356</v>
      </c>
      <c r="F757" s="8" t="s">
        <v>53</v>
      </c>
      <c r="H757" s="8"/>
      <c r="I757" s="8" t="s">
        <v>18570</v>
      </c>
      <c r="J757" s="8" t="s">
        <v>12007</v>
      </c>
      <c r="K757" t="s">
        <v>18571</v>
      </c>
      <c r="L757" t="s">
        <v>18572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s="8" t="s">
        <v>226</v>
      </c>
      <c r="E758" s="8" t="s">
        <v>3356</v>
      </c>
      <c r="F758" s="8" t="s">
        <v>53</v>
      </c>
      <c r="H758" s="8"/>
      <c r="I758" s="8" t="s">
        <v>18573</v>
      </c>
      <c r="J758" s="8" t="s">
        <v>12007</v>
      </c>
      <c r="K758" t="s">
        <v>18574</v>
      </c>
      <c r="L758" t="s">
        <v>18575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s="8" t="s">
        <v>226</v>
      </c>
      <c r="E759" s="8" t="s">
        <v>3356</v>
      </c>
      <c r="F759" s="8" t="s">
        <v>53</v>
      </c>
      <c r="H759" s="8"/>
      <c r="I759" s="8" t="s">
        <v>18576</v>
      </c>
      <c r="J759" s="8" t="s">
        <v>12007</v>
      </c>
      <c r="K759" t="s">
        <v>18577</v>
      </c>
      <c r="L759" t="s">
        <v>18578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s="8" t="s">
        <v>226</v>
      </c>
      <c r="E760" s="8" t="s">
        <v>3356</v>
      </c>
      <c r="F760" s="8" t="s">
        <v>53</v>
      </c>
      <c r="H760" s="8"/>
      <c r="I760" s="8" t="s">
        <v>18579</v>
      </c>
      <c r="J760" s="8" t="s">
        <v>12007</v>
      </c>
      <c r="K760" t="s">
        <v>18580</v>
      </c>
      <c r="L760" t="s">
        <v>18581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s="8" t="s">
        <v>226</v>
      </c>
      <c r="E761" s="8" t="s">
        <v>3356</v>
      </c>
      <c r="F761" s="8" t="s">
        <v>53</v>
      </c>
      <c r="H761" s="8"/>
      <c r="I761" s="8" t="s">
        <v>18582</v>
      </c>
      <c r="J761" s="8" t="s">
        <v>12007</v>
      </c>
      <c r="K761" t="s">
        <v>18583</v>
      </c>
      <c r="L761" t="s">
        <v>18584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s="8" t="s">
        <v>226</v>
      </c>
      <c r="E762" s="8" t="s">
        <v>3356</v>
      </c>
      <c r="F762" s="8" t="s">
        <v>53</v>
      </c>
      <c r="H762" s="8"/>
      <c r="I762" s="8" t="s">
        <v>18585</v>
      </c>
      <c r="J762" s="8" t="s">
        <v>12007</v>
      </c>
      <c r="K762" t="s">
        <v>18586</v>
      </c>
      <c r="L762" t="s">
        <v>18587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s="8" t="s">
        <v>226</v>
      </c>
      <c r="E763" s="8" t="s">
        <v>3356</v>
      </c>
      <c r="F763" s="8" t="s">
        <v>53</v>
      </c>
      <c r="H763" s="8"/>
      <c r="I763" s="8" t="s">
        <v>18588</v>
      </c>
      <c r="J763" s="8" t="s">
        <v>12007</v>
      </c>
      <c r="K763" t="s">
        <v>18589</v>
      </c>
      <c r="L763" t="s">
        <v>18590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s="8" t="s">
        <v>587</v>
      </c>
      <c r="E764" s="8" t="s">
        <v>3356</v>
      </c>
      <c r="F764" s="8" t="s">
        <v>53</v>
      </c>
      <c r="G764">
        <v>16</v>
      </c>
      <c r="H764" s="8"/>
      <c r="I764" s="8" t="s">
        <v>18591</v>
      </c>
      <c r="J764" s="8" t="s">
        <v>12007</v>
      </c>
      <c r="K764" t="s">
        <v>18592</v>
      </c>
      <c r="L764" t="s">
        <v>18593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s="8" t="s">
        <v>4</v>
      </c>
      <c r="E765" s="8" t="s">
        <v>468</v>
      </c>
      <c r="F765" s="8"/>
      <c r="H765" s="8"/>
      <c r="I765" s="8" t="s">
        <v>18594</v>
      </c>
      <c r="J765" s="8" t="s">
        <v>12007</v>
      </c>
      <c r="K765" t="s">
        <v>18595</v>
      </c>
      <c r="L765" t="s">
        <v>18596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s="8" t="s">
        <v>4</v>
      </c>
      <c r="E766" s="8" t="s">
        <v>468</v>
      </c>
      <c r="F766" s="8"/>
      <c r="H766" s="8"/>
      <c r="I766" s="8" t="s">
        <v>18597</v>
      </c>
      <c r="J766" s="8" t="s">
        <v>12007</v>
      </c>
      <c r="K766" t="s">
        <v>18598</v>
      </c>
      <c r="L766" t="s">
        <v>18599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s="8" t="s">
        <v>7354</v>
      </c>
      <c r="E767" s="8" t="s">
        <v>468</v>
      </c>
      <c r="F767" s="8"/>
      <c r="H767" s="8"/>
      <c r="I767" s="8" t="s">
        <v>18600</v>
      </c>
      <c r="J767" s="8" t="s">
        <v>12007</v>
      </c>
      <c r="K767" t="s">
        <v>18601</v>
      </c>
      <c r="L767" t="s">
        <v>18602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s="8" t="s">
        <v>7354</v>
      </c>
      <c r="E768" s="8" t="s">
        <v>468</v>
      </c>
      <c r="F768" s="8"/>
      <c r="H768" s="8"/>
      <c r="I768" s="8" t="s">
        <v>18603</v>
      </c>
      <c r="J768" s="8" t="s">
        <v>12007</v>
      </c>
      <c r="K768" t="s">
        <v>18604</v>
      </c>
      <c r="L768" t="s">
        <v>18605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s="8" t="s">
        <v>7354</v>
      </c>
      <c r="E769" s="8" t="s">
        <v>468</v>
      </c>
      <c r="F769" s="8"/>
      <c r="H769" s="8"/>
      <c r="I769" s="8" t="s">
        <v>18606</v>
      </c>
      <c r="J769" s="8" t="s">
        <v>12007</v>
      </c>
      <c r="K769" t="s">
        <v>18607</v>
      </c>
      <c r="L769" t="s">
        <v>18608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s="8" t="s">
        <v>4</v>
      </c>
      <c r="E770" s="8" t="s">
        <v>468</v>
      </c>
      <c r="F770" s="8"/>
      <c r="H770" s="8"/>
      <c r="I770" s="8" t="s">
        <v>18609</v>
      </c>
      <c r="J770" s="8" t="s">
        <v>12007</v>
      </c>
      <c r="K770" t="s">
        <v>18610</v>
      </c>
      <c r="L770" t="s">
        <v>18611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s="8" t="s">
        <v>7354</v>
      </c>
      <c r="E771" s="8" t="s">
        <v>468</v>
      </c>
      <c r="F771" s="8"/>
      <c r="H771" s="8"/>
      <c r="I771" s="8" t="s">
        <v>18612</v>
      </c>
      <c r="J771" s="8" t="s">
        <v>12007</v>
      </c>
      <c r="K771" t="s">
        <v>18613</v>
      </c>
      <c r="L771" t="s">
        <v>18614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s="8" t="s">
        <v>7354</v>
      </c>
      <c r="E772" s="8" t="s">
        <v>468</v>
      </c>
      <c r="F772" s="8"/>
      <c r="H772" s="8"/>
      <c r="I772" s="8" t="s">
        <v>18615</v>
      </c>
      <c r="J772" s="8" t="s">
        <v>12007</v>
      </c>
      <c r="K772" t="s">
        <v>18616</v>
      </c>
      <c r="L772" t="s">
        <v>18617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s="8" t="s">
        <v>7354</v>
      </c>
      <c r="E773" s="8" t="s">
        <v>468</v>
      </c>
      <c r="F773" s="8"/>
      <c r="H773" s="8"/>
      <c r="I773" s="8" t="s">
        <v>18618</v>
      </c>
      <c r="J773" s="8" t="s">
        <v>12007</v>
      </c>
      <c r="K773" t="s">
        <v>18619</v>
      </c>
      <c r="L773" t="s">
        <v>18620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s="8" t="s">
        <v>4</v>
      </c>
      <c r="E774" s="8" t="s">
        <v>8</v>
      </c>
      <c r="F774" s="8"/>
      <c r="H774" s="8"/>
      <c r="I774" s="8" t="s">
        <v>18621</v>
      </c>
      <c r="J774" s="8" t="s">
        <v>12007</v>
      </c>
      <c r="K774" t="s">
        <v>18622</v>
      </c>
      <c r="L774" t="s">
        <v>18623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s="8" t="s">
        <v>1607</v>
      </c>
      <c r="E775" s="8" t="s">
        <v>8</v>
      </c>
      <c r="F775" s="8"/>
      <c r="H775" s="8"/>
      <c r="I775" s="8" t="s">
        <v>18624</v>
      </c>
      <c r="J775" s="8" t="s">
        <v>12007</v>
      </c>
      <c r="K775" t="s">
        <v>18625</v>
      </c>
      <c r="L775" t="s">
        <v>18626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s="8" t="s">
        <v>1607</v>
      </c>
      <c r="E776" s="8" t="s">
        <v>8</v>
      </c>
      <c r="F776" s="8"/>
      <c r="H776" s="8"/>
      <c r="I776" s="8" t="s">
        <v>18627</v>
      </c>
      <c r="J776" s="8" t="s">
        <v>12007</v>
      </c>
      <c r="K776" t="s">
        <v>18628</v>
      </c>
      <c r="L776" t="s">
        <v>18629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s="8" t="s">
        <v>4</v>
      </c>
      <c r="E777" s="8" t="s">
        <v>8</v>
      </c>
      <c r="F777" s="8"/>
      <c r="H777" s="8"/>
      <c r="I777" s="8" t="s">
        <v>19189</v>
      </c>
      <c r="J777" s="8" t="s">
        <v>12007</v>
      </c>
      <c r="K777" t="s">
        <v>19190</v>
      </c>
      <c r="L777" t="s">
        <v>19191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s="8" t="s">
        <v>1273</v>
      </c>
      <c r="E778" s="8" t="s">
        <v>70</v>
      </c>
      <c r="F778" s="8"/>
      <c r="H778" s="8"/>
      <c r="I778" s="8" t="s">
        <v>19192</v>
      </c>
      <c r="J778" s="8" t="s">
        <v>12007</v>
      </c>
      <c r="K778" t="s">
        <v>19193</v>
      </c>
      <c r="L778" t="s">
        <v>19194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s="8" t="s">
        <v>227</v>
      </c>
      <c r="E779" s="8" t="s">
        <v>70</v>
      </c>
      <c r="F779" s="8" t="s">
        <v>18883</v>
      </c>
      <c r="H779" s="8"/>
      <c r="I779" s="8" t="s">
        <v>19195</v>
      </c>
      <c r="J779" s="8" t="s">
        <v>12007</v>
      </c>
      <c r="K779" t="s">
        <v>19196</v>
      </c>
      <c r="L779" t="s">
        <v>19197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s="8" t="s">
        <v>227</v>
      </c>
      <c r="E780" s="8" t="s">
        <v>70</v>
      </c>
      <c r="F780" s="8" t="s">
        <v>18883</v>
      </c>
      <c r="H780" s="8" t="s">
        <v>2352</v>
      </c>
      <c r="I780" s="8" t="s">
        <v>19198</v>
      </c>
      <c r="J780" s="8" t="s">
        <v>12007</v>
      </c>
      <c r="K780" t="s">
        <v>19199</v>
      </c>
      <c r="L780" t="s">
        <v>19200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s="8" t="s">
        <v>227</v>
      </c>
      <c r="E781" s="8" t="s">
        <v>70</v>
      </c>
      <c r="F781" s="8" t="s">
        <v>18883</v>
      </c>
      <c r="H781" s="8" t="s">
        <v>2352</v>
      </c>
      <c r="I781" s="8" t="s">
        <v>19201</v>
      </c>
      <c r="J781" s="8" t="s">
        <v>12007</v>
      </c>
      <c r="K781" t="s">
        <v>19202</v>
      </c>
      <c r="L781" t="s">
        <v>19203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s="8" t="s">
        <v>227</v>
      </c>
      <c r="E782" s="8" t="s">
        <v>70</v>
      </c>
      <c r="F782" s="8" t="s">
        <v>18883</v>
      </c>
      <c r="H782" s="8" t="s">
        <v>2352</v>
      </c>
      <c r="I782" s="8" t="s">
        <v>19204</v>
      </c>
      <c r="J782" s="8" t="s">
        <v>12007</v>
      </c>
      <c r="K782" t="s">
        <v>19205</v>
      </c>
      <c r="L782" t="s">
        <v>19206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s="8" t="s">
        <v>587</v>
      </c>
      <c r="E783" s="8" t="s">
        <v>70</v>
      </c>
      <c r="F783" s="8"/>
      <c r="H783" s="8"/>
      <c r="I783" s="8" t="s">
        <v>19207</v>
      </c>
      <c r="J783" s="8" t="s">
        <v>12007</v>
      </c>
      <c r="K783" t="s">
        <v>19208</v>
      </c>
      <c r="L783" t="s">
        <v>19209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s="8" t="s">
        <v>226</v>
      </c>
      <c r="E784" s="8" t="s">
        <v>16656</v>
      </c>
      <c r="F784" s="8"/>
      <c r="H784" s="8" t="s">
        <v>4390</v>
      </c>
      <c r="I784" s="8" t="s">
        <v>19210</v>
      </c>
      <c r="J784" s="8" t="s">
        <v>12007</v>
      </c>
      <c r="K784" t="s">
        <v>19211</v>
      </c>
      <c r="L784" t="s">
        <v>19212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s="8" t="s">
        <v>587</v>
      </c>
      <c r="E785" s="8" t="s">
        <v>16656</v>
      </c>
      <c r="F785" s="8" t="s">
        <v>19400</v>
      </c>
      <c r="H785" s="8"/>
      <c r="I785" s="8" t="s">
        <v>19213</v>
      </c>
      <c r="J785" s="8" t="s">
        <v>12007</v>
      </c>
      <c r="K785" t="s">
        <v>19214</v>
      </c>
      <c r="L785" t="s">
        <v>19215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s="8" t="s">
        <v>1273</v>
      </c>
      <c r="E786" s="8" t="s">
        <v>19394</v>
      </c>
      <c r="F786" s="8"/>
      <c r="H786" s="8"/>
      <c r="I786" s="8" t="s">
        <v>19216</v>
      </c>
      <c r="J786" s="8" t="s">
        <v>12007</v>
      </c>
      <c r="K786" t="s">
        <v>19217</v>
      </c>
      <c r="L786" t="s">
        <v>19218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s="8" t="s">
        <v>226</v>
      </c>
      <c r="E787" s="8" t="s">
        <v>19394</v>
      </c>
      <c r="F787" s="8" t="s">
        <v>4233</v>
      </c>
      <c r="H787" s="8"/>
      <c r="I787" s="8" t="s">
        <v>19219</v>
      </c>
      <c r="J787" s="8" t="s">
        <v>12007</v>
      </c>
      <c r="K787" t="s">
        <v>19220</v>
      </c>
      <c r="L787" t="s">
        <v>19221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s="8" t="s">
        <v>587</v>
      </c>
      <c r="E788" s="8" t="s">
        <v>19394</v>
      </c>
      <c r="F788" s="8"/>
      <c r="H788" s="8"/>
      <c r="I788" s="8" t="s">
        <v>19222</v>
      </c>
      <c r="J788" s="8" t="s">
        <v>12007</v>
      </c>
      <c r="K788" t="s">
        <v>19223</v>
      </c>
      <c r="L788" t="s">
        <v>19224</v>
      </c>
      <c r="M788" s="2" t="str">
        <f>HYPERLINK(склад2въезд131920212223[[#This Row],[RelativePath]])</f>
        <v>10 Въезд ангар\GA3948333_6_20260313T195650Z.jpg</v>
      </c>
    </row>
  </sheetData>
  <conditionalFormatting sqref="D789:D799 E789:E802 G2:H788 D2:E788">
    <cfRule type="containsText" dxfId="748" priority="14" operator="containsText" text="Выезд с территории">
      <formula>NOT(ISERROR(SEARCH("Выезд с территории",D2)))</formula>
    </cfRule>
  </conditionalFormatting>
  <conditionalFormatting sqref="F2:F788">
    <cfRule type="notContainsText" dxfId="747" priority="13" operator="notContains" text="порожний">
      <formula>ISERROR(SEARCH("порожний",F2))</formula>
    </cfRule>
  </conditionalFormatting>
  <conditionalFormatting sqref="E2:E802">
    <cfRule type="containsText" dxfId="746" priority="11" operator="containsText" text="Газель базы">
      <formula>NOT(ISERROR(SEARCH("Газель базы",E2)))</formula>
    </cfRule>
    <cfRule type="containsText" dxfId="745" priority="12" operator="containsText" text="Погрузчик базы">
      <formula>NOT(ISERROR(SEARCH("Погрузчик базы",E2)))</formula>
    </cfRule>
  </conditionalFormatting>
  <conditionalFormatting sqref="E2:E802">
    <cfRule type="containsText" dxfId="744" priority="10" operator="containsText" text="Трактор базы">
      <formula>NOT(ISERROR(SEARCH("Трактор базы",E2)))</formula>
    </cfRule>
  </conditionalFormatting>
  <conditionalFormatting sqref="A2:C788">
    <cfRule type="expression" dxfId="743" priority="9">
      <formula>$A2="пн"</formula>
    </cfRule>
  </conditionalFormatting>
  <conditionalFormatting sqref="A2:C790">
    <cfRule type="expression" dxfId="742" priority="3">
      <formula>$A2="вс"</formula>
    </cfRule>
    <cfRule type="expression" dxfId="741" priority="4">
      <formula>$A2="сб"</formula>
    </cfRule>
    <cfRule type="expression" dxfId="740" priority="5">
      <formula>$A2="пт"</formula>
    </cfRule>
    <cfRule type="expression" dxfId="739" priority="6">
      <formula>$A2="чт"</formula>
    </cfRule>
    <cfRule type="expression" dxfId="738" priority="7">
      <formula>$A2="ср"</formula>
    </cfRule>
    <cfRule type="expression" dxfId="737" priority="8">
      <formula>$A2="вт"</formula>
    </cfRule>
  </conditionalFormatting>
  <conditionalFormatting sqref="D2:D799">
    <cfRule type="containsText" dxfId="7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99">
    <cfRule type="containsText" dxfId="7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394"/>
  <sheetViews>
    <sheetView zoomScale="90" zoomScaleNormal="90" workbookViewId="0">
      <pane ySplit="1" topLeftCell="A359" activePane="bottomLeft" state="frozen"/>
      <selection pane="bottomLeft" activeCell="I380" sqref="I380:I3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1294</v>
      </c>
      <c r="J2" s="8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8" t="s">
        <v>137</v>
      </c>
      <c r="E3" s="8" t="s">
        <v>86</v>
      </c>
      <c r="F3" s="8" t="s">
        <v>60</v>
      </c>
      <c r="H3" s="8"/>
      <c r="I3" s="8" t="s">
        <v>1297</v>
      </c>
      <c r="J3" s="8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8" t="s">
        <v>1422</v>
      </c>
      <c r="E4" s="8" t="s">
        <v>86</v>
      </c>
      <c r="F4" s="8" t="s">
        <v>60</v>
      </c>
      <c r="H4" s="8" t="s">
        <v>1421</v>
      </c>
      <c r="I4" s="8" t="s">
        <v>1299</v>
      </c>
      <c r="J4" s="8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8" t="s">
        <v>137</v>
      </c>
      <c r="E5" s="8" t="s">
        <v>86</v>
      </c>
      <c r="F5" s="8" t="s">
        <v>60</v>
      </c>
      <c r="H5" s="8"/>
      <c r="I5" s="8" t="s">
        <v>1301</v>
      </c>
      <c r="J5" s="8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8" t="s">
        <v>1422</v>
      </c>
      <c r="E6" s="8" t="s">
        <v>86</v>
      </c>
      <c r="F6" s="8" t="s">
        <v>60</v>
      </c>
      <c r="H6" s="8"/>
      <c r="I6" s="8" t="s">
        <v>1303</v>
      </c>
      <c r="J6" s="8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8" t="s">
        <v>1422</v>
      </c>
      <c r="E7" s="8" t="s">
        <v>86</v>
      </c>
      <c r="F7" s="8" t="s">
        <v>60</v>
      </c>
      <c r="H7" s="8" t="s">
        <v>1421</v>
      </c>
      <c r="I7" s="8" t="s">
        <v>1305</v>
      </c>
      <c r="J7" s="8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8" t="s">
        <v>1422</v>
      </c>
      <c r="E8" s="8" t="s">
        <v>86</v>
      </c>
      <c r="F8" s="8" t="s">
        <v>60</v>
      </c>
      <c r="H8" s="8"/>
      <c r="I8" s="8" t="s">
        <v>1307</v>
      </c>
      <c r="J8" s="8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8" t="s">
        <v>1422</v>
      </c>
      <c r="E9" s="8" t="s">
        <v>86</v>
      </c>
      <c r="F9" s="8" t="s">
        <v>60</v>
      </c>
      <c r="H9" s="8" t="s">
        <v>1421</v>
      </c>
      <c r="I9" s="8" t="s">
        <v>1309</v>
      </c>
      <c r="J9" s="8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8" t="s">
        <v>137</v>
      </c>
      <c r="E10" s="8" t="s">
        <v>86</v>
      </c>
      <c r="F10" s="8" t="s">
        <v>60</v>
      </c>
      <c r="H10" s="8"/>
      <c r="I10" s="8" t="s">
        <v>1311</v>
      </c>
      <c r="J10" s="8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8" t="s">
        <v>1422</v>
      </c>
      <c r="E11" s="8" t="s">
        <v>86</v>
      </c>
      <c r="F11" s="8" t="s">
        <v>60</v>
      </c>
      <c r="H11" s="8"/>
      <c r="I11" s="8" t="s">
        <v>1313</v>
      </c>
      <c r="J11" s="8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8" t="s">
        <v>1422</v>
      </c>
      <c r="E12" s="8" t="s">
        <v>86</v>
      </c>
      <c r="F12" s="8" t="s">
        <v>60</v>
      </c>
      <c r="H12" s="8" t="s">
        <v>1421</v>
      </c>
      <c r="I12" s="8" t="s">
        <v>1315</v>
      </c>
      <c r="J12" s="8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8" t="s">
        <v>137</v>
      </c>
      <c r="E13" s="8" t="s">
        <v>86</v>
      </c>
      <c r="F13" s="8" t="s">
        <v>60</v>
      </c>
      <c r="H13" s="8"/>
      <c r="I13" s="8" t="s">
        <v>1317</v>
      </c>
      <c r="J13" s="8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8" t="s">
        <v>1422</v>
      </c>
      <c r="E14" s="8" t="s">
        <v>86</v>
      </c>
      <c r="F14" s="8" t="s">
        <v>60</v>
      </c>
      <c r="H14" s="8" t="s">
        <v>1421</v>
      </c>
      <c r="I14" s="8" t="s">
        <v>1319</v>
      </c>
      <c r="J14" s="8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8" t="s">
        <v>137</v>
      </c>
      <c r="E15" s="8" t="s">
        <v>86</v>
      </c>
      <c r="F15" s="8" t="s">
        <v>60</v>
      </c>
      <c r="H15" s="8"/>
      <c r="I15" s="8" t="s">
        <v>1321</v>
      </c>
      <c r="J15" s="8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8" t="s">
        <v>1422</v>
      </c>
      <c r="E16" s="8" t="s">
        <v>86</v>
      </c>
      <c r="F16" s="8" t="s">
        <v>60</v>
      </c>
      <c r="H16" s="8" t="s">
        <v>1421</v>
      </c>
      <c r="I16" s="8" t="s">
        <v>1323</v>
      </c>
      <c r="J16" s="8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8" t="s">
        <v>137</v>
      </c>
      <c r="E17" s="8" t="s">
        <v>86</v>
      </c>
      <c r="F17" s="8" t="s">
        <v>53</v>
      </c>
      <c r="H17" s="8" t="s">
        <v>1421</v>
      </c>
      <c r="I17" s="8" t="s">
        <v>1325</v>
      </c>
      <c r="J17" s="8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8" t="s">
        <v>1273</v>
      </c>
      <c r="E18" s="8" t="s">
        <v>55</v>
      </c>
      <c r="F18" s="8" t="s">
        <v>58</v>
      </c>
      <c r="H18" s="8"/>
      <c r="I18" s="8" t="s">
        <v>1327</v>
      </c>
      <c r="J18" s="8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8" t="s">
        <v>227</v>
      </c>
      <c r="E19" s="8" t="s">
        <v>55</v>
      </c>
      <c r="F19" s="8" t="s">
        <v>58</v>
      </c>
      <c r="H19" s="8"/>
      <c r="I19" s="8" t="s">
        <v>1329</v>
      </c>
      <c r="J19" s="8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8" t="s">
        <v>1423</v>
      </c>
      <c r="E20" s="8" t="s">
        <v>55</v>
      </c>
      <c r="F20" s="8" t="s">
        <v>58</v>
      </c>
      <c r="H20" s="8"/>
      <c r="I20" s="8" t="s">
        <v>1331</v>
      </c>
      <c r="J20" s="8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8" t="s">
        <v>1423</v>
      </c>
      <c r="E21" s="8" t="s">
        <v>55</v>
      </c>
      <c r="F21" s="8" t="s">
        <v>58</v>
      </c>
      <c r="H21" s="8"/>
      <c r="I21" s="8" t="s">
        <v>1333</v>
      </c>
      <c r="J21" s="8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8" t="s">
        <v>1423</v>
      </c>
      <c r="E22" s="8" t="s">
        <v>55</v>
      </c>
      <c r="F22" s="8" t="s">
        <v>58</v>
      </c>
      <c r="H22" s="8"/>
      <c r="I22" s="8" t="s">
        <v>1335</v>
      </c>
      <c r="J22" s="8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8" t="s">
        <v>1423</v>
      </c>
      <c r="E23" s="8" t="s">
        <v>55</v>
      </c>
      <c r="F23" s="8" t="s">
        <v>58</v>
      </c>
      <c r="H23" s="8"/>
      <c r="I23" s="8" t="s">
        <v>1337</v>
      </c>
      <c r="J23" s="8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8" t="s">
        <v>1424</v>
      </c>
      <c r="E24" s="8" t="s">
        <v>55</v>
      </c>
      <c r="F24" s="8"/>
      <c r="H24" s="8"/>
      <c r="I24" s="8" t="s">
        <v>1339</v>
      </c>
      <c r="J24" s="8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8" t="s">
        <v>227</v>
      </c>
      <c r="E25" s="8" t="s">
        <v>55</v>
      </c>
      <c r="F25" s="8" t="s">
        <v>58</v>
      </c>
      <c r="H25" s="8"/>
      <c r="I25" s="8" t="s">
        <v>1341</v>
      </c>
      <c r="J25" s="8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8" t="s">
        <v>1423</v>
      </c>
      <c r="E26" s="8" t="s">
        <v>55</v>
      </c>
      <c r="F26" s="8" t="s">
        <v>58</v>
      </c>
      <c r="H26" s="8"/>
      <c r="I26" s="8" t="s">
        <v>1343</v>
      </c>
      <c r="J26" s="8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8" t="s">
        <v>1423</v>
      </c>
      <c r="E27" s="8" t="s">
        <v>55</v>
      </c>
      <c r="F27" s="8" t="s">
        <v>58</v>
      </c>
      <c r="H27" s="8"/>
      <c r="I27" s="8" t="s">
        <v>1345</v>
      </c>
      <c r="J27" s="8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8" t="s">
        <v>4</v>
      </c>
      <c r="E28" s="8" t="s">
        <v>8</v>
      </c>
      <c r="F28" s="8"/>
      <c r="H28" s="8" t="s">
        <v>1292</v>
      </c>
      <c r="I28" s="8" t="s">
        <v>1347</v>
      </c>
      <c r="J28" s="8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1349</v>
      </c>
      <c r="J29" s="8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8" t="s">
        <v>137</v>
      </c>
      <c r="E30" s="8" t="s">
        <v>86</v>
      </c>
      <c r="F30" s="8" t="s">
        <v>890</v>
      </c>
      <c r="H30" s="8"/>
      <c r="I30" s="8" t="s">
        <v>1351</v>
      </c>
      <c r="J30" s="8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8" t="s">
        <v>1422</v>
      </c>
      <c r="E31" s="8" t="s">
        <v>86</v>
      </c>
      <c r="F31" s="8" t="s">
        <v>890</v>
      </c>
      <c r="H31" s="8" t="s">
        <v>1421</v>
      </c>
      <c r="I31" s="8" t="s">
        <v>1353</v>
      </c>
      <c r="J31" s="8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8" t="s">
        <v>4</v>
      </c>
      <c r="E32" s="8" t="s">
        <v>8</v>
      </c>
      <c r="F32" s="8"/>
      <c r="H32" s="8"/>
      <c r="I32" s="8" t="s">
        <v>1355</v>
      </c>
      <c r="J32" s="8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8" t="s">
        <v>1282</v>
      </c>
      <c r="E33" s="8" t="s">
        <v>86</v>
      </c>
      <c r="F33" s="8" t="s">
        <v>60</v>
      </c>
      <c r="H33" s="8"/>
      <c r="I33" s="8" t="s">
        <v>1357</v>
      </c>
      <c r="J33" s="8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8" t="s">
        <v>1282</v>
      </c>
      <c r="E34" s="8" t="s">
        <v>86</v>
      </c>
      <c r="F34" s="8" t="s">
        <v>60</v>
      </c>
      <c r="H34" s="8"/>
      <c r="I34" s="8" t="s">
        <v>1359</v>
      </c>
      <c r="J34" s="8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8" t="s">
        <v>1282</v>
      </c>
      <c r="E35" s="8" t="s">
        <v>86</v>
      </c>
      <c r="F35" s="8" t="s">
        <v>60</v>
      </c>
      <c r="H35" s="8"/>
      <c r="I35" s="8" t="s">
        <v>1361</v>
      </c>
      <c r="J35" s="8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8" t="s">
        <v>1282</v>
      </c>
      <c r="E36" s="8" t="s">
        <v>86</v>
      </c>
      <c r="F36" s="8" t="s">
        <v>60</v>
      </c>
      <c r="H36" s="8"/>
      <c r="I36" s="8" t="s">
        <v>1363</v>
      </c>
      <c r="J36" s="8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8" t="s">
        <v>1282</v>
      </c>
      <c r="E37" s="8" t="s">
        <v>86</v>
      </c>
      <c r="F37" s="8" t="s">
        <v>60</v>
      </c>
      <c r="H37" s="8"/>
      <c r="I37" s="8" t="s">
        <v>1365</v>
      </c>
      <c r="J37" s="8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8" t="s">
        <v>4</v>
      </c>
      <c r="E38" s="8" t="s">
        <v>8</v>
      </c>
      <c r="F38" s="8"/>
      <c r="H38" s="8"/>
      <c r="I38" s="8" t="s">
        <v>1367</v>
      </c>
      <c r="J38" s="8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8" t="s">
        <v>4</v>
      </c>
      <c r="E39" s="8" t="s">
        <v>8</v>
      </c>
      <c r="F39" s="8"/>
      <c r="H39" s="8" t="s">
        <v>1292</v>
      </c>
      <c r="I39" s="8" t="s">
        <v>1369</v>
      </c>
      <c r="J39" s="8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1371</v>
      </c>
      <c r="J40" s="8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8" t="s">
        <v>226</v>
      </c>
      <c r="E41" s="8" t="s">
        <v>86</v>
      </c>
      <c r="F41" s="8" t="s">
        <v>60</v>
      </c>
      <c r="H41" s="8" t="s">
        <v>1425</v>
      </c>
      <c r="I41" s="8" t="s">
        <v>1373</v>
      </c>
      <c r="J41" s="8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8" t="s">
        <v>1273</v>
      </c>
      <c r="E42" s="8" t="s">
        <v>66</v>
      </c>
      <c r="F42" s="8" t="s">
        <v>69</v>
      </c>
      <c r="H42" s="8"/>
      <c r="I42" s="8" t="s">
        <v>1375</v>
      </c>
      <c r="J42" s="8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8" t="s">
        <v>227</v>
      </c>
      <c r="E43" s="8" t="s">
        <v>66</v>
      </c>
      <c r="F43" s="8" t="s">
        <v>69</v>
      </c>
      <c r="H43" s="8"/>
      <c r="I43" s="8" t="s">
        <v>1377</v>
      </c>
      <c r="J43" s="8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8" t="s">
        <v>587</v>
      </c>
      <c r="E44" s="8" t="s">
        <v>66</v>
      </c>
      <c r="F44" s="8" t="s">
        <v>51</v>
      </c>
      <c r="H44" s="8"/>
      <c r="I44" s="8" t="s">
        <v>1379</v>
      </c>
      <c r="J44" s="8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8" t="s">
        <v>4</v>
      </c>
      <c r="E45" s="8" t="s">
        <v>8</v>
      </c>
      <c r="F45" s="8"/>
      <c r="H45" s="8" t="s">
        <v>1292</v>
      </c>
      <c r="I45" s="8" t="s">
        <v>1381</v>
      </c>
      <c r="J45" s="8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1383</v>
      </c>
      <c r="J46" s="8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8" t="s">
        <v>4</v>
      </c>
      <c r="E47" s="8" t="s">
        <v>70</v>
      </c>
      <c r="F47" s="8"/>
      <c r="H47" s="8" t="s">
        <v>1426</v>
      </c>
      <c r="I47" s="8" t="s">
        <v>1385</v>
      </c>
      <c r="J47" s="8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8" t="s">
        <v>4</v>
      </c>
      <c r="E48" s="8" t="s">
        <v>86</v>
      </c>
      <c r="F48" s="8"/>
      <c r="H48" s="8" t="s">
        <v>1427</v>
      </c>
      <c r="I48" s="8" t="s">
        <v>1387</v>
      </c>
      <c r="J48" s="8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8" t="s">
        <v>137</v>
      </c>
      <c r="E49" s="8" t="s">
        <v>86</v>
      </c>
      <c r="F49" s="8" t="s">
        <v>465</v>
      </c>
      <c r="H49" s="8"/>
      <c r="I49" s="8" t="s">
        <v>1389</v>
      </c>
      <c r="J49" s="8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8" t="s">
        <v>4</v>
      </c>
      <c r="E50" s="8" t="s">
        <v>8</v>
      </c>
      <c r="F50" s="8"/>
      <c r="H50" s="8" t="s">
        <v>1292</v>
      </c>
      <c r="I50" s="8" t="s">
        <v>1391</v>
      </c>
      <c r="J50" s="8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1393</v>
      </c>
      <c r="J51" s="8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8" t="s">
        <v>137</v>
      </c>
      <c r="E52" s="8" t="s">
        <v>86</v>
      </c>
      <c r="F52" s="8" t="s">
        <v>165</v>
      </c>
      <c r="H52" s="8"/>
      <c r="I52" s="8" t="s">
        <v>1395</v>
      </c>
      <c r="J52" s="8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8" t="s">
        <v>1422</v>
      </c>
      <c r="E53" s="8" t="s">
        <v>86</v>
      </c>
      <c r="F53" s="8"/>
      <c r="H53" s="8" t="s">
        <v>1421</v>
      </c>
      <c r="I53" s="8" t="s">
        <v>1397</v>
      </c>
      <c r="J53" s="8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8" t="s">
        <v>137</v>
      </c>
      <c r="E54" s="8" t="s">
        <v>86</v>
      </c>
      <c r="F54" s="8" t="s">
        <v>165</v>
      </c>
      <c r="H54" s="8" t="s">
        <v>1421</v>
      </c>
      <c r="I54" s="8" t="s">
        <v>1399</v>
      </c>
      <c r="J54" s="8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8" t="s">
        <v>4</v>
      </c>
      <c r="E55" s="8" t="s">
        <v>8</v>
      </c>
      <c r="F55" s="8"/>
      <c r="H55" s="8"/>
      <c r="I55" s="8" t="s">
        <v>1401</v>
      </c>
      <c r="J55" s="8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8" t="s">
        <v>137</v>
      </c>
      <c r="E56" s="8" t="s">
        <v>86</v>
      </c>
      <c r="F56" s="8" t="s">
        <v>165</v>
      </c>
      <c r="H56" s="8" t="s">
        <v>1428</v>
      </c>
      <c r="I56" s="8" t="s">
        <v>1403</v>
      </c>
      <c r="J56" s="8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8" t="s">
        <v>137</v>
      </c>
      <c r="E57" s="8" t="s">
        <v>86</v>
      </c>
      <c r="F57" s="8" t="s">
        <v>165</v>
      </c>
      <c r="H57" s="8" t="s">
        <v>1428</v>
      </c>
      <c r="I57" s="8" t="s">
        <v>1405</v>
      </c>
      <c r="J57" s="8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8" t="s">
        <v>4</v>
      </c>
      <c r="E58" s="8" t="s">
        <v>8</v>
      </c>
      <c r="F58" s="8"/>
      <c r="H58" s="8" t="s">
        <v>1292</v>
      </c>
      <c r="I58" s="8" t="s">
        <v>1407</v>
      </c>
      <c r="J58" s="8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1409</v>
      </c>
      <c r="J59" s="8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8" t="s">
        <v>4</v>
      </c>
      <c r="E60" s="8" t="s">
        <v>8</v>
      </c>
      <c r="F60" s="8"/>
      <c r="H60" s="8"/>
      <c r="I60" s="8" t="s">
        <v>1411</v>
      </c>
      <c r="J60" s="8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8" t="s">
        <v>4</v>
      </c>
      <c r="E61" s="8" t="s">
        <v>8</v>
      </c>
      <c r="F61" s="8"/>
      <c r="H61" s="8" t="s">
        <v>1292</v>
      </c>
      <c r="I61" s="8" t="s">
        <v>1413</v>
      </c>
      <c r="J61" s="8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1415</v>
      </c>
      <c r="J62" s="8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8" t="s">
        <v>4</v>
      </c>
      <c r="E63" s="8" t="s">
        <v>8</v>
      </c>
      <c r="F63" s="8"/>
      <c r="H63" s="8"/>
      <c r="I63" s="8" t="s">
        <v>1417</v>
      </c>
      <c r="J63" s="8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8" t="s">
        <v>4</v>
      </c>
      <c r="E64" s="8" t="s">
        <v>8</v>
      </c>
      <c r="F64" s="8"/>
      <c r="H64" s="8" t="s">
        <v>1292</v>
      </c>
      <c r="I64" s="8" t="s">
        <v>1419</v>
      </c>
      <c r="J64" s="8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8" t="s">
        <v>470</v>
      </c>
      <c r="E65" s="8" t="s">
        <v>1274</v>
      </c>
      <c r="F65" s="8" t="s">
        <v>2377</v>
      </c>
      <c r="H65" s="8" t="s">
        <v>2374</v>
      </c>
      <c r="I65" s="8" t="s">
        <v>2015</v>
      </c>
      <c r="J65" s="8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8" t="s">
        <v>470</v>
      </c>
      <c r="E66" s="8" t="s">
        <v>468</v>
      </c>
      <c r="F66" s="8" t="s">
        <v>58</v>
      </c>
      <c r="H66" s="8" t="s">
        <v>2383</v>
      </c>
      <c r="I66" s="8" t="s">
        <v>2017</v>
      </c>
      <c r="J66" s="8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8" t="s">
        <v>2393</v>
      </c>
      <c r="E67" s="8" t="s">
        <v>2336</v>
      </c>
      <c r="F67" s="8" t="s">
        <v>58</v>
      </c>
      <c r="H67" s="8" t="s">
        <v>2373</v>
      </c>
      <c r="I67" s="8" t="s">
        <v>2019</v>
      </c>
      <c r="J67" s="8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8" t="s">
        <v>1602</v>
      </c>
      <c r="E68" s="8" t="s">
        <v>2336</v>
      </c>
      <c r="F68" s="8" t="s">
        <v>58</v>
      </c>
      <c r="H68" s="8" t="s">
        <v>2373</v>
      </c>
      <c r="I68" s="8" t="s">
        <v>2021</v>
      </c>
      <c r="J68" s="8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8" t="s">
        <v>1602</v>
      </c>
      <c r="E69" s="8" t="s">
        <v>2336</v>
      </c>
      <c r="F69" s="8" t="s">
        <v>58</v>
      </c>
      <c r="H69" s="8" t="s">
        <v>2373</v>
      </c>
      <c r="I69" s="8" t="s">
        <v>2024</v>
      </c>
      <c r="J69" s="8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8" t="s">
        <v>1602</v>
      </c>
      <c r="E70" s="8" t="s">
        <v>2336</v>
      </c>
      <c r="F70" s="8" t="s">
        <v>58</v>
      </c>
      <c r="H70" s="8" t="s">
        <v>2373</v>
      </c>
      <c r="I70" s="8" t="s">
        <v>2027</v>
      </c>
      <c r="J70" s="8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8" t="s">
        <v>1602</v>
      </c>
      <c r="E71" s="8" t="s">
        <v>2336</v>
      </c>
      <c r="F71" s="8" t="s">
        <v>58</v>
      </c>
      <c r="H71" s="8" t="s">
        <v>2373</v>
      </c>
      <c r="I71" s="8" t="s">
        <v>2030</v>
      </c>
      <c r="J71" s="8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8" t="s">
        <v>1602</v>
      </c>
      <c r="E72" s="8" t="s">
        <v>2336</v>
      </c>
      <c r="F72" s="8" t="s">
        <v>58</v>
      </c>
      <c r="H72" s="8" t="s">
        <v>2373</v>
      </c>
      <c r="I72" s="8" t="s">
        <v>2032</v>
      </c>
      <c r="J72" s="8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8" t="s">
        <v>1602</v>
      </c>
      <c r="E73" s="8" t="s">
        <v>2336</v>
      </c>
      <c r="F73" s="8" t="s">
        <v>58</v>
      </c>
      <c r="H73" s="8" t="s">
        <v>2373</v>
      </c>
      <c r="I73" s="8" t="s">
        <v>2035</v>
      </c>
      <c r="J73" s="8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8" t="s">
        <v>4</v>
      </c>
      <c r="E74" s="8" t="s">
        <v>8</v>
      </c>
      <c r="F74" s="8"/>
      <c r="H74" s="8"/>
      <c r="I74" s="8" t="s">
        <v>2038</v>
      </c>
      <c r="J74" s="8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8" t="s">
        <v>470</v>
      </c>
      <c r="E75" s="8" t="s">
        <v>468</v>
      </c>
      <c r="F75" s="8" t="s">
        <v>58</v>
      </c>
      <c r="H75" s="8" t="s">
        <v>2374</v>
      </c>
      <c r="I75" s="8" t="s">
        <v>2040</v>
      </c>
      <c r="J75" s="8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8" t="s">
        <v>470</v>
      </c>
      <c r="E76" s="8" t="s">
        <v>1274</v>
      </c>
      <c r="F76" s="8" t="s">
        <v>58</v>
      </c>
      <c r="H76" s="8" t="s">
        <v>2374</v>
      </c>
      <c r="I76" s="8" t="s">
        <v>2042</v>
      </c>
      <c r="J76" s="8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8" t="s">
        <v>470</v>
      </c>
      <c r="E77" s="8" t="s">
        <v>1274</v>
      </c>
      <c r="F77" s="8" t="s">
        <v>58</v>
      </c>
      <c r="H77" s="8" t="s">
        <v>2374</v>
      </c>
      <c r="I77" s="8" t="s">
        <v>2044</v>
      </c>
      <c r="J77" s="8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8" t="s">
        <v>4</v>
      </c>
      <c r="E78" s="8" t="s">
        <v>8</v>
      </c>
      <c r="F78" s="8"/>
      <c r="H78" s="8"/>
      <c r="I78" s="8" t="s">
        <v>2046</v>
      </c>
      <c r="J78" s="8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8" t="s">
        <v>470</v>
      </c>
      <c r="E79" s="8" t="s">
        <v>1274</v>
      </c>
      <c r="F79" s="8" t="s">
        <v>58</v>
      </c>
      <c r="H79" s="8" t="s">
        <v>2374</v>
      </c>
      <c r="I79" s="8" t="s">
        <v>2048</v>
      </c>
      <c r="J79" s="8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8" t="s">
        <v>4</v>
      </c>
      <c r="E80" s="8" t="s">
        <v>8</v>
      </c>
      <c r="F80" s="8"/>
      <c r="H80" s="8"/>
      <c r="I80" s="8" t="s">
        <v>2050</v>
      </c>
      <c r="J80" s="8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8" t="s">
        <v>1607</v>
      </c>
      <c r="E81" s="8"/>
      <c r="F81" s="8"/>
      <c r="H81" s="8"/>
      <c r="I81" s="8" t="s">
        <v>2052</v>
      </c>
      <c r="J81" s="8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8" t="s">
        <v>4</v>
      </c>
      <c r="E82" s="8" t="s">
        <v>8</v>
      </c>
      <c r="F82" s="8"/>
      <c r="H82" s="8"/>
      <c r="I82" s="8" t="s">
        <v>2384</v>
      </c>
      <c r="J82" s="8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8" t="s">
        <v>4</v>
      </c>
      <c r="E83" s="8" t="s">
        <v>8</v>
      </c>
      <c r="F83" s="8"/>
      <c r="H83" s="8" t="s">
        <v>2388</v>
      </c>
      <c r="I83" s="8" t="s">
        <v>2386</v>
      </c>
      <c r="J83" s="8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8" t="s">
        <v>4</v>
      </c>
      <c r="E84" s="8" t="s">
        <v>8</v>
      </c>
      <c r="F84" s="8"/>
      <c r="H84" s="8" t="s">
        <v>2388</v>
      </c>
      <c r="I84" s="8" t="s">
        <v>2054</v>
      </c>
      <c r="J84" s="8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8" t="s">
        <v>4</v>
      </c>
      <c r="E85" s="8" t="s">
        <v>8</v>
      </c>
      <c r="F85" s="8"/>
      <c r="H85" s="8"/>
      <c r="I85" s="8" t="s">
        <v>2056</v>
      </c>
      <c r="J85" s="8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8" t="s">
        <v>1607</v>
      </c>
      <c r="E86" s="8"/>
      <c r="F86" s="8"/>
      <c r="H86" s="8"/>
      <c r="I86" s="8" t="s">
        <v>2058</v>
      </c>
      <c r="J86" s="8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8" t="s">
        <v>1607</v>
      </c>
      <c r="E87" s="8"/>
      <c r="F87" s="8"/>
      <c r="H87" s="8"/>
      <c r="I87" s="8" t="s">
        <v>2060</v>
      </c>
      <c r="J87" s="8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8" t="s">
        <v>4</v>
      </c>
      <c r="E88" s="8" t="s">
        <v>8</v>
      </c>
      <c r="F88" s="8"/>
      <c r="H88" s="8"/>
      <c r="I88" s="8" t="s">
        <v>3250</v>
      </c>
      <c r="J88" s="8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8" t="s">
        <v>470</v>
      </c>
      <c r="E89" s="8" t="s">
        <v>468</v>
      </c>
      <c r="F89" s="8" t="s">
        <v>3407</v>
      </c>
      <c r="G89">
        <v>2</v>
      </c>
      <c r="H89" s="8" t="s">
        <v>3408</v>
      </c>
      <c r="I89" s="8" t="s">
        <v>3252</v>
      </c>
      <c r="J89" s="8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8" t="s">
        <v>470</v>
      </c>
      <c r="E90" s="8" t="s">
        <v>468</v>
      </c>
      <c r="F90" s="8" t="s">
        <v>3407</v>
      </c>
      <c r="G90">
        <v>2</v>
      </c>
      <c r="H90" s="8" t="s">
        <v>3408</v>
      </c>
      <c r="I90" s="8" t="s">
        <v>3254</v>
      </c>
      <c r="J90" s="8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8" t="s">
        <v>3381</v>
      </c>
      <c r="E91" s="8" t="s">
        <v>468</v>
      </c>
      <c r="F91" s="8" t="s">
        <v>58</v>
      </c>
      <c r="H91" s="8" t="s">
        <v>3409</v>
      </c>
      <c r="I91" s="8" t="s">
        <v>3256</v>
      </c>
      <c r="J91" s="8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8" t="s">
        <v>3381</v>
      </c>
      <c r="E92" s="8" t="s">
        <v>468</v>
      </c>
      <c r="F92" s="8" t="s">
        <v>58</v>
      </c>
      <c r="H92" s="8" t="s">
        <v>2352</v>
      </c>
      <c r="I92" s="8" t="s">
        <v>3258</v>
      </c>
      <c r="J92" s="8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8" t="s">
        <v>3381</v>
      </c>
      <c r="E93" s="8" t="s">
        <v>468</v>
      </c>
      <c r="F93" s="8" t="s">
        <v>58</v>
      </c>
      <c r="H93" s="8" t="s">
        <v>2352</v>
      </c>
      <c r="I93" s="8" t="s">
        <v>3260</v>
      </c>
      <c r="J93" s="8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8" t="s">
        <v>3381</v>
      </c>
      <c r="E94" s="8" t="s">
        <v>468</v>
      </c>
      <c r="F94" s="8" t="s">
        <v>58</v>
      </c>
      <c r="H94" s="8" t="s">
        <v>2352</v>
      </c>
      <c r="I94" s="8" t="s">
        <v>3262</v>
      </c>
      <c r="J94" s="8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8" t="s">
        <v>3381</v>
      </c>
      <c r="E95" s="8" t="s">
        <v>468</v>
      </c>
      <c r="F95" s="8" t="s">
        <v>58</v>
      </c>
      <c r="H95" s="8" t="s">
        <v>2352</v>
      </c>
      <c r="I95" s="8" t="s">
        <v>3264</v>
      </c>
      <c r="J95" s="8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8" t="s">
        <v>226</v>
      </c>
      <c r="E96" s="8" t="s">
        <v>3357</v>
      </c>
      <c r="F96" s="8" t="s">
        <v>58</v>
      </c>
      <c r="H96" s="8"/>
      <c r="I96" s="8" t="s">
        <v>3266</v>
      </c>
      <c r="J96" s="8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8" t="s">
        <v>226</v>
      </c>
      <c r="E97" s="8" t="s">
        <v>3357</v>
      </c>
      <c r="F97" s="8" t="s">
        <v>58</v>
      </c>
      <c r="H97" s="8" t="s">
        <v>2352</v>
      </c>
      <c r="I97" s="8" t="s">
        <v>3269</v>
      </c>
      <c r="J97" s="8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8" t="s">
        <v>226</v>
      </c>
      <c r="E98" s="8" t="s">
        <v>3357</v>
      </c>
      <c r="F98" s="8" t="s">
        <v>58</v>
      </c>
      <c r="H98" s="8" t="s">
        <v>2352</v>
      </c>
      <c r="I98" s="8" t="s">
        <v>3272</v>
      </c>
      <c r="J98" s="8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8" t="s">
        <v>226</v>
      </c>
      <c r="E99" s="8" t="s">
        <v>3357</v>
      </c>
      <c r="F99" s="8" t="s">
        <v>58</v>
      </c>
      <c r="H99" s="8" t="s">
        <v>2352</v>
      </c>
      <c r="I99" s="8" t="s">
        <v>3275</v>
      </c>
      <c r="J99" s="8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8" t="s">
        <v>4</v>
      </c>
      <c r="E100" s="8" t="s">
        <v>8</v>
      </c>
      <c r="F100" s="8"/>
      <c r="H100" s="8"/>
      <c r="I100" s="8" t="s">
        <v>3278</v>
      </c>
      <c r="J100" s="8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8" t="s">
        <v>887</v>
      </c>
      <c r="E101" s="8" t="s">
        <v>86</v>
      </c>
      <c r="F101" s="8" t="s">
        <v>58</v>
      </c>
      <c r="H101" s="8" t="s">
        <v>1287</v>
      </c>
      <c r="I101" s="8" t="s">
        <v>3280</v>
      </c>
      <c r="J101" s="8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8" t="s">
        <v>887</v>
      </c>
      <c r="E102" s="8" t="s">
        <v>86</v>
      </c>
      <c r="F102" s="8" t="s">
        <v>58</v>
      </c>
      <c r="H102" s="8" t="s">
        <v>3410</v>
      </c>
      <c r="I102" s="8" t="s">
        <v>3282</v>
      </c>
      <c r="J102" s="8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8" t="s">
        <v>887</v>
      </c>
      <c r="E103" s="8" t="s">
        <v>86</v>
      </c>
      <c r="F103" s="8" t="s">
        <v>58</v>
      </c>
      <c r="H103" s="8" t="s">
        <v>3410</v>
      </c>
      <c r="I103" s="8" t="s">
        <v>3284</v>
      </c>
      <c r="J103" s="8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8" t="s">
        <v>470</v>
      </c>
      <c r="E104" s="8" t="s">
        <v>1274</v>
      </c>
      <c r="F104" s="8" t="s">
        <v>58</v>
      </c>
      <c r="H104" s="8"/>
      <c r="I104" s="8" t="s">
        <v>3286</v>
      </c>
      <c r="J104" s="8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8" t="s">
        <v>4</v>
      </c>
      <c r="E105" s="8" t="s">
        <v>8</v>
      </c>
      <c r="F105" s="8"/>
      <c r="H105" s="8"/>
      <c r="I105" s="8" t="s">
        <v>3288</v>
      </c>
      <c r="J105" s="8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8" t="s">
        <v>4</v>
      </c>
      <c r="E106" s="8" t="s">
        <v>8</v>
      </c>
      <c r="F106" s="8"/>
      <c r="H106" s="8"/>
      <c r="I106" s="8" t="s">
        <v>3290</v>
      </c>
      <c r="J106" s="8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8" t="s">
        <v>1607</v>
      </c>
      <c r="E107" s="8"/>
      <c r="F107" s="8"/>
      <c r="H107" s="8"/>
      <c r="I107" s="8" t="s">
        <v>3446</v>
      </c>
      <c r="J107" s="8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8" t="s">
        <v>1607</v>
      </c>
      <c r="E108" s="8"/>
      <c r="F108" s="8"/>
      <c r="H108" s="8"/>
      <c r="I108" s="8" t="s">
        <v>3901</v>
      </c>
      <c r="J108" s="8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8" t="s">
        <v>1607</v>
      </c>
      <c r="E109" s="8"/>
      <c r="F109" s="8"/>
      <c r="H109" s="8"/>
      <c r="I109" s="8" t="s">
        <v>3903</v>
      </c>
      <c r="J109" s="8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8" t="s">
        <v>137</v>
      </c>
      <c r="E110" s="8" t="s">
        <v>86</v>
      </c>
      <c r="F110" s="8" t="s">
        <v>4097</v>
      </c>
      <c r="H110" s="8"/>
      <c r="I110" s="8" t="s">
        <v>3905</v>
      </c>
      <c r="J110" s="8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8" t="s">
        <v>2459</v>
      </c>
      <c r="E111" s="8" t="s">
        <v>86</v>
      </c>
      <c r="F111" s="8" t="s">
        <v>4097</v>
      </c>
      <c r="H111" s="8"/>
      <c r="I111" s="8" t="s">
        <v>3907</v>
      </c>
      <c r="J111" s="8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8" t="s">
        <v>1607</v>
      </c>
      <c r="E112" s="8"/>
      <c r="F112" s="8"/>
      <c r="H112" s="8"/>
      <c r="I112" s="8" t="s">
        <v>3909</v>
      </c>
      <c r="J112" s="8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8" t="s">
        <v>4</v>
      </c>
      <c r="E113" s="8" t="s">
        <v>4133</v>
      </c>
      <c r="F113" s="8"/>
      <c r="H113" s="8" t="s">
        <v>4134</v>
      </c>
      <c r="I113" s="8" t="s">
        <v>3911</v>
      </c>
      <c r="J113" s="8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8" t="s">
        <v>1607</v>
      </c>
      <c r="E114" s="8"/>
      <c r="F114" s="8"/>
      <c r="H114" s="8"/>
      <c r="I114" s="8" t="s">
        <v>3913</v>
      </c>
      <c r="J114" s="8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8" t="s">
        <v>4238</v>
      </c>
      <c r="E115" s="8" t="s">
        <v>4236</v>
      </c>
      <c r="F115" s="8" t="s">
        <v>3398</v>
      </c>
      <c r="H115" s="8"/>
      <c r="I115" s="8" t="s">
        <v>4187</v>
      </c>
      <c r="J115" s="8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8" t="s">
        <v>4238</v>
      </c>
      <c r="E116" s="8" t="s">
        <v>4236</v>
      </c>
      <c r="F116" s="8" t="s">
        <v>3398</v>
      </c>
      <c r="H116" s="8" t="s">
        <v>2352</v>
      </c>
      <c r="I116" s="8" t="s">
        <v>4189</v>
      </c>
      <c r="J116" s="8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8" t="s">
        <v>4238</v>
      </c>
      <c r="E117" s="8" t="s">
        <v>4236</v>
      </c>
      <c r="F117" s="8" t="s">
        <v>3398</v>
      </c>
      <c r="H117" s="8" t="s">
        <v>2352</v>
      </c>
      <c r="I117" s="8" t="s">
        <v>4191</v>
      </c>
      <c r="J117" s="8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8" t="s">
        <v>4238</v>
      </c>
      <c r="E118" s="8" t="s">
        <v>4236</v>
      </c>
      <c r="F118" s="8" t="s">
        <v>3398</v>
      </c>
      <c r="H118" s="8" t="s">
        <v>2352</v>
      </c>
      <c r="I118" s="8" t="s">
        <v>4193</v>
      </c>
      <c r="J118" s="8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8" t="s">
        <v>4238</v>
      </c>
      <c r="E119" s="8" t="s">
        <v>4236</v>
      </c>
      <c r="F119" s="8" t="s">
        <v>3398</v>
      </c>
      <c r="H119" s="8" t="s">
        <v>2352</v>
      </c>
      <c r="I119" s="8" t="s">
        <v>4195</v>
      </c>
      <c r="J119" s="8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8" t="s">
        <v>3400</v>
      </c>
      <c r="E120" s="8" t="s">
        <v>4236</v>
      </c>
      <c r="F120" s="8" t="s">
        <v>3398</v>
      </c>
      <c r="H120" s="8"/>
      <c r="I120" s="8" t="s">
        <v>4197</v>
      </c>
      <c r="J120" s="8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8" t="s">
        <v>887</v>
      </c>
      <c r="E121" s="8" t="s">
        <v>86</v>
      </c>
      <c r="F121" s="8" t="s">
        <v>58</v>
      </c>
      <c r="H121" s="8" t="s">
        <v>1287</v>
      </c>
      <c r="I121" s="8" t="s">
        <v>4371</v>
      </c>
      <c r="J121" s="8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8" t="s">
        <v>887</v>
      </c>
      <c r="E122" s="8" t="s">
        <v>86</v>
      </c>
      <c r="F122" s="8" t="s">
        <v>58</v>
      </c>
      <c r="H122" s="8" t="s">
        <v>1287</v>
      </c>
      <c r="I122" s="8" t="s">
        <v>4373</v>
      </c>
      <c r="J122" s="8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8" t="s">
        <v>4</v>
      </c>
      <c r="E123" s="8" t="s">
        <v>86</v>
      </c>
      <c r="F123" s="8" t="s">
        <v>465</v>
      </c>
      <c r="H123" s="8" t="s">
        <v>4098</v>
      </c>
      <c r="I123" s="8" t="s">
        <v>4504</v>
      </c>
      <c r="J123" s="8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8" t="s">
        <v>4</v>
      </c>
      <c r="E124" s="8" t="s">
        <v>86</v>
      </c>
      <c r="F124" s="8" t="s">
        <v>465</v>
      </c>
      <c r="H124" s="8" t="s">
        <v>4098</v>
      </c>
      <c r="I124" s="8" t="s">
        <v>4507</v>
      </c>
      <c r="J124" s="8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8" t="s">
        <v>4</v>
      </c>
      <c r="E125" s="8" t="s">
        <v>86</v>
      </c>
      <c r="F125" s="8" t="s">
        <v>465</v>
      </c>
      <c r="H125" s="8" t="s">
        <v>4098</v>
      </c>
      <c r="I125" s="8" t="s">
        <v>4509</v>
      </c>
      <c r="J125" s="8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8" t="s">
        <v>4</v>
      </c>
      <c r="E126" s="8" t="s">
        <v>86</v>
      </c>
      <c r="F126" s="8" t="s">
        <v>465</v>
      </c>
      <c r="H126" s="8" t="s">
        <v>4098</v>
      </c>
      <c r="I126" s="8" t="s">
        <v>4511</v>
      </c>
      <c r="J126" s="8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8" t="s">
        <v>4934</v>
      </c>
      <c r="E127" s="8" t="s">
        <v>58</v>
      </c>
      <c r="F127" s="8"/>
      <c r="H127" s="8" t="s">
        <v>4935</v>
      </c>
      <c r="I127" s="8" t="s">
        <v>4513</v>
      </c>
      <c r="J127" s="8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8" t="s">
        <v>4934</v>
      </c>
      <c r="E128" s="8" t="s">
        <v>58</v>
      </c>
      <c r="F128" s="8"/>
      <c r="H128" s="8" t="s">
        <v>2352</v>
      </c>
      <c r="I128" s="8" t="s">
        <v>4515</v>
      </c>
      <c r="J128" s="8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8" t="s">
        <v>4934</v>
      </c>
      <c r="E129" s="8" t="s">
        <v>58</v>
      </c>
      <c r="F129" s="8"/>
      <c r="H129" s="8" t="s">
        <v>2352</v>
      </c>
      <c r="I129" s="8" t="s">
        <v>4517</v>
      </c>
      <c r="J129" s="8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8" t="s">
        <v>4934</v>
      </c>
      <c r="E130" s="8" t="s">
        <v>58</v>
      </c>
      <c r="F130" s="8"/>
      <c r="H130" s="8" t="s">
        <v>2352</v>
      </c>
      <c r="I130" s="8" t="s">
        <v>4519</v>
      </c>
      <c r="J130" s="8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8" t="s">
        <v>887</v>
      </c>
      <c r="E131" s="8" t="s">
        <v>86</v>
      </c>
      <c r="F131" s="8" t="s">
        <v>58</v>
      </c>
      <c r="H131" s="8" t="s">
        <v>1287</v>
      </c>
      <c r="I131" s="8" t="s">
        <v>4726</v>
      </c>
      <c r="J131" s="8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8" t="s">
        <v>4</v>
      </c>
      <c r="E132" s="8" t="s">
        <v>8</v>
      </c>
      <c r="F132" s="8"/>
      <c r="H132" s="8"/>
      <c r="I132" s="8" t="s">
        <v>4728</v>
      </c>
      <c r="J132" s="8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8" t="s">
        <v>4</v>
      </c>
      <c r="E133" s="8" t="s">
        <v>8</v>
      </c>
      <c r="F133" s="8"/>
      <c r="H133" s="8"/>
      <c r="I133" s="8" t="s">
        <v>4730</v>
      </c>
      <c r="J133" s="8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8" t="s">
        <v>1273</v>
      </c>
      <c r="E134" s="8" t="s">
        <v>4917</v>
      </c>
      <c r="F134" s="8" t="s">
        <v>4936</v>
      </c>
      <c r="H134" s="8" t="s">
        <v>4914</v>
      </c>
      <c r="I134" s="8" t="s">
        <v>4867</v>
      </c>
      <c r="J134" s="8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8" t="s">
        <v>4937</v>
      </c>
      <c r="E135" s="8" t="s">
        <v>4917</v>
      </c>
      <c r="F135" s="8"/>
      <c r="H135" s="8"/>
      <c r="I135" s="8" t="s">
        <v>4869</v>
      </c>
      <c r="J135" s="8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8" t="s">
        <v>226</v>
      </c>
      <c r="E136" s="8" t="s">
        <v>4917</v>
      </c>
      <c r="F136" s="8" t="s">
        <v>4938</v>
      </c>
      <c r="H136" s="8" t="s">
        <v>2352</v>
      </c>
      <c r="I136" s="8" t="s">
        <v>4871</v>
      </c>
      <c r="J136" s="8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8" t="s">
        <v>226</v>
      </c>
      <c r="E137" s="8" t="s">
        <v>4917</v>
      </c>
      <c r="F137" s="8" t="s">
        <v>4938</v>
      </c>
      <c r="H137" s="8" t="s">
        <v>2352</v>
      </c>
      <c r="I137" s="8" t="s">
        <v>4874</v>
      </c>
      <c r="J137" s="8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8" t="s">
        <v>226</v>
      </c>
      <c r="E138" s="8" t="s">
        <v>4917</v>
      </c>
      <c r="F138" s="8" t="s">
        <v>4938</v>
      </c>
      <c r="H138" s="8" t="s">
        <v>2352</v>
      </c>
      <c r="I138" s="8" t="s">
        <v>4877</v>
      </c>
      <c r="J138" s="8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8" t="s">
        <v>226</v>
      </c>
      <c r="E139" s="8" t="s">
        <v>4917</v>
      </c>
      <c r="F139" s="8" t="s">
        <v>4938</v>
      </c>
      <c r="H139" s="8" t="s">
        <v>2352</v>
      </c>
      <c r="I139" s="8" t="s">
        <v>4880</v>
      </c>
      <c r="J139" s="8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8" t="s">
        <v>226</v>
      </c>
      <c r="E140" s="8" t="s">
        <v>4917</v>
      </c>
      <c r="F140" s="8" t="s">
        <v>4938</v>
      </c>
      <c r="H140" s="8" t="s">
        <v>2352</v>
      </c>
      <c r="I140" s="8" t="s">
        <v>4883</v>
      </c>
      <c r="J140" s="8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8" t="s">
        <v>226</v>
      </c>
      <c r="E141" s="8" t="s">
        <v>4917</v>
      </c>
      <c r="F141" s="8" t="s">
        <v>4938</v>
      </c>
      <c r="H141" s="8" t="s">
        <v>2352</v>
      </c>
      <c r="I141" s="8" t="s">
        <v>4886</v>
      </c>
      <c r="J141" s="8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8" t="s">
        <v>226</v>
      </c>
      <c r="E142" s="8" t="s">
        <v>4917</v>
      </c>
      <c r="F142" s="8" t="s">
        <v>4938</v>
      </c>
      <c r="H142" s="8" t="s">
        <v>2352</v>
      </c>
      <c r="I142" s="8" t="s">
        <v>4889</v>
      </c>
      <c r="J142" s="8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8" t="s">
        <v>226</v>
      </c>
      <c r="E143" s="8" t="s">
        <v>4917</v>
      </c>
      <c r="F143" s="8" t="s">
        <v>4938</v>
      </c>
      <c r="H143" s="8" t="s">
        <v>2352</v>
      </c>
      <c r="I143" s="8" t="s">
        <v>4892</v>
      </c>
      <c r="J143" s="8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8" t="s">
        <v>587</v>
      </c>
      <c r="E144" s="8" t="s">
        <v>4917</v>
      </c>
      <c r="F144" s="8" t="s">
        <v>4938</v>
      </c>
      <c r="H144" s="8"/>
      <c r="I144" s="8" t="s">
        <v>4895</v>
      </c>
      <c r="J144" s="8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8" t="s">
        <v>1273</v>
      </c>
      <c r="E145" s="8" t="s">
        <v>4917</v>
      </c>
      <c r="F145" s="8" t="s">
        <v>1276</v>
      </c>
      <c r="H145" s="8"/>
      <c r="I145" s="8" t="s">
        <v>4897</v>
      </c>
      <c r="J145" s="8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8" t="s">
        <v>227</v>
      </c>
      <c r="E146" s="8" t="s">
        <v>4917</v>
      </c>
      <c r="F146" s="8" t="s">
        <v>58</v>
      </c>
      <c r="H146" s="8"/>
      <c r="I146" s="8" t="s">
        <v>4899</v>
      </c>
      <c r="J146" s="8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8" t="s">
        <v>227</v>
      </c>
      <c r="E147" s="8" t="s">
        <v>4917</v>
      </c>
      <c r="F147" s="8" t="s">
        <v>58</v>
      </c>
      <c r="H147" s="8" t="s">
        <v>2352</v>
      </c>
      <c r="I147" s="8" t="s">
        <v>4901</v>
      </c>
      <c r="J147" s="8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8" t="s">
        <v>227</v>
      </c>
      <c r="E148" s="8" t="s">
        <v>4917</v>
      </c>
      <c r="F148" s="8" t="s">
        <v>58</v>
      </c>
      <c r="H148" s="8" t="s">
        <v>2352</v>
      </c>
      <c r="I148" s="8" t="s">
        <v>4903</v>
      </c>
      <c r="J148" s="8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8" t="s">
        <v>227</v>
      </c>
      <c r="E149" s="8" t="s">
        <v>4917</v>
      </c>
      <c r="F149" s="8" t="s">
        <v>58</v>
      </c>
      <c r="H149" s="8" t="s">
        <v>2352</v>
      </c>
      <c r="I149" s="8" t="s">
        <v>4905</v>
      </c>
      <c r="J149" s="8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8" t="s">
        <v>587</v>
      </c>
      <c r="E150" s="8" t="s">
        <v>4917</v>
      </c>
      <c r="F150" s="8" t="s">
        <v>4939</v>
      </c>
      <c r="H150" s="8"/>
      <c r="I150" s="8" t="s">
        <v>4907</v>
      </c>
      <c r="J150" s="8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8" t="s">
        <v>4</v>
      </c>
      <c r="E151" s="8" t="s">
        <v>8</v>
      </c>
      <c r="F151" s="8"/>
      <c r="H151" s="8"/>
      <c r="I151" s="8" t="s">
        <v>4909</v>
      </c>
      <c r="J151" s="8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8" t="s">
        <v>1607</v>
      </c>
      <c r="E152" s="8" t="s">
        <v>8</v>
      </c>
      <c r="F152" s="8"/>
      <c r="H152" s="8"/>
      <c r="I152" s="8" t="s">
        <v>4991</v>
      </c>
      <c r="J152" s="8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8" t="s">
        <v>137</v>
      </c>
      <c r="E153" s="8" t="s">
        <v>5045</v>
      </c>
      <c r="F153" s="8" t="s">
        <v>51</v>
      </c>
      <c r="H153" s="8"/>
      <c r="I153" s="8" t="s">
        <v>5194</v>
      </c>
      <c r="J153" s="8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8" t="s">
        <v>137</v>
      </c>
      <c r="E154" s="8" t="s">
        <v>86</v>
      </c>
      <c r="F154" s="8" t="s">
        <v>58</v>
      </c>
      <c r="H154" s="8" t="s">
        <v>5217</v>
      </c>
      <c r="I154" s="8" t="s">
        <v>5196</v>
      </c>
      <c r="J154" s="8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8" t="s">
        <v>4</v>
      </c>
      <c r="E155" s="8" t="s">
        <v>8</v>
      </c>
      <c r="F155" s="8"/>
      <c r="H155" s="8"/>
      <c r="I155" s="8" t="s">
        <v>5198</v>
      </c>
      <c r="J155" s="8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8" t="s">
        <v>1607</v>
      </c>
      <c r="E156" s="8" t="s">
        <v>8</v>
      </c>
      <c r="F156" s="8"/>
      <c r="H156" s="8"/>
      <c r="I156" s="8" t="s">
        <v>5293</v>
      </c>
      <c r="J156" s="8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8" t="s">
        <v>1607</v>
      </c>
      <c r="E157" s="8" t="s">
        <v>8</v>
      </c>
      <c r="F157" s="8"/>
      <c r="H157" s="8"/>
      <c r="I157" s="8" t="s">
        <v>5425</v>
      </c>
      <c r="J157" s="8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8" t="s">
        <v>136</v>
      </c>
      <c r="E158" s="8" t="s">
        <v>4396</v>
      </c>
      <c r="F158" s="8" t="s">
        <v>2360</v>
      </c>
      <c r="H158" s="8" t="s">
        <v>2370</v>
      </c>
      <c r="I158" s="8" t="s">
        <v>5641</v>
      </c>
      <c r="J158" s="8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8" t="s">
        <v>136</v>
      </c>
      <c r="E159" s="8" t="s">
        <v>4396</v>
      </c>
      <c r="F159" s="8" t="s">
        <v>2360</v>
      </c>
      <c r="H159" s="8" t="s">
        <v>2352</v>
      </c>
      <c r="I159" s="8" t="s">
        <v>5643</v>
      </c>
      <c r="J159" s="8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8" t="s">
        <v>5699</v>
      </c>
      <c r="E160" s="8" t="s">
        <v>4396</v>
      </c>
      <c r="F160" s="8" t="s">
        <v>5476</v>
      </c>
      <c r="H160" s="8"/>
      <c r="I160" s="8" t="s">
        <v>5645</v>
      </c>
      <c r="J160" s="8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8" t="s">
        <v>136</v>
      </c>
      <c r="E161" s="8" t="s">
        <v>4396</v>
      </c>
      <c r="F161" s="8" t="s">
        <v>2377</v>
      </c>
      <c r="H161" s="8" t="s">
        <v>2370</v>
      </c>
      <c r="I161" s="8" t="s">
        <v>5647</v>
      </c>
      <c r="J161" s="8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8" t="s">
        <v>136</v>
      </c>
      <c r="E162" s="8" t="s">
        <v>4396</v>
      </c>
      <c r="F162" s="8" t="s">
        <v>2377</v>
      </c>
      <c r="H162" s="8" t="s">
        <v>2352</v>
      </c>
      <c r="I162" s="8" t="s">
        <v>5649</v>
      </c>
      <c r="J162" s="8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8" t="s">
        <v>4</v>
      </c>
      <c r="E163" s="8" t="s">
        <v>8</v>
      </c>
      <c r="F163" s="8"/>
      <c r="H163" s="8"/>
      <c r="I163" s="8" t="s">
        <v>5651</v>
      </c>
      <c r="J163" s="8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8" t="s">
        <v>1607</v>
      </c>
      <c r="E164" s="8" t="s">
        <v>8</v>
      </c>
      <c r="F164" s="8"/>
      <c r="H164" s="8"/>
      <c r="I164" s="8" t="s">
        <v>5653</v>
      </c>
      <c r="J164" s="8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8" t="s">
        <v>1607</v>
      </c>
      <c r="E165" s="8" t="s">
        <v>8</v>
      </c>
      <c r="F165" s="8"/>
      <c r="H165" s="8"/>
      <c r="I165" s="8" t="s">
        <v>5725</v>
      </c>
      <c r="J165" s="8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8" t="s">
        <v>1607</v>
      </c>
      <c r="E166" s="8" t="s">
        <v>8</v>
      </c>
      <c r="F166" s="8"/>
      <c r="H166" s="8"/>
      <c r="I166" s="8" t="s">
        <v>5802</v>
      </c>
      <c r="J166" s="8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8" t="s">
        <v>1607</v>
      </c>
      <c r="E167" s="8" t="s">
        <v>8</v>
      </c>
      <c r="F167" s="8"/>
      <c r="H167" s="8"/>
      <c r="I167" s="8" t="s">
        <v>5804</v>
      </c>
      <c r="J167" s="8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8" t="s">
        <v>227</v>
      </c>
      <c r="E168" s="8" t="s">
        <v>86</v>
      </c>
      <c r="F168" s="8" t="s">
        <v>60</v>
      </c>
      <c r="H168" s="8" t="s">
        <v>4098</v>
      </c>
      <c r="I168" s="8" t="s">
        <v>5996</v>
      </c>
      <c r="J168" s="8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8" t="s">
        <v>227</v>
      </c>
      <c r="E169" s="8" t="s">
        <v>86</v>
      </c>
      <c r="F169" s="8" t="s">
        <v>60</v>
      </c>
      <c r="H169" s="8" t="s">
        <v>4098</v>
      </c>
      <c r="I169" s="8" t="s">
        <v>5998</v>
      </c>
      <c r="J169" s="8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8" t="s">
        <v>227</v>
      </c>
      <c r="E170" s="8" t="s">
        <v>86</v>
      </c>
      <c r="F170" s="8" t="s">
        <v>60</v>
      </c>
      <c r="H170" s="8" t="s">
        <v>4098</v>
      </c>
      <c r="I170" s="8" t="s">
        <v>6000</v>
      </c>
      <c r="J170" s="8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8" t="s">
        <v>4</v>
      </c>
      <c r="E171" s="8" t="s">
        <v>8</v>
      </c>
      <c r="F171" s="8"/>
      <c r="H171" s="8"/>
      <c r="I171" s="8" t="s">
        <v>6002</v>
      </c>
      <c r="J171" s="8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8" t="s">
        <v>4</v>
      </c>
      <c r="E172" s="8" t="s">
        <v>86</v>
      </c>
      <c r="F172" s="8" t="s">
        <v>6161</v>
      </c>
      <c r="H172" s="8"/>
      <c r="I172" s="8" t="s">
        <v>6004</v>
      </c>
      <c r="J172" s="8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8" t="s">
        <v>4</v>
      </c>
      <c r="E173" s="8" t="s">
        <v>86</v>
      </c>
      <c r="F173" s="8" t="s">
        <v>6161</v>
      </c>
      <c r="H173" s="8" t="s">
        <v>2352</v>
      </c>
      <c r="I173" s="8" t="s">
        <v>6006</v>
      </c>
      <c r="J173" s="8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8" t="s">
        <v>4</v>
      </c>
      <c r="E174" s="8" t="s">
        <v>86</v>
      </c>
      <c r="F174" s="8" t="s">
        <v>6161</v>
      </c>
      <c r="H174" s="8"/>
      <c r="I174" s="8" t="s">
        <v>6008</v>
      </c>
      <c r="J174" s="8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8" t="s">
        <v>4</v>
      </c>
      <c r="E175" s="8" t="s">
        <v>86</v>
      </c>
      <c r="F175" s="8" t="s">
        <v>6162</v>
      </c>
      <c r="H175" s="8"/>
      <c r="I175" s="8" t="s">
        <v>6010</v>
      </c>
      <c r="J175" s="8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8" t="s">
        <v>4</v>
      </c>
      <c r="E176" s="8" t="s">
        <v>3358</v>
      </c>
      <c r="F176" s="8" t="s">
        <v>3405</v>
      </c>
      <c r="H176" s="8"/>
      <c r="I176" s="8" t="s">
        <v>6012</v>
      </c>
      <c r="J176" s="8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8" t="s">
        <v>587</v>
      </c>
      <c r="E177" s="8" t="s">
        <v>3358</v>
      </c>
      <c r="F177" s="8" t="s">
        <v>3405</v>
      </c>
      <c r="H177" s="8"/>
      <c r="I177" s="8" t="s">
        <v>6014</v>
      </c>
      <c r="J177" s="8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8" t="s">
        <v>226</v>
      </c>
      <c r="E178" s="8" t="s">
        <v>86</v>
      </c>
      <c r="F178" s="8" t="s">
        <v>6167</v>
      </c>
      <c r="H178" s="8"/>
      <c r="I178" s="8" t="s">
        <v>6186</v>
      </c>
      <c r="J178" s="8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8" t="s">
        <v>136</v>
      </c>
      <c r="E179" s="8" t="s">
        <v>86</v>
      </c>
      <c r="F179" s="8" t="s">
        <v>6162</v>
      </c>
      <c r="H179" s="8"/>
      <c r="I179" s="8" t="s">
        <v>6188</v>
      </c>
      <c r="J179" s="8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8" t="s">
        <v>1273</v>
      </c>
      <c r="E180" s="8" t="s">
        <v>3358</v>
      </c>
      <c r="F180" s="8" t="s">
        <v>4070</v>
      </c>
      <c r="H180" s="8"/>
      <c r="I180" s="8" t="s">
        <v>6190</v>
      </c>
      <c r="J180" s="8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8" t="s">
        <v>1273</v>
      </c>
      <c r="E181" s="8" t="s">
        <v>3358</v>
      </c>
      <c r="F181" s="8" t="s">
        <v>4070</v>
      </c>
      <c r="H181" s="8" t="s">
        <v>2352</v>
      </c>
      <c r="I181" s="8" t="s">
        <v>6192</v>
      </c>
      <c r="J181" s="8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8" t="s">
        <v>3388</v>
      </c>
      <c r="E182" s="8" t="s">
        <v>86</v>
      </c>
      <c r="F182" s="8" t="s">
        <v>465</v>
      </c>
      <c r="H182" s="8"/>
      <c r="I182" s="8" t="s">
        <v>6194</v>
      </c>
      <c r="J182" s="8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8" t="s">
        <v>3388</v>
      </c>
      <c r="E183" s="8" t="s">
        <v>86</v>
      </c>
      <c r="F183" s="8" t="s">
        <v>465</v>
      </c>
      <c r="H183" s="8" t="s">
        <v>2352</v>
      </c>
      <c r="I183" s="8" t="s">
        <v>6196</v>
      </c>
      <c r="J183" s="8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8" t="s">
        <v>6299</v>
      </c>
      <c r="E184" s="8" t="s">
        <v>468</v>
      </c>
      <c r="F184" s="8"/>
      <c r="H184" s="8"/>
      <c r="I184" s="8" t="s">
        <v>6198</v>
      </c>
      <c r="J184" s="8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8" t="s">
        <v>587</v>
      </c>
      <c r="E185" s="8" t="s">
        <v>3358</v>
      </c>
      <c r="F185" s="8" t="s">
        <v>4070</v>
      </c>
      <c r="H185" s="8"/>
      <c r="I185" s="8" t="s">
        <v>6200</v>
      </c>
      <c r="J185" s="8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8" t="s">
        <v>3388</v>
      </c>
      <c r="E186" s="8" t="s">
        <v>86</v>
      </c>
      <c r="F186" s="8" t="s">
        <v>465</v>
      </c>
      <c r="H186" s="8"/>
      <c r="I186" s="8" t="s">
        <v>6202</v>
      </c>
      <c r="J186" s="8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8" t="s">
        <v>4</v>
      </c>
      <c r="E187" s="8" t="s">
        <v>8</v>
      </c>
      <c r="F187" s="8"/>
      <c r="H187" s="8"/>
      <c r="I187" s="8" t="s">
        <v>6204</v>
      </c>
      <c r="J187" s="8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8" t="s">
        <v>6436</v>
      </c>
      <c r="E188" s="8" t="s">
        <v>5310</v>
      </c>
      <c r="F188" s="8" t="s">
        <v>4070</v>
      </c>
      <c r="H188" s="8"/>
      <c r="I188" s="8" t="s">
        <v>6365</v>
      </c>
      <c r="J188" s="8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8" t="s">
        <v>4</v>
      </c>
      <c r="E189" s="8" t="s">
        <v>6439</v>
      </c>
      <c r="F189" s="8"/>
      <c r="H189" s="8"/>
      <c r="I189" s="8" t="s">
        <v>6367</v>
      </c>
      <c r="J189" s="8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8" t="s">
        <v>4</v>
      </c>
      <c r="E190" s="8" t="s">
        <v>8</v>
      </c>
      <c r="F190" s="8"/>
      <c r="H190" s="8"/>
      <c r="I190" s="8" t="s">
        <v>6369</v>
      </c>
      <c r="J190" s="8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8" t="s">
        <v>227</v>
      </c>
      <c r="E191" s="8" t="s">
        <v>70</v>
      </c>
      <c r="F191" s="8" t="s">
        <v>58</v>
      </c>
      <c r="H191" s="8" t="s">
        <v>6686</v>
      </c>
      <c r="I191" s="8" t="s">
        <v>6524</v>
      </c>
      <c r="J191" s="8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8" t="s">
        <v>227</v>
      </c>
      <c r="E192" s="8" t="s">
        <v>70</v>
      </c>
      <c r="F192" s="8" t="s">
        <v>58</v>
      </c>
      <c r="H192" s="8" t="s">
        <v>2352</v>
      </c>
      <c r="I192" s="8" t="s">
        <v>6526</v>
      </c>
      <c r="J192" s="8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8" t="s">
        <v>227</v>
      </c>
      <c r="E193" s="8" t="s">
        <v>70</v>
      </c>
      <c r="F193" s="8" t="s">
        <v>58</v>
      </c>
      <c r="H193" s="8" t="s">
        <v>2352</v>
      </c>
      <c r="I193" s="8" t="s">
        <v>6528</v>
      </c>
      <c r="J193" s="8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8" t="s">
        <v>227</v>
      </c>
      <c r="E194" s="8" t="s">
        <v>70</v>
      </c>
      <c r="F194" s="8" t="s">
        <v>58</v>
      </c>
      <c r="H194" s="8" t="s">
        <v>2352</v>
      </c>
      <c r="I194" s="8" t="s">
        <v>6530</v>
      </c>
      <c r="J194" s="8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8" t="s">
        <v>227</v>
      </c>
      <c r="E195" s="8" t="s">
        <v>70</v>
      </c>
      <c r="F195" s="8" t="s">
        <v>58</v>
      </c>
      <c r="H195" s="8" t="s">
        <v>2352</v>
      </c>
      <c r="I195" s="8" t="s">
        <v>6532</v>
      </c>
      <c r="J195" s="8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8" t="s">
        <v>227</v>
      </c>
      <c r="E196" s="8" t="s">
        <v>70</v>
      </c>
      <c r="F196" s="8" t="s">
        <v>58</v>
      </c>
      <c r="H196" s="8" t="s">
        <v>2352</v>
      </c>
      <c r="I196" s="8" t="s">
        <v>6534</v>
      </c>
      <c r="J196" s="8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8" t="s">
        <v>587</v>
      </c>
      <c r="E197" s="8" t="s">
        <v>70</v>
      </c>
      <c r="F197" s="8" t="s">
        <v>51</v>
      </c>
      <c r="H197" s="8"/>
      <c r="I197" s="8" t="s">
        <v>6536</v>
      </c>
      <c r="J197" s="8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8" t="s">
        <v>587</v>
      </c>
      <c r="E198" s="8" t="s">
        <v>6687</v>
      </c>
      <c r="F198" s="8" t="s">
        <v>1288</v>
      </c>
      <c r="H198" s="8"/>
      <c r="I198" s="8" t="s">
        <v>6538</v>
      </c>
      <c r="J198" s="8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8" t="s">
        <v>4</v>
      </c>
      <c r="E199" s="8" t="s">
        <v>6439</v>
      </c>
      <c r="F199" s="8"/>
      <c r="H199" s="8"/>
      <c r="I199" s="8" t="s">
        <v>6540</v>
      </c>
      <c r="J199" s="8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8" t="s">
        <v>4</v>
      </c>
      <c r="E200" s="8" t="s">
        <v>6439</v>
      </c>
      <c r="F200" s="8"/>
      <c r="H200" s="8"/>
      <c r="I200" s="8" t="s">
        <v>6542</v>
      </c>
      <c r="J200" s="8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8" t="s">
        <v>1607</v>
      </c>
      <c r="E201" s="8" t="s">
        <v>8</v>
      </c>
      <c r="F201" s="8"/>
      <c r="H201" s="8"/>
      <c r="I201" s="8" t="s">
        <v>6544</v>
      </c>
      <c r="J201" s="8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8" t="s">
        <v>4</v>
      </c>
      <c r="E202" s="8" t="s">
        <v>6439</v>
      </c>
      <c r="F202" s="8"/>
      <c r="H202" s="8"/>
      <c r="I202" s="8" t="s">
        <v>6546</v>
      </c>
      <c r="J202" s="8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8" t="s">
        <v>4</v>
      </c>
      <c r="E203" s="8" t="s">
        <v>6439</v>
      </c>
      <c r="F203" s="8"/>
      <c r="H203" s="8"/>
      <c r="I203" s="8" t="s">
        <v>6548</v>
      </c>
      <c r="J203" s="8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8" t="s">
        <v>1607</v>
      </c>
      <c r="E204" s="8" t="s">
        <v>8</v>
      </c>
      <c r="F204" s="8"/>
      <c r="H204" s="8"/>
      <c r="I204" s="8" t="s">
        <v>6755</v>
      </c>
      <c r="J204" s="8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8" t="s">
        <v>1607</v>
      </c>
      <c r="E205" s="8" t="s">
        <v>8</v>
      </c>
      <c r="F205" s="8"/>
      <c r="H205" s="8"/>
      <c r="I205" s="8" t="s">
        <v>6757</v>
      </c>
      <c r="J205" s="8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8" t="s">
        <v>1607</v>
      </c>
      <c r="E206" s="8" t="s">
        <v>8</v>
      </c>
      <c r="F206" s="8"/>
      <c r="H206" s="8"/>
      <c r="I206" s="8" t="s">
        <v>6759</v>
      </c>
      <c r="J206" s="8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8" t="s">
        <v>4</v>
      </c>
      <c r="E207" s="8" t="s">
        <v>6439</v>
      </c>
      <c r="F207" s="8"/>
      <c r="H207" s="8"/>
      <c r="I207" s="8" t="s">
        <v>6977</v>
      </c>
      <c r="J207" s="8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8" t="s">
        <v>4</v>
      </c>
      <c r="E208" s="8" t="s">
        <v>6439</v>
      </c>
      <c r="F208" s="8"/>
      <c r="H208" s="8"/>
      <c r="I208" s="8" t="s">
        <v>6979</v>
      </c>
      <c r="J208" s="8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8" t="s">
        <v>4</v>
      </c>
      <c r="E209" s="8" t="s">
        <v>6439</v>
      </c>
      <c r="F209" s="8"/>
      <c r="H209" s="8"/>
      <c r="I209" s="8" t="s">
        <v>6981</v>
      </c>
      <c r="J209" s="8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8" t="s">
        <v>4</v>
      </c>
      <c r="E210" s="8" t="s">
        <v>6439</v>
      </c>
      <c r="F210" s="8"/>
      <c r="H210" s="8"/>
      <c r="I210" s="8" t="s">
        <v>6983</v>
      </c>
      <c r="J210" s="8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8" t="s">
        <v>4</v>
      </c>
      <c r="E211" s="8" t="s">
        <v>6439</v>
      </c>
      <c r="F211" s="8"/>
      <c r="H211" s="8"/>
      <c r="I211" s="8" t="s">
        <v>6985</v>
      </c>
      <c r="J211" s="8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8" t="s">
        <v>4</v>
      </c>
      <c r="E212" s="8" t="s">
        <v>6439</v>
      </c>
      <c r="F212" s="8"/>
      <c r="H212" s="8"/>
      <c r="I212" s="8" t="s">
        <v>6987</v>
      </c>
      <c r="J212" s="8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8" t="s">
        <v>4</v>
      </c>
      <c r="E213" s="8" t="s">
        <v>6439</v>
      </c>
      <c r="F213" s="8"/>
      <c r="H213" s="8"/>
      <c r="I213" s="8" t="s">
        <v>6989</v>
      </c>
      <c r="J213" s="8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8" t="s">
        <v>1607</v>
      </c>
      <c r="E214" s="8" t="s">
        <v>8</v>
      </c>
      <c r="F214" s="8"/>
      <c r="H214" s="8"/>
      <c r="I214" s="8" t="s">
        <v>6991</v>
      </c>
      <c r="J214" s="8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8" t="s">
        <v>4</v>
      </c>
      <c r="E215" s="8" t="s">
        <v>6439</v>
      </c>
      <c r="F215" s="8"/>
      <c r="H215" s="8"/>
      <c r="I215" s="8" t="s">
        <v>6993</v>
      </c>
      <c r="J215" s="8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8" t="s">
        <v>4</v>
      </c>
      <c r="E216" s="8" t="s">
        <v>7069</v>
      </c>
      <c r="F216" s="8"/>
      <c r="H216" s="8"/>
      <c r="I216" s="8" t="s">
        <v>6995</v>
      </c>
      <c r="J216" s="8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8" t="s">
        <v>1607</v>
      </c>
      <c r="E217" s="8" t="s">
        <v>8</v>
      </c>
      <c r="F217" s="8"/>
      <c r="H217" s="8"/>
      <c r="I217" s="8" t="s">
        <v>6997</v>
      </c>
      <c r="J217" s="8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8" t="s">
        <v>5699</v>
      </c>
      <c r="E218" s="8" t="s">
        <v>4396</v>
      </c>
      <c r="F218" s="8" t="s">
        <v>7344</v>
      </c>
      <c r="H218" s="8"/>
      <c r="I218" s="8" t="s">
        <v>7279</v>
      </c>
      <c r="J218" s="8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8" t="s">
        <v>588</v>
      </c>
      <c r="E219" s="8" t="s">
        <v>4396</v>
      </c>
      <c r="F219" s="8"/>
      <c r="H219" s="8"/>
      <c r="I219" s="8" t="s">
        <v>7281</v>
      </c>
      <c r="J219" s="8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8" t="s">
        <v>588</v>
      </c>
      <c r="E220" s="8" t="s">
        <v>4396</v>
      </c>
      <c r="F220" s="8"/>
      <c r="H220" s="8"/>
      <c r="I220" s="8" t="s">
        <v>7283</v>
      </c>
      <c r="J220" s="8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8" t="s">
        <v>588</v>
      </c>
      <c r="E221" s="8" t="s">
        <v>4396</v>
      </c>
      <c r="F221" s="8"/>
      <c r="H221" s="8"/>
      <c r="I221" s="8" t="s">
        <v>7285</v>
      </c>
      <c r="J221" s="8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8" t="s">
        <v>5699</v>
      </c>
      <c r="E222" s="8" t="s">
        <v>4396</v>
      </c>
      <c r="F222" s="8" t="s">
        <v>7356</v>
      </c>
      <c r="H222" s="8"/>
      <c r="I222" s="8" t="s">
        <v>7287</v>
      </c>
      <c r="J222" s="8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8" t="s">
        <v>4</v>
      </c>
      <c r="E223" s="8" t="s">
        <v>8</v>
      </c>
      <c r="F223" s="8"/>
      <c r="H223" s="8"/>
      <c r="I223" s="8" t="s">
        <v>7289</v>
      </c>
      <c r="J223" s="8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8" t="s">
        <v>588</v>
      </c>
      <c r="E224" s="8" t="s">
        <v>4396</v>
      </c>
      <c r="F224" s="8"/>
      <c r="H224" s="8"/>
      <c r="I224" s="8" t="s">
        <v>7291</v>
      </c>
      <c r="J224" s="8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8" t="s">
        <v>588</v>
      </c>
      <c r="E225" s="8" t="s">
        <v>4396</v>
      </c>
      <c r="F225" s="8"/>
      <c r="H225" s="8"/>
      <c r="I225" s="8" t="s">
        <v>7293</v>
      </c>
      <c r="J225" s="8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8" t="s">
        <v>588</v>
      </c>
      <c r="E226" s="8" t="s">
        <v>4396</v>
      </c>
      <c r="F226" s="8"/>
      <c r="H226" s="8"/>
      <c r="I226" s="8" t="s">
        <v>7295</v>
      </c>
      <c r="J226" s="8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8" t="s">
        <v>588</v>
      </c>
      <c r="E227" s="8" t="s">
        <v>4396</v>
      </c>
      <c r="F227" s="8"/>
      <c r="H227" s="8"/>
      <c r="I227" s="8" t="s">
        <v>7297</v>
      </c>
      <c r="J227" s="8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8" t="s">
        <v>4</v>
      </c>
      <c r="E228" s="8" t="s">
        <v>8</v>
      </c>
      <c r="F228" s="8"/>
      <c r="H228" s="8"/>
      <c r="I228" s="8" t="s">
        <v>7299</v>
      </c>
      <c r="J228" s="8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8" t="s">
        <v>1607</v>
      </c>
      <c r="E229" s="8" t="s">
        <v>8</v>
      </c>
      <c r="F229" s="8"/>
      <c r="H229" s="8"/>
      <c r="I229" s="8" t="s">
        <v>7438</v>
      </c>
      <c r="J229" s="8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8" t="s">
        <v>4</v>
      </c>
      <c r="E230" s="8" t="s">
        <v>8</v>
      </c>
      <c r="F230" s="8"/>
      <c r="H230" s="8"/>
      <c r="I230" s="8" t="s">
        <v>7610</v>
      </c>
      <c r="J230" s="8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8" t="s">
        <v>588</v>
      </c>
      <c r="E231" s="8" t="s">
        <v>4396</v>
      </c>
      <c r="F231" s="8"/>
      <c r="H231" s="8"/>
      <c r="I231" s="8" t="s">
        <v>7612</v>
      </c>
      <c r="J231" s="8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8" t="s">
        <v>588</v>
      </c>
      <c r="E232" s="8" t="s">
        <v>4396</v>
      </c>
      <c r="F232" s="8"/>
      <c r="H232" s="8"/>
      <c r="I232" s="8" t="s">
        <v>7614</v>
      </c>
      <c r="J232" s="8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8" t="s">
        <v>588</v>
      </c>
      <c r="E233" s="8" t="s">
        <v>4396</v>
      </c>
      <c r="F233" s="8"/>
      <c r="H233" s="8"/>
      <c r="I233" s="8" t="s">
        <v>7616</v>
      </c>
      <c r="J233" s="8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8" t="s">
        <v>588</v>
      </c>
      <c r="E234" s="8" t="s">
        <v>4396</v>
      </c>
      <c r="F234" s="8"/>
      <c r="H234" s="8"/>
      <c r="I234" s="8" t="s">
        <v>7618</v>
      </c>
      <c r="J234" s="8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8" t="s">
        <v>588</v>
      </c>
      <c r="E235" s="8" t="s">
        <v>4396</v>
      </c>
      <c r="F235" s="8"/>
      <c r="H235" s="8"/>
      <c r="I235" s="8" t="s">
        <v>7620</v>
      </c>
      <c r="J235" s="8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8" t="s">
        <v>4</v>
      </c>
      <c r="E236" s="8" t="s">
        <v>8</v>
      </c>
      <c r="F236" s="8"/>
      <c r="H236" s="8"/>
      <c r="I236" s="8" t="s">
        <v>7622</v>
      </c>
      <c r="J236" s="8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8" t="s">
        <v>1607</v>
      </c>
      <c r="E237" s="8" t="s">
        <v>8</v>
      </c>
      <c r="F237" s="8"/>
      <c r="H237" s="8"/>
      <c r="I237" s="8" t="s">
        <v>7722</v>
      </c>
      <c r="J237" s="8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8" t="s">
        <v>1607</v>
      </c>
      <c r="E238" s="8" t="s">
        <v>8</v>
      </c>
      <c r="F238" s="8"/>
      <c r="H238" s="8"/>
      <c r="I238" s="8" t="s">
        <v>7723</v>
      </c>
      <c r="J238" s="8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8" t="s">
        <v>1607</v>
      </c>
      <c r="E239" s="8" t="s">
        <v>8</v>
      </c>
      <c r="F239" s="8"/>
      <c r="H239" s="8"/>
      <c r="I239" s="8" t="s">
        <v>7855</v>
      </c>
      <c r="J239" s="8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8" t="s">
        <v>5699</v>
      </c>
      <c r="E240" s="8" t="s">
        <v>4396</v>
      </c>
      <c r="F240" s="8"/>
      <c r="H240" s="8"/>
      <c r="I240" s="8" t="s">
        <v>7857</v>
      </c>
      <c r="J240" s="8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8" t="s">
        <v>5699</v>
      </c>
      <c r="E241" s="8" t="s">
        <v>4396</v>
      </c>
      <c r="F241" s="8"/>
      <c r="H241" s="8" t="s">
        <v>2352</v>
      </c>
      <c r="I241" s="8" t="s">
        <v>7859</v>
      </c>
      <c r="J241" s="8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8" t="s">
        <v>5699</v>
      </c>
      <c r="E242" s="8" t="s">
        <v>4396</v>
      </c>
      <c r="F242" s="8" t="s">
        <v>7356</v>
      </c>
      <c r="H242" s="8"/>
      <c r="I242" s="8" t="s">
        <v>7861</v>
      </c>
      <c r="J242" s="8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8" t="s">
        <v>4</v>
      </c>
      <c r="E243" s="8" t="s">
        <v>8</v>
      </c>
      <c r="F243" s="8"/>
      <c r="H243" s="8"/>
      <c r="I243" s="8" t="s">
        <v>8051</v>
      </c>
      <c r="J243" s="8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8" t="s">
        <v>5699</v>
      </c>
      <c r="E244" s="8" t="s">
        <v>4396</v>
      </c>
      <c r="F244" s="8" t="s">
        <v>7356</v>
      </c>
      <c r="H244" s="8"/>
      <c r="I244" s="8" t="s">
        <v>8053</v>
      </c>
      <c r="J244" s="8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8" t="s">
        <v>588</v>
      </c>
      <c r="E245" s="8" t="s">
        <v>4396</v>
      </c>
      <c r="F245" s="8"/>
      <c r="H245" s="8"/>
      <c r="I245" s="8" t="s">
        <v>8055</v>
      </c>
      <c r="J245" s="8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8" t="s">
        <v>588</v>
      </c>
      <c r="E246" s="8" t="s">
        <v>4396</v>
      </c>
      <c r="F246" s="8"/>
      <c r="H246" s="8"/>
      <c r="I246" s="8" t="s">
        <v>8057</v>
      </c>
      <c r="J246" s="8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8" t="s">
        <v>588</v>
      </c>
      <c r="E247" s="8" t="s">
        <v>4396</v>
      </c>
      <c r="F247" s="8"/>
      <c r="H247" s="8"/>
      <c r="I247" s="8" t="s">
        <v>8059</v>
      </c>
      <c r="J247" s="8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8" t="s">
        <v>588</v>
      </c>
      <c r="E248" s="8" t="s">
        <v>4396</v>
      </c>
      <c r="F248" s="8"/>
      <c r="H248" s="8"/>
      <c r="I248" s="8" t="s">
        <v>8061</v>
      </c>
      <c r="J248" s="8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8" t="s">
        <v>588</v>
      </c>
      <c r="E249" s="8" t="s">
        <v>4396</v>
      </c>
      <c r="F249" s="8"/>
      <c r="H249" s="8"/>
      <c r="I249" s="8" t="s">
        <v>8337</v>
      </c>
      <c r="J249" s="8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8" t="s">
        <v>588</v>
      </c>
      <c r="E250" s="8" t="s">
        <v>4396</v>
      </c>
      <c r="F250" s="8"/>
      <c r="H250" s="8"/>
      <c r="I250" s="8" t="s">
        <v>8339</v>
      </c>
      <c r="J250" s="8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8" t="s">
        <v>588</v>
      </c>
      <c r="E251" s="8" t="s">
        <v>4396</v>
      </c>
      <c r="F251" s="8"/>
      <c r="H251" s="8"/>
      <c r="I251" s="8" t="s">
        <v>8341</v>
      </c>
      <c r="J251" s="8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8" t="s">
        <v>588</v>
      </c>
      <c r="E252" s="8" t="s">
        <v>4396</v>
      </c>
      <c r="F252" s="8"/>
      <c r="H252" s="8"/>
      <c r="I252" s="8" t="s">
        <v>8343</v>
      </c>
      <c r="J252" s="8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8" t="s">
        <v>588</v>
      </c>
      <c r="E253" s="8" t="s">
        <v>4396</v>
      </c>
      <c r="F253" s="8"/>
      <c r="H253" s="8"/>
      <c r="I253" s="8" t="s">
        <v>8345</v>
      </c>
      <c r="J253" s="8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8" t="s">
        <v>588</v>
      </c>
      <c r="E254" s="8" t="s">
        <v>4396</v>
      </c>
      <c r="F254" s="8"/>
      <c r="H254" s="8"/>
      <c r="I254" s="8" t="s">
        <v>8347</v>
      </c>
      <c r="J254" s="8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8" t="s">
        <v>588</v>
      </c>
      <c r="E255" s="8" t="s">
        <v>4396</v>
      </c>
      <c r="F255" s="8"/>
      <c r="H255" s="8"/>
      <c r="I255" s="8" t="s">
        <v>8349</v>
      </c>
      <c r="J255" s="8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8" t="s">
        <v>588</v>
      </c>
      <c r="E256" s="8" t="s">
        <v>4396</v>
      </c>
      <c r="F256" s="8"/>
      <c r="H256" s="8"/>
      <c r="I256" s="8" t="s">
        <v>8351</v>
      </c>
      <c r="J256" s="8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8" t="s">
        <v>1607</v>
      </c>
      <c r="E257" s="8" t="s">
        <v>8</v>
      </c>
      <c r="F257" s="8"/>
      <c r="H257" s="8"/>
      <c r="I257" s="8" t="s">
        <v>8393</v>
      </c>
      <c r="J257" s="8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8" t="s">
        <v>1607</v>
      </c>
      <c r="E258" s="8" t="s">
        <v>8</v>
      </c>
      <c r="F258" s="8"/>
      <c r="H258" s="8"/>
      <c r="I258" s="8" t="s">
        <v>8395</v>
      </c>
      <c r="J258" s="8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8" t="s">
        <v>8529</v>
      </c>
      <c r="E259" s="8" t="s">
        <v>468</v>
      </c>
      <c r="F259" s="8"/>
      <c r="H259" s="8"/>
      <c r="I259" s="8" t="s">
        <v>8504</v>
      </c>
      <c r="J259" s="8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8" t="s">
        <v>8530</v>
      </c>
      <c r="E260" s="8" t="s">
        <v>468</v>
      </c>
      <c r="F260" s="8"/>
      <c r="H260" s="8"/>
      <c r="I260" s="8" t="s">
        <v>8506</v>
      </c>
      <c r="J260" s="8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8" t="s">
        <v>1607</v>
      </c>
      <c r="E261" s="8" t="s">
        <v>8</v>
      </c>
      <c r="F261" s="8"/>
      <c r="H261" s="8"/>
      <c r="I261" s="8" t="s">
        <v>8686</v>
      </c>
      <c r="J261" s="8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8" t="s">
        <v>1607</v>
      </c>
      <c r="E262" s="8" t="s">
        <v>8</v>
      </c>
      <c r="F262" s="8"/>
      <c r="H262" s="8"/>
      <c r="I262" s="8" t="s">
        <v>8688</v>
      </c>
      <c r="J262" s="8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8" t="s">
        <v>1607</v>
      </c>
      <c r="E263" s="8" t="s">
        <v>8</v>
      </c>
      <c r="F263" s="8"/>
      <c r="H263" s="8"/>
      <c r="I263" s="8" t="s">
        <v>8795</v>
      </c>
      <c r="J263" s="8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8" t="s">
        <v>1607</v>
      </c>
      <c r="E264" s="8" t="s">
        <v>8</v>
      </c>
      <c r="F264" s="8"/>
      <c r="H264" s="8"/>
      <c r="I264" s="8" t="s">
        <v>8797</v>
      </c>
      <c r="J264" s="8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8" t="s">
        <v>1607</v>
      </c>
      <c r="E265" s="8" t="s">
        <v>8</v>
      </c>
      <c r="F265" s="8"/>
      <c r="H265" s="8"/>
      <c r="I265" s="8" t="s">
        <v>8846</v>
      </c>
      <c r="J265" s="8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8" t="s">
        <v>8925</v>
      </c>
      <c r="E266" s="8"/>
      <c r="F266" s="8"/>
      <c r="H266" s="8"/>
      <c r="I266" s="8" t="s">
        <v>8923</v>
      </c>
      <c r="J266" s="8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8" t="s">
        <v>1607</v>
      </c>
      <c r="E267" s="8" t="s">
        <v>8</v>
      </c>
      <c r="F267" s="8"/>
      <c r="H267" s="8"/>
      <c r="I267" s="8" t="s">
        <v>9032</v>
      </c>
      <c r="J267" s="8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8" t="s">
        <v>227</v>
      </c>
      <c r="E268" s="8" t="s">
        <v>9129</v>
      </c>
      <c r="F268" s="8" t="s">
        <v>60</v>
      </c>
      <c r="H268" s="8"/>
      <c r="I268" s="8" t="s">
        <v>9034</v>
      </c>
      <c r="J268" s="8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8" t="s">
        <v>227</v>
      </c>
      <c r="E269" s="8" t="s">
        <v>9129</v>
      </c>
      <c r="F269" s="8" t="s">
        <v>60</v>
      </c>
      <c r="H269" s="8" t="s">
        <v>2352</v>
      </c>
      <c r="I269" s="8" t="s">
        <v>9036</v>
      </c>
      <c r="J269" s="8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8" t="s">
        <v>227</v>
      </c>
      <c r="E270" s="8" t="s">
        <v>9129</v>
      </c>
      <c r="F270" s="8" t="s">
        <v>60</v>
      </c>
      <c r="H270" s="8" t="s">
        <v>2352</v>
      </c>
      <c r="I270" s="8" t="s">
        <v>9038</v>
      </c>
      <c r="J270" s="8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8" t="s">
        <v>227</v>
      </c>
      <c r="E271" s="8" t="s">
        <v>9129</v>
      </c>
      <c r="F271" s="8" t="s">
        <v>60</v>
      </c>
      <c r="H271" s="8" t="s">
        <v>2352</v>
      </c>
      <c r="I271" s="8" t="s">
        <v>9040</v>
      </c>
      <c r="J271" s="8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8" t="s">
        <v>227</v>
      </c>
      <c r="E272" s="8" t="s">
        <v>9129</v>
      </c>
      <c r="F272" s="8" t="s">
        <v>60</v>
      </c>
      <c r="H272" s="8" t="s">
        <v>2352</v>
      </c>
      <c r="I272" s="8" t="s">
        <v>9042</v>
      </c>
      <c r="J272" s="8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8" t="s">
        <v>227</v>
      </c>
      <c r="E273" s="8" t="s">
        <v>9129</v>
      </c>
      <c r="F273" s="8" t="s">
        <v>60</v>
      </c>
      <c r="H273" s="8" t="s">
        <v>2352</v>
      </c>
      <c r="I273" s="8" t="s">
        <v>9044</v>
      </c>
      <c r="J273" s="8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8" t="s">
        <v>227</v>
      </c>
      <c r="E274" s="8" t="s">
        <v>9129</v>
      </c>
      <c r="F274" s="8" t="s">
        <v>60</v>
      </c>
      <c r="H274" s="8" t="s">
        <v>2352</v>
      </c>
      <c r="I274" s="8" t="s">
        <v>9046</v>
      </c>
      <c r="J274" s="8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8" t="s">
        <v>227</v>
      </c>
      <c r="E275" s="8" t="s">
        <v>9129</v>
      </c>
      <c r="F275" s="8" t="s">
        <v>60</v>
      </c>
      <c r="H275" s="8" t="s">
        <v>2352</v>
      </c>
      <c r="I275" s="8" t="s">
        <v>9048</v>
      </c>
      <c r="J275" s="8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8" t="s">
        <v>227</v>
      </c>
      <c r="E276" s="8" t="s">
        <v>9129</v>
      </c>
      <c r="F276" s="8" t="s">
        <v>60</v>
      </c>
      <c r="H276" s="8" t="s">
        <v>2352</v>
      </c>
      <c r="I276" s="8" t="s">
        <v>9050</v>
      </c>
      <c r="J276" s="8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8" t="s">
        <v>227</v>
      </c>
      <c r="E277" s="8" t="s">
        <v>9129</v>
      </c>
      <c r="F277" s="8" t="s">
        <v>60</v>
      </c>
      <c r="H277" s="8" t="s">
        <v>2352</v>
      </c>
      <c r="I277" s="8" t="s">
        <v>9052</v>
      </c>
      <c r="J277" s="8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8" t="s">
        <v>227</v>
      </c>
      <c r="E278" s="8" t="s">
        <v>9129</v>
      </c>
      <c r="F278" s="8" t="s">
        <v>60</v>
      </c>
      <c r="H278" s="8" t="s">
        <v>2352</v>
      </c>
      <c r="I278" s="8" t="s">
        <v>9054</v>
      </c>
      <c r="J278" s="8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8" t="s">
        <v>227</v>
      </c>
      <c r="E279" s="8" t="s">
        <v>9129</v>
      </c>
      <c r="F279" s="8" t="s">
        <v>60</v>
      </c>
      <c r="H279" s="8" t="s">
        <v>2352</v>
      </c>
      <c r="I279" s="8" t="s">
        <v>9056</v>
      </c>
      <c r="J279" s="8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8" t="s">
        <v>9139</v>
      </c>
      <c r="E280" s="8" t="s">
        <v>9129</v>
      </c>
      <c r="F280" s="8"/>
      <c r="H280" s="8"/>
      <c r="I280" s="8" t="s">
        <v>9058</v>
      </c>
      <c r="J280" s="8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8" t="s">
        <v>227</v>
      </c>
      <c r="E281" s="8" t="s">
        <v>9129</v>
      </c>
      <c r="F281" s="8" t="s">
        <v>60</v>
      </c>
      <c r="H281" s="8"/>
      <c r="I281" s="8" t="s">
        <v>9060</v>
      </c>
      <c r="J281" s="8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8" t="s">
        <v>227</v>
      </c>
      <c r="E282" s="8" t="s">
        <v>9129</v>
      </c>
      <c r="F282" s="8" t="s">
        <v>60</v>
      </c>
      <c r="H282" s="8" t="s">
        <v>2352</v>
      </c>
      <c r="I282" s="8" t="s">
        <v>9062</v>
      </c>
      <c r="J282" s="8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8" t="s">
        <v>227</v>
      </c>
      <c r="E283" s="8" t="s">
        <v>9129</v>
      </c>
      <c r="F283" s="8" t="s">
        <v>60</v>
      </c>
      <c r="H283" s="8" t="s">
        <v>2352</v>
      </c>
      <c r="I283" s="8" t="s">
        <v>9064</v>
      </c>
      <c r="J283" s="8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8" t="s">
        <v>227</v>
      </c>
      <c r="E284" s="8" t="s">
        <v>9129</v>
      </c>
      <c r="F284" s="8" t="s">
        <v>60</v>
      </c>
      <c r="H284" s="8" t="s">
        <v>2352</v>
      </c>
      <c r="I284" s="8" t="s">
        <v>9066</v>
      </c>
      <c r="J284" s="8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8" t="s">
        <v>227</v>
      </c>
      <c r="E285" s="8" t="s">
        <v>9129</v>
      </c>
      <c r="F285" s="8" t="s">
        <v>60</v>
      </c>
      <c r="H285" s="8" t="s">
        <v>2352</v>
      </c>
      <c r="I285" s="8" t="s">
        <v>9068</v>
      </c>
      <c r="J285" s="8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8" t="s">
        <v>227</v>
      </c>
      <c r="E286" s="8" t="s">
        <v>9129</v>
      </c>
      <c r="F286" s="8" t="s">
        <v>60</v>
      </c>
      <c r="H286" s="8" t="s">
        <v>2352</v>
      </c>
      <c r="I286" s="8" t="s">
        <v>9070</v>
      </c>
      <c r="J286" s="8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8" t="s">
        <v>227</v>
      </c>
      <c r="E287" s="8" t="s">
        <v>9129</v>
      </c>
      <c r="F287" s="8" t="s">
        <v>60</v>
      </c>
      <c r="H287" s="8" t="s">
        <v>2352</v>
      </c>
      <c r="I287" s="8" t="s">
        <v>9072</v>
      </c>
      <c r="J287" s="8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8" t="s">
        <v>227</v>
      </c>
      <c r="E288" s="8" t="s">
        <v>9129</v>
      </c>
      <c r="F288" s="8" t="s">
        <v>60</v>
      </c>
      <c r="H288" s="8" t="s">
        <v>2352</v>
      </c>
      <c r="I288" s="8" t="s">
        <v>9074</v>
      </c>
      <c r="J288" s="8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8" t="s">
        <v>227</v>
      </c>
      <c r="E289" s="8" t="s">
        <v>9129</v>
      </c>
      <c r="F289" s="8" t="s">
        <v>60</v>
      </c>
      <c r="H289" s="8" t="s">
        <v>2352</v>
      </c>
      <c r="I289" s="8" t="s">
        <v>9076</v>
      </c>
      <c r="J289" s="8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8" t="s">
        <v>227</v>
      </c>
      <c r="E290" s="8" t="s">
        <v>9129</v>
      </c>
      <c r="F290" s="8" t="s">
        <v>60</v>
      </c>
      <c r="H290" s="8" t="s">
        <v>2352</v>
      </c>
      <c r="I290" s="8" t="s">
        <v>9078</v>
      </c>
      <c r="J290" s="8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8" t="s">
        <v>227</v>
      </c>
      <c r="E291" s="8" t="s">
        <v>9129</v>
      </c>
      <c r="F291" s="8" t="s">
        <v>60</v>
      </c>
      <c r="H291" s="8" t="s">
        <v>2352</v>
      </c>
      <c r="I291" s="8" t="s">
        <v>9080</v>
      </c>
      <c r="J291" s="8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8" t="s">
        <v>4099</v>
      </c>
      <c r="E292" s="8" t="s">
        <v>9129</v>
      </c>
      <c r="F292" s="8"/>
      <c r="H292" s="8"/>
      <c r="I292" s="8" t="s">
        <v>9082</v>
      </c>
      <c r="J292" s="8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8" t="s">
        <v>588</v>
      </c>
      <c r="E293" s="8" t="s">
        <v>4396</v>
      </c>
      <c r="F293" s="8"/>
      <c r="H293" s="8"/>
      <c r="I293" s="8" t="s">
        <v>9084</v>
      </c>
      <c r="J293" s="8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8" t="s">
        <v>588</v>
      </c>
      <c r="E294" s="8" t="s">
        <v>4396</v>
      </c>
      <c r="F294" s="8"/>
      <c r="H294" s="8"/>
      <c r="I294" s="8" t="s">
        <v>9086</v>
      </c>
      <c r="J294" s="8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8" t="s">
        <v>588</v>
      </c>
      <c r="E295" s="8" t="s">
        <v>4396</v>
      </c>
      <c r="F295" s="8"/>
      <c r="H295" s="8"/>
      <c r="I295" s="8" t="s">
        <v>9088</v>
      </c>
      <c r="J295" s="8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8" t="s">
        <v>588</v>
      </c>
      <c r="E296" s="8" t="s">
        <v>4396</v>
      </c>
      <c r="F296" s="8"/>
      <c r="H296" s="8"/>
      <c r="I296" s="8" t="s">
        <v>9090</v>
      </c>
      <c r="J296" s="8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8" t="s">
        <v>588</v>
      </c>
      <c r="E297" s="8" t="s">
        <v>4396</v>
      </c>
      <c r="F297" s="8"/>
      <c r="H297" s="8"/>
      <c r="I297" s="8" t="s">
        <v>9092</v>
      </c>
      <c r="J297" s="8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8" t="s">
        <v>4</v>
      </c>
      <c r="E298" s="8" t="s">
        <v>8</v>
      </c>
      <c r="F298" s="8"/>
      <c r="H298" s="8"/>
      <c r="I298" s="8" t="s">
        <v>9094</v>
      </c>
      <c r="J298" s="8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8" t="s">
        <v>4</v>
      </c>
      <c r="E299" s="8" t="s">
        <v>6439</v>
      </c>
      <c r="F299" s="8"/>
      <c r="H299" s="8"/>
      <c r="I299" s="8" t="s">
        <v>9221</v>
      </c>
      <c r="J299" s="8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8" t="s">
        <v>1607</v>
      </c>
      <c r="E300" s="8" t="s">
        <v>8</v>
      </c>
      <c r="F300" s="8"/>
      <c r="H300" s="8"/>
      <c r="I300" s="8" t="s">
        <v>9223</v>
      </c>
      <c r="J300" s="8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8" t="s">
        <v>4</v>
      </c>
      <c r="E301" s="8" t="s">
        <v>6439</v>
      </c>
      <c r="F301" s="8"/>
      <c r="H301" s="8"/>
      <c r="I301" s="8" t="s">
        <v>9225</v>
      </c>
      <c r="J301" s="8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8" t="s">
        <v>1607</v>
      </c>
      <c r="E302" s="8" t="s">
        <v>8</v>
      </c>
      <c r="F302" s="8"/>
      <c r="H302" s="8"/>
      <c r="I302" s="8" t="s">
        <v>9390</v>
      </c>
      <c r="J302" s="8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8" t="s">
        <v>1607</v>
      </c>
      <c r="E303" s="8" t="s">
        <v>8</v>
      </c>
      <c r="F303" s="8"/>
      <c r="H303" s="8"/>
      <c r="I303" s="8" t="s">
        <v>9392</v>
      </c>
      <c r="J303" s="8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8" t="s">
        <v>11077</v>
      </c>
      <c r="E304" s="8" t="s">
        <v>86</v>
      </c>
      <c r="F304" s="8"/>
      <c r="H304" s="8"/>
      <c r="I304" s="8" t="s">
        <v>10783</v>
      </c>
      <c r="J304" s="8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8" t="s">
        <v>11077</v>
      </c>
      <c r="E305" s="8" t="s">
        <v>86</v>
      </c>
      <c r="F305" s="8"/>
      <c r="H305" s="8"/>
      <c r="I305" s="8" t="s">
        <v>10785</v>
      </c>
      <c r="J305" s="8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8" t="s">
        <v>4</v>
      </c>
      <c r="E306" s="8" t="s">
        <v>8</v>
      </c>
      <c r="F306" s="8"/>
      <c r="H306" s="8"/>
      <c r="I306" s="8" t="s">
        <v>10787</v>
      </c>
      <c r="J306" s="8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8" t="s">
        <v>11073</v>
      </c>
      <c r="E307" s="8" t="s">
        <v>86</v>
      </c>
      <c r="F307" s="8"/>
      <c r="H307" s="8"/>
      <c r="I307" s="8" t="s">
        <v>10789</v>
      </c>
      <c r="J307" s="8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8" t="s">
        <v>11073</v>
      </c>
      <c r="E308" s="8" t="s">
        <v>86</v>
      </c>
      <c r="F308" s="8"/>
      <c r="H308" s="8"/>
      <c r="I308" s="8" t="s">
        <v>10791</v>
      </c>
      <c r="J308" s="8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8" t="s">
        <v>11073</v>
      </c>
      <c r="E309" s="8" t="s">
        <v>86</v>
      </c>
      <c r="F309" s="8"/>
      <c r="H309" s="8"/>
      <c r="I309" s="8" t="s">
        <v>10793</v>
      </c>
      <c r="J309" s="8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8" t="s">
        <v>4</v>
      </c>
      <c r="E310" s="8" t="s">
        <v>8</v>
      </c>
      <c r="F310" s="8"/>
      <c r="H310" s="8"/>
      <c r="I310" s="8" t="s">
        <v>10795</v>
      </c>
      <c r="J310" s="8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8" t="s">
        <v>4</v>
      </c>
      <c r="E311" s="8" t="s">
        <v>8</v>
      </c>
      <c r="F311" s="8"/>
      <c r="H311" s="8"/>
      <c r="I311" s="8" t="s">
        <v>13536</v>
      </c>
      <c r="J311" s="8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8" t="s">
        <v>4</v>
      </c>
      <c r="E312" s="8" t="s">
        <v>11066</v>
      </c>
      <c r="F312" s="8"/>
      <c r="H312" s="8"/>
      <c r="I312" s="8" t="s">
        <v>13539</v>
      </c>
      <c r="J312" s="8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8" t="s">
        <v>4</v>
      </c>
      <c r="E313" s="8" t="s">
        <v>8</v>
      </c>
      <c r="F313" s="8"/>
      <c r="H313" s="8"/>
      <c r="I313" s="8" t="s">
        <v>13542</v>
      </c>
      <c r="J313" s="8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8" t="s">
        <v>4</v>
      </c>
      <c r="E314" s="8" t="s">
        <v>8</v>
      </c>
      <c r="F314" s="8"/>
      <c r="H314" s="8"/>
      <c r="I314" s="8" t="s">
        <v>13545</v>
      </c>
      <c r="J314" s="8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8" t="s">
        <v>1607</v>
      </c>
      <c r="E315" s="8" t="s">
        <v>8</v>
      </c>
      <c r="F315" s="8"/>
      <c r="H315" s="8"/>
      <c r="I315" s="8" t="s">
        <v>13548</v>
      </c>
      <c r="J315" s="8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8" t="s">
        <v>1607</v>
      </c>
      <c r="E316" s="8" t="s">
        <v>8</v>
      </c>
      <c r="F316" s="8"/>
      <c r="H316" s="8"/>
      <c r="I316" s="8" t="s">
        <v>13960</v>
      </c>
      <c r="J316" s="8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8" t="s">
        <v>1607</v>
      </c>
      <c r="E317" s="8" t="s">
        <v>8</v>
      </c>
      <c r="F317" s="8"/>
      <c r="H317" s="8"/>
      <c r="I317" s="8" t="s">
        <v>13963</v>
      </c>
      <c r="J317" s="8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8" t="s">
        <v>4</v>
      </c>
      <c r="E318" s="8" t="s">
        <v>11066</v>
      </c>
      <c r="F318" s="8"/>
      <c r="H318" s="8"/>
      <c r="I318" s="8" t="s">
        <v>14292</v>
      </c>
      <c r="J318" s="8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8" t="s">
        <v>4</v>
      </c>
      <c r="E319" s="8" t="s">
        <v>11066</v>
      </c>
      <c r="F319" s="8"/>
      <c r="H319" s="8" t="s">
        <v>2352</v>
      </c>
      <c r="I319" s="8" t="s">
        <v>14295</v>
      </c>
      <c r="J319" s="8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8" t="s">
        <v>4</v>
      </c>
      <c r="E320" s="8" t="s">
        <v>11066</v>
      </c>
      <c r="F320" s="8"/>
      <c r="H320" s="8" t="s">
        <v>16681</v>
      </c>
      <c r="I320" s="8" t="s">
        <v>14298</v>
      </c>
      <c r="J320" s="8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8" t="s">
        <v>4</v>
      </c>
      <c r="E321" s="8" t="s">
        <v>8</v>
      </c>
      <c r="F321" s="8"/>
      <c r="H321" s="8"/>
      <c r="I321" s="8" t="s">
        <v>14301</v>
      </c>
      <c r="J321" s="8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8" t="s">
        <v>4</v>
      </c>
      <c r="E322" s="8" t="s">
        <v>8</v>
      </c>
      <c r="F322" s="8"/>
      <c r="H322" s="8"/>
      <c r="I322" s="8" t="s">
        <v>14304</v>
      </c>
      <c r="J322" s="8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8" t="s">
        <v>4</v>
      </c>
      <c r="E323" s="8" t="s">
        <v>8</v>
      </c>
      <c r="F323" s="8"/>
      <c r="H323" s="8"/>
      <c r="I323" s="8" t="s">
        <v>14307</v>
      </c>
      <c r="J323" s="8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8" t="s">
        <v>1607</v>
      </c>
      <c r="E324" s="8" t="s">
        <v>8</v>
      </c>
      <c r="F324" s="8"/>
      <c r="H324" s="8"/>
      <c r="I324" s="8" t="s">
        <v>14310</v>
      </c>
      <c r="J324" s="8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8" t="s">
        <v>4</v>
      </c>
      <c r="E325" s="8" t="s">
        <v>8</v>
      </c>
      <c r="F325" s="8"/>
      <c r="H325" s="8"/>
      <c r="I325" s="8" t="s">
        <v>16420</v>
      </c>
      <c r="J325" s="8" t="s">
        <v>11697</v>
      </c>
      <c r="K325" t="s">
        <v>16421</v>
      </c>
      <c r="L325" t="s">
        <v>16422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8" t="s">
        <v>588</v>
      </c>
      <c r="E326" s="8" t="s">
        <v>86</v>
      </c>
      <c r="F326" s="8"/>
      <c r="H326" s="8"/>
      <c r="I326" s="8" t="s">
        <v>16423</v>
      </c>
      <c r="J326" s="8" t="s">
        <v>11697</v>
      </c>
      <c r="K326" t="s">
        <v>16424</v>
      </c>
      <c r="L326" t="s">
        <v>16425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8" t="s">
        <v>588</v>
      </c>
      <c r="E327" s="8" t="s">
        <v>86</v>
      </c>
      <c r="F327" s="8"/>
      <c r="H327" s="8"/>
      <c r="I327" s="8" t="s">
        <v>16426</v>
      </c>
      <c r="J327" s="8" t="s">
        <v>11697</v>
      </c>
      <c r="K327" t="s">
        <v>16427</v>
      </c>
      <c r="L327" t="s">
        <v>16428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8" t="s">
        <v>588</v>
      </c>
      <c r="E328" s="8" t="s">
        <v>86</v>
      </c>
      <c r="F328" s="8"/>
      <c r="H328" s="8"/>
      <c r="I328" s="8" t="s">
        <v>16429</v>
      </c>
      <c r="J328" s="8" t="s">
        <v>11697</v>
      </c>
      <c r="K328" t="s">
        <v>16430</v>
      </c>
      <c r="L328" t="s">
        <v>16431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8" t="s">
        <v>1539</v>
      </c>
      <c r="E329" s="8"/>
      <c r="F329" s="8"/>
      <c r="H329" s="8"/>
      <c r="I329" s="8" t="s">
        <v>16432</v>
      </c>
      <c r="J329" s="8" t="s">
        <v>11697</v>
      </c>
      <c r="K329" t="s">
        <v>16433</v>
      </c>
      <c r="L329" t="s">
        <v>16434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8" t="s">
        <v>1539</v>
      </c>
      <c r="E330" s="8"/>
      <c r="F330" s="8"/>
      <c r="H330" s="8"/>
      <c r="I330" s="8" t="s">
        <v>16435</v>
      </c>
      <c r="J330" s="8" t="s">
        <v>11697</v>
      </c>
      <c r="K330" t="s">
        <v>16436</v>
      </c>
      <c r="L330" t="s">
        <v>16437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8" t="s">
        <v>1539</v>
      </c>
      <c r="E331" s="8"/>
      <c r="F331" s="8"/>
      <c r="H331" s="8"/>
      <c r="I331" s="8" t="s">
        <v>16438</v>
      </c>
      <c r="J331" s="8" t="s">
        <v>11697</v>
      </c>
      <c r="K331" t="s">
        <v>16439</v>
      </c>
      <c r="L331" t="s">
        <v>16440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8" t="s">
        <v>1539</v>
      </c>
      <c r="E332" s="8"/>
      <c r="F332" s="8"/>
      <c r="H332" s="8"/>
      <c r="I332" s="8" t="s">
        <v>16441</v>
      </c>
      <c r="J332" s="8" t="s">
        <v>11697</v>
      </c>
      <c r="K332" t="s">
        <v>16442</v>
      </c>
      <c r="L332" t="s">
        <v>16443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8" t="s">
        <v>588</v>
      </c>
      <c r="E333" s="8" t="s">
        <v>86</v>
      </c>
      <c r="F333" s="8"/>
      <c r="H333" s="8"/>
      <c r="I333" s="8" t="s">
        <v>16444</v>
      </c>
      <c r="J333" s="8" t="s">
        <v>11697</v>
      </c>
      <c r="K333" t="s">
        <v>16445</v>
      </c>
      <c r="L333" t="s">
        <v>16446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8" t="s">
        <v>4</v>
      </c>
      <c r="E334" s="8" t="s">
        <v>8</v>
      </c>
      <c r="F334" s="8"/>
      <c r="H334" s="8"/>
      <c r="I334" s="8" t="s">
        <v>16447</v>
      </c>
      <c r="J334" s="8" t="s">
        <v>11697</v>
      </c>
      <c r="K334" t="s">
        <v>16448</v>
      </c>
      <c r="L334" t="s">
        <v>16449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8" t="s">
        <v>4</v>
      </c>
      <c r="E335" s="8" t="s">
        <v>8</v>
      </c>
      <c r="F335" s="8"/>
      <c r="H335" s="8"/>
      <c r="I335" s="8" t="s">
        <v>16450</v>
      </c>
      <c r="J335" s="8" t="s">
        <v>11697</v>
      </c>
      <c r="K335" t="s">
        <v>16451</v>
      </c>
      <c r="L335" t="s">
        <v>16452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8" t="s">
        <v>4</v>
      </c>
      <c r="E336" s="8" t="s">
        <v>8</v>
      </c>
      <c r="F336" s="8"/>
      <c r="H336" s="8"/>
      <c r="I336" s="8" t="s">
        <v>16453</v>
      </c>
      <c r="J336" s="8" t="s">
        <v>11697</v>
      </c>
      <c r="K336" t="s">
        <v>16454</v>
      </c>
      <c r="L336" t="s">
        <v>16455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8" t="s">
        <v>4</v>
      </c>
      <c r="E337" s="8" t="s">
        <v>11066</v>
      </c>
      <c r="F337" s="8"/>
      <c r="H337" s="8" t="s">
        <v>16682</v>
      </c>
      <c r="I337" s="8" t="s">
        <v>16456</v>
      </c>
      <c r="J337" s="8" t="s">
        <v>11697</v>
      </c>
      <c r="K337" t="s">
        <v>16457</v>
      </c>
      <c r="L337" t="s">
        <v>16458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8" t="s">
        <v>4</v>
      </c>
      <c r="E338" s="8" t="s">
        <v>8</v>
      </c>
      <c r="F338" s="8"/>
      <c r="H338" s="8"/>
      <c r="I338" s="8" t="s">
        <v>16459</v>
      </c>
      <c r="J338" s="8" t="s">
        <v>11697</v>
      </c>
      <c r="K338" t="s">
        <v>16460</v>
      </c>
      <c r="L338" t="s">
        <v>16461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8" t="s">
        <v>4</v>
      </c>
      <c r="E339" s="8" t="s">
        <v>11066</v>
      </c>
      <c r="F339" s="8"/>
      <c r="H339" s="8" t="s">
        <v>16681</v>
      </c>
      <c r="I339" s="8" t="s">
        <v>16462</v>
      </c>
      <c r="J339" s="8" t="s">
        <v>11697</v>
      </c>
      <c r="K339" t="s">
        <v>16463</v>
      </c>
      <c r="L339" t="s">
        <v>16464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8" t="s">
        <v>4</v>
      </c>
      <c r="E340" s="8" t="s">
        <v>8</v>
      </c>
      <c r="F340" s="8"/>
      <c r="H340" s="8"/>
      <c r="I340" s="8" t="s">
        <v>16465</v>
      </c>
      <c r="J340" s="8" t="s">
        <v>11697</v>
      </c>
      <c r="K340" t="s">
        <v>16466</v>
      </c>
      <c r="L340" t="s">
        <v>16467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8" t="s">
        <v>4</v>
      </c>
      <c r="E341" s="8" t="s">
        <v>16661</v>
      </c>
      <c r="F341" s="8" t="s">
        <v>16657</v>
      </c>
      <c r="H341" s="8"/>
      <c r="I341" s="8" t="s">
        <v>16468</v>
      </c>
      <c r="J341" s="8" t="s">
        <v>11697</v>
      </c>
      <c r="K341" t="s">
        <v>16469</v>
      </c>
      <c r="L341" t="s">
        <v>16470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8" t="s">
        <v>4</v>
      </c>
      <c r="E342" s="8" t="s">
        <v>8</v>
      </c>
      <c r="F342" s="8"/>
      <c r="H342" s="8"/>
      <c r="I342" s="8" t="s">
        <v>16471</v>
      </c>
      <c r="J342" s="8" t="s">
        <v>11697</v>
      </c>
      <c r="K342" t="s">
        <v>16472</v>
      </c>
      <c r="L342" t="s">
        <v>16473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8" t="s">
        <v>4</v>
      </c>
      <c r="E343" s="8" t="s">
        <v>8</v>
      </c>
      <c r="F343" s="8"/>
      <c r="H343" s="8"/>
      <c r="I343" s="8" t="s">
        <v>16474</v>
      </c>
      <c r="J343" s="8" t="s">
        <v>11697</v>
      </c>
      <c r="K343" t="s">
        <v>16475</v>
      </c>
      <c r="L343" t="s">
        <v>16476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8" t="s">
        <v>1539</v>
      </c>
      <c r="E344" s="8"/>
      <c r="F344" s="8"/>
      <c r="H344" s="8"/>
      <c r="I344" s="8" t="s">
        <v>16477</v>
      </c>
      <c r="J344" s="8" t="s">
        <v>11697</v>
      </c>
      <c r="K344" t="s">
        <v>16478</v>
      </c>
      <c r="L344" t="s">
        <v>16479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8" t="s">
        <v>1539</v>
      </c>
      <c r="E345" s="8"/>
      <c r="F345" s="8"/>
      <c r="H345" s="8"/>
      <c r="I345" s="8" t="s">
        <v>16480</v>
      </c>
      <c r="J345" s="8" t="s">
        <v>11697</v>
      </c>
      <c r="K345" t="s">
        <v>16481</v>
      </c>
      <c r="L345" t="s">
        <v>16482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8" t="s">
        <v>4</v>
      </c>
      <c r="E346" s="8" t="s">
        <v>8</v>
      </c>
      <c r="F346" s="8"/>
      <c r="H346" s="8"/>
      <c r="I346" s="8" t="s">
        <v>16483</v>
      </c>
      <c r="J346" s="8" t="s">
        <v>11697</v>
      </c>
      <c r="K346" t="s">
        <v>16484</v>
      </c>
      <c r="L346" t="s">
        <v>16485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8" t="s">
        <v>4</v>
      </c>
      <c r="E347" s="8" t="s">
        <v>8</v>
      </c>
      <c r="F347" s="8"/>
      <c r="H347" s="8"/>
      <c r="I347" s="8" t="s">
        <v>16486</v>
      </c>
      <c r="J347" s="8" t="s">
        <v>11697</v>
      </c>
      <c r="K347" t="s">
        <v>16487</v>
      </c>
      <c r="L347" t="s">
        <v>16488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8" t="s">
        <v>4</v>
      </c>
      <c r="E348" s="8" t="s">
        <v>8</v>
      </c>
      <c r="F348" s="8"/>
      <c r="H348" s="8"/>
      <c r="I348" s="8" t="s">
        <v>16809</v>
      </c>
      <c r="J348" s="8" t="s">
        <v>11697</v>
      </c>
      <c r="K348" t="s">
        <v>16810</v>
      </c>
      <c r="L348" t="s">
        <v>16811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8" t="s">
        <v>1607</v>
      </c>
      <c r="E349" s="8" t="s">
        <v>8</v>
      </c>
      <c r="F349" s="8"/>
      <c r="H349" s="8"/>
      <c r="I349" s="8" t="s">
        <v>16812</v>
      </c>
      <c r="J349" s="8" t="s">
        <v>11697</v>
      </c>
      <c r="K349" t="s">
        <v>16813</v>
      </c>
      <c r="L349" t="s">
        <v>16814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8" t="s">
        <v>4</v>
      </c>
      <c r="E350" s="8" t="s">
        <v>8</v>
      </c>
      <c r="F350" s="8"/>
      <c r="H350" s="8"/>
      <c r="I350" s="8" t="s">
        <v>16815</v>
      </c>
      <c r="J350" s="8" t="s">
        <v>11697</v>
      </c>
      <c r="K350" t="s">
        <v>16816</v>
      </c>
      <c r="L350" t="s">
        <v>16817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8" t="s">
        <v>1607</v>
      </c>
      <c r="E351" s="8" t="s">
        <v>8</v>
      </c>
      <c r="F351" s="8"/>
      <c r="H351" s="8"/>
      <c r="I351" s="8" t="s">
        <v>16818</v>
      </c>
      <c r="J351" s="8" t="s">
        <v>11697</v>
      </c>
      <c r="K351" t="s">
        <v>16819</v>
      </c>
      <c r="L351" t="s">
        <v>16820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8" t="s">
        <v>4</v>
      </c>
      <c r="E352" s="8" t="s">
        <v>8</v>
      </c>
      <c r="F352" s="8"/>
      <c r="H352" s="8"/>
      <c r="I352" s="8" t="s">
        <v>16821</v>
      </c>
      <c r="J352" s="8" t="s">
        <v>11697</v>
      </c>
      <c r="K352" t="s">
        <v>16822</v>
      </c>
      <c r="L352" t="s">
        <v>16823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8" t="s">
        <v>1607</v>
      </c>
      <c r="E353" s="8" t="s">
        <v>8</v>
      </c>
      <c r="F353" s="8"/>
      <c r="H353" s="8"/>
      <c r="I353" s="8" t="s">
        <v>16824</v>
      </c>
      <c r="J353" s="8" t="s">
        <v>11697</v>
      </c>
      <c r="K353" t="s">
        <v>16825</v>
      </c>
      <c r="L353" t="s">
        <v>16826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8" t="s">
        <v>4</v>
      </c>
      <c r="E354" s="8" t="s">
        <v>8</v>
      </c>
      <c r="F354" s="8"/>
      <c r="H354" s="8"/>
      <c r="I354" s="8" t="s">
        <v>17661</v>
      </c>
      <c r="J354" s="8" t="s">
        <v>11697</v>
      </c>
      <c r="K354" t="s">
        <v>17662</v>
      </c>
      <c r="L354" t="s">
        <v>17663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8" t="s">
        <v>226</v>
      </c>
      <c r="E355" s="8" t="s">
        <v>70</v>
      </c>
      <c r="F355" s="8" t="s">
        <v>2345</v>
      </c>
      <c r="H355" s="8"/>
      <c r="I355" s="8" t="s">
        <v>17664</v>
      </c>
      <c r="J355" s="8" t="s">
        <v>11697</v>
      </c>
      <c r="K355" t="s">
        <v>17665</v>
      </c>
      <c r="L355" t="s">
        <v>17666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8" t="s">
        <v>226</v>
      </c>
      <c r="E356" s="8" t="s">
        <v>70</v>
      </c>
      <c r="F356" s="8" t="s">
        <v>2345</v>
      </c>
      <c r="H356" s="8" t="s">
        <v>2352</v>
      </c>
      <c r="I356" s="8" t="s">
        <v>17667</v>
      </c>
      <c r="J356" s="8" t="s">
        <v>11697</v>
      </c>
      <c r="K356" t="s">
        <v>17668</v>
      </c>
      <c r="L356" t="s">
        <v>17669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8" t="s">
        <v>226</v>
      </c>
      <c r="E357" s="8" t="s">
        <v>70</v>
      </c>
      <c r="F357" s="8" t="s">
        <v>2345</v>
      </c>
      <c r="H357" s="8" t="s">
        <v>2352</v>
      </c>
      <c r="I357" s="8" t="s">
        <v>17670</v>
      </c>
      <c r="J357" s="8" t="s">
        <v>11697</v>
      </c>
      <c r="K357" t="s">
        <v>17671</v>
      </c>
      <c r="L357" t="s">
        <v>17672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8" t="s">
        <v>226</v>
      </c>
      <c r="E358" s="8" t="s">
        <v>70</v>
      </c>
      <c r="F358" s="8" t="s">
        <v>2345</v>
      </c>
      <c r="H358" s="8" t="s">
        <v>2352</v>
      </c>
      <c r="I358" s="8" t="s">
        <v>17673</v>
      </c>
      <c r="J358" s="8" t="s">
        <v>11697</v>
      </c>
      <c r="K358" t="s">
        <v>17674</v>
      </c>
      <c r="L358" t="s">
        <v>17675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8" t="s">
        <v>226</v>
      </c>
      <c r="E359" s="8" t="s">
        <v>70</v>
      </c>
      <c r="F359" s="8" t="s">
        <v>2345</v>
      </c>
      <c r="H359" s="8" t="s">
        <v>2352</v>
      </c>
      <c r="I359" s="8" t="s">
        <v>17676</v>
      </c>
      <c r="J359" s="8" t="s">
        <v>11697</v>
      </c>
      <c r="K359" t="s">
        <v>17677</v>
      </c>
      <c r="L359" t="s">
        <v>17678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8" t="s">
        <v>226</v>
      </c>
      <c r="E360" s="8" t="s">
        <v>70</v>
      </c>
      <c r="F360" s="8" t="s">
        <v>2345</v>
      </c>
      <c r="H360" s="8" t="s">
        <v>2352</v>
      </c>
      <c r="I360" s="8" t="s">
        <v>17679</v>
      </c>
      <c r="J360" s="8" t="s">
        <v>11697</v>
      </c>
      <c r="K360" t="s">
        <v>17680</v>
      </c>
      <c r="L360" t="s">
        <v>17681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8" t="s">
        <v>226</v>
      </c>
      <c r="E361" s="8" t="s">
        <v>70</v>
      </c>
      <c r="F361" s="8" t="s">
        <v>2345</v>
      </c>
      <c r="H361" s="8" t="s">
        <v>2352</v>
      </c>
      <c r="I361" s="8" t="s">
        <v>17682</v>
      </c>
      <c r="J361" s="8" t="s">
        <v>11697</v>
      </c>
      <c r="K361" t="s">
        <v>17683</v>
      </c>
      <c r="L361" t="s">
        <v>17684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8" t="s">
        <v>226</v>
      </c>
      <c r="E362" s="8" t="s">
        <v>70</v>
      </c>
      <c r="F362" s="8" t="s">
        <v>2345</v>
      </c>
      <c r="H362" s="8" t="s">
        <v>2352</v>
      </c>
      <c r="I362" s="8" t="s">
        <v>17685</v>
      </c>
      <c r="J362" s="8" t="s">
        <v>11697</v>
      </c>
      <c r="K362" t="s">
        <v>17686</v>
      </c>
      <c r="L362" t="s">
        <v>17687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8" t="s">
        <v>226</v>
      </c>
      <c r="E363" s="8" t="s">
        <v>70</v>
      </c>
      <c r="F363" s="8" t="s">
        <v>2345</v>
      </c>
      <c r="H363" s="8" t="s">
        <v>2352</v>
      </c>
      <c r="I363" s="8" t="s">
        <v>17688</v>
      </c>
      <c r="J363" s="8" t="s">
        <v>11697</v>
      </c>
      <c r="K363" t="s">
        <v>17689</v>
      </c>
      <c r="L363" t="s">
        <v>17690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8" t="s">
        <v>3397</v>
      </c>
      <c r="E364" s="8" t="s">
        <v>70</v>
      </c>
      <c r="F364" s="8"/>
      <c r="H364" s="8"/>
      <c r="I364" s="8" t="s">
        <v>17691</v>
      </c>
      <c r="J364" s="8" t="s">
        <v>11697</v>
      </c>
      <c r="K364" t="s">
        <v>17692</v>
      </c>
      <c r="L364" t="s">
        <v>17693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8" t="s">
        <v>587</v>
      </c>
      <c r="E365" s="8" t="s">
        <v>70</v>
      </c>
      <c r="F365" s="8"/>
      <c r="H365" s="8"/>
      <c r="I365" s="8" t="s">
        <v>17694</v>
      </c>
      <c r="J365" s="8" t="s">
        <v>11697</v>
      </c>
      <c r="K365" t="s">
        <v>17695</v>
      </c>
      <c r="L365" t="s">
        <v>17696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8" t="s">
        <v>588</v>
      </c>
      <c r="E366" s="8" t="s">
        <v>86</v>
      </c>
      <c r="F366" s="8"/>
      <c r="H366" s="8"/>
      <c r="I366" s="8" t="s">
        <v>17697</v>
      </c>
      <c r="J366" s="8" t="s">
        <v>11697</v>
      </c>
      <c r="K366" t="s">
        <v>17698</v>
      </c>
      <c r="L366" t="s">
        <v>17699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8" t="s">
        <v>4</v>
      </c>
      <c r="E367" s="8" t="s">
        <v>8</v>
      </c>
      <c r="F367" s="8"/>
      <c r="H367" s="8"/>
      <c r="I367" s="8" t="s">
        <v>17700</v>
      </c>
      <c r="J367" s="8" t="s">
        <v>11697</v>
      </c>
      <c r="K367" t="s">
        <v>17701</v>
      </c>
      <c r="L367" t="s">
        <v>17702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8" t="s">
        <v>4</v>
      </c>
      <c r="E368" s="8" t="s">
        <v>8</v>
      </c>
      <c r="F368" s="8"/>
      <c r="H368" s="8"/>
      <c r="I368" s="8" t="s">
        <v>18214</v>
      </c>
      <c r="J368" s="8" t="s">
        <v>11697</v>
      </c>
      <c r="K368" t="s">
        <v>18215</v>
      </c>
      <c r="L368" t="s">
        <v>18216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8" t="s">
        <v>588</v>
      </c>
      <c r="E369" s="8" t="s">
        <v>86</v>
      </c>
      <c r="F369" s="8"/>
      <c r="H369" s="8"/>
      <c r="I369" s="8" t="s">
        <v>18217</v>
      </c>
      <c r="J369" s="8" t="s">
        <v>11697</v>
      </c>
      <c r="K369" t="s">
        <v>18218</v>
      </c>
      <c r="L369" t="s">
        <v>18219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8" t="s">
        <v>588</v>
      </c>
      <c r="E370" s="8" t="s">
        <v>86</v>
      </c>
      <c r="F370" s="8"/>
      <c r="H370" s="8"/>
      <c r="I370" s="8" t="s">
        <v>18220</v>
      </c>
      <c r="J370" s="8" t="s">
        <v>11697</v>
      </c>
      <c r="K370" t="s">
        <v>18221</v>
      </c>
      <c r="L370" t="s">
        <v>18222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8" t="s">
        <v>588</v>
      </c>
      <c r="E371" s="8" t="s">
        <v>86</v>
      </c>
      <c r="F371" s="8"/>
      <c r="H371" s="8"/>
      <c r="I371" s="8" t="s">
        <v>18223</v>
      </c>
      <c r="J371" s="8" t="s">
        <v>11697</v>
      </c>
      <c r="K371" t="s">
        <v>18224</v>
      </c>
      <c r="L371" t="s">
        <v>18225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8" t="s">
        <v>4</v>
      </c>
      <c r="E372" s="8" t="s">
        <v>8</v>
      </c>
      <c r="F372" s="8"/>
      <c r="H372" s="8"/>
      <c r="I372" s="8" t="s">
        <v>18226</v>
      </c>
      <c r="J372" s="8" t="s">
        <v>11697</v>
      </c>
      <c r="K372" t="s">
        <v>18227</v>
      </c>
      <c r="L372" t="s">
        <v>18228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8" t="s">
        <v>18351</v>
      </c>
      <c r="E373" s="8" t="s">
        <v>86</v>
      </c>
      <c r="F373" s="8"/>
      <c r="H373" s="8"/>
      <c r="I373" s="8" t="s">
        <v>18229</v>
      </c>
      <c r="J373" s="8" t="s">
        <v>11697</v>
      </c>
      <c r="K373" t="s">
        <v>18230</v>
      </c>
      <c r="L373" t="s">
        <v>18231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8" t="s">
        <v>18352</v>
      </c>
      <c r="E374" s="8" t="s">
        <v>86</v>
      </c>
      <c r="F374" s="8"/>
      <c r="H374" s="8"/>
      <c r="I374" s="8" t="s">
        <v>18232</v>
      </c>
      <c r="J374" s="8" t="s">
        <v>11697</v>
      </c>
      <c r="K374" t="s">
        <v>18233</v>
      </c>
      <c r="L374" t="s">
        <v>18234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8" t="s">
        <v>4</v>
      </c>
      <c r="E375" s="8" t="s">
        <v>8</v>
      </c>
      <c r="F375" s="8"/>
      <c r="H375" s="8"/>
      <c r="I375" s="8" t="s">
        <v>18235</v>
      </c>
      <c r="J375" s="8" t="s">
        <v>11697</v>
      </c>
      <c r="K375" t="s">
        <v>18236</v>
      </c>
      <c r="L375" t="s">
        <v>18237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s="8" t="s">
        <v>4</v>
      </c>
      <c r="E376" s="8" t="s">
        <v>8</v>
      </c>
      <c r="F376" s="8"/>
      <c r="H376" s="8"/>
      <c r="I376" s="8" t="s">
        <v>18630</v>
      </c>
      <c r="J376" s="8" t="s">
        <v>11697</v>
      </c>
      <c r="K376" t="s">
        <v>18631</v>
      </c>
      <c r="L376" t="s">
        <v>18632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s="8" t="s">
        <v>1607</v>
      </c>
      <c r="E377" s="8" t="s">
        <v>8</v>
      </c>
      <c r="F377" s="8"/>
      <c r="H377" s="8"/>
      <c r="I377" s="8" t="s">
        <v>18633</v>
      </c>
      <c r="J377" s="8" t="s">
        <v>11697</v>
      </c>
      <c r="K377" t="s">
        <v>18634</v>
      </c>
      <c r="L377" t="s">
        <v>18635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s="8" t="s">
        <v>588</v>
      </c>
      <c r="E378" s="8" t="s">
        <v>86</v>
      </c>
      <c r="F378" s="8"/>
      <c r="H378" s="8"/>
      <c r="I378" s="8" t="s">
        <v>18636</v>
      </c>
      <c r="J378" s="8" t="s">
        <v>11697</v>
      </c>
      <c r="K378" t="s">
        <v>18637</v>
      </c>
      <c r="L378" t="s">
        <v>18638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s="8" t="s">
        <v>4</v>
      </c>
      <c r="E379" s="8" t="s">
        <v>8</v>
      </c>
      <c r="F379" s="8"/>
      <c r="H379" s="8"/>
      <c r="I379" s="8" t="s">
        <v>18639</v>
      </c>
      <c r="J379" s="8" t="s">
        <v>11697</v>
      </c>
      <c r="K379" t="s">
        <v>18640</v>
      </c>
      <c r="L379" t="s">
        <v>18641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s="8" t="s">
        <v>4</v>
      </c>
      <c r="E380" s="8" t="s">
        <v>8</v>
      </c>
      <c r="F380" s="8"/>
      <c r="H380" s="8"/>
      <c r="I380" s="8" t="s">
        <v>19144</v>
      </c>
      <c r="J380" s="8" t="s">
        <v>11697</v>
      </c>
      <c r="K380" t="s">
        <v>19145</v>
      </c>
      <c r="L380" t="s">
        <v>19146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s="8" t="s">
        <v>4</v>
      </c>
      <c r="E381" s="8" t="s">
        <v>8</v>
      </c>
      <c r="F381" s="8"/>
      <c r="H381" s="8"/>
      <c r="I381" s="8" t="s">
        <v>19147</v>
      </c>
      <c r="J381" s="8" t="s">
        <v>11697</v>
      </c>
      <c r="K381" t="s">
        <v>19148</v>
      </c>
      <c r="L381" t="s">
        <v>19149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s="8" t="s">
        <v>588</v>
      </c>
      <c r="E382" s="8" t="s">
        <v>86</v>
      </c>
      <c r="F382" s="8"/>
      <c r="H382" s="8"/>
      <c r="I382" s="8" t="s">
        <v>19150</v>
      </c>
      <c r="J382" s="8" t="s">
        <v>11697</v>
      </c>
      <c r="K382" t="s">
        <v>19151</v>
      </c>
      <c r="L382" t="s">
        <v>19152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s="8" t="s">
        <v>4</v>
      </c>
      <c r="E383" s="8" t="s">
        <v>8</v>
      </c>
      <c r="F383" s="8"/>
      <c r="H383" s="8"/>
      <c r="I383" s="8" t="s">
        <v>19153</v>
      </c>
      <c r="J383" s="8" t="s">
        <v>11697</v>
      </c>
      <c r="K383" t="s">
        <v>19154</v>
      </c>
      <c r="L383" t="s">
        <v>19155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s="8" t="s">
        <v>4</v>
      </c>
      <c r="E384" s="8" t="s">
        <v>8</v>
      </c>
      <c r="F384" s="8"/>
      <c r="H384" s="8"/>
      <c r="I384" s="8" t="s">
        <v>19156</v>
      </c>
      <c r="J384" s="8" t="s">
        <v>11697</v>
      </c>
      <c r="K384" t="s">
        <v>19157</v>
      </c>
      <c r="L384" t="s">
        <v>19158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s="8" t="s">
        <v>3381</v>
      </c>
      <c r="E385" s="8" t="s">
        <v>19394</v>
      </c>
      <c r="F385" s="8"/>
      <c r="H385" s="8"/>
      <c r="I385" s="8" t="s">
        <v>19159</v>
      </c>
      <c r="J385" s="8" t="s">
        <v>11697</v>
      </c>
      <c r="K385" t="s">
        <v>19160</v>
      </c>
      <c r="L385" t="s">
        <v>19161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s="8" t="s">
        <v>226</v>
      </c>
      <c r="E386" s="8" t="s">
        <v>19394</v>
      </c>
      <c r="F386" s="8" t="s">
        <v>58</v>
      </c>
      <c r="H386" s="8"/>
      <c r="I386" s="8" t="s">
        <v>19162</v>
      </c>
      <c r="J386" s="8" t="s">
        <v>11697</v>
      </c>
      <c r="K386" t="s">
        <v>19163</v>
      </c>
      <c r="L386" t="s">
        <v>19164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s="8" t="s">
        <v>226</v>
      </c>
      <c r="E387" s="8" t="s">
        <v>19394</v>
      </c>
      <c r="F387" s="8" t="s">
        <v>58</v>
      </c>
      <c r="H387" s="8"/>
      <c r="I387" s="8" t="s">
        <v>19165</v>
      </c>
      <c r="J387" s="8" t="s">
        <v>11697</v>
      </c>
      <c r="K387" t="s">
        <v>19166</v>
      </c>
      <c r="L387" t="s">
        <v>19167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s="8" t="s">
        <v>226</v>
      </c>
      <c r="E388" s="8" t="s">
        <v>19394</v>
      </c>
      <c r="F388" s="8" t="s">
        <v>18883</v>
      </c>
      <c r="H388" s="8"/>
      <c r="I388" s="8" t="s">
        <v>19168</v>
      </c>
      <c r="J388" s="8" t="s">
        <v>11697</v>
      </c>
      <c r="K388" t="s">
        <v>19169</v>
      </c>
      <c r="L388" t="s">
        <v>19170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s="8" t="s">
        <v>226</v>
      </c>
      <c r="E389" s="8" t="s">
        <v>19394</v>
      </c>
      <c r="F389" s="8" t="s">
        <v>18883</v>
      </c>
      <c r="H389" s="8"/>
      <c r="I389" s="8" t="s">
        <v>19171</v>
      </c>
      <c r="J389" s="8" t="s">
        <v>11697</v>
      </c>
      <c r="K389" t="s">
        <v>19172</v>
      </c>
      <c r="L389" t="s">
        <v>19173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s="8" t="s">
        <v>226</v>
      </c>
      <c r="E390" s="8" t="s">
        <v>19394</v>
      </c>
      <c r="F390" s="8" t="s">
        <v>18883</v>
      </c>
      <c r="H390" s="8"/>
      <c r="I390" s="8" t="s">
        <v>19174</v>
      </c>
      <c r="J390" s="8" t="s">
        <v>11697</v>
      </c>
      <c r="K390" t="s">
        <v>19175</v>
      </c>
      <c r="L390" t="s">
        <v>19176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s="8" t="s">
        <v>226</v>
      </c>
      <c r="E391" s="8" t="s">
        <v>19394</v>
      </c>
      <c r="F391" s="8" t="s">
        <v>18883</v>
      </c>
      <c r="H391" s="8"/>
      <c r="I391" s="8" t="s">
        <v>19177</v>
      </c>
      <c r="J391" s="8" t="s">
        <v>11697</v>
      </c>
      <c r="K391" t="s">
        <v>19178</v>
      </c>
      <c r="L391" t="s">
        <v>19179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s="8" t="s">
        <v>226</v>
      </c>
      <c r="E392" s="8" t="s">
        <v>19394</v>
      </c>
      <c r="F392" s="8" t="s">
        <v>18883</v>
      </c>
      <c r="H392" s="8"/>
      <c r="I392" s="8" t="s">
        <v>19180</v>
      </c>
      <c r="J392" s="8" t="s">
        <v>11697</v>
      </c>
      <c r="K392" t="s">
        <v>19181</v>
      </c>
      <c r="L392" t="s">
        <v>19182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s="8" t="s">
        <v>3397</v>
      </c>
      <c r="E393" s="8"/>
      <c r="F393" s="8"/>
      <c r="H393" s="8"/>
      <c r="I393" s="8" t="s">
        <v>19183</v>
      </c>
      <c r="J393" s="8" t="s">
        <v>11697</v>
      </c>
      <c r="K393" t="s">
        <v>19184</v>
      </c>
      <c r="L393" t="s">
        <v>19185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s="8" t="s">
        <v>587</v>
      </c>
      <c r="E394" s="8" t="s">
        <v>19394</v>
      </c>
      <c r="F394" s="8" t="s">
        <v>4233</v>
      </c>
      <c r="H394" s="8"/>
      <c r="I394" s="8" t="s">
        <v>19186</v>
      </c>
      <c r="J394" s="8" t="s">
        <v>11697</v>
      </c>
      <c r="K394" t="s">
        <v>19187</v>
      </c>
      <c r="L394" t="s">
        <v>19188</v>
      </c>
      <c r="M394" s="2" t="str">
        <f>HYPERLINK(склад2въезд1319202122237[[#This Row],[RelativePath]])</f>
        <v>11 Навес пилмат\GA3948333_5_20260313T195643Z.jpg</v>
      </c>
    </row>
  </sheetData>
  <conditionalFormatting sqref="D395:D405 E395:E408 G2:H394 D2:E394">
    <cfRule type="containsText" dxfId="734" priority="14" operator="containsText" text="Выезд с территории">
      <formula>NOT(ISERROR(SEARCH("Выезд с территории",D2)))</formula>
    </cfRule>
  </conditionalFormatting>
  <conditionalFormatting sqref="F2:F394">
    <cfRule type="notContainsText" dxfId="733" priority="13" operator="notContains" text="порожний">
      <formula>ISERROR(SEARCH("порожний",F2))</formula>
    </cfRule>
  </conditionalFormatting>
  <conditionalFormatting sqref="E2:E408">
    <cfRule type="containsText" dxfId="732" priority="11" operator="containsText" text="Газель базы">
      <formula>NOT(ISERROR(SEARCH("Газель базы",E2)))</formula>
    </cfRule>
    <cfRule type="containsText" dxfId="731" priority="12" operator="containsText" text="Погрузчик базы">
      <formula>NOT(ISERROR(SEARCH("Погрузчик базы",E2)))</formula>
    </cfRule>
  </conditionalFormatting>
  <conditionalFormatting sqref="E2:E408">
    <cfRule type="containsText" dxfId="730" priority="10" operator="containsText" text="Трактор базы">
      <formula>NOT(ISERROR(SEARCH("Трактор базы",E2)))</formula>
    </cfRule>
  </conditionalFormatting>
  <conditionalFormatting sqref="A2:C394">
    <cfRule type="expression" dxfId="729" priority="9">
      <formula>$A2="пн"</formula>
    </cfRule>
  </conditionalFormatting>
  <conditionalFormatting sqref="A2:C396">
    <cfRule type="expression" dxfId="728" priority="3">
      <formula>$A2="вс"</formula>
    </cfRule>
    <cfRule type="expression" dxfId="727" priority="4">
      <formula>$A2="сб"</formula>
    </cfRule>
    <cfRule type="expression" dxfId="726" priority="5">
      <formula>$A2="пт"</formula>
    </cfRule>
    <cfRule type="expression" dxfId="725" priority="6">
      <formula>$A2="чт"</formula>
    </cfRule>
    <cfRule type="expression" dxfId="724" priority="7">
      <formula>$A2="ср"</formula>
    </cfRule>
    <cfRule type="expression" dxfId="723" priority="8">
      <formula>$A2="вт"</formula>
    </cfRule>
  </conditionalFormatting>
  <conditionalFormatting sqref="D2:D405">
    <cfRule type="containsText" dxfId="72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5">
    <cfRule type="containsText" dxfId="72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331"/>
  <sheetViews>
    <sheetView zoomScale="90" zoomScaleNormal="90" workbookViewId="0">
      <pane ySplit="1" topLeftCell="A311" activePane="bottomLeft" state="frozen"/>
      <selection pane="bottomLeft" activeCell="I326" sqref="I326:I33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1429</v>
      </c>
      <c r="J2" s="8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8" t="s">
        <v>4</v>
      </c>
      <c r="E3" s="8" t="s">
        <v>8</v>
      </c>
      <c r="F3" s="8"/>
      <c r="H3" s="8"/>
      <c r="I3" s="8" t="s">
        <v>1432</v>
      </c>
      <c r="J3" s="8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8" t="s">
        <v>4</v>
      </c>
      <c r="E4" s="8" t="s">
        <v>8</v>
      </c>
      <c r="F4" s="8"/>
      <c r="H4" s="8"/>
      <c r="I4" s="8" t="s">
        <v>1435</v>
      </c>
      <c r="J4" s="8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8" t="s">
        <v>4</v>
      </c>
      <c r="E5" s="8" t="s">
        <v>1538</v>
      </c>
      <c r="F5" s="8"/>
      <c r="H5" s="8"/>
      <c r="I5" s="8" t="s">
        <v>1438</v>
      </c>
      <c r="J5" s="8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8" t="s">
        <v>4</v>
      </c>
      <c r="E6" s="8" t="s">
        <v>8</v>
      </c>
      <c r="F6" s="8"/>
      <c r="H6" s="8"/>
      <c r="I6" s="8" t="s">
        <v>1441</v>
      </c>
      <c r="J6" s="8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8" t="s">
        <v>4</v>
      </c>
      <c r="E7" s="8" t="s">
        <v>8</v>
      </c>
      <c r="F7" s="8"/>
      <c r="H7" s="8"/>
      <c r="I7" s="8" t="s">
        <v>1444</v>
      </c>
      <c r="J7" s="8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8" t="s">
        <v>4</v>
      </c>
      <c r="E8" s="8" t="s">
        <v>21</v>
      </c>
      <c r="F8" s="8"/>
      <c r="H8" s="8"/>
      <c r="I8" s="8" t="s">
        <v>1447</v>
      </c>
      <c r="J8" s="8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8" t="s">
        <v>4</v>
      </c>
      <c r="E9" s="8" t="s">
        <v>8</v>
      </c>
      <c r="F9" s="8"/>
      <c r="H9" s="8"/>
      <c r="I9" s="8" t="s">
        <v>1450</v>
      </c>
      <c r="J9" s="8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8" t="s">
        <v>4</v>
      </c>
      <c r="E10" s="8" t="s">
        <v>8</v>
      </c>
      <c r="F10" s="8"/>
      <c r="H10" s="8"/>
      <c r="I10" s="8" t="s">
        <v>1453</v>
      </c>
      <c r="J10" s="8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8" t="s">
        <v>4</v>
      </c>
      <c r="E11" s="8" t="s">
        <v>8</v>
      </c>
      <c r="F11" s="8"/>
      <c r="H11" s="8" t="s">
        <v>1292</v>
      </c>
      <c r="I11" s="8" t="s">
        <v>1456</v>
      </c>
      <c r="J11" s="8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8" t="s">
        <v>4</v>
      </c>
      <c r="E12" s="8" t="s">
        <v>1539</v>
      </c>
      <c r="F12" s="8"/>
      <c r="H12" s="8"/>
      <c r="I12" s="8" t="s">
        <v>1459</v>
      </c>
      <c r="J12" s="8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8" t="s">
        <v>4</v>
      </c>
      <c r="E13" s="8" t="s">
        <v>1539</v>
      </c>
      <c r="F13" s="8"/>
      <c r="H13" s="8"/>
      <c r="I13" s="8" t="s">
        <v>1462</v>
      </c>
      <c r="J13" s="8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1465</v>
      </c>
      <c r="J14" s="8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8" t="s">
        <v>4</v>
      </c>
      <c r="E15" s="8" t="s">
        <v>8</v>
      </c>
      <c r="F15" s="8"/>
      <c r="H15" s="8"/>
      <c r="I15" s="8" t="s">
        <v>1468</v>
      </c>
      <c r="J15" s="8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8" t="s">
        <v>4</v>
      </c>
      <c r="E16" s="8" t="s">
        <v>8</v>
      </c>
      <c r="F16" s="8"/>
      <c r="H16" s="8"/>
      <c r="I16" s="8" t="s">
        <v>1471</v>
      </c>
      <c r="J16" s="8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8" t="s">
        <v>4</v>
      </c>
      <c r="E17" s="8" t="s">
        <v>8</v>
      </c>
      <c r="F17" s="8"/>
      <c r="H17" s="8"/>
      <c r="I17" s="8" t="s">
        <v>1474</v>
      </c>
      <c r="J17" s="8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8" t="s">
        <v>4</v>
      </c>
      <c r="E18" s="8" t="s">
        <v>8</v>
      </c>
      <c r="F18" s="8"/>
      <c r="H18" s="8" t="s">
        <v>1292</v>
      </c>
      <c r="I18" s="8" t="s">
        <v>1477</v>
      </c>
      <c r="J18" s="8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8" t="s">
        <v>4</v>
      </c>
      <c r="E19" s="8" t="s">
        <v>8</v>
      </c>
      <c r="F19" s="8"/>
      <c r="H19" s="8"/>
      <c r="I19" s="8" t="s">
        <v>1480</v>
      </c>
      <c r="J19" s="8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8" t="s">
        <v>4</v>
      </c>
      <c r="E20" s="8" t="s">
        <v>8</v>
      </c>
      <c r="F20" s="8"/>
      <c r="H20" s="8"/>
      <c r="I20" s="8" t="s">
        <v>1483</v>
      </c>
      <c r="J20" s="8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8" t="s">
        <v>4</v>
      </c>
      <c r="E21" s="8" t="s">
        <v>21</v>
      </c>
      <c r="F21" s="8"/>
      <c r="H21" s="8"/>
      <c r="I21" s="8" t="s">
        <v>1486</v>
      </c>
      <c r="J21" s="8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8" t="s">
        <v>4</v>
      </c>
      <c r="E22" s="8" t="s">
        <v>8</v>
      </c>
      <c r="F22" s="8"/>
      <c r="H22" s="8"/>
      <c r="I22" s="8" t="s">
        <v>1489</v>
      </c>
      <c r="J22" s="8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8" t="s">
        <v>4</v>
      </c>
      <c r="E23" s="8" t="s">
        <v>21</v>
      </c>
      <c r="F23" s="8"/>
      <c r="H23" s="8"/>
      <c r="I23" s="8" t="s">
        <v>1492</v>
      </c>
      <c r="J23" s="8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8" t="s">
        <v>4</v>
      </c>
      <c r="E24" s="8" t="s">
        <v>8</v>
      </c>
      <c r="F24" s="8"/>
      <c r="H24" s="8"/>
      <c r="I24" s="8" t="s">
        <v>1495</v>
      </c>
      <c r="J24" s="8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8" t="s">
        <v>4</v>
      </c>
      <c r="E25" s="8" t="s">
        <v>21</v>
      </c>
      <c r="F25" s="8"/>
      <c r="H25" s="8"/>
      <c r="I25" s="8" t="s">
        <v>1498</v>
      </c>
      <c r="J25" s="8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8" t="s">
        <v>4</v>
      </c>
      <c r="E26" s="8" t="s">
        <v>8</v>
      </c>
      <c r="F26" s="8"/>
      <c r="H26" s="8" t="s">
        <v>1292</v>
      </c>
      <c r="I26" s="8" t="s">
        <v>1501</v>
      </c>
      <c r="J26" s="8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8" t="s">
        <v>4</v>
      </c>
      <c r="E27" s="8" t="s">
        <v>8</v>
      </c>
      <c r="F27" s="8"/>
      <c r="H27" s="8"/>
      <c r="I27" s="8" t="s">
        <v>1504</v>
      </c>
      <c r="J27" s="8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8" t="s">
        <v>226</v>
      </c>
      <c r="E28" s="8" t="s">
        <v>86</v>
      </c>
      <c r="F28" s="8" t="s">
        <v>165</v>
      </c>
      <c r="H28" s="8"/>
      <c r="I28" s="8" t="s">
        <v>1507</v>
      </c>
      <c r="J28" s="8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8" t="s">
        <v>226</v>
      </c>
      <c r="E29" s="8" t="s">
        <v>86</v>
      </c>
      <c r="F29" s="8" t="s">
        <v>165</v>
      </c>
      <c r="H29" s="8"/>
      <c r="I29" s="8" t="s">
        <v>1510</v>
      </c>
      <c r="J29" s="8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8" t="s">
        <v>226</v>
      </c>
      <c r="E30" s="8" t="s">
        <v>86</v>
      </c>
      <c r="F30" s="8" t="s">
        <v>165</v>
      </c>
      <c r="H30" s="8"/>
      <c r="I30" s="8" t="s">
        <v>1513</v>
      </c>
      <c r="J30" s="8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8" t="s">
        <v>226</v>
      </c>
      <c r="E31" s="8" t="s">
        <v>86</v>
      </c>
      <c r="F31" s="8" t="s">
        <v>165</v>
      </c>
      <c r="H31" s="8"/>
      <c r="I31" s="8" t="s">
        <v>1516</v>
      </c>
      <c r="J31" s="8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8" t="s">
        <v>4</v>
      </c>
      <c r="E32" s="8" t="s">
        <v>8</v>
      </c>
      <c r="F32" s="8"/>
      <c r="H32" s="8" t="s">
        <v>1292</v>
      </c>
      <c r="I32" s="8" t="s">
        <v>1519</v>
      </c>
      <c r="J32" s="8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8" t="s">
        <v>4</v>
      </c>
      <c r="E33" s="8" t="s">
        <v>8</v>
      </c>
      <c r="F33" s="8"/>
      <c r="H33" s="8" t="s">
        <v>5</v>
      </c>
      <c r="I33" s="8" t="s">
        <v>1522</v>
      </c>
      <c r="J33" s="8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8" t="s">
        <v>4</v>
      </c>
      <c r="E34" s="8" t="s">
        <v>8</v>
      </c>
      <c r="F34" s="8"/>
      <c r="H34" s="8" t="s">
        <v>1292</v>
      </c>
      <c r="I34" s="8" t="s">
        <v>1525</v>
      </c>
      <c r="J34" s="8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1528</v>
      </c>
      <c r="J35" s="8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8" t="s">
        <v>4</v>
      </c>
      <c r="E36" s="8" t="s">
        <v>8</v>
      </c>
      <c r="F36" s="8"/>
      <c r="H36" s="8"/>
      <c r="I36" s="8" t="s">
        <v>1531</v>
      </c>
      <c r="J36" s="8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8" t="s">
        <v>4</v>
      </c>
      <c r="E37" s="8" t="s">
        <v>8</v>
      </c>
      <c r="F37" s="8"/>
      <c r="H37" s="8"/>
      <c r="I37" s="8" t="s">
        <v>1534</v>
      </c>
      <c r="J37" s="8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8" t="s">
        <v>4</v>
      </c>
      <c r="E38" s="8" t="s">
        <v>8</v>
      </c>
      <c r="F38" s="8"/>
      <c r="H38" s="8"/>
      <c r="I38" s="8" t="s">
        <v>2062</v>
      </c>
      <c r="J38" s="8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8" t="s">
        <v>7</v>
      </c>
      <c r="E39" s="8"/>
      <c r="F39" s="8"/>
      <c r="H39" s="8"/>
      <c r="I39" s="8" t="s">
        <v>2065</v>
      </c>
      <c r="J39" s="8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8" t="s">
        <v>4</v>
      </c>
      <c r="E40" s="8" t="s">
        <v>8</v>
      </c>
      <c r="F40" s="8"/>
      <c r="H40" s="8"/>
      <c r="I40" s="8" t="s">
        <v>2068</v>
      </c>
      <c r="J40" s="8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8" t="s">
        <v>11</v>
      </c>
      <c r="E41" s="8"/>
      <c r="F41" s="8"/>
      <c r="H41" s="8"/>
      <c r="I41" s="8" t="s">
        <v>2071</v>
      </c>
      <c r="J41" s="8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8" t="s">
        <v>4</v>
      </c>
      <c r="E42" s="8" t="s">
        <v>8</v>
      </c>
      <c r="F42" s="8"/>
      <c r="H42" s="8"/>
      <c r="I42" s="8" t="s">
        <v>2074</v>
      </c>
      <c r="J42" s="8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8" t="s">
        <v>1607</v>
      </c>
      <c r="E43" s="8"/>
      <c r="F43" s="8"/>
      <c r="H43" s="8"/>
      <c r="I43" s="8" t="s">
        <v>2077</v>
      </c>
      <c r="J43" s="8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8" t="s">
        <v>4</v>
      </c>
      <c r="E44" s="8" t="s">
        <v>8</v>
      </c>
      <c r="F44" s="8"/>
      <c r="H44" s="8"/>
      <c r="I44" s="8" t="s">
        <v>2080</v>
      </c>
      <c r="J44" s="8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8" t="s">
        <v>1607</v>
      </c>
      <c r="E45" s="8"/>
      <c r="F45" s="8"/>
      <c r="H45" s="8"/>
      <c r="I45" s="8" t="s">
        <v>2083</v>
      </c>
      <c r="J45" s="8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8" t="s">
        <v>4</v>
      </c>
      <c r="E46" s="8" t="s">
        <v>8</v>
      </c>
      <c r="F46" s="8"/>
      <c r="H46" s="8"/>
      <c r="I46" s="8" t="s">
        <v>2086</v>
      </c>
      <c r="J46" s="8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8" t="s">
        <v>1607</v>
      </c>
      <c r="E47" s="8"/>
      <c r="F47" s="8"/>
      <c r="H47" s="8"/>
      <c r="I47" s="8" t="s">
        <v>2089</v>
      </c>
      <c r="J47" s="8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8" t="s">
        <v>4</v>
      </c>
      <c r="E48" s="8" t="s">
        <v>8</v>
      </c>
      <c r="F48" s="8"/>
      <c r="H48" s="8"/>
      <c r="I48" s="8" t="s">
        <v>2092</v>
      </c>
      <c r="J48" s="8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8" t="s">
        <v>1607</v>
      </c>
      <c r="E49" s="8"/>
      <c r="F49" s="8"/>
      <c r="H49" s="8"/>
      <c r="I49" s="8" t="s">
        <v>2095</v>
      </c>
      <c r="J49" s="8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8" t="s">
        <v>4</v>
      </c>
      <c r="E50" s="8" t="s">
        <v>8</v>
      </c>
      <c r="F50" s="8"/>
      <c r="H50" s="8"/>
      <c r="I50" s="8" t="s">
        <v>2098</v>
      </c>
      <c r="J50" s="8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8" t="s">
        <v>1607</v>
      </c>
      <c r="E51" s="8"/>
      <c r="F51" s="8"/>
      <c r="H51" s="8"/>
      <c r="I51" s="8" t="s">
        <v>2101</v>
      </c>
      <c r="J51" s="8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8" t="s">
        <v>7</v>
      </c>
      <c r="E52" s="8"/>
      <c r="F52" s="8"/>
      <c r="H52" s="8"/>
      <c r="I52" s="8" t="s">
        <v>3292</v>
      </c>
      <c r="J52" s="8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8" t="s">
        <v>3411</v>
      </c>
      <c r="E53" s="8" t="s">
        <v>3412</v>
      </c>
      <c r="F53" s="8"/>
      <c r="H53" s="8"/>
      <c r="I53" s="8" t="s">
        <v>3295</v>
      </c>
      <c r="J53" s="8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8" t="s">
        <v>3411</v>
      </c>
      <c r="E54" s="8" t="s">
        <v>3412</v>
      </c>
      <c r="F54" s="8"/>
      <c r="H54" s="8"/>
      <c r="I54" s="8" t="s">
        <v>3298</v>
      </c>
      <c r="J54" s="8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8" t="s">
        <v>3411</v>
      </c>
      <c r="E55" s="8" t="s">
        <v>3412</v>
      </c>
      <c r="F55" s="8"/>
      <c r="H55" s="8"/>
      <c r="I55" s="8" t="s">
        <v>3301</v>
      </c>
      <c r="J55" s="8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8" t="s">
        <v>3411</v>
      </c>
      <c r="E56" s="8" t="s">
        <v>3412</v>
      </c>
      <c r="F56" s="8"/>
      <c r="H56" s="8"/>
      <c r="I56" s="8" t="s">
        <v>3304</v>
      </c>
      <c r="J56" s="8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8" t="s">
        <v>3411</v>
      </c>
      <c r="E57" s="8" t="s">
        <v>3412</v>
      </c>
      <c r="F57" s="8"/>
      <c r="H57" s="8"/>
      <c r="I57" s="8" t="s">
        <v>3307</v>
      </c>
      <c r="J57" s="8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8" t="s">
        <v>7</v>
      </c>
      <c r="E58" s="8" t="s">
        <v>3413</v>
      </c>
      <c r="F58" s="8"/>
      <c r="H58" s="8"/>
      <c r="I58" s="8" t="s">
        <v>3310</v>
      </c>
      <c r="J58" s="8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8" t="s">
        <v>7</v>
      </c>
      <c r="E59" s="8" t="s">
        <v>3413</v>
      </c>
      <c r="F59" s="8"/>
      <c r="H59" s="8"/>
      <c r="I59" s="8" t="s">
        <v>3313</v>
      </c>
      <c r="J59" s="8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8" t="s">
        <v>7</v>
      </c>
      <c r="E60" s="8" t="s">
        <v>3413</v>
      </c>
      <c r="F60" s="8"/>
      <c r="H60" s="8"/>
      <c r="I60" s="8" t="s">
        <v>3316</v>
      </c>
      <c r="J60" s="8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8" t="s">
        <v>7</v>
      </c>
      <c r="E61" s="8" t="s">
        <v>3413</v>
      </c>
      <c r="F61" s="8"/>
      <c r="H61" s="8"/>
      <c r="I61" s="8" t="s">
        <v>3319</v>
      </c>
      <c r="J61" s="8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8" t="s">
        <v>7</v>
      </c>
      <c r="E62" s="8" t="s">
        <v>3413</v>
      </c>
      <c r="F62" s="8"/>
      <c r="H62" s="8"/>
      <c r="I62" s="8" t="s">
        <v>3322</v>
      </c>
      <c r="J62" s="8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8" t="s">
        <v>7</v>
      </c>
      <c r="E63" s="8" t="s">
        <v>3413</v>
      </c>
      <c r="F63" s="8"/>
      <c r="H63" s="8"/>
      <c r="I63" s="8" t="s">
        <v>3325</v>
      </c>
      <c r="J63" s="8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8" t="s">
        <v>4</v>
      </c>
      <c r="E64" s="8" t="s">
        <v>8</v>
      </c>
      <c r="F64" s="8"/>
      <c r="H64" s="8"/>
      <c r="I64" s="8" t="s">
        <v>3328</v>
      </c>
      <c r="J64" s="8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8" t="s">
        <v>1607</v>
      </c>
      <c r="E65" s="8"/>
      <c r="F65" s="8"/>
      <c r="H65" s="8"/>
      <c r="I65" s="8" t="s">
        <v>3448</v>
      </c>
      <c r="J65" s="8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8" t="s">
        <v>4</v>
      </c>
      <c r="E66" s="8" t="s">
        <v>8</v>
      </c>
      <c r="F66" s="8"/>
      <c r="H66" s="8"/>
      <c r="I66" s="8" t="s">
        <v>3915</v>
      </c>
      <c r="J66" s="8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8" t="s">
        <v>4</v>
      </c>
      <c r="E67" s="8" t="s">
        <v>8</v>
      </c>
      <c r="F67" s="8"/>
      <c r="H67" s="8" t="s">
        <v>2352</v>
      </c>
      <c r="I67" s="8" t="s">
        <v>3918</v>
      </c>
      <c r="J67" s="8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8" t="s">
        <v>4</v>
      </c>
      <c r="E68" s="8" t="s">
        <v>8</v>
      </c>
      <c r="F68" s="8"/>
      <c r="H68" s="8" t="s">
        <v>2352</v>
      </c>
      <c r="I68" s="8" t="s">
        <v>3921</v>
      </c>
      <c r="J68" s="8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8" t="s">
        <v>4</v>
      </c>
      <c r="E69" s="8" t="s">
        <v>8</v>
      </c>
      <c r="F69" s="8"/>
      <c r="H69" s="8" t="s">
        <v>2352</v>
      </c>
      <c r="I69" s="8" t="s">
        <v>3924</v>
      </c>
      <c r="J69" s="8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8" t="s">
        <v>4</v>
      </c>
      <c r="E70" s="8" t="s">
        <v>8</v>
      </c>
      <c r="F70" s="8"/>
      <c r="H70" s="8" t="s">
        <v>2352</v>
      </c>
      <c r="I70" s="8" t="s">
        <v>3927</v>
      </c>
      <c r="J70" s="8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8" t="s">
        <v>4</v>
      </c>
      <c r="E71" s="8" t="s">
        <v>8</v>
      </c>
      <c r="F71" s="8"/>
      <c r="H71" s="8" t="s">
        <v>2352</v>
      </c>
      <c r="I71" s="8" t="s">
        <v>3930</v>
      </c>
      <c r="J71" s="8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8" t="s">
        <v>4</v>
      </c>
      <c r="E72" s="8" t="s">
        <v>8</v>
      </c>
      <c r="F72" s="8"/>
      <c r="H72" s="8" t="s">
        <v>2352</v>
      </c>
      <c r="I72" s="8" t="s">
        <v>3933</v>
      </c>
      <c r="J72" s="8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8" t="s">
        <v>4</v>
      </c>
      <c r="E73" s="8" t="s">
        <v>8</v>
      </c>
      <c r="F73" s="8"/>
      <c r="H73" s="8" t="s">
        <v>2352</v>
      </c>
      <c r="I73" s="8" t="s">
        <v>3936</v>
      </c>
      <c r="J73" s="8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8" t="s">
        <v>4</v>
      </c>
      <c r="E74" s="8" t="s">
        <v>8</v>
      </c>
      <c r="F74" s="8"/>
      <c r="H74" s="8" t="s">
        <v>2352</v>
      </c>
      <c r="I74" s="8" t="s">
        <v>3939</v>
      </c>
      <c r="J74" s="8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8" t="s">
        <v>4</v>
      </c>
      <c r="E75" s="8" t="s">
        <v>8</v>
      </c>
      <c r="F75" s="8"/>
      <c r="H75" s="8" t="s">
        <v>2352</v>
      </c>
      <c r="I75" s="8" t="s">
        <v>3942</v>
      </c>
      <c r="J75" s="8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8" t="s">
        <v>4</v>
      </c>
      <c r="E76" s="8" t="s">
        <v>8</v>
      </c>
      <c r="F76" s="8"/>
      <c r="H76" s="8" t="s">
        <v>2352</v>
      </c>
      <c r="I76" s="8" t="s">
        <v>3945</v>
      </c>
      <c r="J76" s="8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8" t="s">
        <v>4</v>
      </c>
      <c r="E77" s="8" t="s">
        <v>8</v>
      </c>
      <c r="F77" s="8"/>
      <c r="H77" s="8" t="s">
        <v>2352</v>
      </c>
      <c r="I77" s="8" t="s">
        <v>3948</v>
      </c>
      <c r="J77" s="8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8" t="s">
        <v>4</v>
      </c>
      <c r="E78" s="8" t="s">
        <v>8</v>
      </c>
      <c r="F78" s="8"/>
      <c r="H78" s="8" t="s">
        <v>2352</v>
      </c>
      <c r="I78" s="8" t="s">
        <v>3951</v>
      </c>
      <c r="J78" s="8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8" t="s">
        <v>4</v>
      </c>
      <c r="E79" s="8" t="s">
        <v>8</v>
      </c>
      <c r="F79" s="8"/>
      <c r="H79" s="8" t="s">
        <v>2352</v>
      </c>
      <c r="I79" s="8" t="s">
        <v>3954</v>
      </c>
      <c r="J79" s="8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8" t="s">
        <v>4</v>
      </c>
      <c r="E80" s="8" t="s">
        <v>8</v>
      </c>
      <c r="F80" s="8"/>
      <c r="H80" s="8" t="s">
        <v>2352</v>
      </c>
      <c r="I80" s="8" t="s">
        <v>3957</v>
      </c>
      <c r="J80" s="8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8" t="s">
        <v>4</v>
      </c>
      <c r="E81" s="8" t="s">
        <v>8</v>
      </c>
      <c r="F81" s="8"/>
      <c r="H81" s="8" t="s">
        <v>2352</v>
      </c>
      <c r="I81" s="8" t="s">
        <v>3960</v>
      </c>
      <c r="J81" s="8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8" t="s">
        <v>4</v>
      </c>
      <c r="E82" s="8" t="s">
        <v>8</v>
      </c>
      <c r="F82" s="8"/>
      <c r="H82" s="8" t="s">
        <v>2352</v>
      </c>
      <c r="I82" s="8" t="s">
        <v>3963</v>
      </c>
      <c r="J82" s="8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8" t="s">
        <v>4</v>
      </c>
      <c r="E83" s="8" t="s">
        <v>8</v>
      </c>
      <c r="F83" s="8"/>
      <c r="H83" s="8" t="s">
        <v>2352</v>
      </c>
      <c r="I83" s="8" t="s">
        <v>3966</v>
      </c>
      <c r="J83" s="8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8" t="s">
        <v>4</v>
      </c>
      <c r="E84" s="8" t="s">
        <v>8</v>
      </c>
      <c r="F84" s="8"/>
      <c r="H84" s="8" t="s">
        <v>2352</v>
      </c>
      <c r="I84" s="8" t="s">
        <v>3969</v>
      </c>
      <c r="J84" s="8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8" t="s">
        <v>1607</v>
      </c>
      <c r="E85" s="8" t="s">
        <v>8</v>
      </c>
      <c r="F85" s="8"/>
      <c r="H85" s="8"/>
      <c r="I85" s="8" t="s">
        <v>3972</v>
      </c>
      <c r="J85" s="8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8" t="s">
        <v>1607</v>
      </c>
      <c r="E86" s="8" t="s">
        <v>8</v>
      </c>
      <c r="F86" s="8"/>
      <c r="H86" s="8"/>
      <c r="I86" s="8" t="s">
        <v>4199</v>
      </c>
      <c r="J86" s="8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8" t="s">
        <v>4</v>
      </c>
      <c r="E87" s="8" t="s">
        <v>4394</v>
      </c>
      <c r="F87" s="8"/>
      <c r="H87" s="8"/>
      <c r="I87" s="8" t="s">
        <v>4375</v>
      </c>
      <c r="J87" s="8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8" t="s">
        <v>4</v>
      </c>
      <c r="E88" s="8" t="s">
        <v>8</v>
      </c>
      <c r="F88" s="8"/>
      <c r="H88" s="8"/>
      <c r="I88" s="8" t="s">
        <v>4378</v>
      </c>
      <c r="J88" s="8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8" t="s">
        <v>4</v>
      </c>
      <c r="E89" s="8" t="s">
        <v>4394</v>
      </c>
      <c r="F89" s="8"/>
      <c r="H89" s="8" t="s">
        <v>4395</v>
      </c>
      <c r="I89" s="8" t="s">
        <v>4381</v>
      </c>
      <c r="J89" s="8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8" t="s">
        <v>1607</v>
      </c>
      <c r="E90" s="8" t="s">
        <v>8</v>
      </c>
      <c r="F90" s="8"/>
      <c r="H90" s="8"/>
      <c r="I90" s="8" t="s">
        <v>4521</v>
      </c>
      <c r="J90" s="8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8" t="s">
        <v>1607</v>
      </c>
      <c r="E91" s="8" t="s">
        <v>8</v>
      </c>
      <c r="F91" s="8"/>
      <c r="H91" s="8"/>
      <c r="I91" s="8" t="s">
        <v>4524</v>
      </c>
      <c r="J91" s="8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8" t="s">
        <v>1607</v>
      </c>
      <c r="E92" s="8" t="s">
        <v>8</v>
      </c>
      <c r="F92" s="8"/>
      <c r="H92" s="8"/>
      <c r="I92" s="8" t="s">
        <v>4527</v>
      </c>
      <c r="J92" s="8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8" t="s">
        <v>4</v>
      </c>
      <c r="E93" s="8" t="s">
        <v>8</v>
      </c>
      <c r="F93" s="8"/>
      <c r="H93" s="8"/>
      <c r="I93" s="8" t="s">
        <v>4785</v>
      </c>
      <c r="J93" s="8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8" t="s">
        <v>587</v>
      </c>
      <c r="E94" s="8" t="s">
        <v>4940</v>
      </c>
      <c r="F94" s="8"/>
      <c r="H94" s="8"/>
      <c r="I94" s="8" t="s">
        <v>4788</v>
      </c>
      <c r="J94" s="8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8" t="s">
        <v>587</v>
      </c>
      <c r="E95" s="8" t="s">
        <v>4940</v>
      </c>
      <c r="F95" s="8"/>
      <c r="H95" s="8" t="s">
        <v>2352</v>
      </c>
      <c r="I95" s="8" t="s">
        <v>4791</v>
      </c>
      <c r="J95" s="8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8" t="s">
        <v>4</v>
      </c>
      <c r="E96" s="8" t="s">
        <v>8</v>
      </c>
      <c r="F96" s="8"/>
      <c r="H96" s="8"/>
      <c r="I96" s="8" t="s">
        <v>4794</v>
      </c>
      <c r="J96" s="8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8" t="s">
        <v>1607</v>
      </c>
      <c r="E97" s="8" t="s">
        <v>8</v>
      </c>
      <c r="F97" s="8"/>
      <c r="H97" s="8"/>
      <c r="I97" s="8" t="s">
        <v>4797</v>
      </c>
      <c r="J97" s="8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8" t="s">
        <v>1607</v>
      </c>
      <c r="E98" s="8" t="s">
        <v>8</v>
      </c>
      <c r="F98" s="8"/>
      <c r="H98" s="8"/>
      <c r="I98" s="8" t="s">
        <v>4985</v>
      </c>
      <c r="J98" s="8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8" t="s">
        <v>4</v>
      </c>
      <c r="E99" s="8" t="s">
        <v>8</v>
      </c>
      <c r="F99" s="8"/>
      <c r="H99" s="8"/>
      <c r="I99" s="8" t="s">
        <v>5188</v>
      </c>
      <c r="J99" s="8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8" t="s">
        <v>4</v>
      </c>
      <c r="E100" s="8" t="s">
        <v>8</v>
      </c>
      <c r="F100" s="8"/>
      <c r="H100" s="8"/>
      <c r="I100" s="8" t="s">
        <v>5191</v>
      </c>
      <c r="J100" s="8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8" t="s">
        <v>1607</v>
      </c>
      <c r="E101" s="8" t="s">
        <v>8</v>
      </c>
      <c r="F101" s="8"/>
      <c r="H101" s="8"/>
      <c r="I101" s="8" t="s">
        <v>5295</v>
      </c>
      <c r="J101" s="8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8" t="s">
        <v>4</v>
      </c>
      <c r="E102" s="8" t="s">
        <v>8</v>
      </c>
      <c r="F102" s="8"/>
      <c r="H102" s="8"/>
      <c r="I102" s="8" t="s">
        <v>5427</v>
      </c>
      <c r="J102" s="8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8" t="s">
        <v>4</v>
      </c>
      <c r="E103" s="8" t="s">
        <v>8</v>
      </c>
      <c r="F103" s="8"/>
      <c r="H103" s="8" t="s">
        <v>2352</v>
      </c>
      <c r="I103" s="8" t="s">
        <v>5430</v>
      </c>
      <c r="J103" s="8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8" t="s">
        <v>4</v>
      </c>
      <c r="E104" s="8" t="s">
        <v>8</v>
      </c>
      <c r="F104" s="8"/>
      <c r="H104" s="8"/>
      <c r="I104" s="8" t="s">
        <v>5655</v>
      </c>
      <c r="J104" s="8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8" t="s">
        <v>4</v>
      </c>
      <c r="E105" s="8" t="s">
        <v>8</v>
      </c>
      <c r="F105" s="8"/>
      <c r="H105" s="8" t="s">
        <v>2352</v>
      </c>
      <c r="I105" s="8" t="s">
        <v>5658</v>
      </c>
      <c r="J105" s="8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8" t="s">
        <v>1607</v>
      </c>
      <c r="E106" s="8" t="s">
        <v>8</v>
      </c>
      <c r="F106" s="8"/>
      <c r="H106" s="8"/>
      <c r="I106" s="8" t="s">
        <v>5661</v>
      </c>
      <c r="J106" s="8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8" t="s">
        <v>1607</v>
      </c>
      <c r="E107" s="8" t="s">
        <v>8</v>
      </c>
      <c r="F107" s="8"/>
      <c r="H107" s="8" t="s">
        <v>1617</v>
      </c>
      <c r="I107" s="8" t="s">
        <v>5664</v>
      </c>
      <c r="J107" s="8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8" t="s">
        <v>1607</v>
      </c>
      <c r="E108" s="8" t="s">
        <v>8</v>
      </c>
      <c r="F108" s="8"/>
      <c r="H108" s="8"/>
      <c r="I108" s="8" t="s">
        <v>5727</v>
      </c>
      <c r="J108" s="8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8" t="s">
        <v>1607</v>
      </c>
      <c r="E109" s="8" t="s">
        <v>8</v>
      </c>
      <c r="F109" s="8"/>
      <c r="H109" s="8"/>
      <c r="I109" s="8" t="s">
        <v>5894</v>
      </c>
      <c r="J109" s="8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8" t="s">
        <v>1607</v>
      </c>
      <c r="E110" s="8" t="s">
        <v>8</v>
      </c>
      <c r="F110" s="8"/>
      <c r="H110" s="8"/>
      <c r="I110" s="8" t="s">
        <v>5897</v>
      </c>
      <c r="J110" s="8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8" t="s">
        <v>4</v>
      </c>
      <c r="E111" s="8" t="s">
        <v>5910</v>
      </c>
      <c r="F111" s="8"/>
      <c r="H111" s="8"/>
      <c r="I111" s="8" t="s">
        <v>5900</v>
      </c>
      <c r="J111" s="8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8" t="s">
        <v>4</v>
      </c>
      <c r="E112" s="8" t="s">
        <v>6163</v>
      </c>
      <c r="F112" s="8"/>
      <c r="H112" s="8"/>
      <c r="I112" s="8" t="s">
        <v>6031</v>
      </c>
      <c r="J112" s="8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8" t="s">
        <v>4</v>
      </c>
      <c r="E113" s="8" t="s">
        <v>6164</v>
      </c>
      <c r="F113" s="8"/>
      <c r="H113" s="8" t="s">
        <v>2352</v>
      </c>
      <c r="I113" s="8" t="s">
        <v>6034</v>
      </c>
      <c r="J113" s="8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8" t="s">
        <v>4</v>
      </c>
      <c r="E114" s="8" t="s">
        <v>8</v>
      </c>
      <c r="F114" s="8"/>
      <c r="H114" s="8" t="s">
        <v>6165</v>
      </c>
      <c r="I114" s="8" t="s">
        <v>6037</v>
      </c>
      <c r="J114" s="8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8" t="s">
        <v>4</v>
      </c>
      <c r="E115" s="8" t="s">
        <v>8</v>
      </c>
      <c r="F115" s="8"/>
      <c r="H115" s="8" t="s">
        <v>2464</v>
      </c>
      <c r="I115" s="8" t="s">
        <v>6040</v>
      </c>
      <c r="J115" s="8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8" t="s">
        <v>4</v>
      </c>
      <c r="E116" s="8" t="s">
        <v>8</v>
      </c>
      <c r="F116" s="8"/>
      <c r="H116" s="8"/>
      <c r="I116" s="8" t="s">
        <v>6206</v>
      </c>
      <c r="J116" s="8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8" t="s">
        <v>4</v>
      </c>
      <c r="E117" s="8" t="s">
        <v>8</v>
      </c>
      <c r="F117" s="8"/>
      <c r="H117" s="8" t="s">
        <v>2352</v>
      </c>
      <c r="I117" s="8" t="s">
        <v>6209</v>
      </c>
      <c r="J117" s="8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8" t="s">
        <v>4</v>
      </c>
      <c r="E118" s="8" t="s">
        <v>8</v>
      </c>
      <c r="F118" s="8"/>
      <c r="H118" s="8" t="s">
        <v>2352</v>
      </c>
      <c r="I118" s="8" t="s">
        <v>6212</v>
      </c>
      <c r="J118" s="8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8" t="s">
        <v>4</v>
      </c>
      <c r="E119" s="8" t="s">
        <v>8</v>
      </c>
      <c r="F119" s="8"/>
      <c r="H119" s="8" t="s">
        <v>2352</v>
      </c>
      <c r="I119" s="8" t="s">
        <v>6215</v>
      </c>
      <c r="J119" s="8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8" t="s">
        <v>4</v>
      </c>
      <c r="E120" s="8" t="s">
        <v>8</v>
      </c>
      <c r="F120" s="8"/>
      <c r="H120" s="8" t="s">
        <v>2352</v>
      </c>
      <c r="I120" s="8" t="s">
        <v>6218</v>
      </c>
      <c r="J120" s="8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8" t="s">
        <v>4</v>
      </c>
      <c r="E121" s="8" t="s">
        <v>8</v>
      </c>
      <c r="F121" s="8"/>
      <c r="H121" s="8"/>
      <c r="I121" s="8" t="s">
        <v>6371</v>
      </c>
      <c r="J121" s="8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8" t="s">
        <v>4</v>
      </c>
      <c r="E122" s="8" t="s">
        <v>12</v>
      </c>
      <c r="F122" s="8"/>
      <c r="H122" s="8"/>
      <c r="I122" s="8" t="s">
        <v>6374</v>
      </c>
      <c r="J122" s="8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8" t="s">
        <v>4</v>
      </c>
      <c r="E123" s="8" t="s">
        <v>8</v>
      </c>
      <c r="F123" s="8"/>
      <c r="H123" s="8"/>
      <c r="I123" s="8" t="s">
        <v>6377</v>
      </c>
      <c r="J123" s="8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8" t="s">
        <v>4</v>
      </c>
      <c r="E124" s="8" t="s">
        <v>12</v>
      </c>
      <c r="F124" s="8"/>
      <c r="H124" s="8"/>
      <c r="I124" s="8" t="s">
        <v>6380</v>
      </c>
      <c r="J124" s="8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8" t="s">
        <v>1607</v>
      </c>
      <c r="E125" s="8" t="s">
        <v>8</v>
      </c>
      <c r="F125" s="8"/>
      <c r="H125" s="8"/>
      <c r="I125" s="8" t="s">
        <v>6643</v>
      </c>
      <c r="J125" s="8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8" t="s">
        <v>1607</v>
      </c>
      <c r="E126" s="8" t="s">
        <v>8</v>
      </c>
      <c r="F126" s="8"/>
      <c r="H126" s="8"/>
      <c r="I126" s="8" t="s">
        <v>6646</v>
      </c>
      <c r="J126" s="8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8" t="s">
        <v>1607</v>
      </c>
      <c r="E127" s="8" t="s">
        <v>8</v>
      </c>
      <c r="F127" s="8"/>
      <c r="H127" s="8"/>
      <c r="I127" s="8" t="s">
        <v>6649</v>
      </c>
      <c r="J127" s="8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8" t="s">
        <v>1607</v>
      </c>
      <c r="E128" s="8" t="s">
        <v>8</v>
      </c>
      <c r="F128" s="8"/>
      <c r="H128" s="8"/>
      <c r="I128" s="8" t="s">
        <v>6652</v>
      </c>
      <c r="J128" s="8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8" t="s">
        <v>1607</v>
      </c>
      <c r="E129" s="8" t="s">
        <v>8</v>
      </c>
      <c r="F129" s="8"/>
      <c r="H129" s="8"/>
      <c r="I129" s="8" t="s">
        <v>6655</v>
      </c>
      <c r="J129" s="8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8" t="s">
        <v>1607</v>
      </c>
      <c r="E130" s="8" t="s">
        <v>8</v>
      </c>
      <c r="F130" s="8"/>
      <c r="H130" s="8"/>
      <c r="I130" s="8" t="s">
        <v>6761</v>
      </c>
      <c r="J130" s="8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8" t="s">
        <v>1607</v>
      </c>
      <c r="E131" s="8" t="s">
        <v>8</v>
      </c>
      <c r="F131" s="8"/>
      <c r="H131" s="8"/>
      <c r="I131" s="8" t="s">
        <v>6764</v>
      </c>
      <c r="J131" s="8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8" t="s">
        <v>1607</v>
      </c>
      <c r="E132" s="8" t="s">
        <v>8</v>
      </c>
      <c r="F132" s="8"/>
      <c r="H132" s="8"/>
      <c r="I132" s="8" t="s">
        <v>6767</v>
      </c>
      <c r="J132" s="8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8" t="s">
        <v>1607</v>
      </c>
      <c r="E133" s="8" t="s">
        <v>8</v>
      </c>
      <c r="F133" s="8"/>
      <c r="H133" s="8"/>
      <c r="I133" s="8" t="s">
        <v>6999</v>
      </c>
      <c r="J133" s="8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8" t="s">
        <v>1607</v>
      </c>
      <c r="E134" s="8" t="s">
        <v>8</v>
      </c>
      <c r="F134" s="8"/>
      <c r="H134" s="8"/>
      <c r="I134" s="8" t="s">
        <v>7002</v>
      </c>
      <c r="J134" s="8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8" t="s">
        <v>1607</v>
      </c>
      <c r="E135" s="8" t="s">
        <v>8</v>
      </c>
      <c r="F135" s="8"/>
      <c r="H135" s="8"/>
      <c r="I135" s="8" t="s">
        <v>7005</v>
      </c>
      <c r="J135" s="8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8" t="s">
        <v>1607</v>
      </c>
      <c r="E136" s="8" t="s">
        <v>8</v>
      </c>
      <c r="F136" s="8"/>
      <c r="H136" s="8"/>
      <c r="I136" s="8" t="s">
        <v>7008</v>
      </c>
      <c r="J136" s="8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8" t="s">
        <v>1607</v>
      </c>
      <c r="E137" s="8" t="s">
        <v>8</v>
      </c>
      <c r="F137" s="8"/>
      <c r="H137" s="8"/>
      <c r="I137" s="8" t="s">
        <v>7011</v>
      </c>
      <c r="J137" s="8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8" t="s">
        <v>1607</v>
      </c>
      <c r="E138" s="8" t="s">
        <v>8</v>
      </c>
      <c r="F138" s="8"/>
      <c r="H138" s="8"/>
      <c r="I138" s="8" t="s">
        <v>7014</v>
      </c>
      <c r="J138" s="8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8" t="s">
        <v>1607</v>
      </c>
      <c r="E139" s="8" t="s">
        <v>8</v>
      </c>
      <c r="F139" s="8"/>
      <c r="H139" s="8"/>
      <c r="I139" s="8" t="s">
        <v>7017</v>
      </c>
      <c r="J139" s="8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8" t="s">
        <v>4</v>
      </c>
      <c r="E140" s="8" t="s">
        <v>4396</v>
      </c>
      <c r="F140" s="8" t="s">
        <v>7344</v>
      </c>
      <c r="H140" s="8"/>
      <c r="I140" s="8" t="s">
        <v>7301</v>
      </c>
      <c r="J140" s="8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8" t="s">
        <v>4</v>
      </c>
      <c r="E141" s="8" t="s">
        <v>8</v>
      </c>
      <c r="F141" s="8"/>
      <c r="H141" s="8"/>
      <c r="I141" s="8" t="s">
        <v>7304</v>
      </c>
      <c r="J141" s="8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8" t="s">
        <v>4</v>
      </c>
      <c r="E142" s="8" t="s">
        <v>12</v>
      </c>
      <c r="F142" s="8"/>
      <c r="H142" s="8"/>
      <c r="I142" s="8" t="s">
        <v>7307</v>
      </c>
      <c r="J142" s="8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8" t="s">
        <v>4</v>
      </c>
      <c r="E143" s="8" t="s">
        <v>7365</v>
      </c>
      <c r="F143" s="8"/>
      <c r="H143" s="8"/>
      <c r="I143" s="8" t="s">
        <v>7310</v>
      </c>
      <c r="J143" s="8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8" t="s">
        <v>4</v>
      </c>
      <c r="E144" s="8" t="s">
        <v>8</v>
      </c>
      <c r="F144" s="8"/>
      <c r="H144" s="8"/>
      <c r="I144" s="8" t="s">
        <v>7313</v>
      </c>
      <c r="J144" s="8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8" t="s">
        <v>4</v>
      </c>
      <c r="E145" s="8" t="s">
        <v>12</v>
      </c>
      <c r="F145" s="8"/>
      <c r="H145" s="8"/>
      <c r="I145" s="8" t="s">
        <v>7316</v>
      </c>
      <c r="J145" s="8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8" t="s">
        <v>4</v>
      </c>
      <c r="E146" s="8" t="s">
        <v>12</v>
      </c>
      <c r="F146" s="8"/>
      <c r="H146" s="8"/>
      <c r="I146" s="8" t="s">
        <v>7319</v>
      </c>
      <c r="J146" s="8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8" t="s">
        <v>4</v>
      </c>
      <c r="E147" s="8" t="s">
        <v>8</v>
      </c>
      <c r="F147" s="8"/>
      <c r="H147" s="8"/>
      <c r="I147" s="8" t="s">
        <v>7440</v>
      </c>
      <c r="J147" s="8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8" t="s">
        <v>4</v>
      </c>
      <c r="E148" s="8" t="s">
        <v>12</v>
      </c>
      <c r="F148" s="8"/>
      <c r="H148" s="8"/>
      <c r="I148" s="8" t="s">
        <v>7443</v>
      </c>
      <c r="J148" s="8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8" t="s">
        <v>4</v>
      </c>
      <c r="E149" s="8" t="s">
        <v>8</v>
      </c>
      <c r="F149" s="8"/>
      <c r="H149" s="8"/>
      <c r="I149" s="8" t="s">
        <v>7446</v>
      </c>
      <c r="J149" s="8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8" t="s">
        <v>4</v>
      </c>
      <c r="E150" s="8" t="s">
        <v>12</v>
      </c>
      <c r="F150" s="8"/>
      <c r="H150" s="8"/>
      <c r="I150" s="8" t="s">
        <v>7624</v>
      </c>
      <c r="J150" s="8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8" t="s">
        <v>4</v>
      </c>
      <c r="E151" s="8" t="s">
        <v>12</v>
      </c>
      <c r="F151" s="8"/>
      <c r="H151" s="8"/>
      <c r="I151" s="8" t="s">
        <v>7627</v>
      </c>
      <c r="J151" s="8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8" t="s">
        <v>1607</v>
      </c>
      <c r="E152" s="8" t="s">
        <v>8</v>
      </c>
      <c r="F152" s="8"/>
      <c r="H152" s="8"/>
      <c r="I152" s="8" t="s">
        <v>7725</v>
      </c>
      <c r="J152" s="8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8" t="s">
        <v>1607</v>
      </c>
      <c r="E153" s="8" t="s">
        <v>8</v>
      </c>
      <c r="F153" s="8"/>
      <c r="H153" s="8"/>
      <c r="I153" s="8" t="s">
        <v>7728</v>
      </c>
      <c r="J153" s="8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8" t="s">
        <v>7887</v>
      </c>
      <c r="E154" s="8" t="s">
        <v>7355</v>
      </c>
      <c r="F154" s="8"/>
      <c r="H154" s="8"/>
      <c r="I154" s="8" t="s">
        <v>7863</v>
      </c>
      <c r="J154" s="8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8" t="s">
        <v>7887</v>
      </c>
      <c r="E155" s="8" t="s">
        <v>7355</v>
      </c>
      <c r="F155" s="8"/>
      <c r="H155" s="8" t="s">
        <v>2352</v>
      </c>
      <c r="I155" s="8" t="s">
        <v>7866</v>
      </c>
      <c r="J155" s="8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8" t="s">
        <v>7887</v>
      </c>
      <c r="E156" s="8" t="s">
        <v>7355</v>
      </c>
      <c r="F156" s="8"/>
      <c r="H156" s="8" t="s">
        <v>2352</v>
      </c>
      <c r="I156" s="8" t="s">
        <v>7869</v>
      </c>
      <c r="J156" s="8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8" t="s">
        <v>7925</v>
      </c>
      <c r="E157" s="8" t="s">
        <v>3412</v>
      </c>
      <c r="F157" s="8"/>
      <c r="H157" s="8" t="s">
        <v>2352</v>
      </c>
      <c r="I157" s="8" t="s">
        <v>7872</v>
      </c>
      <c r="J157" s="8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8" t="s">
        <v>7887</v>
      </c>
      <c r="E158" s="8" t="s">
        <v>7355</v>
      </c>
      <c r="F158" s="8"/>
      <c r="H158" s="8" t="s">
        <v>2352</v>
      </c>
      <c r="I158" s="8" t="s">
        <v>7875</v>
      </c>
      <c r="J158" s="8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8" t="s">
        <v>4</v>
      </c>
      <c r="E159" s="8" t="s">
        <v>8</v>
      </c>
      <c r="F159" s="8"/>
      <c r="H159" s="8"/>
      <c r="I159" s="8" t="s">
        <v>7878</v>
      </c>
      <c r="J159" s="8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8" t="s">
        <v>4</v>
      </c>
      <c r="E160" s="8" t="s">
        <v>8</v>
      </c>
      <c r="F160" s="8"/>
      <c r="H160" s="8"/>
      <c r="I160" s="8" t="s">
        <v>8063</v>
      </c>
      <c r="J160" s="8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8" t="s">
        <v>7887</v>
      </c>
      <c r="E161" s="8" t="s">
        <v>7355</v>
      </c>
      <c r="F161" s="8"/>
      <c r="H161" s="8"/>
      <c r="I161" s="8" t="s">
        <v>8066</v>
      </c>
      <c r="J161" s="8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8" t="s">
        <v>7887</v>
      </c>
      <c r="E162" s="8" t="s">
        <v>7355</v>
      </c>
      <c r="F162" s="8"/>
      <c r="H162" s="8"/>
      <c r="I162" s="8" t="s">
        <v>8069</v>
      </c>
      <c r="J162" s="8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8" t="s">
        <v>4</v>
      </c>
      <c r="E163" s="8" t="s">
        <v>8</v>
      </c>
      <c r="F163" s="8"/>
      <c r="H163" s="8"/>
      <c r="I163" s="8" t="s">
        <v>8353</v>
      </c>
      <c r="J163" s="8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8" t="s">
        <v>4</v>
      </c>
      <c r="E164" s="8" t="s">
        <v>8</v>
      </c>
      <c r="F164" s="8"/>
      <c r="H164" s="8" t="s">
        <v>2352</v>
      </c>
      <c r="I164" s="8" t="s">
        <v>8356</v>
      </c>
      <c r="J164" s="8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8" t="s">
        <v>4</v>
      </c>
      <c r="E165" s="8" t="s">
        <v>8</v>
      </c>
      <c r="F165" s="8"/>
      <c r="H165" s="8" t="s">
        <v>2352</v>
      </c>
      <c r="I165" s="8" t="s">
        <v>8359</v>
      </c>
      <c r="J165" s="8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8" t="s">
        <v>1607</v>
      </c>
      <c r="E166" s="8" t="s">
        <v>8</v>
      </c>
      <c r="F166" s="8"/>
      <c r="H166" s="8"/>
      <c r="I166" s="8" t="s">
        <v>8397</v>
      </c>
      <c r="J166" s="8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8" t="s">
        <v>1607</v>
      </c>
      <c r="E167" s="8" t="s">
        <v>8</v>
      </c>
      <c r="F167" s="8"/>
      <c r="H167" s="8"/>
      <c r="I167" s="8" t="s">
        <v>8400</v>
      </c>
      <c r="J167" s="8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8" t="s">
        <v>1607</v>
      </c>
      <c r="E168" s="8" t="s">
        <v>8</v>
      </c>
      <c r="F168" s="8"/>
      <c r="H168" s="8"/>
      <c r="I168" s="8" t="s">
        <v>8508</v>
      </c>
      <c r="J168" s="8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8" t="s">
        <v>7925</v>
      </c>
      <c r="E169" s="8" t="s">
        <v>3412</v>
      </c>
      <c r="F169" s="8"/>
      <c r="H169" s="8"/>
      <c r="I169" s="8" t="s">
        <v>8511</v>
      </c>
      <c r="J169" s="8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8" t="s">
        <v>7887</v>
      </c>
      <c r="E170" s="8" t="s">
        <v>7355</v>
      </c>
      <c r="F170" s="8"/>
      <c r="H170" s="8"/>
      <c r="I170" s="8" t="s">
        <v>8690</v>
      </c>
      <c r="J170" s="8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8" t="s">
        <v>7887</v>
      </c>
      <c r="E171" s="8" t="s">
        <v>7355</v>
      </c>
      <c r="F171" s="8"/>
      <c r="H171" s="8" t="s">
        <v>2352</v>
      </c>
      <c r="I171" s="8" t="s">
        <v>8693</v>
      </c>
      <c r="J171" s="8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8" t="s">
        <v>7887</v>
      </c>
      <c r="E172" s="8" t="s">
        <v>7355</v>
      </c>
      <c r="F172" s="8"/>
      <c r="H172" s="8" t="s">
        <v>2352</v>
      </c>
      <c r="I172" s="8" t="s">
        <v>8696</v>
      </c>
      <c r="J172" s="8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8" t="s">
        <v>7887</v>
      </c>
      <c r="E173" s="8" t="s">
        <v>7355</v>
      </c>
      <c r="F173" s="8"/>
      <c r="H173" s="8" t="s">
        <v>2352</v>
      </c>
      <c r="I173" s="8" t="s">
        <v>8699</v>
      </c>
      <c r="J173" s="8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8" t="s">
        <v>8813</v>
      </c>
      <c r="E174" s="8" t="s">
        <v>7355</v>
      </c>
      <c r="F174" s="8"/>
      <c r="H174" s="8"/>
      <c r="I174" s="8" t="s">
        <v>8799</v>
      </c>
      <c r="J174" s="8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8" t="s">
        <v>4</v>
      </c>
      <c r="E175" s="8" t="s">
        <v>8</v>
      </c>
      <c r="F175" s="8"/>
      <c r="H175" s="8"/>
      <c r="I175" s="8" t="s">
        <v>8802</v>
      </c>
      <c r="J175" s="8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8" t="s">
        <v>1607</v>
      </c>
      <c r="E176" s="8" t="s">
        <v>8</v>
      </c>
      <c r="F176" s="8"/>
      <c r="H176" s="8" t="s">
        <v>1617</v>
      </c>
      <c r="I176" s="8" t="s">
        <v>8906</v>
      </c>
      <c r="J176" s="8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8" t="s">
        <v>1607</v>
      </c>
      <c r="E177" s="8" t="s">
        <v>8</v>
      </c>
      <c r="F177" s="8"/>
      <c r="H177" s="8" t="s">
        <v>1617</v>
      </c>
      <c r="I177" s="8" t="s">
        <v>8909</v>
      </c>
      <c r="J177" s="8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8" t="s">
        <v>4</v>
      </c>
      <c r="E178" s="8" t="s">
        <v>8</v>
      </c>
      <c r="F178" s="8"/>
      <c r="H178" s="8"/>
      <c r="I178" s="8" t="s">
        <v>9096</v>
      </c>
      <c r="J178" s="8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8" t="s">
        <v>7887</v>
      </c>
      <c r="E179" s="8" t="s">
        <v>4131</v>
      </c>
      <c r="F179" s="8"/>
      <c r="H179" s="8"/>
      <c r="I179" s="8" t="s">
        <v>9099</v>
      </c>
      <c r="J179" s="8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8" t="s">
        <v>7887</v>
      </c>
      <c r="E180" s="8" t="s">
        <v>4131</v>
      </c>
      <c r="F180" s="8"/>
      <c r="H180" s="8"/>
      <c r="I180" s="8" t="s">
        <v>9102</v>
      </c>
      <c r="J180" s="8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8" t="s">
        <v>7887</v>
      </c>
      <c r="E181" s="8" t="s">
        <v>4131</v>
      </c>
      <c r="F181" s="8"/>
      <c r="H181" s="8"/>
      <c r="I181" s="8" t="s">
        <v>9105</v>
      </c>
      <c r="J181" s="8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8" t="s">
        <v>7925</v>
      </c>
      <c r="E182" s="8" t="s">
        <v>3412</v>
      </c>
      <c r="F182" s="8"/>
      <c r="H182" s="8"/>
      <c r="I182" s="8" t="s">
        <v>9227</v>
      </c>
      <c r="J182" s="8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8" t="s">
        <v>1607</v>
      </c>
      <c r="E183" s="8" t="s">
        <v>8</v>
      </c>
      <c r="F183" s="8"/>
      <c r="H183" s="8"/>
      <c r="I183" s="8" t="s">
        <v>9230</v>
      </c>
      <c r="J183" s="8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8" t="s">
        <v>4</v>
      </c>
      <c r="E184" s="8" t="s">
        <v>8</v>
      </c>
      <c r="F184" s="8"/>
      <c r="H184" s="8"/>
      <c r="I184" s="8" t="s">
        <v>9233</v>
      </c>
      <c r="J184" s="8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8" t="s">
        <v>7887</v>
      </c>
      <c r="E185" s="8" t="s">
        <v>4131</v>
      </c>
      <c r="F185" s="8"/>
      <c r="H185" s="8"/>
      <c r="I185" s="8" t="s">
        <v>9236</v>
      </c>
      <c r="J185" s="8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8" t="s">
        <v>4</v>
      </c>
      <c r="E186" s="8" t="s">
        <v>8</v>
      </c>
      <c r="F186" s="8"/>
      <c r="H186" s="8"/>
      <c r="I186" s="8" t="s">
        <v>9239</v>
      </c>
      <c r="J186" s="8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8" t="s">
        <v>1607</v>
      </c>
      <c r="E187" s="8" t="s">
        <v>8</v>
      </c>
      <c r="F187" s="8"/>
      <c r="H187" s="8"/>
      <c r="I187" s="8" t="s">
        <v>9394</v>
      </c>
      <c r="J187" s="8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8" t="s">
        <v>7887</v>
      </c>
      <c r="E188" s="8" t="s">
        <v>4131</v>
      </c>
      <c r="F188" s="8"/>
      <c r="H188" s="8"/>
      <c r="I188" s="8" t="s">
        <v>9397</v>
      </c>
      <c r="J188" s="8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8" t="s">
        <v>7887</v>
      </c>
      <c r="E189" s="8" t="s">
        <v>4131</v>
      </c>
      <c r="F189" s="8"/>
      <c r="H189" s="8"/>
      <c r="I189" s="8" t="s">
        <v>9400</v>
      </c>
      <c r="J189" s="8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8" t="s">
        <v>4</v>
      </c>
      <c r="E190" s="8" t="s">
        <v>8</v>
      </c>
      <c r="F190" s="8"/>
      <c r="H190" s="8"/>
      <c r="I190" s="8" t="s">
        <v>9403</v>
      </c>
      <c r="J190" s="8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8" t="s">
        <v>4</v>
      </c>
      <c r="E191" s="8" t="s">
        <v>8</v>
      </c>
      <c r="F191" s="8"/>
      <c r="H191" s="8"/>
      <c r="I191" s="8" t="s">
        <v>9459</v>
      </c>
      <c r="J191" s="8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8" t="s">
        <v>4</v>
      </c>
      <c r="E192" s="8" t="s">
        <v>8</v>
      </c>
      <c r="F192" s="8"/>
      <c r="H192" s="8" t="s">
        <v>2352</v>
      </c>
      <c r="I192" s="8" t="s">
        <v>9462</v>
      </c>
      <c r="J192" s="8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8" t="s">
        <v>4</v>
      </c>
      <c r="E193" s="8" t="s">
        <v>2348</v>
      </c>
      <c r="F193" s="8"/>
      <c r="H193" s="8"/>
      <c r="I193" s="8" t="s">
        <v>9465</v>
      </c>
      <c r="J193" s="8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8" t="s">
        <v>4</v>
      </c>
      <c r="E194" s="8" t="s">
        <v>2348</v>
      </c>
      <c r="F194" s="8"/>
      <c r="H194" s="8"/>
      <c r="I194" s="8" t="s">
        <v>9468</v>
      </c>
      <c r="J194" s="8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8" t="s">
        <v>9600</v>
      </c>
      <c r="E195" s="8"/>
      <c r="F195" s="8"/>
      <c r="H195" s="8"/>
      <c r="I195" s="8" t="s">
        <v>9471</v>
      </c>
      <c r="J195" s="8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8" t="s">
        <v>4</v>
      </c>
      <c r="E196" s="8" t="s">
        <v>8</v>
      </c>
      <c r="F196" s="8"/>
      <c r="H196" s="8"/>
      <c r="I196" s="8" t="s">
        <v>9474</v>
      </c>
      <c r="J196" s="8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8" t="s">
        <v>1607</v>
      </c>
      <c r="E197" s="8" t="s">
        <v>8</v>
      </c>
      <c r="F197" s="8"/>
      <c r="H197" s="8"/>
      <c r="I197" s="8" t="s">
        <v>9477</v>
      </c>
      <c r="J197" s="8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8" t="s">
        <v>4</v>
      </c>
      <c r="E198" s="8" t="s">
        <v>9602</v>
      </c>
      <c r="F198" s="8"/>
      <c r="H198" s="8"/>
      <c r="I198" s="8" t="s">
        <v>9480</v>
      </c>
      <c r="J198" s="8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8" t="s">
        <v>4</v>
      </c>
      <c r="E199" s="8" t="s">
        <v>9602</v>
      </c>
      <c r="F199" s="8"/>
      <c r="H199" s="8" t="s">
        <v>2352</v>
      </c>
      <c r="I199" s="8" t="s">
        <v>9483</v>
      </c>
      <c r="J199" s="8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8" t="s">
        <v>4</v>
      </c>
      <c r="E200" s="8" t="s">
        <v>9666</v>
      </c>
      <c r="F200" s="8"/>
      <c r="H200" s="8"/>
      <c r="I200" s="8" t="s">
        <v>9604</v>
      </c>
      <c r="J200" s="8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8" t="s">
        <v>1607</v>
      </c>
      <c r="E201" s="8" t="s">
        <v>8</v>
      </c>
      <c r="F201" s="8"/>
      <c r="H201" s="8"/>
      <c r="I201" s="8" t="s">
        <v>9607</v>
      </c>
      <c r="J201" s="8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8" t="s">
        <v>4</v>
      </c>
      <c r="E202" s="8" t="s">
        <v>8528</v>
      </c>
      <c r="F202" s="8"/>
      <c r="H202" s="8"/>
      <c r="I202" s="8" t="s">
        <v>9682</v>
      </c>
      <c r="J202" s="8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8" t="s">
        <v>4</v>
      </c>
      <c r="E203" s="8" t="s">
        <v>9700</v>
      </c>
      <c r="F203" s="8"/>
      <c r="H203" s="8" t="s">
        <v>2352</v>
      </c>
      <c r="I203" s="8" t="s">
        <v>9685</v>
      </c>
      <c r="J203" s="8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8" t="s">
        <v>12</v>
      </c>
      <c r="E204" s="8"/>
      <c r="F204" s="8"/>
      <c r="H204" s="8"/>
      <c r="I204" s="8" t="s">
        <v>9688</v>
      </c>
      <c r="J204" s="8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8" t="s">
        <v>4</v>
      </c>
      <c r="E205" s="8" t="s">
        <v>8</v>
      </c>
      <c r="F205" s="8"/>
      <c r="H205" s="8" t="s">
        <v>2352</v>
      </c>
      <c r="I205" s="8" t="s">
        <v>9691</v>
      </c>
      <c r="J205" s="8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8" t="s">
        <v>12</v>
      </c>
      <c r="E206" s="8" t="s">
        <v>1274</v>
      </c>
      <c r="F206" s="8"/>
      <c r="H206" s="8"/>
      <c r="I206" s="8" t="s">
        <v>9872</v>
      </c>
      <c r="J206" s="8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8" t="s">
        <v>7365</v>
      </c>
      <c r="E207" s="8" t="s">
        <v>86</v>
      </c>
      <c r="F207" s="8"/>
      <c r="H207" s="8"/>
      <c r="I207" s="8" t="s">
        <v>9875</v>
      </c>
      <c r="J207" s="8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8" t="s">
        <v>12</v>
      </c>
      <c r="E208" s="8" t="s">
        <v>1274</v>
      </c>
      <c r="F208" s="8"/>
      <c r="H208" s="8"/>
      <c r="I208" s="8" t="s">
        <v>9878</v>
      </c>
      <c r="J208" s="8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8" t="s">
        <v>7</v>
      </c>
      <c r="E209" s="8"/>
      <c r="F209" s="8"/>
      <c r="H209" s="8"/>
      <c r="I209" s="8" t="s">
        <v>9881</v>
      </c>
      <c r="J209" s="8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8" t="s">
        <v>10020</v>
      </c>
      <c r="E210" s="8" t="s">
        <v>1274</v>
      </c>
      <c r="F210" s="8"/>
      <c r="H210" s="8"/>
      <c r="I210" s="8" t="s">
        <v>9884</v>
      </c>
      <c r="J210" s="8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8" t="s">
        <v>4</v>
      </c>
      <c r="E211" s="8" t="s">
        <v>8</v>
      </c>
      <c r="F211" s="8"/>
      <c r="H211" s="8"/>
      <c r="I211" s="8" t="s">
        <v>9887</v>
      </c>
      <c r="J211" s="8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8" t="s">
        <v>7365</v>
      </c>
      <c r="E212" s="8" t="s">
        <v>86</v>
      </c>
      <c r="F212" s="8"/>
      <c r="H212" s="8"/>
      <c r="I212" s="8" t="s">
        <v>9890</v>
      </c>
      <c r="J212" s="8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8" t="s">
        <v>4</v>
      </c>
      <c r="E213" s="8" t="s">
        <v>8</v>
      </c>
      <c r="F213" s="8"/>
      <c r="H213" s="8"/>
      <c r="I213" s="8" t="s">
        <v>9893</v>
      </c>
      <c r="J213" s="8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8" t="s">
        <v>10020</v>
      </c>
      <c r="E214" s="8"/>
      <c r="F214" s="8"/>
      <c r="H214" s="8"/>
      <c r="I214" s="8" t="s">
        <v>10024</v>
      </c>
      <c r="J214" s="8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8" t="s">
        <v>7365</v>
      </c>
      <c r="E215" s="8" t="s">
        <v>86</v>
      </c>
      <c r="F215" s="8"/>
      <c r="H215" s="8"/>
      <c r="I215" s="8" t="s">
        <v>10027</v>
      </c>
      <c r="J215" s="8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8" t="s">
        <v>10020</v>
      </c>
      <c r="E216" s="8"/>
      <c r="F216" s="8"/>
      <c r="H216" s="8"/>
      <c r="I216" s="8" t="s">
        <v>10030</v>
      </c>
      <c r="J216" s="8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8" t="s">
        <v>10020</v>
      </c>
      <c r="E217" s="8"/>
      <c r="F217" s="8"/>
      <c r="H217" s="8"/>
      <c r="I217" s="8" t="s">
        <v>10033</v>
      </c>
      <c r="J217" s="8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8" t="s">
        <v>10020</v>
      </c>
      <c r="E218" s="8"/>
      <c r="F218" s="8"/>
      <c r="H218" s="8"/>
      <c r="I218" s="8" t="s">
        <v>10036</v>
      </c>
      <c r="J218" s="8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8" t="s">
        <v>10020</v>
      </c>
      <c r="E219" s="8"/>
      <c r="F219" s="8"/>
      <c r="H219" s="8"/>
      <c r="I219" s="8" t="s">
        <v>10039</v>
      </c>
      <c r="J219" s="8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8" t="s">
        <v>10020</v>
      </c>
      <c r="E220" s="8"/>
      <c r="F220" s="8"/>
      <c r="H220" s="8"/>
      <c r="I220" s="8" t="s">
        <v>10042</v>
      </c>
      <c r="J220" s="8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8" t="s">
        <v>10020</v>
      </c>
      <c r="E221" s="8"/>
      <c r="F221" s="8"/>
      <c r="H221" s="8"/>
      <c r="I221" s="8" t="s">
        <v>10182</v>
      </c>
      <c r="J221" s="8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8" t="s">
        <v>10020</v>
      </c>
      <c r="E222" s="8"/>
      <c r="F222" s="8"/>
      <c r="H222" s="8"/>
      <c r="I222" s="8" t="s">
        <v>10185</v>
      </c>
      <c r="J222" s="8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8" t="s">
        <v>10020</v>
      </c>
      <c r="E223" s="8"/>
      <c r="F223" s="8"/>
      <c r="H223" s="8"/>
      <c r="I223" s="8" t="s">
        <v>10188</v>
      </c>
      <c r="J223" s="8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8" t="s">
        <v>10020</v>
      </c>
      <c r="E224" s="8"/>
      <c r="F224" s="8"/>
      <c r="H224" s="8"/>
      <c r="I224" s="8" t="s">
        <v>10191</v>
      </c>
      <c r="J224" s="8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8" t="s">
        <v>10020</v>
      </c>
      <c r="E225" s="8"/>
      <c r="F225" s="8"/>
      <c r="H225" s="8"/>
      <c r="I225" s="8" t="s">
        <v>10194</v>
      </c>
      <c r="J225" s="8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8" t="s">
        <v>10020</v>
      </c>
      <c r="E226" s="8"/>
      <c r="F226" s="8"/>
      <c r="H226" s="8"/>
      <c r="I226" s="8" t="s">
        <v>10197</v>
      </c>
      <c r="J226" s="8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8" t="s">
        <v>4</v>
      </c>
      <c r="E227" s="8" t="s">
        <v>8</v>
      </c>
      <c r="F227" s="8"/>
      <c r="H227" s="8"/>
      <c r="I227" s="8" t="s">
        <v>10200</v>
      </c>
      <c r="J227" s="8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8" t="s">
        <v>10020</v>
      </c>
      <c r="E228" s="8"/>
      <c r="F228" s="8"/>
      <c r="H228" s="8"/>
      <c r="I228" s="8" t="s">
        <v>10271</v>
      </c>
      <c r="J228" s="8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8" t="s">
        <v>10020</v>
      </c>
      <c r="E229" s="8"/>
      <c r="F229" s="8"/>
      <c r="H229" s="8"/>
      <c r="I229" s="8" t="s">
        <v>10274</v>
      </c>
      <c r="J229" s="8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8" t="s">
        <v>10020</v>
      </c>
      <c r="E230" s="8"/>
      <c r="F230" s="8"/>
      <c r="H230" s="8"/>
      <c r="I230" s="8" t="s">
        <v>10277</v>
      </c>
      <c r="J230" s="8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8" t="s">
        <v>10020</v>
      </c>
      <c r="E231" s="8"/>
      <c r="F231" s="8"/>
      <c r="H231" s="8"/>
      <c r="I231" s="8" t="s">
        <v>10280</v>
      </c>
      <c r="J231" s="8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8" t="s">
        <v>10020</v>
      </c>
      <c r="E232" s="8"/>
      <c r="F232" s="8"/>
      <c r="H232" s="8"/>
      <c r="I232" s="8" t="s">
        <v>10283</v>
      </c>
      <c r="J232" s="8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8" t="s">
        <v>10020</v>
      </c>
      <c r="E233" s="8"/>
      <c r="F233" s="8"/>
      <c r="H233" s="8"/>
      <c r="I233" s="8" t="s">
        <v>10286</v>
      </c>
      <c r="J233" s="8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8" t="s">
        <v>4</v>
      </c>
      <c r="E234" s="8" t="s">
        <v>8</v>
      </c>
      <c r="F234" s="8"/>
      <c r="H234" s="8"/>
      <c r="I234" s="8" t="s">
        <v>10289</v>
      </c>
      <c r="J234" s="8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8" t="s">
        <v>10020</v>
      </c>
      <c r="E235" s="8"/>
      <c r="F235" s="8"/>
      <c r="H235" s="8"/>
      <c r="I235" s="8" t="s">
        <v>10292</v>
      </c>
      <c r="J235" s="8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8" t="s">
        <v>10020</v>
      </c>
      <c r="E236" s="8"/>
      <c r="F236" s="8"/>
      <c r="H236" s="8"/>
      <c r="I236" s="8" t="s">
        <v>10295</v>
      </c>
      <c r="J236" s="8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8" t="s">
        <v>4</v>
      </c>
      <c r="E237" s="8" t="s">
        <v>8</v>
      </c>
      <c r="F237" s="8"/>
      <c r="H237" s="8"/>
      <c r="I237" s="8" t="s">
        <v>10298</v>
      </c>
      <c r="J237" s="8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8" t="s">
        <v>12</v>
      </c>
      <c r="E238" s="8"/>
      <c r="F238" s="8"/>
      <c r="H238" s="8"/>
      <c r="I238" s="8" t="s">
        <v>10547</v>
      </c>
      <c r="J238" s="8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8" t="s">
        <v>4</v>
      </c>
      <c r="E239" s="8" t="s">
        <v>8</v>
      </c>
      <c r="F239" s="8"/>
      <c r="H239" s="8"/>
      <c r="I239" s="8" t="s">
        <v>10550</v>
      </c>
      <c r="J239" s="8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8" t="s">
        <v>12</v>
      </c>
      <c r="E240" s="8"/>
      <c r="F240" s="8"/>
      <c r="H240" s="8"/>
      <c r="I240" s="8" t="s">
        <v>10820</v>
      </c>
      <c r="J240" s="8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8" t="s">
        <v>12</v>
      </c>
      <c r="E241" s="8"/>
      <c r="F241" s="8"/>
      <c r="H241" s="8"/>
      <c r="I241" s="8" t="s">
        <v>10823</v>
      </c>
      <c r="J241" s="8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8" t="s">
        <v>4</v>
      </c>
      <c r="E242" s="8" t="s">
        <v>8</v>
      </c>
      <c r="F242" s="8"/>
      <c r="H242" s="8"/>
      <c r="I242" s="8" t="s">
        <v>10826</v>
      </c>
      <c r="J242" s="8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8" t="s">
        <v>4</v>
      </c>
      <c r="E243" s="8" t="s">
        <v>8</v>
      </c>
      <c r="F243" s="8"/>
      <c r="H243" s="8"/>
      <c r="I243" s="8" t="s">
        <v>10829</v>
      </c>
      <c r="J243" s="8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8" t="s">
        <v>7</v>
      </c>
      <c r="E244" s="8"/>
      <c r="F244" s="8"/>
      <c r="H244" s="8"/>
      <c r="I244" s="8" t="s">
        <v>10832</v>
      </c>
      <c r="J244" s="8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8" t="s">
        <v>4</v>
      </c>
      <c r="E245" s="8" t="s">
        <v>8</v>
      </c>
      <c r="F245" s="8"/>
      <c r="H245" s="8"/>
      <c r="I245" s="8" t="s">
        <v>10835</v>
      </c>
      <c r="J245" s="8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8" t="s">
        <v>4</v>
      </c>
      <c r="E246" s="8" t="s">
        <v>8</v>
      </c>
      <c r="F246" s="8"/>
      <c r="H246" s="8"/>
      <c r="I246" s="8" t="s">
        <v>13551</v>
      </c>
      <c r="J246" s="8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8" t="s">
        <v>13847</v>
      </c>
      <c r="E247" s="8" t="s">
        <v>468</v>
      </c>
      <c r="F247" s="8"/>
      <c r="H247" s="8"/>
      <c r="I247" s="8" t="s">
        <v>13554</v>
      </c>
      <c r="J247" s="8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8" t="s">
        <v>13847</v>
      </c>
      <c r="E248" s="8" t="s">
        <v>468</v>
      </c>
      <c r="F248" s="8"/>
      <c r="H248" s="8"/>
      <c r="I248" s="8" t="s">
        <v>13557</v>
      </c>
      <c r="J248" s="8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8" t="s">
        <v>4</v>
      </c>
      <c r="E249" s="8" t="s">
        <v>8</v>
      </c>
      <c r="F249" s="8"/>
      <c r="H249" s="8"/>
      <c r="I249" s="8" t="s">
        <v>13560</v>
      </c>
      <c r="J249" s="8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8" t="s">
        <v>4</v>
      </c>
      <c r="E250" s="8" t="s">
        <v>8</v>
      </c>
      <c r="F250" s="8"/>
      <c r="H250" s="8"/>
      <c r="I250" s="8" t="s">
        <v>13563</v>
      </c>
      <c r="J250" s="8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8" t="s">
        <v>13847</v>
      </c>
      <c r="E251" s="8" t="s">
        <v>468</v>
      </c>
      <c r="F251" s="8"/>
      <c r="H251" s="8"/>
      <c r="I251" s="8" t="s">
        <v>13566</v>
      </c>
      <c r="J251" s="8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8" t="s">
        <v>4</v>
      </c>
      <c r="E252" s="8" t="s">
        <v>8</v>
      </c>
      <c r="F252" s="8"/>
      <c r="H252" s="8"/>
      <c r="I252" s="8" t="s">
        <v>13569</v>
      </c>
      <c r="J252" s="8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8" t="s">
        <v>12</v>
      </c>
      <c r="E253" s="8" t="s">
        <v>8</v>
      </c>
      <c r="F253" s="8"/>
      <c r="H253" s="8"/>
      <c r="I253" s="8" t="s">
        <v>13966</v>
      </c>
      <c r="J253" s="8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8" t="s">
        <v>7</v>
      </c>
      <c r="E254" s="8" t="s">
        <v>8</v>
      </c>
      <c r="F254" s="8"/>
      <c r="H254" s="8"/>
      <c r="I254" s="8" t="s">
        <v>13969</v>
      </c>
      <c r="J254" s="8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8" t="s">
        <v>4</v>
      </c>
      <c r="E255" s="8" t="s">
        <v>8</v>
      </c>
      <c r="F255" s="8"/>
      <c r="H255" s="8"/>
      <c r="I255" s="8" t="s">
        <v>13972</v>
      </c>
      <c r="J255" s="8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8" t="s">
        <v>4</v>
      </c>
      <c r="E256" s="8" t="s">
        <v>8</v>
      </c>
      <c r="F256" s="8"/>
      <c r="H256" s="8"/>
      <c r="I256" s="8" t="s">
        <v>13975</v>
      </c>
      <c r="J256" s="8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8" t="s">
        <v>4</v>
      </c>
      <c r="E257" s="8" t="s">
        <v>8</v>
      </c>
      <c r="F257" s="8"/>
      <c r="H257" s="8"/>
      <c r="I257" s="8" t="s">
        <v>13978</v>
      </c>
      <c r="J257" s="8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8" t="s">
        <v>4</v>
      </c>
      <c r="E258" s="8" t="s">
        <v>8</v>
      </c>
      <c r="F258" s="8"/>
      <c r="H258" s="8"/>
      <c r="I258" s="8" t="s">
        <v>13981</v>
      </c>
      <c r="J258" s="8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8" t="s">
        <v>12</v>
      </c>
      <c r="E259" s="8" t="s">
        <v>8</v>
      </c>
      <c r="F259" s="8"/>
      <c r="H259" s="8"/>
      <c r="I259" s="8" t="s">
        <v>13984</v>
      </c>
      <c r="J259" s="8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8" t="s">
        <v>4</v>
      </c>
      <c r="E260" s="8" t="s">
        <v>8</v>
      </c>
      <c r="F260" s="8"/>
      <c r="H260" s="8"/>
      <c r="I260" s="8" t="s">
        <v>13987</v>
      </c>
      <c r="J260" s="8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8" t="s">
        <v>4</v>
      </c>
      <c r="E261" s="8" t="s">
        <v>8</v>
      </c>
      <c r="F261" s="8"/>
      <c r="H261" s="8"/>
      <c r="I261" s="8" t="s">
        <v>14415</v>
      </c>
      <c r="J261" s="8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8" t="s">
        <v>4</v>
      </c>
      <c r="E262" s="8" t="s">
        <v>8</v>
      </c>
      <c r="F262" s="8"/>
      <c r="H262" s="8" t="s">
        <v>2352</v>
      </c>
      <c r="I262" s="8" t="s">
        <v>14418</v>
      </c>
      <c r="J262" s="8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8" t="s">
        <v>7</v>
      </c>
      <c r="E263" s="8"/>
      <c r="F263" s="8"/>
      <c r="H263" s="8"/>
      <c r="I263" s="8" t="s">
        <v>14421</v>
      </c>
      <c r="J263" s="8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8" t="s">
        <v>4</v>
      </c>
      <c r="E264" s="8" t="s">
        <v>8</v>
      </c>
      <c r="F264" s="8"/>
      <c r="H264" s="8"/>
      <c r="I264" s="8" t="s">
        <v>14424</v>
      </c>
      <c r="J264" s="8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8" t="s">
        <v>4</v>
      </c>
      <c r="E265" s="8" t="s">
        <v>8</v>
      </c>
      <c r="F265" s="8"/>
      <c r="H265" s="8"/>
      <c r="I265" s="8" t="s">
        <v>14427</v>
      </c>
      <c r="J265" s="8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8" t="s">
        <v>4</v>
      </c>
      <c r="E266" s="8" t="s">
        <v>8</v>
      </c>
      <c r="F266" s="8"/>
      <c r="H266" s="8"/>
      <c r="I266" s="8" t="s">
        <v>14430</v>
      </c>
      <c r="J266" s="8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8" t="s">
        <v>12</v>
      </c>
      <c r="E267" s="8"/>
      <c r="F267" s="8"/>
      <c r="H267" s="8"/>
      <c r="I267" s="8" t="s">
        <v>14433</v>
      </c>
      <c r="J267" s="8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8" t="s">
        <v>12</v>
      </c>
      <c r="E268" s="8"/>
      <c r="F268" s="8"/>
      <c r="H268" s="8"/>
      <c r="I268" s="8" t="s">
        <v>14436</v>
      </c>
      <c r="J268" s="8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8" t="s">
        <v>12</v>
      </c>
      <c r="E269" s="8"/>
      <c r="F269" s="8"/>
      <c r="H269" s="8"/>
      <c r="I269" s="8" t="s">
        <v>14439</v>
      </c>
      <c r="J269" s="8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8" t="s">
        <v>4</v>
      </c>
      <c r="E270" s="8" t="s">
        <v>8</v>
      </c>
      <c r="F270" s="8"/>
      <c r="H270" s="8"/>
      <c r="I270" s="8" t="s">
        <v>14442</v>
      </c>
      <c r="J270" s="8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8" t="s">
        <v>7</v>
      </c>
      <c r="E271" s="8"/>
      <c r="F271" s="8"/>
      <c r="H271" s="8"/>
      <c r="I271" s="8" t="s">
        <v>14445</v>
      </c>
      <c r="J271" s="8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8" t="s">
        <v>7</v>
      </c>
      <c r="E272" s="8"/>
      <c r="F272" s="8"/>
      <c r="H272" s="8"/>
      <c r="I272" s="8" t="s">
        <v>14448</v>
      </c>
      <c r="J272" s="8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8" t="s">
        <v>7</v>
      </c>
      <c r="E273" s="8"/>
      <c r="F273" s="8"/>
      <c r="H273" s="8"/>
      <c r="I273" s="8" t="s">
        <v>14451</v>
      </c>
      <c r="J273" s="8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8" t="s">
        <v>4</v>
      </c>
      <c r="E274" s="8" t="s">
        <v>8</v>
      </c>
      <c r="F274" s="8"/>
      <c r="H274" s="8"/>
      <c r="I274" s="8" t="s">
        <v>14454</v>
      </c>
      <c r="J274" s="8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8" t="s">
        <v>4</v>
      </c>
      <c r="E275" s="8" t="s">
        <v>8</v>
      </c>
      <c r="F275" s="8"/>
      <c r="H275" s="8"/>
      <c r="I275" s="8" t="s">
        <v>14457</v>
      </c>
      <c r="J275" s="8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8" t="s">
        <v>7</v>
      </c>
      <c r="E276" s="8"/>
      <c r="F276" s="8"/>
      <c r="H276" s="8"/>
      <c r="I276" s="8" t="s">
        <v>14460</v>
      </c>
      <c r="J276" s="8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8" t="s">
        <v>4</v>
      </c>
      <c r="E277" s="8" t="s">
        <v>8</v>
      </c>
      <c r="F277" s="8"/>
      <c r="H277" s="8"/>
      <c r="I277" s="8" t="s">
        <v>14463</v>
      </c>
      <c r="J277" s="8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8" t="s">
        <v>4</v>
      </c>
      <c r="E278" s="8" t="s">
        <v>8</v>
      </c>
      <c r="F278" s="8"/>
      <c r="H278" s="8"/>
      <c r="I278" s="8" t="s">
        <v>14466</v>
      </c>
      <c r="J278" s="8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8" t="s">
        <v>4</v>
      </c>
      <c r="E279" s="8" t="s">
        <v>8</v>
      </c>
      <c r="F279" s="8"/>
      <c r="H279" s="8"/>
      <c r="I279" s="8" t="s">
        <v>14469</v>
      </c>
      <c r="J279" s="8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8" t="s">
        <v>12</v>
      </c>
      <c r="E280" s="8"/>
      <c r="F280" s="8"/>
      <c r="H280" s="8"/>
      <c r="I280" s="8" t="s">
        <v>14472</v>
      </c>
      <c r="J280" s="8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8" t="s">
        <v>4</v>
      </c>
      <c r="E281" s="8" t="s">
        <v>8</v>
      </c>
      <c r="F281" s="8"/>
      <c r="H281" s="8"/>
      <c r="I281" s="8" t="s">
        <v>14475</v>
      </c>
      <c r="J281" s="8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8" t="s">
        <v>4</v>
      </c>
      <c r="E282" s="8" t="s">
        <v>8</v>
      </c>
      <c r="F282" s="8"/>
      <c r="H282" s="8"/>
      <c r="I282" s="8" t="s">
        <v>14478</v>
      </c>
      <c r="J282" s="8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8" t="s">
        <v>7</v>
      </c>
      <c r="E283" s="8"/>
      <c r="F283" s="8"/>
      <c r="H283" s="8"/>
      <c r="I283" s="8" t="s">
        <v>14481</v>
      </c>
      <c r="J283" s="8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8" t="s">
        <v>4</v>
      </c>
      <c r="E284" s="8" t="s">
        <v>8</v>
      </c>
      <c r="F284" s="8"/>
      <c r="H284" s="8"/>
      <c r="I284" s="8" t="s">
        <v>14484</v>
      </c>
      <c r="J284" s="8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8" t="s">
        <v>12</v>
      </c>
      <c r="E285" s="8"/>
      <c r="F285" s="8"/>
      <c r="H285" s="8"/>
      <c r="I285" s="8" t="s">
        <v>14487</v>
      </c>
      <c r="J285" s="8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8" t="s">
        <v>12</v>
      </c>
      <c r="E286" s="8"/>
      <c r="F286" s="8"/>
      <c r="H286" s="8"/>
      <c r="I286" s="8" t="s">
        <v>14490</v>
      </c>
      <c r="J286" s="8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8" t="s">
        <v>12</v>
      </c>
      <c r="E287" s="8"/>
      <c r="F287" s="8"/>
      <c r="H287" s="8"/>
      <c r="I287" s="8" t="s">
        <v>14493</v>
      </c>
      <c r="J287" s="8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8" t="s">
        <v>12</v>
      </c>
      <c r="E288" s="8"/>
      <c r="F288" s="8"/>
      <c r="H288" s="8"/>
      <c r="I288" s="8" t="s">
        <v>14496</v>
      </c>
      <c r="J288" s="8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8" t="s">
        <v>7</v>
      </c>
      <c r="E289" s="8"/>
      <c r="F289" s="8"/>
      <c r="H289" s="8"/>
      <c r="I289" s="8" t="s">
        <v>14499</v>
      </c>
      <c r="J289" s="8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8" t="s">
        <v>7</v>
      </c>
      <c r="E290" s="8"/>
      <c r="F290" s="8"/>
      <c r="H290" s="8"/>
      <c r="I290" s="8" t="s">
        <v>14502</v>
      </c>
      <c r="J290" s="8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8" t="s">
        <v>4</v>
      </c>
      <c r="E291" s="8" t="s">
        <v>8</v>
      </c>
      <c r="F291" s="8"/>
      <c r="H291" s="8"/>
      <c r="I291" s="8" t="s">
        <v>14505</v>
      </c>
      <c r="J291" s="8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8" t="s">
        <v>7</v>
      </c>
      <c r="E292" s="8"/>
      <c r="F292" s="8"/>
      <c r="H292" s="8"/>
      <c r="I292" s="8" t="s">
        <v>14508</v>
      </c>
      <c r="J292" s="8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8" t="s">
        <v>4</v>
      </c>
      <c r="E293" s="8" t="s">
        <v>8</v>
      </c>
      <c r="F293" s="8"/>
      <c r="H293" s="8"/>
      <c r="I293" s="8" t="s">
        <v>14511</v>
      </c>
      <c r="J293" s="8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8" t="s">
        <v>4</v>
      </c>
      <c r="E294" s="8" t="s">
        <v>8</v>
      </c>
      <c r="F294" s="8"/>
      <c r="H294" s="8"/>
      <c r="I294" s="8" t="s">
        <v>14514</v>
      </c>
      <c r="J294" s="8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8" t="s">
        <v>4</v>
      </c>
      <c r="E295" s="8" t="s">
        <v>8</v>
      </c>
      <c r="F295" s="8"/>
      <c r="H295" s="8"/>
      <c r="I295" s="8" t="s">
        <v>17446</v>
      </c>
      <c r="J295" s="8" t="s">
        <v>2399</v>
      </c>
      <c r="K295" t="s">
        <v>17447</v>
      </c>
      <c r="L295" t="s">
        <v>17448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8" t="s">
        <v>4</v>
      </c>
      <c r="E296" s="8" t="s">
        <v>8</v>
      </c>
      <c r="F296" s="8"/>
      <c r="H296" s="8" t="s">
        <v>2352</v>
      </c>
      <c r="I296" s="8" t="s">
        <v>17449</v>
      </c>
      <c r="J296" s="8" t="s">
        <v>2399</v>
      </c>
      <c r="K296" t="s">
        <v>17450</v>
      </c>
      <c r="L296" t="s">
        <v>17451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8" t="s">
        <v>10020</v>
      </c>
      <c r="E297" s="8"/>
      <c r="F297" s="8"/>
      <c r="H297" s="8"/>
      <c r="I297" s="8" t="s">
        <v>17452</v>
      </c>
      <c r="J297" s="8" t="s">
        <v>2399</v>
      </c>
      <c r="K297" t="s">
        <v>17453</v>
      </c>
      <c r="L297" t="s">
        <v>17454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8" t="s">
        <v>10020</v>
      </c>
      <c r="E298" s="8"/>
      <c r="F298" s="8"/>
      <c r="H298" s="8"/>
      <c r="I298" s="8" t="s">
        <v>17455</v>
      </c>
      <c r="J298" s="8" t="s">
        <v>2399</v>
      </c>
      <c r="K298" t="s">
        <v>17456</v>
      </c>
      <c r="L298" t="s">
        <v>17457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8" t="s">
        <v>10020</v>
      </c>
      <c r="E299" s="8"/>
      <c r="F299" s="8"/>
      <c r="H299" s="8"/>
      <c r="I299" s="8" t="s">
        <v>17458</v>
      </c>
      <c r="J299" s="8" t="s">
        <v>2399</v>
      </c>
      <c r="K299" t="s">
        <v>17459</v>
      </c>
      <c r="L299" t="s">
        <v>17460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8" t="s">
        <v>4</v>
      </c>
      <c r="E300" s="8" t="s">
        <v>8</v>
      </c>
      <c r="F300" s="8"/>
      <c r="H300" s="8"/>
      <c r="I300" s="8" t="s">
        <v>17461</v>
      </c>
      <c r="J300" s="8" t="s">
        <v>2399</v>
      </c>
      <c r="K300" t="s">
        <v>17462</v>
      </c>
      <c r="L300" t="s">
        <v>17463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8" t="s">
        <v>7</v>
      </c>
      <c r="E301" s="8"/>
      <c r="F301" s="8"/>
      <c r="H301" s="8"/>
      <c r="I301" s="8" t="s">
        <v>17464</v>
      </c>
      <c r="J301" s="8" t="s">
        <v>2399</v>
      </c>
      <c r="K301" t="s">
        <v>17465</v>
      </c>
      <c r="L301" t="s">
        <v>17466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8" t="s">
        <v>4</v>
      </c>
      <c r="E302" s="8" t="s">
        <v>8</v>
      </c>
      <c r="F302" s="8"/>
      <c r="H302" s="8"/>
      <c r="I302" s="8" t="s">
        <v>17467</v>
      </c>
      <c r="J302" s="8" t="s">
        <v>2399</v>
      </c>
      <c r="K302" t="s">
        <v>17468</v>
      </c>
      <c r="L302" t="s">
        <v>17469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8" t="s">
        <v>4</v>
      </c>
      <c r="E303" s="8" t="s">
        <v>8</v>
      </c>
      <c r="F303" s="8"/>
      <c r="H303" s="8"/>
      <c r="I303" s="8" t="s">
        <v>17470</v>
      </c>
      <c r="J303" s="8" t="s">
        <v>2399</v>
      </c>
      <c r="K303" t="s">
        <v>17471</v>
      </c>
      <c r="L303" t="s">
        <v>17472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8" t="s">
        <v>1607</v>
      </c>
      <c r="E304" s="8" t="s">
        <v>8</v>
      </c>
      <c r="F304" s="8"/>
      <c r="H304" s="8"/>
      <c r="I304" s="8" t="s">
        <v>17473</v>
      </c>
      <c r="J304" s="8" t="s">
        <v>2399</v>
      </c>
      <c r="K304" t="s">
        <v>17474</v>
      </c>
      <c r="L304" t="s">
        <v>17475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8" t="s">
        <v>4</v>
      </c>
      <c r="E305" s="8" t="s">
        <v>8</v>
      </c>
      <c r="F305" s="8"/>
      <c r="H305" s="8"/>
      <c r="I305" s="8" t="s">
        <v>17703</v>
      </c>
      <c r="J305" s="8" t="s">
        <v>2399</v>
      </c>
      <c r="K305" t="s">
        <v>17704</v>
      </c>
      <c r="L305" t="s">
        <v>17705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8" t="s">
        <v>1539</v>
      </c>
      <c r="E306" s="8"/>
      <c r="F306" s="8"/>
      <c r="H306" s="8"/>
      <c r="I306" s="8" t="s">
        <v>17706</v>
      </c>
      <c r="J306" s="8" t="s">
        <v>2399</v>
      </c>
      <c r="K306" t="s">
        <v>17707</v>
      </c>
      <c r="L306" t="s">
        <v>17708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8" t="s">
        <v>4</v>
      </c>
      <c r="E307" s="8" t="s">
        <v>8</v>
      </c>
      <c r="F307" s="8"/>
      <c r="H307" s="8"/>
      <c r="I307" s="8" t="s">
        <v>17709</v>
      </c>
      <c r="J307" s="8" t="s">
        <v>2399</v>
      </c>
      <c r="K307" t="s">
        <v>17710</v>
      </c>
      <c r="L307" t="s">
        <v>17711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8" t="s">
        <v>4</v>
      </c>
      <c r="E308" s="8" t="s">
        <v>17911</v>
      </c>
      <c r="F308" s="8"/>
      <c r="H308" s="8"/>
      <c r="I308" s="8" t="s">
        <v>17712</v>
      </c>
      <c r="J308" s="8" t="s">
        <v>2399</v>
      </c>
      <c r="K308" t="s">
        <v>17713</v>
      </c>
      <c r="L308" t="s">
        <v>17714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8" t="s">
        <v>4</v>
      </c>
      <c r="E309" s="8" t="s">
        <v>17911</v>
      </c>
      <c r="F309" s="8"/>
      <c r="H309" s="8"/>
      <c r="I309" s="8" t="s">
        <v>17715</v>
      </c>
      <c r="J309" s="8" t="s">
        <v>2399</v>
      </c>
      <c r="K309" t="s">
        <v>17716</v>
      </c>
      <c r="L309" t="s">
        <v>17717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8" t="s">
        <v>4</v>
      </c>
      <c r="E310" s="8" t="s">
        <v>17911</v>
      </c>
      <c r="F310" s="8"/>
      <c r="H310" s="8"/>
      <c r="I310" s="8" t="s">
        <v>17718</v>
      </c>
      <c r="J310" s="8" t="s">
        <v>2399</v>
      </c>
      <c r="K310" t="s">
        <v>17719</v>
      </c>
      <c r="L310" t="s">
        <v>17720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8" t="s">
        <v>4</v>
      </c>
      <c r="E311" s="8" t="s">
        <v>17911</v>
      </c>
      <c r="F311" s="8"/>
      <c r="H311" s="8"/>
      <c r="I311" s="8" t="s">
        <v>17721</v>
      </c>
      <c r="J311" s="8" t="s">
        <v>2399</v>
      </c>
      <c r="K311" t="s">
        <v>17722</v>
      </c>
      <c r="L311" t="s">
        <v>17723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8" t="s">
        <v>4</v>
      </c>
      <c r="E312" s="8" t="s">
        <v>17911</v>
      </c>
      <c r="F312" s="8"/>
      <c r="H312" s="8"/>
      <c r="I312" s="8" t="s">
        <v>17724</v>
      </c>
      <c r="J312" s="8" t="s">
        <v>2399</v>
      </c>
      <c r="K312" t="s">
        <v>17725</v>
      </c>
      <c r="L312" t="s">
        <v>17726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8" t="s">
        <v>4</v>
      </c>
      <c r="E313" s="8" t="s">
        <v>17911</v>
      </c>
      <c r="F313" s="8"/>
      <c r="H313" s="8"/>
      <c r="I313" s="8" t="s">
        <v>18238</v>
      </c>
      <c r="J313" s="8" t="s">
        <v>2399</v>
      </c>
      <c r="K313" t="s">
        <v>18239</v>
      </c>
      <c r="L313" t="s">
        <v>18240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8" t="s">
        <v>7</v>
      </c>
      <c r="E314" s="8"/>
      <c r="F314" s="8"/>
      <c r="H314" s="8"/>
      <c r="I314" s="8" t="s">
        <v>18241</v>
      </c>
      <c r="J314" s="8" t="s">
        <v>2399</v>
      </c>
      <c r="K314" t="s">
        <v>18242</v>
      </c>
      <c r="L314" t="s">
        <v>18243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8" t="s">
        <v>7</v>
      </c>
      <c r="E315" s="8"/>
      <c r="F315" s="8"/>
      <c r="H315" s="8"/>
      <c r="I315" s="8" t="s">
        <v>18244</v>
      </c>
      <c r="J315" s="8" t="s">
        <v>2399</v>
      </c>
      <c r="K315" t="s">
        <v>18245</v>
      </c>
      <c r="L315" t="s">
        <v>18246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8" t="s">
        <v>7</v>
      </c>
      <c r="E316" s="8"/>
      <c r="F316" s="8"/>
      <c r="H316" s="8"/>
      <c r="I316" s="8" t="s">
        <v>18247</v>
      </c>
      <c r="J316" s="8" t="s">
        <v>2399</v>
      </c>
      <c r="K316" t="s">
        <v>18248</v>
      </c>
      <c r="L316" t="s">
        <v>18249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8" t="s">
        <v>7</v>
      </c>
      <c r="E317" s="8"/>
      <c r="F317" s="8"/>
      <c r="H317" s="8"/>
      <c r="I317" s="8" t="s">
        <v>18250</v>
      </c>
      <c r="J317" s="8" t="s">
        <v>2399</v>
      </c>
      <c r="K317" t="s">
        <v>18251</v>
      </c>
      <c r="L317" t="s">
        <v>18252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8" t="s">
        <v>1539</v>
      </c>
      <c r="E318" s="8" t="s">
        <v>1274</v>
      </c>
      <c r="F318" s="8"/>
      <c r="H318" s="8"/>
      <c r="I318" s="8" t="s">
        <v>18253</v>
      </c>
      <c r="J318" s="8" t="s">
        <v>2399</v>
      </c>
      <c r="K318" t="s">
        <v>18254</v>
      </c>
      <c r="L318" t="s">
        <v>18255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8" t="s">
        <v>1539</v>
      </c>
      <c r="E319" s="8" t="s">
        <v>1274</v>
      </c>
      <c r="F319" s="8"/>
      <c r="H319" s="8"/>
      <c r="I319" s="8" t="s">
        <v>18256</v>
      </c>
      <c r="J319" s="8" t="s">
        <v>2399</v>
      </c>
      <c r="K319" t="s">
        <v>18257</v>
      </c>
      <c r="L319" t="s">
        <v>18258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8" t="s">
        <v>1539</v>
      </c>
      <c r="E320" s="8" t="s">
        <v>1274</v>
      </c>
      <c r="F320" s="8"/>
      <c r="H320" s="8"/>
      <c r="I320" s="8" t="s">
        <v>18259</v>
      </c>
      <c r="J320" s="8" t="s">
        <v>2399</v>
      </c>
      <c r="K320" t="s">
        <v>18260</v>
      </c>
      <c r="L320" t="s">
        <v>18261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s="8" t="s">
        <v>4</v>
      </c>
      <c r="E321" s="8" t="s">
        <v>8</v>
      </c>
      <c r="F321" s="8"/>
      <c r="H321" s="8"/>
      <c r="I321" s="8" t="s">
        <v>18642</v>
      </c>
      <c r="J321" s="8" t="s">
        <v>2399</v>
      </c>
      <c r="K321" t="s">
        <v>18643</v>
      </c>
      <c r="L321" t="s">
        <v>18644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s="8" t="s">
        <v>10020</v>
      </c>
      <c r="E322" s="8"/>
      <c r="F322" s="8"/>
      <c r="H322" s="8"/>
      <c r="I322" s="8" t="s">
        <v>18645</v>
      </c>
      <c r="J322" s="8" t="s">
        <v>2399</v>
      </c>
      <c r="K322" t="s">
        <v>18646</v>
      </c>
      <c r="L322" t="s">
        <v>18647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s="8" t="s">
        <v>10020</v>
      </c>
      <c r="E323" s="8"/>
      <c r="F323" s="8"/>
      <c r="H323" s="8"/>
      <c r="I323" s="8" t="s">
        <v>18648</v>
      </c>
      <c r="J323" s="8" t="s">
        <v>2399</v>
      </c>
      <c r="K323" t="s">
        <v>18649</v>
      </c>
      <c r="L323" t="s">
        <v>18650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s="8" t="s">
        <v>10020</v>
      </c>
      <c r="E324" s="8"/>
      <c r="F324" s="8"/>
      <c r="H324" s="8"/>
      <c r="I324" s="8" t="s">
        <v>18651</v>
      </c>
      <c r="J324" s="8" t="s">
        <v>2399</v>
      </c>
      <c r="K324" t="s">
        <v>18652</v>
      </c>
      <c r="L324" t="s">
        <v>18653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s="8" t="s">
        <v>4</v>
      </c>
      <c r="E325" s="8" t="s">
        <v>8</v>
      </c>
      <c r="F325" s="8"/>
      <c r="H325" s="8"/>
      <c r="I325" s="8" t="s">
        <v>18654</v>
      </c>
      <c r="J325" s="8" t="s">
        <v>2399</v>
      </c>
      <c r="K325" t="s">
        <v>18655</v>
      </c>
      <c r="L325" t="s">
        <v>18656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s="8" t="s">
        <v>4</v>
      </c>
      <c r="E326" s="8" t="s">
        <v>8</v>
      </c>
      <c r="F326" s="8"/>
      <c r="H326" s="8"/>
      <c r="I326" s="8" t="s">
        <v>19225</v>
      </c>
      <c r="J326" s="8" t="s">
        <v>2399</v>
      </c>
      <c r="K326" t="s">
        <v>19226</v>
      </c>
      <c r="L326" t="s">
        <v>19227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s="8" t="s">
        <v>10020</v>
      </c>
      <c r="E327" s="8"/>
      <c r="F327" s="8"/>
      <c r="H327" s="8"/>
      <c r="I327" s="8" t="s">
        <v>19228</v>
      </c>
      <c r="J327" s="8" t="s">
        <v>2399</v>
      </c>
      <c r="K327" t="s">
        <v>19229</v>
      </c>
      <c r="L327" t="s">
        <v>19230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s="8" t="s">
        <v>10020</v>
      </c>
      <c r="E328" s="8"/>
      <c r="F328" s="8"/>
      <c r="H328" s="8"/>
      <c r="I328" s="8" t="s">
        <v>19231</v>
      </c>
      <c r="J328" s="8" t="s">
        <v>2399</v>
      </c>
      <c r="K328" t="s">
        <v>19232</v>
      </c>
      <c r="L328" t="s">
        <v>19233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s="8" t="s">
        <v>10020</v>
      </c>
      <c r="E329" s="8"/>
      <c r="F329" s="8"/>
      <c r="H329" s="8"/>
      <c r="I329" s="8" t="s">
        <v>19234</v>
      </c>
      <c r="J329" s="8" t="s">
        <v>2399</v>
      </c>
      <c r="K329" t="s">
        <v>19235</v>
      </c>
      <c r="L329" t="s">
        <v>19236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s="8" t="s">
        <v>10020</v>
      </c>
      <c r="E330" s="8"/>
      <c r="F330" s="8"/>
      <c r="H330" s="8"/>
      <c r="I330" s="8" t="s">
        <v>19237</v>
      </c>
      <c r="J330" s="8" t="s">
        <v>2399</v>
      </c>
      <c r="K330" t="s">
        <v>19238</v>
      </c>
      <c r="L330" t="s">
        <v>19239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s="8" t="s">
        <v>4</v>
      </c>
      <c r="E331" s="8" t="s">
        <v>8</v>
      </c>
      <c r="F331" s="8"/>
      <c r="H331" s="8"/>
      <c r="I331" s="8" t="s">
        <v>19240</v>
      </c>
      <c r="J331" s="8" t="s">
        <v>2399</v>
      </c>
      <c r="K331" t="s">
        <v>19241</v>
      </c>
      <c r="L331" t="s">
        <v>19242</v>
      </c>
      <c r="M331" s="2" t="str">
        <f>HYPERLINK(склад2въезд13192021222378[[#This Row],[RelativePath]])</f>
        <v>12 Площадка 3 кран\K07156189_20_20260313T194447Z.jpg</v>
      </c>
    </row>
  </sheetData>
  <conditionalFormatting sqref="D332:D342 E332:E345 G2:H331 D2:E331">
    <cfRule type="containsText" dxfId="720" priority="14" operator="containsText" text="Выезд с территории">
      <formula>NOT(ISERROR(SEARCH("Выезд с территории",D2)))</formula>
    </cfRule>
  </conditionalFormatting>
  <conditionalFormatting sqref="F2:F331">
    <cfRule type="notContainsText" dxfId="719" priority="13" operator="notContains" text="порожний">
      <formula>ISERROR(SEARCH("порожний",F2))</formula>
    </cfRule>
  </conditionalFormatting>
  <conditionalFormatting sqref="E2:E345">
    <cfRule type="containsText" dxfId="718" priority="11" operator="containsText" text="Газель базы">
      <formula>NOT(ISERROR(SEARCH("Газель базы",E2)))</formula>
    </cfRule>
    <cfRule type="containsText" dxfId="717" priority="12" operator="containsText" text="Погрузчик базы">
      <formula>NOT(ISERROR(SEARCH("Погрузчик базы",E2)))</formula>
    </cfRule>
  </conditionalFormatting>
  <conditionalFormatting sqref="E2:E345">
    <cfRule type="containsText" dxfId="716" priority="10" operator="containsText" text="Трактор базы">
      <formula>NOT(ISERROR(SEARCH("Трактор базы",E2)))</formula>
    </cfRule>
  </conditionalFormatting>
  <conditionalFormatting sqref="A2:C331">
    <cfRule type="expression" dxfId="715" priority="9">
      <formula>$A2="пн"</formula>
    </cfRule>
  </conditionalFormatting>
  <conditionalFormatting sqref="A2:C333">
    <cfRule type="expression" dxfId="714" priority="3">
      <formula>$A2="вс"</formula>
    </cfRule>
    <cfRule type="expression" dxfId="713" priority="4">
      <formula>$A2="сб"</formula>
    </cfRule>
    <cfRule type="expression" dxfId="712" priority="5">
      <formula>$A2="пт"</formula>
    </cfRule>
    <cfRule type="expression" dxfId="711" priority="6">
      <formula>$A2="чт"</formula>
    </cfRule>
    <cfRule type="expression" dxfId="710" priority="7">
      <formula>$A2="ср"</formula>
    </cfRule>
    <cfRule type="expression" dxfId="709" priority="8">
      <formula>$A2="вт"</formula>
    </cfRule>
  </conditionalFormatting>
  <conditionalFormatting sqref="D2:D342">
    <cfRule type="containsText" dxfId="7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2">
    <cfRule type="containsText" dxfId="7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245"/>
  <sheetViews>
    <sheetView zoomScale="90" zoomScaleNormal="90" workbookViewId="0">
      <pane ySplit="1" topLeftCell="A227" activePane="bottomLeft" state="frozen"/>
      <selection pane="bottomLeft" activeCell="I243" sqref="I243:I24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8" t="s">
        <v>4</v>
      </c>
      <c r="E2" s="8" t="s">
        <v>8</v>
      </c>
      <c r="F2" s="8"/>
      <c r="H2" s="8"/>
      <c r="I2" s="8" t="s">
        <v>1540</v>
      </c>
      <c r="J2" s="8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8" t="s">
        <v>4</v>
      </c>
      <c r="E3" s="8" t="s">
        <v>8</v>
      </c>
      <c r="F3" s="8"/>
      <c r="H3" s="8"/>
      <c r="I3" s="8" t="s">
        <v>1543</v>
      </c>
      <c r="J3" s="8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8" t="s">
        <v>4</v>
      </c>
      <c r="E4" s="8" t="s">
        <v>8</v>
      </c>
      <c r="F4" s="8"/>
      <c r="H4" s="8"/>
      <c r="I4" s="8" t="s">
        <v>1546</v>
      </c>
      <c r="J4" s="8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8" t="s">
        <v>4</v>
      </c>
      <c r="E5" s="8" t="s">
        <v>8</v>
      </c>
      <c r="F5" s="8"/>
      <c r="H5" s="8"/>
      <c r="I5" s="8" t="s">
        <v>1549</v>
      </c>
      <c r="J5" s="8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8" t="s">
        <v>4</v>
      </c>
      <c r="E6" s="8" t="s">
        <v>8</v>
      </c>
      <c r="F6" s="8"/>
      <c r="H6" s="8"/>
      <c r="I6" s="8" t="s">
        <v>1552</v>
      </c>
      <c r="J6" s="8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8" t="s">
        <v>226</v>
      </c>
      <c r="E7" s="8" t="s">
        <v>86</v>
      </c>
      <c r="F7" s="8" t="s">
        <v>1601</v>
      </c>
      <c r="H7" s="8"/>
      <c r="I7" s="8" t="s">
        <v>1555</v>
      </c>
      <c r="J7" s="8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8" t="s">
        <v>1602</v>
      </c>
      <c r="E8" s="8" t="s">
        <v>86</v>
      </c>
      <c r="F8" s="8" t="s">
        <v>1601</v>
      </c>
      <c r="H8" s="8"/>
      <c r="I8" s="8" t="s">
        <v>1558</v>
      </c>
      <c r="J8" s="8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8" t="s">
        <v>1602</v>
      </c>
      <c r="E9" s="8" t="s">
        <v>86</v>
      </c>
      <c r="F9" s="8" t="s">
        <v>1601</v>
      </c>
      <c r="H9" s="8"/>
      <c r="I9" s="8" t="s">
        <v>1561</v>
      </c>
      <c r="J9" s="8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8" t="s">
        <v>4</v>
      </c>
      <c r="E10" s="8" t="s">
        <v>8</v>
      </c>
      <c r="F10" s="8"/>
      <c r="H10" s="8"/>
      <c r="I10" s="8" t="s">
        <v>1564</v>
      </c>
      <c r="J10" s="8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8" t="s">
        <v>4</v>
      </c>
      <c r="E11" s="8" t="s">
        <v>8</v>
      </c>
      <c r="F11" s="8"/>
      <c r="H11" s="8"/>
      <c r="I11" s="8" t="s">
        <v>1567</v>
      </c>
      <c r="J11" s="8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8" t="s">
        <v>4</v>
      </c>
      <c r="E12" s="8" t="s">
        <v>8</v>
      </c>
      <c r="F12" s="8"/>
      <c r="H12" s="8"/>
      <c r="I12" s="8" t="s">
        <v>1570</v>
      </c>
      <c r="J12" s="8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8" t="s">
        <v>4</v>
      </c>
      <c r="E13" s="8" t="s">
        <v>8</v>
      </c>
      <c r="F13" s="8"/>
      <c r="H13" s="8"/>
      <c r="I13" s="8" t="s">
        <v>1573</v>
      </c>
      <c r="J13" s="8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8" t="s">
        <v>4</v>
      </c>
      <c r="E14" s="8" t="s">
        <v>8</v>
      </c>
      <c r="F14" s="8"/>
      <c r="H14" s="8"/>
      <c r="I14" s="8" t="s">
        <v>1576</v>
      </c>
      <c r="J14" s="8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8" t="s">
        <v>4</v>
      </c>
      <c r="E15" s="8" t="s">
        <v>8</v>
      </c>
      <c r="F15" s="8"/>
      <c r="H15" s="8"/>
      <c r="I15" s="8" t="s">
        <v>1579</v>
      </c>
      <c r="J15" s="8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8" t="s">
        <v>4</v>
      </c>
      <c r="E16" s="8" t="s">
        <v>8</v>
      </c>
      <c r="F16" s="8"/>
      <c r="H16" s="8"/>
      <c r="I16" s="8" t="s">
        <v>1582</v>
      </c>
      <c r="J16" s="8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8" t="s">
        <v>4</v>
      </c>
      <c r="E17" s="8" t="s">
        <v>8</v>
      </c>
      <c r="F17" s="8"/>
      <c r="H17" s="8"/>
      <c r="I17" s="8" t="s">
        <v>1585</v>
      </c>
      <c r="J17" s="8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8" t="s">
        <v>4</v>
      </c>
      <c r="E18" s="8" t="s">
        <v>8</v>
      </c>
      <c r="F18" s="8"/>
      <c r="H18" s="8"/>
      <c r="I18" s="8" t="s">
        <v>1588</v>
      </c>
      <c r="J18" s="8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8" t="s">
        <v>4</v>
      </c>
      <c r="E19" s="8" t="s">
        <v>8</v>
      </c>
      <c r="F19" s="8"/>
      <c r="H19" s="8"/>
      <c r="I19" s="8" t="s">
        <v>1591</v>
      </c>
      <c r="J19" s="8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8" t="s">
        <v>4</v>
      </c>
      <c r="E20" s="8" t="s">
        <v>8</v>
      </c>
      <c r="F20" s="8"/>
      <c r="H20" s="8"/>
      <c r="I20" s="8" t="s">
        <v>1594</v>
      </c>
      <c r="J20" s="8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8" t="s">
        <v>4</v>
      </c>
      <c r="E21" s="8" t="s">
        <v>8</v>
      </c>
      <c r="F21" s="8"/>
      <c r="H21" s="8"/>
      <c r="I21" s="8" t="s">
        <v>1597</v>
      </c>
      <c r="J21" s="8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8" t="s">
        <v>4</v>
      </c>
      <c r="E22" s="8" t="s">
        <v>8</v>
      </c>
      <c r="F22" s="8"/>
      <c r="H22" s="8"/>
      <c r="I22" s="8" t="s">
        <v>2389</v>
      </c>
      <c r="J22" s="8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8" t="s">
        <v>470</v>
      </c>
      <c r="E23" s="8" t="s">
        <v>468</v>
      </c>
      <c r="F23" s="8" t="s">
        <v>58</v>
      </c>
      <c r="H23" s="8" t="s">
        <v>2392</v>
      </c>
      <c r="I23" s="8" t="s">
        <v>2312</v>
      </c>
      <c r="J23" s="8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8" t="s">
        <v>470</v>
      </c>
      <c r="E24" s="8" t="s">
        <v>468</v>
      </c>
      <c r="F24" s="8" t="s">
        <v>58</v>
      </c>
      <c r="H24" s="8" t="s">
        <v>2392</v>
      </c>
      <c r="I24" s="8" t="s">
        <v>2315</v>
      </c>
      <c r="J24" s="8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8" t="s">
        <v>470</v>
      </c>
      <c r="E25" s="8" t="s">
        <v>468</v>
      </c>
      <c r="F25" s="8" t="s">
        <v>58</v>
      </c>
      <c r="H25" s="8" t="s">
        <v>2392</v>
      </c>
      <c r="I25" s="8" t="s">
        <v>2318</v>
      </c>
      <c r="J25" s="8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8" t="s">
        <v>1607</v>
      </c>
      <c r="E26" s="8"/>
      <c r="F26" s="8"/>
      <c r="H26" s="8"/>
      <c r="I26" s="8" t="s">
        <v>2321</v>
      </c>
      <c r="J26" s="8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8" t="s">
        <v>1607</v>
      </c>
      <c r="E27" s="8"/>
      <c r="F27" s="8"/>
      <c r="H27" s="8"/>
      <c r="I27" s="8" t="s">
        <v>2324</v>
      </c>
      <c r="J27" s="8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8" t="s">
        <v>1617</v>
      </c>
      <c r="E28" s="8"/>
      <c r="F28" s="8"/>
      <c r="H28" s="8"/>
      <c r="I28" s="8" t="s">
        <v>2327</v>
      </c>
      <c r="J28" s="8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8" t="s">
        <v>1607</v>
      </c>
      <c r="E29" s="8"/>
      <c r="F29" s="8"/>
      <c r="H29" s="8"/>
      <c r="I29" s="8" t="s">
        <v>2330</v>
      </c>
      <c r="J29" s="8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8" t="s">
        <v>1607</v>
      </c>
      <c r="E30" s="8"/>
      <c r="F30" s="8"/>
      <c r="H30" s="8"/>
      <c r="I30" s="8" t="s">
        <v>2333</v>
      </c>
      <c r="J30" s="8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8" t="s">
        <v>1617</v>
      </c>
      <c r="E31" s="8"/>
      <c r="F31" s="8"/>
      <c r="H31" s="8"/>
      <c r="I31" s="8" t="s">
        <v>3331</v>
      </c>
      <c r="J31" s="8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8" t="s">
        <v>4</v>
      </c>
      <c r="E32" s="8" t="s">
        <v>3414</v>
      </c>
      <c r="F32" s="8"/>
      <c r="H32" s="8"/>
      <c r="I32" s="8" t="s">
        <v>3334</v>
      </c>
      <c r="J32" s="8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8" t="s">
        <v>4</v>
      </c>
      <c r="E33" s="8" t="s">
        <v>3415</v>
      </c>
      <c r="F33" s="8"/>
      <c r="H33" s="8"/>
      <c r="I33" s="8" t="s">
        <v>3337</v>
      </c>
      <c r="J33" s="8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8" t="s">
        <v>4</v>
      </c>
      <c r="E34" s="8" t="s">
        <v>3416</v>
      </c>
      <c r="F34" s="8"/>
      <c r="H34" s="8"/>
      <c r="I34" s="8" t="s">
        <v>3340</v>
      </c>
      <c r="J34" s="8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8" t="s">
        <v>4</v>
      </c>
      <c r="E35" s="8" t="s">
        <v>8</v>
      </c>
      <c r="F35" s="8"/>
      <c r="H35" s="8"/>
      <c r="I35" s="8" t="s">
        <v>3343</v>
      </c>
      <c r="J35" s="8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8" t="s">
        <v>4</v>
      </c>
      <c r="E36" s="8" t="s">
        <v>8</v>
      </c>
      <c r="F36" s="8"/>
      <c r="H36" s="8"/>
      <c r="I36" s="8" t="s">
        <v>3346</v>
      </c>
      <c r="J36" s="8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8" t="s">
        <v>3377</v>
      </c>
      <c r="E37" s="8"/>
      <c r="F37" s="8"/>
      <c r="H37" s="8"/>
      <c r="I37" s="8" t="s">
        <v>3352</v>
      </c>
      <c r="J37" s="8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8" t="s">
        <v>1607</v>
      </c>
      <c r="E38" s="8"/>
      <c r="F38" s="8"/>
      <c r="H38" s="8"/>
      <c r="I38" s="8" t="s">
        <v>3349</v>
      </c>
      <c r="J38" s="8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8" t="s">
        <v>3455</v>
      </c>
      <c r="E39" s="8"/>
      <c r="F39" s="8"/>
      <c r="H39" s="8"/>
      <c r="I39" s="8" t="s">
        <v>3451</v>
      </c>
      <c r="J39" s="8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8" t="s">
        <v>1617</v>
      </c>
      <c r="E40" s="8"/>
      <c r="F40" s="8"/>
      <c r="H40" s="8"/>
      <c r="I40" s="8" t="s">
        <v>3975</v>
      </c>
      <c r="J40" s="8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8" t="s">
        <v>1617</v>
      </c>
      <c r="E41" s="8"/>
      <c r="F41" s="8"/>
      <c r="H41" s="8"/>
      <c r="I41" s="8" t="s">
        <v>3978</v>
      </c>
      <c r="J41" s="8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8" t="s">
        <v>1617</v>
      </c>
      <c r="E42" s="8"/>
      <c r="F42" s="8"/>
      <c r="H42" s="8"/>
      <c r="I42" s="8" t="s">
        <v>3981</v>
      </c>
      <c r="J42" s="8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8" t="s">
        <v>1617</v>
      </c>
      <c r="E43" s="8"/>
      <c r="F43" s="8"/>
      <c r="H43" s="8"/>
      <c r="I43" s="8" t="s">
        <v>3984</v>
      </c>
      <c r="J43" s="8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8" t="s">
        <v>1617</v>
      </c>
      <c r="E44" s="8"/>
      <c r="F44" s="8"/>
      <c r="H44" s="8"/>
      <c r="I44" s="8" t="s">
        <v>3987</v>
      </c>
      <c r="J44" s="8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8" t="s">
        <v>1617</v>
      </c>
      <c r="E45" s="8"/>
      <c r="F45" s="8"/>
      <c r="H45" s="8"/>
      <c r="I45" s="8" t="s">
        <v>3990</v>
      </c>
      <c r="J45" s="8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8" t="s">
        <v>4</v>
      </c>
      <c r="E46" s="8" t="s">
        <v>4239</v>
      </c>
      <c r="F46" s="8"/>
      <c r="H46" s="8"/>
      <c r="I46" s="8" t="s">
        <v>4202</v>
      </c>
      <c r="J46" s="8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8" t="s">
        <v>4</v>
      </c>
      <c r="E47" s="8" t="s">
        <v>4240</v>
      </c>
      <c r="F47" s="8"/>
      <c r="H47" s="8"/>
      <c r="I47" s="8" t="s">
        <v>4205</v>
      </c>
      <c r="J47" s="8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8" t="s">
        <v>137</v>
      </c>
      <c r="E48" s="8" t="s">
        <v>4396</v>
      </c>
      <c r="F48" s="8" t="s">
        <v>3405</v>
      </c>
      <c r="H48" s="8"/>
      <c r="I48" s="8" t="s">
        <v>4384</v>
      </c>
      <c r="J48" s="8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8" t="s">
        <v>4</v>
      </c>
      <c r="E49" s="8" t="s">
        <v>8</v>
      </c>
      <c r="F49" s="8"/>
      <c r="H49" s="8"/>
      <c r="I49" s="8" t="s">
        <v>4387</v>
      </c>
      <c r="J49" s="8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8" t="s">
        <v>4941</v>
      </c>
      <c r="E50" s="8" t="s">
        <v>4396</v>
      </c>
      <c r="F50" s="8" t="s">
        <v>4932</v>
      </c>
      <c r="H50" s="8"/>
      <c r="I50" s="8" t="s">
        <v>4530</v>
      </c>
      <c r="J50" s="8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8" t="s">
        <v>4941</v>
      </c>
      <c r="E51" s="8" t="s">
        <v>4396</v>
      </c>
      <c r="F51" s="8" t="s">
        <v>4932</v>
      </c>
      <c r="H51" s="8" t="s">
        <v>2352</v>
      </c>
      <c r="I51" s="8" t="s">
        <v>4533</v>
      </c>
      <c r="J51" s="8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8" t="s">
        <v>4</v>
      </c>
      <c r="E52" s="8" t="s">
        <v>8</v>
      </c>
      <c r="F52" s="8"/>
      <c r="H52" s="8"/>
      <c r="I52" s="8" t="s">
        <v>4536</v>
      </c>
      <c r="J52" s="8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8" t="s">
        <v>4</v>
      </c>
      <c r="E53" s="8" t="s">
        <v>8</v>
      </c>
      <c r="F53" s="8"/>
      <c r="H53" s="8"/>
      <c r="I53" s="8" t="s">
        <v>4539</v>
      </c>
      <c r="J53" s="8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8" t="s">
        <v>4</v>
      </c>
      <c r="E54" s="8" t="s">
        <v>8</v>
      </c>
      <c r="F54" s="8"/>
      <c r="H54" s="8"/>
      <c r="I54" s="8" t="s">
        <v>4542</v>
      </c>
      <c r="J54" s="8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8" t="s">
        <v>1617</v>
      </c>
      <c r="E55" s="8"/>
      <c r="F55" s="8"/>
      <c r="H55" s="8"/>
      <c r="I55" s="8" t="s">
        <v>4545</v>
      </c>
      <c r="J55" s="8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8" t="s">
        <v>4941</v>
      </c>
      <c r="E56" s="8" t="s">
        <v>4396</v>
      </c>
      <c r="F56" s="8" t="s">
        <v>4922</v>
      </c>
      <c r="H56" s="8"/>
      <c r="I56" s="8" t="s">
        <v>4770</v>
      </c>
      <c r="J56" s="8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8" t="s">
        <v>4</v>
      </c>
      <c r="E57" s="8" t="s">
        <v>8</v>
      </c>
      <c r="F57" s="8"/>
      <c r="H57" s="8"/>
      <c r="I57" s="8" t="s">
        <v>4773</v>
      </c>
      <c r="J57" s="8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8" t="s">
        <v>4</v>
      </c>
      <c r="E58" s="8" t="s">
        <v>8</v>
      </c>
      <c r="F58" s="8"/>
      <c r="H58" s="8"/>
      <c r="I58" s="8" t="s">
        <v>4776</v>
      </c>
      <c r="J58" s="8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8" t="s">
        <v>4</v>
      </c>
      <c r="E59" s="8" t="s">
        <v>4917</v>
      </c>
      <c r="F59" s="8"/>
      <c r="H59" s="8"/>
      <c r="I59" s="8" t="s">
        <v>4779</v>
      </c>
      <c r="J59" s="8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8" t="s">
        <v>4</v>
      </c>
      <c r="E60" s="8" t="s">
        <v>8</v>
      </c>
      <c r="F60" s="8"/>
      <c r="H60" s="8"/>
      <c r="I60" s="8" t="s">
        <v>4782</v>
      </c>
      <c r="J60" s="8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8" t="s">
        <v>1607</v>
      </c>
      <c r="E61" s="8" t="s">
        <v>8</v>
      </c>
      <c r="F61" s="8"/>
      <c r="H61" s="8"/>
      <c r="I61" s="8" t="s">
        <v>4988</v>
      </c>
      <c r="J61" s="8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8" t="s">
        <v>226</v>
      </c>
      <c r="E62" s="8" t="s">
        <v>4396</v>
      </c>
      <c r="F62" s="8" t="s">
        <v>465</v>
      </c>
      <c r="H62" s="8"/>
      <c r="I62" s="8" t="s">
        <v>5200</v>
      </c>
      <c r="J62" s="8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8" t="s">
        <v>226</v>
      </c>
      <c r="E63" s="8" t="s">
        <v>4396</v>
      </c>
      <c r="F63" s="8" t="s">
        <v>465</v>
      </c>
      <c r="H63" s="8"/>
      <c r="I63" s="8" t="s">
        <v>5203</v>
      </c>
      <c r="J63" s="8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8" t="s">
        <v>226</v>
      </c>
      <c r="E64" s="8" t="s">
        <v>4396</v>
      </c>
      <c r="F64" s="8" t="s">
        <v>1288</v>
      </c>
      <c r="H64" s="8"/>
      <c r="I64" s="8" t="s">
        <v>5206</v>
      </c>
      <c r="J64" s="8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8" t="s">
        <v>470</v>
      </c>
      <c r="E65" s="8" t="s">
        <v>468</v>
      </c>
      <c r="F65" s="8" t="s">
        <v>58</v>
      </c>
      <c r="H65" s="8"/>
      <c r="I65" s="8" t="s">
        <v>5298</v>
      </c>
      <c r="J65" s="8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8" t="s">
        <v>470</v>
      </c>
      <c r="E66" s="8" t="s">
        <v>468</v>
      </c>
      <c r="F66" s="8" t="s">
        <v>58</v>
      </c>
      <c r="H66" s="8"/>
      <c r="I66" s="8" t="s">
        <v>5301</v>
      </c>
      <c r="J66" s="8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8" t="s">
        <v>470</v>
      </c>
      <c r="E67" s="8" t="s">
        <v>468</v>
      </c>
      <c r="F67" s="8" t="s">
        <v>58</v>
      </c>
      <c r="H67" s="8"/>
      <c r="I67" s="8" t="s">
        <v>5304</v>
      </c>
      <c r="J67" s="8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8" t="s">
        <v>4</v>
      </c>
      <c r="E68" s="8" t="s">
        <v>8</v>
      </c>
      <c r="F68" s="8"/>
      <c r="H68" s="8"/>
      <c r="I68" s="8" t="s">
        <v>5307</v>
      </c>
      <c r="J68" s="8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8" t="s">
        <v>226</v>
      </c>
      <c r="E69" s="8" t="s">
        <v>4396</v>
      </c>
      <c r="F69" s="8" t="s">
        <v>465</v>
      </c>
      <c r="H69" s="8"/>
      <c r="I69" s="8" t="s">
        <v>5433</v>
      </c>
      <c r="J69" s="8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8" t="s">
        <v>226</v>
      </c>
      <c r="E70" s="8" t="s">
        <v>4396</v>
      </c>
      <c r="F70" s="8" t="s">
        <v>465</v>
      </c>
      <c r="H70" s="8" t="s">
        <v>2352</v>
      </c>
      <c r="I70" s="8" t="s">
        <v>5436</v>
      </c>
      <c r="J70" s="8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8" t="s">
        <v>136</v>
      </c>
      <c r="E71" s="8" t="s">
        <v>4396</v>
      </c>
      <c r="F71" s="8" t="s">
        <v>465</v>
      </c>
      <c r="H71" s="8" t="s">
        <v>4096</v>
      </c>
      <c r="I71" s="8" t="s">
        <v>5439</v>
      </c>
      <c r="J71" s="8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8" t="s">
        <v>226</v>
      </c>
      <c r="E72" s="8" t="s">
        <v>4396</v>
      </c>
      <c r="F72" s="8" t="s">
        <v>465</v>
      </c>
      <c r="H72" s="8"/>
      <c r="I72" s="8" t="s">
        <v>5442</v>
      </c>
      <c r="J72" s="8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8" t="s">
        <v>136</v>
      </c>
      <c r="E73" s="8" t="s">
        <v>4396</v>
      </c>
      <c r="F73" s="8" t="s">
        <v>465</v>
      </c>
      <c r="H73" s="8" t="s">
        <v>4096</v>
      </c>
      <c r="I73" s="8" t="s">
        <v>5445</v>
      </c>
      <c r="J73" s="8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8" t="s">
        <v>3388</v>
      </c>
      <c r="E74" s="8" t="s">
        <v>4396</v>
      </c>
      <c r="F74" s="8" t="s">
        <v>5476</v>
      </c>
      <c r="H74" s="8" t="s">
        <v>5216</v>
      </c>
      <c r="I74" s="8" t="s">
        <v>5448</v>
      </c>
      <c r="J74" s="8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8" t="s">
        <v>3388</v>
      </c>
      <c r="E75" s="8" t="s">
        <v>4396</v>
      </c>
      <c r="F75" s="8" t="s">
        <v>5476</v>
      </c>
      <c r="H75" s="8" t="s">
        <v>2352</v>
      </c>
      <c r="I75" s="8" t="s">
        <v>5451</v>
      </c>
      <c r="J75" s="8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8" t="s">
        <v>136</v>
      </c>
      <c r="E76" s="8" t="s">
        <v>4396</v>
      </c>
      <c r="F76" s="8" t="s">
        <v>5476</v>
      </c>
      <c r="H76" s="8" t="s">
        <v>4096</v>
      </c>
      <c r="I76" s="8" t="s">
        <v>5454</v>
      </c>
      <c r="J76" s="8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8" t="s">
        <v>4</v>
      </c>
      <c r="E77" s="8" t="s">
        <v>5477</v>
      </c>
      <c r="F77" s="8"/>
      <c r="H77" s="8" t="s">
        <v>5216</v>
      </c>
      <c r="I77" s="8" t="s">
        <v>5457</v>
      </c>
      <c r="J77" s="8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8" t="s">
        <v>4</v>
      </c>
      <c r="E78" s="8" t="s">
        <v>2348</v>
      </c>
      <c r="F78" s="8"/>
      <c r="H78" s="8"/>
      <c r="I78" s="8" t="s">
        <v>5460</v>
      </c>
      <c r="J78" s="8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8" t="s">
        <v>4</v>
      </c>
      <c r="E79" s="8" t="s">
        <v>5478</v>
      </c>
      <c r="F79" s="8"/>
      <c r="H79" s="8"/>
      <c r="I79" s="8" t="s">
        <v>5463</v>
      </c>
      <c r="J79" s="8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8" t="s">
        <v>4</v>
      </c>
      <c r="E80" s="8" t="s">
        <v>8</v>
      </c>
      <c r="F80" s="8"/>
      <c r="H80" s="8"/>
      <c r="I80" s="8" t="s">
        <v>5466</v>
      </c>
      <c r="J80" s="8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8" t="s">
        <v>1607</v>
      </c>
      <c r="E81" s="8" t="s">
        <v>8</v>
      </c>
      <c r="F81" s="8"/>
      <c r="H81" s="8"/>
      <c r="I81" s="8" t="s">
        <v>5691</v>
      </c>
      <c r="J81" s="8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8" t="s">
        <v>1607</v>
      </c>
      <c r="E82" s="8" t="s">
        <v>8</v>
      </c>
      <c r="F82" s="8"/>
      <c r="H82" s="8"/>
      <c r="I82" s="8" t="s">
        <v>5685</v>
      </c>
      <c r="J82" s="8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8" t="s">
        <v>1607</v>
      </c>
      <c r="E83" s="8" t="s">
        <v>8</v>
      </c>
      <c r="F83" s="8"/>
      <c r="H83" s="8"/>
      <c r="I83" s="8" t="s">
        <v>5730</v>
      </c>
      <c r="J83" s="8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8" t="s">
        <v>1607</v>
      </c>
      <c r="E84" s="8" t="s">
        <v>8</v>
      </c>
      <c r="F84" s="8"/>
      <c r="H84" s="8"/>
      <c r="I84" s="8" t="s">
        <v>5806</v>
      </c>
      <c r="J84" s="8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8" t="s">
        <v>1607</v>
      </c>
      <c r="E85" s="8" t="s">
        <v>8</v>
      </c>
      <c r="F85" s="8"/>
      <c r="H85" s="8"/>
      <c r="I85" s="8" t="s">
        <v>5809</v>
      </c>
      <c r="J85" s="8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8" t="s">
        <v>3388</v>
      </c>
      <c r="E86" s="8" t="s">
        <v>4396</v>
      </c>
      <c r="F86" s="8" t="s">
        <v>60</v>
      </c>
      <c r="H86" s="8"/>
      <c r="I86" s="8" t="s">
        <v>6127</v>
      </c>
      <c r="J86" s="8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8" t="s">
        <v>1607</v>
      </c>
      <c r="E87" s="8" t="s">
        <v>8</v>
      </c>
      <c r="F87" s="8"/>
      <c r="H87" s="8"/>
      <c r="I87" s="8" t="s">
        <v>6130</v>
      </c>
      <c r="J87" s="8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8" t="s">
        <v>4</v>
      </c>
      <c r="E88" s="8" t="s">
        <v>3358</v>
      </c>
      <c r="F88" s="8"/>
      <c r="H88" s="8" t="s">
        <v>6166</v>
      </c>
      <c r="I88" s="8" t="s">
        <v>6133</v>
      </c>
      <c r="J88" s="8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8" t="s">
        <v>3388</v>
      </c>
      <c r="E89" s="8" t="s">
        <v>4396</v>
      </c>
      <c r="F89" s="8" t="s">
        <v>6161</v>
      </c>
      <c r="H89" s="8"/>
      <c r="I89" s="8" t="s">
        <v>6136</v>
      </c>
      <c r="J89" s="8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8" t="s">
        <v>3388</v>
      </c>
      <c r="E90" s="8" t="s">
        <v>4396</v>
      </c>
      <c r="F90" s="8" t="s">
        <v>6167</v>
      </c>
      <c r="H90" s="8"/>
      <c r="I90" s="8" t="s">
        <v>6139</v>
      </c>
      <c r="J90" s="8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8" t="s">
        <v>3388</v>
      </c>
      <c r="E91" s="8" t="s">
        <v>4396</v>
      </c>
      <c r="F91" s="8" t="s">
        <v>60</v>
      </c>
      <c r="H91" s="8"/>
      <c r="I91" s="8" t="s">
        <v>6221</v>
      </c>
      <c r="J91" s="8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8" t="s">
        <v>3388</v>
      </c>
      <c r="E92" s="8" t="s">
        <v>4396</v>
      </c>
      <c r="F92" s="8" t="s">
        <v>60</v>
      </c>
      <c r="H92" s="8"/>
      <c r="I92" s="8" t="s">
        <v>6224</v>
      </c>
      <c r="J92" s="8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8" t="s">
        <v>3388</v>
      </c>
      <c r="E93" s="8" t="s">
        <v>4396</v>
      </c>
      <c r="F93" s="8" t="s">
        <v>6167</v>
      </c>
      <c r="H93" s="8"/>
      <c r="I93" s="8" t="s">
        <v>6227</v>
      </c>
      <c r="J93" s="8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8" t="s">
        <v>4</v>
      </c>
      <c r="E94" s="8" t="s">
        <v>3358</v>
      </c>
      <c r="F94" s="8"/>
      <c r="H94" s="8" t="s">
        <v>6166</v>
      </c>
      <c r="I94" s="8" t="s">
        <v>6230</v>
      </c>
      <c r="J94" s="8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8" t="s">
        <v>4</v>
      </c>
      <c r="E95" s="8" t="s">
        <v>8</v>
      </c>
      <c r="F95" s="8"/>
      <c r="H95" s="8" t="s">
        <v>2352</v>
      </c>
      <c r="I95" s="8" t="s">
        <v>6233</v>
      </c>
      <c r="J95" s="8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8" t="s">
        <v>4</v>
      </c>
      <c r="E96" s="8" t="s">
        <v>8</v>
      </c>
      <c r="F96" s="8"/>
      <c r="H96" s="8" t="s">
        <v>2352</v>
      </c>
      <c r="I96" s="8" t="s">
        <v>6236</v>
      </c>
      <c r="J96" s="8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8" t="s">
        <v>3388</v>
      </c>
      <c r="E97" s="8" t="s">
        <v>4396</v>
      </c>
      <c r="F97" s="8" t="s">
        <v>6162</v>
      </c>
      <c r="H97" s="8"/>
      <c r="I97" s="8" t="s">
        <v>6239</v>
      </c>
      <c r="J97" s="8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8" t="s">
        <v>3388</v>
      </c>
      <c r="E98" s="8" t="s">
        <v>4396</v>
      </c>
      <c r="F98" s="8" t="s">
        <v>60</v>
      </c>
      <c r="H98" s="8"/>
      <c r="I98" s="8" t="s">
        <v>6242</v>
      </c>
      <c r="J98" s="8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8" t="s">
        <v>4</v>
      </c>
      <c r="E99" s="8" t="s">
        <v>8</v>
      </c>
      <c r="F99" s="8"/>
      <c r="H99" s="8"/>
      <c r="I99" s="8" t="s">
        <v>6245</v>
      </c>
      <c r="J99" s="8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8" t="s">
        <v>4</v>
      </c>
      <c r="E100" s="8" t="s">
        <v>8</v>
      </c>
      <c r="F100" s="8"/>
      <c r="H100" s="8"/>
      <c r="I100" s="8" t="s">
        <v>6383</v>
      </c>
      <c r="J100" s="8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8" t="s">
        <v>4</v>
      </c>
      <c r="E101" s="8" t="s">
        <v>8</v>
      </c>
      <c r="F101" s="8"/>
      <c r="H101" s="8"/>
      <c r="I101" s="8" t="s">
        <v>6386</v>
      </c>
      <c r="J101" s="8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8" t="s">
        <v>4</v>
      </c>
      <c r="E102" s="8" t="s">
        <v>8</v>
      </c>
      <c r="F102" s="8"/>
      <c r="H102" s="8"/>
      <c r="I102" s="8" t="s">
        <v>6389</v>
      </c>
      <c r="J102" s="8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8" t="s">
        <v>470</v>
      </c>
      <c r="E103" s="8" t="s">
        <v>468</v>
      </c>
      <c r="F103" s="8" t="s">
        <v>6688</v>
      </c>
      <c r="H103" s="8"/>
      <c r="I103" s="8" t="s">
        <v>6601</v>
      </c>
      <c r="J103" s="8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8" t="s">
        <v>1607</v>
      </c>
      <c r="E104" s="8" t="s">
        <v>8</v>
      </c>
      <c r="F104" s="8"/>
      <c r="H104" s="8"/>
      <c r="I104" s="8" t="s">
        <v>6604</v>
      </c>
      <c r="J104" s="8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8" t="s">
        <v>1607</v>
      </c>
      <c r="E105" s="8" t="s">
        <v>8</v>
      </c>
      <c r="F105" s="8"/>
      <c r="H105" s="8"/>
      <c r="I105" s="8" t="s">
        <v>6607</v>
      </c>
      <c r="J105" s="8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8" t="s">
        <v>1607</v>
      </c>
      <c r="E106" s="8" t="s">
        <v>8</v>
      </c>
      <c r="F106" s="8"/>
      <c r="H106" s="8"/>
      <c r="I106" s="8" t="s">
        <v>6610</v>
      </c>
      <c r="J106" s="8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8" t="s">
        <v>1607</v>
      </c>
      <c r="E107" s="8" t="s">
        <v>8</v>
      </c>
      <c r="F107" s="8"/>
      <c r="H107" s="8"/>
      <c r="I107" s="8" t="s">
        <v>6770</v>
      </c>
      <c r="J107" s="8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8" t="s">
        <v>1607</v>
      </c>
      <c r="E108" s="8" t="s">
        <v>8</v>
      </c>
      <c r="F108" s="8"/>
      <c r="H108" s="8"/>
      <c r="I108" s="8" t="s">
        <v>6773</v>
      </c>
      <c r="J108" s="8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8" t="s">
        <v>1607</v>
      </c>
      <c r="E109" s="8" t="s">
        <v>8</v>
      </c>
      <c r="F109" s="8"/>
      <c r="H109" s="8"/>
      <c r="I109" s="8" t="s">
        <v>6776</v>
      </c>
      <c r="J109" s="8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8" t="s">
        <v>1607</v>
      </c>
      <c r="E110" s="8" t="s">
        <v>8</v>
      </c>
      <c r="F110" s="8"/>
      <c r="H110" s="8"/>
      <c r="I110" s="8" t="s">
        <v>7020</v>
      </c>
      <c r="J110" s="8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8" t="s">
        <v>1607</v>
      </c>
      <c r="E111" s="8" t="s">
        <v>8</v>
      </c>
      <c r="F111" s="8"/>
      <c r="H111" s="8"/>
      <c r="I111" s="8" t="s">
        <v>7023</v>
      </c>
      <c r="J111" s="8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8" t="s">
        <v>1607</v>
      </c>
      <c r="E112" s="8" t="s">
        <v>8</v>
      </c>
      <c r="F112" s="8"/>
      <c r="H112" s="8"/>
      <c r="I112" s="8" t="s">
        <v>7026</v>
      </c>
      <c r="J112" s="8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8" t="s">
        <v>1607</v>
      </c>
      <c r="E113" s="8" t="s">
        <v>8</v>
      </c>
      <c r="F113" s="8"/>
      <c r="H113" s="8"/>
      <c r="I113" s="8" t="s">
        <v>7029</v>
      </c>
      <c r="J113" s="8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8" t="s">
        <v>1607</v>
      </c>
      <c r="E114" s="8" t="s">
        <v>8</v>
      </c>
      <c r="F114" s="8"/>
      <c r="H114" s="8"/>
      <c r="I114" s="8" t="s">
        <v>7032</v>
      </c>
      <c r="J114" s="8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8" t="s">
        <v>1607</v>
      </c>
      <c r="E115" s="8" t="s">
        <v>8</v>
      </c>
      <c r="F115" s="8"/>
      <c r="H115" s="8"/>
      <c r="I115" s="8" t="s">
        <v>7035</v>
      </c>
      <c r="J115" s="8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8" t="s">
        <v>1607</v>
      </c>
      <c r="E116" s="8" t="s">
        <v>8</v>
      </c>
      <c r="F116" s="8"/>
      <c r="H116" s="8"/>
      <c r="I116" s="8" t="s">
        <v>7038</v>
      </c>
      <c r="J116" s="8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8" t="s">
        <v>4</v>
      </c>
      <c r="E117" s="8" t="s">
        <v>6439</v>
      </c>
      <c r="F117" s="8"/>
      <c r="H117" s="8"/>
      <c r="I117" s="8" t="s">
        <v>7322</v>
      </c>
      <c r="J117" s="8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8" t="s">
        <v>5699</v>
      </c>
      <c r="E118" s="8" t="s">
        <v>4396</v>
      </c>
      <c r="F118" s="8" t="s">
        <v>7356</v>
      </c>
      <c r="H118" s="8"/>
      <c r="I118" s="8" t="s">
        <v>7325</v>
      </c>
      <c r="J118" s="8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8" t="s">
        <v>4</v>
      </c>
      <c r="E119" s="8" t="s">
        <v>8</v>
      </c>
      <c r="F119" s="8"/>
      <c r="H119" s="8"/>
      <c r="I119" s="8" t="s">
        <v>7328</v>
      </c>
      <c r="J119" s="8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8" t="s">
        <v>4</v>
      </c>
      <c r="E120" s="8" t="s">
        <v>7366</v>
      </c>
      <c r="F120" s="8"/>
      <c r="H120" s="8"/>
      <c r="I120" s="8" t="s">
        <v>7331</v>
      </c>
      <c r="J120" s="8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8" t="s">
        <v>4</v>
      </c>
      <c r="E121" s="8" t="s">
        <v>7366</v>
      </c>
      <c r="F121" s="8"/>
      <c r="H121" s="8"/>
      <c r="I121" s="8" t="s">
        <v>7334</v>
      </c>
      <c r="J121" s="8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8" t="s">
        <v>4</v>
      </c>
      <c r="E122" s="8" t="s">
        <v>8</v>
      </c>
      <c r="F122" s="8"/>
      <c r="H122" s="8"/>
      <c r="I122" s="8" t="s">
        <v>7337</v>
      </c>
      <c r="J122" s="8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8" t="s">
        <v>4</v>
      </c>
      <c r="E123" s="8" t="s">
        <v>6439</v>
      </c>
      <c r="F123" s="8"/>
      <c r="H123" s="8"/>
      <c r="I123" s="8" t="s">
        <v>7449</v>
      </c>
      <c r="J123" s="8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8" t="s">
        <v>4</v>
      </c>
      <c r="E124" s="8" t="s">
        <v>6439</v>
      </c>
      <c r="F124" s="8"/>
      <c r="H124" s="8"/>
      <c r="I124" s="8" t="s">
        <v>7452</v>
      </c>
      <c r="J124" s="8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8" t="s">
        <v>4</v>
      </c>
      <c r="E125" s="8" t="s">
        <v>6439</v>
      </c>
      <c r="F125" s="8"/>
      <c r="H125" s="8"/>
      <c r="I125" s="8" t="s">
        <v>7455</v>
      </c>
      <c r="J125" s="8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8" t="s">
        <v>4</v>
      </c>
      <c r="E126" s="8" t="s">
        <v>8</v>
      </c>
      <c r="F126" s="8"/>
      <c r="H126" s="8"/>
      <c r="I126" s="8" t="s">
        <v>7458</v>
      </c>
      <c r="J126" s="8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8" t="s">
        <v>4</v>
      </c>
      <c r="E127" s="8" t="s">
        <v>8</v>
      </c>
      <c r="F127" s="8"/>
      <c r="H127" s="8"/>
      <c r="I127" s="8" t="s">
        <v>7630</v>
      </c>
      <c r="J127" s="8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8" t="s">
        <v>4</v>
      </c>
      <c r="E128" s="8" t="s">
        <v>8</v>
      </c>
      <c r="F128" s="8"/>
      <c r="H128" s="8"/>
      <c r="I128" s="8" t="s">
        <v>7633</v>
      </c>
      <c r="J128" s="8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8" t="s">
        <v>4</v>
      </c>
      <c r="E129" s="8" t="s">
        <v>7366</v>
      </c>
      <c r="F129" s="8"/>
      <c r="H129" s="8"/>
      <c r="I129" s="8" t="s">
        <v>7636</v>
      </c>
      <c r="J129" s="8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8" t="s">
        <v>4</v>
      </c>
      <c r="E130" s="8" t="s">
        <v>7366</v>
      </c>
      <c r="F130" s="8"/>
      <c r="H130" s="8"/>
      <c r="I130" s="8" t="s">
        <v>7639</v>
      </c>
      <c r="J130" s="8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8" t="s">
        <v>4</v>
      </c>
      <c r="E131" s="8" t="s">
        <v>7366</v>
      </c>
      <c r="F131" s="8"/>
      <c r="H131" s="8"/>
      <c r="I131" s="8" t="s">
        <v>7642</v>
      </c>
      <c r="J131" s="8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8" t="s">
        <v>4</v>
      </c>
      <c r="E132" s="8" t="s">
        <v>7366</v>
      </c>
      <c r="F132" s="8"/>
      <c r="H132" s="8"/>
      <c r="I132" s="8" t="s">
        <v>7645</v>
      </c>
      <c r="J132" s="8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8" t="s">
        <v>4</v>
      </c>
      <c r="E133" s="8" t="s">
        <v>8</v>
      </c>
      <c r="F133" s="8"/>
      <c r="H133" s="8"/>
      <c r="I133" s="8" t="s">
        <v>7648</v>
      </c>
      <c r="J133" s="8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8" t="s">
        <v>1607</v>
      </c>
      <c r="E134" s="8" t="s">
        <v>8</v>
      </c>
      <c r="F134" s="8"/>
      <c r="H134" s="8"/>
      <c r="I134" s="8" t="s">
        <v>7731</v>
      </c>
      <c r="J134" s="8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8" t="s">
        <v>1607</v>
      </c>
      <c r="E135" s="8" t="s">
        <v>8</v>
      </c>
      <c r="F135" s="8"/>
      <c r="H135" s="8"/>
      <c r="I135" s="8" t="s">
        <v>7734</v>
      </c>
      <c r="J135" s="8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8" t="s">
        <v>1607</v>
      </c>
      <c r="E136" s="8" t="s">
        <v>8</v>
      </c>
      <c r="F136" s="8"/>
      <c r="H136" s="8"/>
      <c r="I136" s="8" t="s">
        <v>7881</v>
      </c>
      <c r="J136" s="8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8" t="s">
        <v>1607</v>
      </c>
      <c r="E137" s="8" t="s">
        <v>8</v>
      </c>
      <c r="F137" s="8"/>
      <c r="H137" s="8"/>
      <c r="I137" s="8" t="s">
        <v>7884</v>
      </c>
      <c r="J137" s="8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8" t="s">
        <v>1607</v>
      </c>
      <c r="E138" s="8" t="s">
        <v>8</v>
      </c>
      <c r="F138" s="8"/>
      <c r="H138" s="8"/>
      <c r="I138" s="8" t="s">
        <v>8072</v>
      </c>
      <c r="J138" s="8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8" t="s">
        <v>5699</v>
      </c>
      <c r="E139" s="8" t="s">
        <v>4396</v>
      </c>
      <c r="F139" s="8" t="s">
        <v>7356</v>
      </c>
      <c r="H139" s="8"/>
      <c r="I139" s="8" t="s">
        <v>8075</v>
      </c>
      <c r="J139" s="8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8" t="s">
        <v>4</v>
      </c>
      <c r="E140" s="8" t="s">
        <v>8</v>
      </c>
      <c r="F140" s="8"/>
      <c r="H140" s="8"/>
      <c r="I140" s="8" t="s">
        <v>8078</v>
      </c>
      <c r="J140" s="8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8" t="s">
        <v>4</v>
      </c>
      <c r="E141" s="8" t="s">
        <v>8</v>
      </c>
      <c r="F141" s="8"/>
      <c r="H141" s="8"/>
      <c r="I141" s="8" t="s">
        <v>8362</v>
      </c>
      <c r="J141" s="8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8" t="s">
        <v>4</v>
      </c>
      <c r="E142" s="8" t="s">
        <v>8</v>
      </c>
      <c r="F142" s="8"/>
      <c r="H142" s="8" t="s">
        <v>2352</v>
      </c>
      <c r="I142" s="8" t="s">
        <v>8365</v>
      </c>
      <c r="J142" s="8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8" t="s">
        <v>4</v>
      </c>
      <c r="E143" s="8" t="s">
        <v>8</v>
      </c>
      <c r="F143" s="8"/>
      <c r="H143" s="8" t="s">
        <v>2352</v>
      </c>
      <c r="I143" s="8" t="s">
        <v>8368</v>
      </c>
      <c r="J143" s="8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8" t="s">
        <v>1607</v>
      </c>
      <c r="E144" s="8" t="s">
        <v>8</v>
      </c>
      <c r="F144" s="8"/>
      <c r="H144" s="8"/>
      <c r="I144" s="8" t="s">
        <v>8403</v>
      </c>
      <c r="J144" s="8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8" t="s">
        <v>1607</v>
      </c>
      <c r="E145" s="8" t="s">
        <v>8</v>
      </c>
      <c r="F145" s="8"/>
      <c r="H145" s="8"/>
      <c r="I145" s="8" t="s">
        <v>8406</v>
      </c>
      <c r="J145" s="8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8" t="s">
        <v>1607</v>
      </c>
      <c r="E146" s="8" t="s">
        <v>8</v>
      </c>
      <c r="F146" s="8"/>
      <c r="H146" s="8"/>
      <c r="I146" s="8" t="s">
        <v>8514</v>
      </c>
      <c r="J146" s="8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8" t="s">
        <v>1607</v>
      </c>
      <c r="E147" s="8" t="s">
        <v>8</v>
      </c>
      <c r="F147" s="8"/>
      <c r="H147" s="8"/>
      <c r="I147" s="8" t="s">
        <v>8517</v>
      </c>
      <c r="J147" s="8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8" t="s">
        <v>1607</v>
      </c>
      <c r="E148" s="8" t="s">
        <v>8</v>
      </c>
      <c r="F148" s="8"/>
      <c r="H148" s="8"/>
      <c r="I148" s="8" t="s">
        <v>8702</v>
      </c>
      <c r="J148" s="8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8" t="s">
        <v>1607</v>
      </c>
      <c r="E149" s="8" t="s">
        <v>8</v>
      </c>
      <c r="F149" s="8"/>
      <c r="H149" s="8"/>
      <c r="I149" s="8" t="s">
        <v>8705</v>
      </c>
      <c r="J149" s="8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8" t="s">
        <v>1607</v>
      </c>
      <c r="E150" s="8" t="s">
        <v>8</v>
      </c>
      <c r="F150" s="8"/>
      <c r="H150" s="8"/>
      <c r="I150" s="8" t="s">
        <v>8805</v>
      </c>
      <c r="J150" s="8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8" t="s">
        <v>1617</v>
      </c>
      <c r="E151" s="8"/>
      <c r="F151" s="8"/>
      <c r="H151" s="8"/>
      <c r="I151" s="8" t="s">
        <v>8848</v>
      </c>
      <c r="J151" s="8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8" t="s">
        <v>1607</v>
      </c>
      <c r="E152" s="8" t="s">
        <v>8</v>
      </c>
      <c r="F152" s="8"/>
      <c r="H152" s="8"/>
      <c r="I152" s="8" t="s">
        <v>8851</v>
      </c>
      <c r="J152" s="8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8" t="s">
        <v>1607</v>
      </c>
      <c r="E153" s="8" t="s">
        <v>8</v>
      </c>
      <c r="F153" s="8"/>
      <c r="H153" s="8"/>
      <c r="I153" s="8" t="s">
        <v>9108</v>
      </c>
      <c r="J153" s="8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8" t="s">
        <v>4</v>
      </c>
      <c r="E154" s="8" t="s">
        <v>8</v>
      </c>
      <c r="F154" s="8"/>
      <c r="H154" s="8"/>
      <c r="I154" s="8" t="s">
        <v>9111</v>
      </c>
      <c r="J154" s="8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8" t="s">
        <v>137</v>
      </c>
      <c r="E155" s="8" t="s">
        <v>9141</v>
      </c>
      <c r="F155" s="8"/>
      <c r="H155" s="8"/>
      <c r="I155" s="8" t="s">
        <v>9114</v>
      </c>
      <c r="J155" s="8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8" t="s">
        <v>4</v>
      </c>
      <c r="E156" s="8" t="s">
        <v>8</v>
      </c>
      <c r="F156" s="8"/>
      <c r="H156" s="8"/>
      <c r="I156" s="8" t="s">
        <v>9117</v>
      </c>
      <c r="J156" s="8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8" t="s">
        <v>4</v>
      </c>
      <c r="E157" s="8" t="s">
        <v>8</v>
      </c>
      <c r="F157" s="8"/>
      <c r="H157" s="8"/>
      <c r="I157" s="8" t="s">
        <v>9120</v>
      </c>
      <c r="J157" s="8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8" t="s">
        <v>9142</v>
      </c>
      <c r="E158" s="8"/>
      <c r="F158" s="8"/>
      <c r="H158" s="8"/>
      <c r="I158" s="8" t="s">
        <v>9123</v>
      </c>
      <c r="J158" s="8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8" t="s">
        <v>4</v>
      </c>
      <c r="E159" s="8" t="s">
        <v>9143</v>
      </c>
      <c r="F159" s="8"/>
      <c r="H159" s="8"/>
      <c r="I159" s="8" t="s">
        <v>9126</v>
      </c>
      <c r="J159" s="8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8" t="s">
        <v>4</v>
      </c>
      <c r="E160" s="8" t="s">
        <v>9141</v>
      </c>
      <c r="F160" s="8"/>
      <c r="H160" s="8"/>
      <c r="I160" s="8" t="s">
        <v>9242</v>
      </c>
      <c r="J160" s="8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8" t="s">
        <v>4</v>
      </c>
      <c r="E161" s="8" t="s">
        <v>9324</v>
      </c>
      <c r="F161" s="8"/>
      <c r="H161" s="8"/>
      <c r="I161" s="8" t="s">
        <v>9245</v>
      </c>
      <c r="J161" s="8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8" t="s">
        <v>9325</v>
      </c>
      <c r="E162" s="8"/>
      <c r="F162" s="8"/>
      <c r="H162" s="8"/>
      <c r="I162" s="8" t="s">
        <v>9248</v>
      </c>
      <c r="J162" s="8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8" t="s">
        <v>4</v>
      </c>
      <c r="E163" s="8" t="s">
        <v>8</v>
      </c>
      <c r="F163" s="8"/>
      <c r="H163" s="8"/>
      <c r="I163" s="8" t="s">
        <v>9251</v>
      </c>
      <c r="J163" s="8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8" t="s">
        <v>1607</v>
      </c>
      <c r="E164" s="8" t="s">
        <v>8</v>
      </c>
      <c r="F164" s="8"/>
      <c r="H164" s="8"/>
      <c r="I164" s="8" t="s">
        <v>9406</v>
      </c>
      <c r="J164" s="8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8" t="s">
        <v>1607</v>
      </c>
      <c r="E165" s="8" t="s">
        <v>8</v>
      </c>
      <c r="F165" s="8"/>
      <c r="H165" s="8"/>
      <c r="I165" s="8" t="s">
        <v>9409</v>
      </c>
      <c r="J165" s="8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8" t="s">
        <v>4</v>
      </c>
      <c r="E166" s="8" t="s">
        <v>8</v>
      </c>
      <c r="F166" s="8"/>
      <c r="H166" s="8"/>
      <c r="I166" s="8" t="s">
        <v>9486</v>
      </c>
      <c r="J166" s="8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8" t="s">
        <v>4</v>
      </c>
      <c r="E167" s="8" t="s">
        <v>8</v>
      </c>
      <c r="F167" s="8"/>
      <c r="H167" s="8"/>
      <c r="I167" s="8" t="s">
        <v>9489</v>
      </c>
      <c r="J167" s="8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8" t="s">
        <v>137</v>
      </c>
      <c r="E168" s="8" t="s">
        <v>9597</v>
      </c>
      <c r="F168" s="8"/>
      <c r="H168" s="8"/>
      <c r="I168" s="8" t="s">
        <v>9492</v>
      </c>
      <c r="J168" s="8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8" t="s">
        <v>4</v>
      </c>
      <c r="E169" s="8" t="s">
        <v>8</v>
      </c>
      <c r="F169" s="8"/>
      <c r="H169" s="8"/>
      <c r="I169" s="8" t="s">
        <v>9495</v>
      </c>
      <c r="J169" s="8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8" t="s">
        <v>4921</v>
      </c>
      <c r="E170" s="8" t="s">
        <v>3358</v>
      </c>
      <c r="F170" s="8"/>
      <c r="H170" s="8"/>
      <c r="I170" s="8" t="s">
        <v>9498</v>
      </c>
      <c r="J170" s="8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8" t="s">
        <v>9596</v>
      </c>
      <c r="E171" s="8" t="s">
        <v>3358</v>
      </c>
      <c r="F171" s="8"/>
      <c r="H171" s="8"/>
      <c r="I171" s="8" t="s">
        <v>9501</v>
      </c>
      <c r="J171" s="8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8" t="s">
        <v>4</v>
      </c>
      <c r="E172" s="8" t="s">
        <v>8</v>
      </c>
      <c r="F172" s="8"/>
      <c r="H172" s="8"/>
      <c r="I172" s="8" t="s">
        <v>9504</v>
      </c>
      <c r="J172" s="8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8" t="s">
        <v>588</v>
      </c>
      <c r="E173" s="8" t="s">
        <v>86</v>
      </c>
      <c r="F173" s="8"/>
      <c r="H173" s="8"/>
      <c r="I173" s="8" t="s">
        <v>9507</v>
      </c>
      <c r="J173" s="8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8" t="s">
        <v>588</v>
      </c>
      <c r="E174" s="8" t="s">
        <v>86</v>
      </c>
      <c r="F174" s="8"/>
      <c r="H174" s="8" t="s">
        <v>2352</v>
      </c>
      <c r="I174" s="8" t="s">
        <v>9509</v>
      </c>
      <c r="J174" s="8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8" t="s">
        <v>9603</v>
      </c>
      <c r="E175" s="8" t="s">
        <v>86</v>
      </c>
      <c r="F175" s="8"/>
      <c r="H175" s="8"/>
      <c r="I175" s="8" t="s">
        <v>9512</v>
      </c>
      <c r="J175" s="8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8" t="s">
        <v>588</v>
      </c>
      <c r="E176" s="8" t="s">
        <v>86</v>
      </c>
      <c r="F176" s="8"/>
      <c r="H176" s="8"/>
      <c r="I176" s="8" t="s">
        <v>9610</v>
      </c>
      <c r="J176" s="8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8" t="s">
        <v>1607</v>
      </c>
      <c r="E177" s="8" t="s">
        <v>8</v>
      </c>
      <c r="F177" s="8"/>
      <c r="H177" s="8"/>
      <c r="I177" s="8" t="s">
        <v>9613</v>
      </c>
      <c r="J177" s="8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8" t="s">
        <v>1607</v>
      </c>
      <c r="E178" s="8" t="s">
        <v>8</v>
      </c>
      <c r="F178" s="8"/>
      <c r="H178" s="8"/>
      <c r="I178" s="8" t="s">
        <v>9694</v>
      </c>
      <c r="J178" s="8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8" t="s">
        <v>4</v>
      </c>
      <c r="E179" s="8" t="s">
        <v>10021</v>
      </c>
      <c r="F179" s="8"/>
      <c r="H179" s="8"/>
      <c r="I179" s="8" t="s">
        <v>9938</v>
      </c>
      <c r="J179" s="8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8" t="s">
        <v>588</v>
      </c>
      <c r="E180" s="8" t="s">
        <v>86</v>
      </c>
      <c r="F180" s="8"/>
      <c r="H180" s="8"/>
      <c r="I180" s="8" t="s">
        <v>9941</v>
      </c>
      <c r="J180" s="8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8" t="s">
        <v>588</v>
      </c>
      <c r="E181" s="8" t="s">
        <v>86</v>
      </c>
      <c r="F181" s="8"/>
      <c r="H181" s="8"/>
      <c r="I181" s="8" t="s">
        <v>9944</v>
      </c>
      <c r="J181" s="8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8" t="s">
        <v>9600</v>
      </c>
      <c r="E182" s="8"/>
      <c r="F182" s="8"/>
      <c r="H182" s="8"/>
      <c r="I182" s="8" t="s">
        <v>9947</v>
      </c>
      <c r="J182" s="8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8" t="s">
        <v>1539</v>
      </c>
      <c r="E183" s="8" t="s">
        <v>468</v>
      </c>
      <c r="F183" s="8"/>
      <c r="H183" s="8"/>
      <c r="I183" s="8" t="s">
        <v>9950</v>
      </c>
      <c r="J183" s="8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8" t="s">
        <v>1539</v>
      </c>
      <c r="E184" s="8" t="s">
        <v>468</v>
      </c>
      <c r="F184" s="8"/>
      <c r="H184" s="8"/>
      <c r="I184" s="8" t="s">
        <v>9953</v>
      </c>
      <c r="J184" s="8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8" t="s">
        <v>588</v>
      </c>
      <c r="E185" s="8" t="s">
        <v>86</v>
      </c>
      <c r="F185" s="8"/>
      <c r="H185" s="8"/>
      <c r="I185" s="8" t="s">
        <v>9956</v>
      </c>
      <c r="J185" s="8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8" t="s">
        <v>588</v>
      </c>
      <c r="E186" s="8" t="s">
        <v>86</v>
      </c>
      <c r="F186" s="8"/>
      <c r="H186" s="8"/>
      <c r="I186" s="8" t="s">
        <v>9959</v>
      </c>
      <c r="J186" s="8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8" t="s">
        <v>1539</v>
      </c>
      <c r="E187" s="8" t="s">
        <v>468</v>
      </c>
      <c r="F187" s="8"/>
      <c r="H187" s="8"/>
      <c r="I187" s="8" t="s">
        <v>9962</v>
      </c>
      <c r="J187" s="8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8" t="s">
        <v>1539</v>
      </c>
      <c r="E188" s="8" t="s">
        <v>468</v>
      </c>
      <c r="F188" s="8"/>
      <c r="H188" s="8"/>
      <c r="I188" s="8" t="s">
        <v>9965</v>
      </c>
      <c r="J188" s="8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8" t="s">
        <v>1539</v>
      </c>
      <c r="E189" s="8" t="s">
        <v>468</v>
      </c>
      <c r="F189" s="8"/>
      <c r="H189" s="8"/>
      <c r="I189" s="8" t="s">
        <v>9968</v>
      </c>
      <c r="J189" s="8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8" t="s">
        <v>588</v>
      </c>
      <c r="E190" s="8" t="s">
        <v>86</v>
      </c>
      <c r="F190" s="8"/>
      <c r="H190" s="8"/>
      <c r="I190" s="8" t="s">
        <v>10045</v>
      </c>
      <c r="J190" s="8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8" t="s">
        <v>588</v>
      </c>
      <c r="E191" s="8" t="s">
        <v>86</v>
      </c>
      <c r="F191" s="8"/>
      <c r="H191" s="8"/>
      <c r="I191" s="8" t="s">
        <v>10048</v>
      </c>
      <c r="J191" s="8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8" t="s">
        <v>10134</v>
      </c>
      <c r="E192" s="8" t="s">
        <v>3358</v>
      </c>
      <c r="F192" s="8"/>
      <c r="H192" s="8"/>
      <c r="I192" s="8" t="s">
        <v>10051</v>
      </c>
      <c r="J192" s="8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8" t="s">
        <v>4921</v>
      </c>
      <c r="E193" s="8" t="s">
        <v>3358</v>
      </c>
      <c r="F193" s="8"/>
      <c r="H193" s="8"/>
      <c r="I193" s="8" t="s">
        <v>10054</v>
      </c>
      <c r="J193" s="8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8" t="s">
        <v>226</v>
      </c>
      <c r="E194" s="8" t="s">
        <v>10132</v>
      </c>
      <c r="F194" s="8" t="s">
        <v>10242</v>
      </c>
      <c r="H194" s="8" t="s">
        <v>10135</v>
      </c>
      <c r="I194" s="8" t="s">
        <v>10057</v>
      </c>
      <c r="J194" s="8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8" t="s">
        <v>226</v>
      </c>
      <c r="E195" s="8" t="s">
        <v>10132</v>
      </c>
      <c r="F195" s="8" t="s">
        <v>10242</v>
      </c>
      <c r="H195" s="8" t="s">
        <v>2352</v>
      </c>
      <c r="I195" s="8" t="s">
        <v>10060</v>
      </c>
      <c r="J195" s="8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8" t="s">
        <v>226</v>
      </c>
      <c r="E196" s="8" t="s">
        <v>10132</v>
      </c>
      <c r="F196" s="8" t="s">
        <v>10243</v>
      </c>
      <c r="H196" s="8" t="s">
        <v>10136</v>
      </c>
      <c r="I196" s="8" t="s">
        <v>10063</v>
      </c>
      <c r="J196" s="8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8" t="s">
        <v>1539</v>
      </c>
      <c r="E197" s="8" t="s">
        <v>1274</v>
      </c>
      <c r="F197" s="8"/>
      <c r="H197" s="8"/>
      <c r="I197" s="8" t="s">
        <v>10203</v>
      </c>
      <c r="J197" s="8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8" t="s">
        <v>588</v>
      </c>
      <c r="E198" s="8" t="s">
        <v>86</v>
      </c>
      <c r="F198" s="8"/>
      <c r="H198" s="8"/>
      <c r="I198" s="8" t="s">
        <v>10206</v>
      </c>
      <c r="J198" s="8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8" t="s">
        <v>588</v>
      </c>
      <c r="E199" s="8" t="s">
        <v>86</v>
      </c>
      <c r="F199" s="8"/>
      <c r="H199" s="8"/>
      <c r="I199" s="8" t="s">
        <v>10209</v>
      </c>
      <c r="J199" s="8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8" t="s">
        <v>4</v>
      </c>
      <c r="E200" s="8" t="s">
        <v>8</v>
      </c>
      <c r="F200" s="8"/>
      <c r="H200" s="8"/>
      <c r="I200" s="8" t="s">
        <v>10301</v>
      </c>
      <c r="J200" s="8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8" t="s">
        <v>1607</v>
      </c>
      <c r="E201" s="8" t="s">
        <v>8</v>
      </c>
      <c r="F201" s="8"/>
      <c r="H201" s="8"/>
      <c r="I201" s="8" t="s">
        <v>10304</v>
      </c>
      <c r="J201" s="8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8" t="s">
        <v>1607</v>
      </c>
      <c r="E202" s="8" t="s">
        <v>8</v>
      </c>
      <c r="F202" s="8"/>
      <c r="H202" s="8"/>
      <c r="I202" s="8" t="s">
        <v>10307</v>
      </c>
      <c r="J202" s="8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8" t="s">
        <v>1607</v>
      </c>
      <c r="E203" s="8" t="s">
        <v>8</v>
      </c>
      <c r="F203" s="8"/>
      <c r="H203" s="8"/>
      <c r="I203" s="8" t="s">
        <v>10553</v>
      </c>
      <c r="J203" s="8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8" t="s">
        <v>1607</v>
      </c>
      <c r="E204" s="8" t="s">
        <v>8</v>
      </c>
      <c r="F204" s="8"/>
      <c r="H204" s="8"/>
      <c r="I204" s="8" t="s">
        <v>10853</v>
      </c>
      <c r="J204" s="8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8" t="s">
        <v>11073</v>
      </c>
      <c r="E205" s="8" t="s">
        <v>86</v>
      </c>
      <c r="F205" s="8"/>
      <c r="H205" s="8"/>
      <c r="I205" s="8" t="s">
        <v>10856</v>
      </c>
      <c r="J205" s="8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8" t="s">
        <v>11073</v>
      </c>
      <c r="E206" s="8" t="s">
        <v>86</v>
      </c>
      <c r="F206" s="8"/>
      <c r="H206" s="8"/>
      <c r="I206" s="8" t="s">
        <v>10859</v>
      </c>
      <c r="J206" s="8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8" t="s">
        <v>4</v>
      </c>
      <c r="E207" s="8" t="s">
        <v>8</v>
      </c>
      <c r="F207" s="8"/>
      <c r="H207" s="8"/>
      <c r="I207" s="8" t="s">
        <v>10862</v>
      </c>
      <c r="J207" s="8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8" t="s">
        <v>588</v>
      </c>
      <c r="E208" s="8" t="s">
        <v>86</v>
      </c>
      <c r="F208" s="8"/>
      <c r="H208" s="8"/>
      <c r="I208" s="8" t="s">
        <v>13572</v>
      </c>
      <c r="J208" s="8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8" t="s">
        <v>588</v>
      </c>
      <c r="E209" s="8" t="s">
        <v>86</v>
      </c>
      <c r="F209" s="8"/>
      <c r="H209" s="8"/>
      <c r="I209" s="8" t="s">
        <v>13575</v>
      </c>
      <c r="J209" s="8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8" t="s">
        <v>4</v>
      </c>
      <c r="E210" s="8" t="s">
        <v>8</v>
      </c>
      <c r="F210" s="8"/>
      <c r="H210" s="8"/>
      <c r="I210" s="8" t="s">
        <v>13578</v>
      </c>
      <c r="J210" s="8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8" t="s">
        <v>588</v>
      </c>
      <c r="E211" s="8" t="s">
        <v>86</v>
      </c>
      <c r="F211" s="8"/>
      <c r="H211" s="8"/>
      <c r="I211" s="8" t="s">
        <v>13581</v>
      </c>
      <c r="J211" s="8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8" t="s">
        <v>4</v>
      </c>
      <c r="E212" s="8" t="s">
        <v>8</v>
      </c>
      <c r="F212" s="8"/>
      <c r="H212" s="8"/>
      <c r="I212" s="8" t="s">
        <v>13584</v>
      </c>
      <c r="J212" s="8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8" t="s">
        <v>4</v>
      </c>
      <c r="E213" s="8" t="s">
        <v>8</v>
      </c>
      <c r="F213" s="8"/>
      <c r="H213" s="8"/>
      <c r="I213" s="8" t="s">
        <v>13990</v>
      </c>
      <c r="J213" s="8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8" t="s">
        <v>1607</v>
      </c>
      <c r="E214" s="8" t="s">
        <v>8</v>
      </c>
      <c r="F214" s="8"/>
      <c r="H214" s="8"/>
      <c r="I214" s="8" t="s">
        <v>13993</v>
      </c>
      <c r="J214" s="8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8" t="s">
        <v>1607</v>
      </c>
      <c r="E215" s="8" t="s">
        <v>8</v>
      </c>
      <c r="F215" s="8"/>
      <c r="H215" s="8"/>
      <c r="I215" s="8" t="s">
        <v>13996</v>
      </c>
      <c r="J215" s="8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8" t="s">
        <v>4</v>
      </c>
      <c r="E216" s="8" t="s">
        <v>8</v>
      </c>
      <c r="F216" s="8"/>
      <c r="H216" s="8"/>
      <c r="I216" s="8" t="s">
        <v>14517</v>
      </c>
      <c r="J216" s="8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8" t="s">
        <v>4</v>
      </c>
      <c r="E217" s="8" t="s">
        <v>8</v>
      </c>
      <c r="F217" s="8"/>
      <c r="H217" s="8"/>
      <c r="I217" s="8" t="s">
        <v>14520</v>
      </c>
      <c r="J217" s="8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8" t="s">
        <v>1607</v>
      </c>
      <c r="E218" s="8" t="s">
        <v>8</v>
      </c>
      <c r="F218" s="8"/>
      <c r="H218" s="8"/>
      <c r="I218" s="8" t="s">
        <v>14523</v>
      </c>
      <c r="J218" s="8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8" t="s">
        <v>9603</v>
      </c>
      <c r="E219" s="8" t="s">
        <v>86</v>
      </c>
      <c r="F219" s="8"/>
      <c r="H219" s="8"/>
      <c r="I219" s="8" t="s">
        <v>14526</v>
      </c>
      <c r="J219" s="8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8" t="s">
        <v>4</v>
      </c>
      <c r="E220" s="8" t="s">
        <v>8</v>
      </c>
      <c r="F220" s="8"/>
      <c r="H220" s="8"/>
      <c r="I220" s="8" t="s">
        <v>14529</v>
      </c>
      <c r="J220" s="8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8" t="s">
        <v>588</v>
      </c>
      <c r="E221" s="8" t="s">
        <v>86</v>
      </c>
      <c r="F221" s="8"/>
      <c r="H221" s="8"/>
      <c r="I221" s="8" t="s">
        <v>14532</v>
      </c>
      <c r="J221" s="8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8" t="s">
        <v>588</v>
      </c>
      <c r="E222" s="8" t="s">
        <v>86</v>
      </c>
      <c r="F222" s="8"/>
      <c r="H222" s="8"/>
      <c r="I222" s="8" t="s">
        <v>14535</v>
      </c>
      <c r="J222" s="8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8" t="s">
        <v>4</v>
      </c>
      <c r="E223" s="8" t="s">
        <v>8</v>
      </c>
      <c r="F223" s="8"/>
      <c r="H223" s="8"/>
      <c r="I223" s="8" t="s">
        <v>14538</v>
      </c>
      <c r="J223" s="8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8" t="s">
        <v>4</v>
      </c>
      <c r="E224" s="8" t="s">
        <v>8</v>
      </c>
      <c r="F224" s="8"/>
      <c r="H224" s="8"/>
      <c r="I224" s="8" t="s">
        <v>14541</v>
      </c>
      <c r="J224" s="8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8" t="s">
        <v>4</v>
      </c>
      <c r="E225" s="8" t="s">
        <v>8</v>
      </c>
      <c r="F225" s="8"/>
      <c r="H225" s="8"/>
      <c r="I225" s="8" t="s">
        <v>14544</v>
      </c>
      <c r="J225" s="8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8" t="s">
        <v>16683</v>
      </c>
      <c r="E226" s="8" t="s">
        <v>86</v>
      </c>
      <c r="F226" s="8"/>
      <c r="H226" s="8"/>
      <c r="I226" s="8" t="s">
        <v>14547</v>
      </c>
      <c r="J226" s="8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8" t="s">
        <v>4</v>
      </c>
      <c r="E227" s="8" t="s">
        <v>11066</v>
      </c>
      <c r="F227" s="8"/>
      <c r="H227" s="8"/>
      <c r="I227" s="8" t="s">
        <v>14550</v>
      </c>
      <c r="J227" s="8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8" t="s">
        <v>4</v>
      </c>
      <c r="E228" s="8" t="s">
        <v>11066</v>
      </c>
      <c r="F228" s="8"/>
      <c r="H228" s="8" t="s">
        <v>2352</v>
      </c>
      <c r="I228" s="8" t="s">
        <v>14552</v>
      </c>
      <c r="J228" s="8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8" t="s">
        <v>4</v>
      </c>
      <c r="E229" s="8" t="s">
        <v>11066</v>
      </c>
      <c r="F229" s="8"/>
      <c r="H229" s="8" t="s">
        <v>2352</v>
      </c>
      <c r="I229" s="8" t="s">
        <v>14555</v>
      </c>
      <c r="J229" s="8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8" t="s">
        <v>4</v>
      </c>
      <c r="E230" s="8" t="s">
        <v>11066</v>
      </c>
      <c r="F230" s="8"/>
      <c r="H230" s="8" t="s">
        <v>16684</v>
      </c>
      <c r="I230" s="8" t="s">
        <v>14558</v>
      </c>
      <c r="J230" s="8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8" t="s">
        <v>4</v>
      </c>
      <c r="E231" s="8" t="s">
        <v>8</v>
      </c>
      <c r="F231" s="8"/>
      <c r="H231" s="8"/>
      <c r="I231" s="8" t="s">
        <v>14561</v>
      </c>
      <c r="J231" s="8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8" t="s">
        <v>1617</v>
      </c>
      <c r="E232" s="8"/>
      <c r="F232" s="8"/>
      <c r="H232" s="8"/>
      <c r="I232" s="8" t="s">
        <v>14564</v>
      </c>
      <c r="J232" s="8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8" t="s">
        <v>1607</v>
      </c>
      <c r="E233" s="8" t="s">
        <v>8</v>
      </c>
      <c r="F233" s="8"/>
      <c r="H233" s="8"/>
      <c r="I233" s="8" t="s">
        <v>16878</v>
      </c>
      <c r="J233" s="8" t="s">
        <v>2400</v>
      </c>
      <c r="K233" t="s">
        <v>16879</v>
      </c>
      <c r="L233" t="s">
        <v>16880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8" t="s">
        <v>4</v>
      </c>
      <c r="E234" s="8" t="s">
        <v>8</v>
      </c>
      <c r="F234" s="8"/>
      <c r="H234" s="8"/>
      <c r="I234" s="8" t="s">
        <v>16881</v>
      </c>
      <c r="J234" s="8" t="s">
        <v>2400</v>
      </c>
      <c r="K234" t="s">
        <v>16882</v>
      </c>
      <c r="L234" t="s">
        <v>16883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8" t="s">
        <v>1607</v>
      </c>
      <c r="E235" s="8" t="s">
        <v>8</v>
      </c>
      <c r="F235" s="8"/>
      <c r="H235" s="8"/>
      <c r="I235" s="8" t="s">
        <v>16884</v>
      </c>
      <c r="J235" s="8" t="s">
        <v>2400</v>
      </c>
      <c r="K235" t="s">
        <v>16885</v>
      </c>
      <c r="L235" t="s">
        <v>16886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8" t="s">
        <v>4</v>
      </c>
      <c r="E236" s="8" t="s">
        <v>8</v>
      </c>
      <c r="F236" s="8"/>
      <c r="H236" s="8"/>
      <c r="I236" s="8" t="s">
        <v>16887</v>
      </c>
      <c r="J236" s="8" t="s">
        <v>2400</v>
      </c>
      <c r="K236" t="s">
        <v>16888</v>
      </c>
      <c r="L236" t="s">
        <v>16889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8" t="s">
        <v>1607</v>
      </c>
      <c r="E237" s="8" t="s">
        <v>8</v>
      </c>
      <c r="F237" s="8"/>
      <c r="H237" s="8"/>
      <c r="I237" s="8" t="s">
        <v>16890</v>
      </c>
      <c r="J237" s="8" t="s">
        <v>2400</v>
      </c>
      <c r="K237" t="s">
        <v>16891</v>
      </c>
      <c r="L237" t="s">
        <v>16892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8" t="s">
        <v>4</v>
      </c>
      <c r="E238" s="8" t="s">
        <v>8</v>
      </c>
      <c r="F238" s="8"/>
      <c r="H238" s="8"/>
      <c r="I238" s="8" t="s">
        <v>17727</v>
      </c>
      <c r="J238" s="8" t="s">
        <v>2400</v>
      </c>
      <c r="K238" t="s">
        <v>17728</v>
      </c>
      <c r="L238" t="s">
        <v>17729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8" t="s">
        <v>1607</v>
      </c>
      <c r="E239" s="8" t="s">
        <v>8</v>
      </c>
      <c r="F239" s="8"/>
      <c r="H239" s="8"/>
      <c r="I239" s="8" t="s">
        <v>17730</v>
      </c>
      <c r="J239" s="8" t="s">
        <v>2400</v>
      </c>
      <c r="K239" t="s">
        <v>17731</v>
      </c>
      <c r="L239" t="s">
        <v>17732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8" t="s">
        <v>1607</v>
      </c>
      <c r="E240" s="8" t="s">
        <v>8</v>
      </c>
      <c r="F240" s="8"/>
      <c r="H240" s="8"/>
      <c r="I240" s="8" t="s">
        <v>18262</v>
      </c>
      <c r="J240" s="8" t="s">
        <v>2400</v>
      </c>
      <c r="K240" t="s">
        <v>18263</v>
      </c>
      <c r="L240" t="s">
        <v>18264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s="8" t="s">
        <v>588</v>
      </c>
      <c r="E241" s="8" t="s">
        <v>86</v>
      </c>
      <c r="F241" s="8"/>
      <c r="H241" s="8"/>
      <c r="I241" s="8" t="s">
        <v>18657</v>
      </c>
      <c r="J241" s="8" t="s">
        <v>2400</v>
      </c>
      <c r="K241" t="s">
        <v>18658</v>
      </c>
      <c r="L241" t="s">
        <v>18659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s="8" t="s">
        <v>4</v>
      </c>
      <c r="E242" s="8" t="s">
        <v>8</v>
      </c>
      <c r="F242" s="8"/>
      <c r="H242" s="8"/>
      <c r="I242" s="8" t="s">
        <v>18660</v>
      </c>
      <c r="J242" s="8" t="s">
        <v>2400</v>
      </c>
      <c r="K242" t="s">
        <v>18661</v>
      </c>
      <c r="L242" t="s">
        <v>18662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s="8" t="s">
        <v>4</v>
      </c>
      <c r="E243" s="8" t="s">
        <v>8</v>
      </c>
      <c r="F243" s="8"/>
      <c r="H243" s="8"/>
      <c r="I243" s="8" t="s">
        <v>19381</v>
      </c>
      <c r="J243" s="8" t="s">
        <v>2400</v>
      </c>
      <c r="K243" t="s">
        <v>19382</v>
      </c>
      <c r="L243" t="s">
        <v>19383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s="8" t="s">
        <v>4</v>
      </c>
      <c r="E244" s="8" t="s">
        <v>8</v>
      </c>
      <c r="F244" s="8"/>
      <c r="H244" s="8"/>
      <c r="I244" s="8" t="s">
        <v>19384</v>
      </c>
      <c r="J244" s="8" t="s">
        <v>2400</v>
      </c>
      <c r="K244" t="s">
        <v>19385</v>
      </c>
      <c r="L244" t="s">
        <v>19386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s="8" t="s">
        <v>137</v>
      </c>
      <c r="E245" s="8" t="s">
        <v>19394</v>
      </c>
      <c r="F245" s="8"/>
      <c r="H245" s="8"/>
      <c r="I245" s="8" t="s">
        <v>19387</v>
      </c>
      <c r="J245" s="8" t="s">
        <v>2400</v>
      </c>
      <c r="K245" t="s">
        <v>19388</v>
      </c>
      <c r="L245" t="s">
        <v>19389</v>
      </c>
      <c r="M245" s="2" t="str">
        <f>HYPERLINK(склад2въезд131920212223789[[#This Row],[RelativePath]])</f>
        <v>13 Склад хол\K07156189_23_20260313T195804Z.jpg</v>
      </c>
    </row>
  </sheetData>
  <conditionalFormatting sqref="D246:D256 E246:E259 G2:H245 D2:E245">
    <cfRule type="containsText" dxfId="706" priority="14" operator="containsText" text="Выезд с территории">
      <formula>NOT(ISERROR(SEARCH("Выезд с территории",D2)))</formula>
    </cfRule>
  </conditionalFormatting>
  <conditionalFormatting sqref="F2:F245">
    <cfRule type="notContainsText" dxfId="705" priority="13" operator="notContains" text="порожний">
      <formula>ISERROR(SEARCH("порожний",F2))</formula>
    </cfRule>
  </conditionalFormatting>
  <conditionalFormatting sqref="E2:E259">
    <cfRule type="containsText" dxfId="704" priority="11" operator="containsText" text="Газель базы">
      <formula>NOT(ISERROR(SEARCH("Газель базы",E2)))</formula>
    </cfRule>
    <cfRule type="containsText" dxfId="703" priority="12" operator="containsText" text="Погрузчик базы">
      <formula>NOT(ISERROR(SEARCH("Погрузчик базы",E2)))</formula>
    </cfRule>
  </conditionalFormatting>
  <conditionalFormatting sqref="E2:E259">
    <cfRule type="containsText" dxfId="702" priority="10" operator="containsText" text="Трактор базы">
      <formula>NOT(ISERROR(SEARCH("Трактор базы",E2)))</formula>
    </cfRule>
  </conditionalFormatting>
  <conditionalFormatting sqref="A2:C245">
    <cfRule type="expression" dxfId="701" priority="9">
      <formula>$A2="пн"</formula>
    </cfRule>
  </conditionalFormatting>
  <conditionalFormatting sqref="A2:C247">
    <cfRule type="expression" dxfId="700" priority="3">
      <formula>$A2="вс"</formula>
    </cfRule>
    <cfRule type="expression" dxfId="699" priority="4">
      <formula>$A2="сб"</formula>
    </cfRule>
    <cfRule type="expression" dxfId="698" priority="5">
      <formula>$A2="пт"</formula>
    </cfRule>
    <cfRule type="expression" dxfId="697" priority="6">
      <formula>$A2="чт"</formula>
    </cfRule>
    <cfRule type="expression" dxfId="696" priority="7">
      <formula>$A2="ср"</formula>
    </cfRule>
    <cfRule type="expression" dxfId="695" priority="8">
      <formula>$A2="вт"</formula>
    </cfRule>
  </conditionalFormatting>
  <conditionalFormatting sqref="D2:D256">
    <cfRule type="containsText" dxfId="6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6">
    <cfRule type="containsText" dxfId="6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159"/>
  <sheetViews>
    <sheetView zoomScale="90" zoomScaleNormal="90" workbookViewId="0">
      <pane ySplit="1" topLeftCell="A124" activePane="bottomLeft" state="frozen"/>
      <selection pane="bottomLeft" activeCell="I152" sqref="I152:I15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8" t="s">
        <v>4</v>
      </c>
      <c r="E2" s="8" t="s">
        <v>8</v>
      </c>
      <c r="F2" s="8"/>
      <c r="H2" s="8"/>
      <c r="I2" s="8" t="s">
        <v>9823</v>
      </c>
      <c r="J2" s="8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8" t="s">
        <v>10023</v>
      </c>
      <c r="E3" s="8" t="s">
        <v>10011</v>
      </c>
      <c r="F3" s="8"/>
      <c r="H3" s="8"/>
      <c r="I3" s="8" t="s">
        <v>9826</v>
      </c>
      <c r="J3" s="8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8" t="s">
        <v>4</v>
      </c>
      <c r="E4" s="8" t="s">
        <v>8</v>
      </c>
      <c r="F4" s="8"/>
      <c r="H4" s="8"/>
      <c r="I4" s="8" t="s">
        <v>10137</v>
      </c>
      <c r="J4" s="8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8" t="s">
        <v>9600</v>
      </c>
      <c r="E5" s="8"/>
      <c r="F5" s="8"/>
      <c r="H5" s="8"/>
      <c r="I5" s="8" t="s">
        <v>10140</v>
      </c>
      <c r="J5" s="8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8" t="s">
        <v>10241</v>
      </c>
      <c r="E6" s="8" t="s">
        <v>86</v>
      </c>
      <c r="F6" s="8"/>
      <c r="H6" s="8"/>
      <c r="I6" s="8" t="s">
        <v>10212</v>
      </c>
      <c r="J6" s="8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8" t="s">
        <v>7</v>
      </c>
      <c r="E7" s="8"/>
      <c r="F7" s="8"/>
      <c r="H7" s="8"/>
      <c r="I7" s="8" t="s">
        <v>10215</v>
      </c>
      <c r="J7" s="8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8" t="s">
        <v>4</v>
      </c>
      <c r="E8" s="8" t="s">
        <v>8</v>
      </c>
      <c r="F8" s="8"/>
      <c r="H8" s="8"/>
      <c r="I8" s="8" t="s">
        <v>10218</v>
      </c>
      <c r="J8" s="8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8" t="s">
        <v>4</v>
      </c>
      <c r="E9" s="8" t="s">
        <v>8</v>
      </c>
      <c r="F9" s="8"/>
      <c r="H9" s="8" t="s">
        <v>2352</v>
      </c>
      <c r="I9" s="8" t="s">
        <v>10221</v>
      </c>
      <c r="J9" s="8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8" t="s">
        <v>4</v>
      </c>
      <c r="E10" s="8" t="s">
        <v>8</v>
      </c>
      <c r="F10" s="8"/>
      <c r="H10" s="8" t="s">
        <v>2352</v>
      </c>
      <c r="I10" s="8" t="s">
        <v>10224</v>
      </c>
      <c r="J10" s="8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8" t="s">
        <v>10020</v>
      </c>
      <c r="E11" s="8"/>
      <c r="F11" s="8"/>
      <c r="H11" s="8"/>
      <c r="I11" s="8" t="s">
        <v>10227</v>
      </c>
      <c r="J11" s="8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8" t="s">
        <v>10020</v>
      </c>
      <c r="E12" s="8"/>
      <c r="F12" s="8"/>
      <c r="H12" s="8"/>
      <c r="I12" s="8" t="s">
        <v>10230</v>
      </c>
      <c r="J12" s="8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8" t="s">
        <v>4</v>
      </c>
      <c r="E13" s="8" t="s">
        <v>8</v>
      </c>
      <c r="F13" s="8"/>
      <c r="H13" s="8"/>
      <c r="I13" s="8" t="s">
        <v>10233</v>
      </c>
      <c r="J13" s="8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8" t="s">
        <v>10020</v>
      </c>
      <c r="E14" s="8"/>
      <c r="F14" s="8"/>
      <c r="H14" s="8"/>
      <c r="I14" s="8" t="s">
        <v>10310</v>
      </c>
      <c r="J14" s="8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8" t="s">
        <v>10020</v>
      </c>
      <c r="E15" s="8"/>
      <c r="F15" s="8"/>
      <c r="H15" s="8"/>
      <c r="I15" s="8" t="s">
        <v>10313</v>
      </c>
      <c r="J15" s="8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8" t="s">
        <v>10020</v>
      </c>
      <c r="E16" s="8"/>
      <c r="F16" s="8"/>
      <c r="H16" s="8"/>
      <c r="I16" s="8" t="s">
        <v>10316</v>
      </c>
      <c r="J16" s="8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8" t="s">
        <v>10020</v>
      </c>
      <c r="E17" s="8"/>
      <c r="F17" s="8"/>
      <c r="H17" s="8"/>
      <c r="I17" s="8" t="s">
        <v>10319</v>
      </c>
      <c r="J17" s="8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8" t="s">
        <v>10020</v>
      </c>
      <c r="E18" s="8"/>
      <c r="F18" s="8"/>
      <c r="H18" s="8"/>
      <c r="I18" s="8" t="s">
        <v>10322</v>
      </c>
      <c r="J18" s="8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8" t="s">
        <v>10020</v>
      </c>
      <c r="E19" s="8"/>
      <c r="F19" s="8"/>
      <c r="H19" s="8"/>
      <c r="I19" s="8" t="s">
        <v>10325</v>
      </c>
      <c r="J19" s="8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8" t="s">
        <v>10020</v>
      </c>
      <c r="E20" s="8"/>
      <c r="F20" s="8"/>
      <c r="H20" s="8"/>
      <c r="I20" s="8" t="s">
        <v>10328</v>
      </c>
      <c r="J20" s="8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8" t="s">
        <v>10020</v>
      </c>
      <c r="E21" s="8"/>
      <c r="F21" s="8"/>
      <c r="H21" s="8"/>
      <c r="I21" s="8" t="s">
        <v>10331</v>
      </c>
      <c r="J21" s="8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8" t="s">
        <v>4</v>
      </c>
      <c r="E22" s="8" t="s">
        <v>8</v>
      </c>
      <c r="F22" s="8"/>
      <c r="H22" s="8"/>
      <c r="I22" s="8" t="s">
        <v>10334</v>
      </c>
      <c r="J22" s="8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8" t="s">
        <v>10020</v>
      </c>
      <c r="E23" s="8"/>
      <c r="F23" s="8"/>
      <c r="H23" s="8"/>
      <c r="I23" s="8" t="s">
        <v>10337</v>
      </c>
      <c r="J23" s="8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8" t="s">
        <v>10020</v>
      </c>
      <c r="E24" s="8"/>
      <c r="F24" s="8"/>
      <c r="H24" s="8"/>
      <c r="I24" s="8" t="s">
        <v>10340</v>
      </c>
      <c r="J24" s="8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8" t="s">
        <v>10020</v>
      </c>
      <c r="E25" s="8"/>
      <c r="F25" s="8"/>
      <c r="H25" s="8"/>
      <c r="I25" s="8" t="s">
        <v>10343</v>
      </c>
      <c r="J25" s="8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8" t="s">
        <v>10020</v>
      </c>
      <c r="E26" s="8"/>
      <c r="F26" s="8"/>
      <c r="H26" s="8"/>
      <c r="I26" s="8" t="s">
        <v>10346</v>
      </c>
      <c r="J26" s="8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8" t="s">
        <v>10020</v>
      </c>
      <c r="E27" s="8"/>
      <c r="F27" s="8"/>
      <c r="H27" s="8"/>
      <c r="I27" s="8" t="s">
        <v>10349</v>
      </c>
      <c r="J27" s="8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8" t="s">
        <v>4</v>
      </c>
      <c r="E28" s="8" t="s">
        <v>8</v>
      </c>
      <c r="F28" s="8"/>
      <c r="H28" s="8"/>
      <c r="I28" s="8" t="s">
        <v>10352</v>
      </c>
      <c r="J28" s="8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8" t="s">
        <v>10020</v>
      </c>
      <c r="E29" s="8"/>
      <c r="F29" s="8"/>
      <c r="H29" s="8"/>
      <c r="I29" s="8" t="s">
        <v>10556</v>
      </c>
      <c r="J29" s="8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8" t="s">
        <v>10020</v>
      </c>
      <c r="E30" s="8"/>
      <c r="F30" s="8"/>
      <c r="H30" s="8"/>
      <c r="I30" s="8" t="s">
        <v>10559</v>
      </c>
      <c r="J30" s="8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8" t="s">
        <v>4</v>
      </c>
      <c r="E31" s="8" t="s">
        <v>8</v>
      </c>
      <c r="F31" s="8"/>
      <c r="H31" s="8"/>
      <c r="I31" s="8" t="s">
        <v>10562</v>
      </c>
      <c r="J31" s="8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8" t="s">
        <v>4</v>
      </c>
      <c r="E32" s="8" t="s">
        <v>8</v>
      </c>
      <c r="F32" s="8"/>
      <c r="H32" s="8" t="s">
        <v>2352</v>
      </c>
      <c r="I32" s="8" t="s">
        <v>10838</v>
      </c>
      <c r="J32" s="8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8" t="s">
        <v>4</v>
      </c>
      <c r="E33" s="8" t="s">
        <v>8</v>
      </c>
      <c r="F33" s="8"/>
      <c r="H33" s="8" t="s">
        <v>2352</v>
      </c>
      <c r="I33" s="8" t="s">
        <v>10841</v>
      </c>
      <c r="J33" s="8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8" t="s">
        <v>4</v>
      </c>
      <c r="E34" s="8" t="s">
        <v>8</v>
      </c>
      <c r="F34" s="8"/>
      <c r="H34" s="8" t="s">
        <v>2352</v>
      </c>
      <c r="I34" s="8" t="s">
        <v>10844</v>
      </c>
      <c r="J34" s="8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8" t="s">
        <v>4</v>
      </c>
      <c r="E35" s="8" t="s">
        <v>8</v>
      </c>
      <c r="F35" s="8"/>
      <c r="H35" s="8" t="s">
        <v>2352</v>
      </c>
      <c r="I35" s="8" t="s">
        <v>10847</v>
      </c>
      <c r="J35" s="8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8" t="s">
        <v>4</v>
      </c>
      <c r="E36" s="8" t="s">
        <v>8</v>
      </c>
      <c r="F36" s="8"/>
      <c r="H36" s="8" t="s">
        <v>2352</v>
      </c>
      <c r="I36" s="8" t="s">
        <v>10850</v>
      </c>
      <c r="J36" s="8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8" t="s">
        <v>4</v>
      </c>
      <c r="E37" s="8" t="s">
        <v>8</v>
      </c>
      <c r="F37" s="8"/>
      <c r="H37" s="8"/>
      <c r="I37" s="8" t="s">
        <v>13587</v>
      </c>
      <c r="J37" s="8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8" t="s">
        <v>1607</v>
      </c>
      <c r="E38" s="8" t="s">
        <v>8</v>
      </c>
      <c r="F38" s="8"/>
      <c r="H38" s="8"/>
      <c r="I38" s="8" t="s">
        <v>13590</v>
      </c>
      <c r="J38" s="8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8" t="s">
        <v>4</v>
      </c>
      <c r="E39" s="8" t="s">
        <v>8</v>
      </c>
      <c r="F39" s="8"/>
      <c r="H39" s="8"/>
      <c r="I39" s="8" t="s">
        <v>13593</v>
      </c>
      <c r="J39" s="8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8" t="s">
        <v>13898</v>
      </c>
      <c r="E40" s="8" t="s">
        <v>13843</v>
      </c>
      <c r="F40" s="8"/>
      <c r="H40" s="8"/>
      <c r="I40" s="8" t="s">
        <v>13596</v>
      </c>
      <c r="J40" s="8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8" t="s">
        <v>13898</v>
      </c>
      <c r="E41" s="8" t="s">
        <v>13843</v>
      </c>
      <c r="F41" s="8"/>
      <c r="H41" s="8"/>
      <c r="I41" s="8" t="s">
        <v>13599</v>
      </c>
      <c r="J41" s="8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8" t="s">
        <v>62</v>
      </c>
      <c r="E42" s="8" t="s">
        <v>13843</v>
      </c>
      <c r="F42" s="8" t="s">
        <v>13899</v>
      </c>
      <c r="H42" s="8"/>
      <c r="I42" s="8" t="s">
        <v>13602</v>
      </c>
      <c r="J42" s="8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8" t="s">
        <v>4</v>
      </c>
      <c r="E43" s="8" t="s">
        <v>8</v>
      </c>
      <c r="F43" s="8"/>
      <c r="H43" s="8"/>
      <c r="I43" s="8" t="s">
        <v>13605</v>
      </c>
      <c r="J43" s="8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8" t="s">
        <v>4</v>
      </c>
      <c r="E44" s="8" t="s">
        <v>8</v>
      </c>
      <c r="F44" s="8"/>
      <c r="H44" s="8"/>
      <c r="I44" s="8" t="s">
        <v>13999</v>
      </c>
      <c r="J44" s="8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8" t="s">
        <v>4</v>
      </c>
      <c r="E45" s="8" t="s">
        <v>8</v>
      </c>
      <c r="F45" s="8"/>
      <c r="H45" s="8"/>
      <c r="I45" s="8" t="s">
        <v>14002</v>
      </c>
      <c r="J45" s="8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8" t="s">
        <v>10020</v>
      </c>
      <c r="E46" s="8" t="s">
        <v>8</v>
      </c>
      <c r="F46" s="8"/>
      <c r="H46" s="8"/>
      <c r="I46" s="8" t="s">
        <v>14005</v>
      </c>
      <c r="J46" s="8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8" t="s">
        <v>4</v>
      </c>
      <c r="E47" s="8" t="s">
        <v>8</v>
      </c>
      <c r="F47" s="8"/>
      <c r="H47" s="8"/>
      <c r="I47" s="8" t="s">
        <v>14008</v>
      </c>
      <c r="J47" s="8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8" t="s">
        <v>10020</v>
      </c>
      <c r="E48" s="8" t="s">
        <v>8</v>
      </c>
      <c r="F48" s="8"/>
      <c r="H48" s="8"/>
      <c r="I48" s="8" t="s">
        <v>14011</v>
      </c>
      <c r="J48" s="8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8" t="s">
        <v>10020</v>
      </c>
      <c r="E49" s="8" t="s">
        <v>8</v>
      </c>
      <c r="F49" s="8"/>
      <c r="H49" s="8"/>
      <c r="I49" s="8" t="s">
        <v>14014</v>
      </c>
      <c r="J49" s="8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8" t="s">
        <v>10020</v>
      </c>
      <c r="E50" s="8" t="s">
        <v>8</v>
      </c>
      <c r="F50" s="8"/>
      <c r="H50" s="8"/>
      <c r="I50" s="8" t="s">
        <v>14017</v>
      </c>
      <c r="J50" s="8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8" t="s">
        <v>10020</v>
      </c>
      <c r="E51" s="8" t="s">
        <v>8</v>
      </c>
      <c r="F51" s="8"/>
      <c r="H51" s="8"/>
      <c r="I51" s="8" t="s">
        <v>14020</v>
      </c>
      <c r="J51" s="8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8" t="s">
        <v>4</v>
      </c>
      <c r="E52" s="8" t="s">
        <v>8</v>
      </c>
      <c r="F52" s="8"/>
      <c r="H52" s="8"/>
      <c r="I52" s="8" t="s">
        <v>14023</v>
      </c>
      <c r="J52" s="8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8" t="s">
        <v>4</v>
      </c>
      <c r="E53" s="8" t="s">
        <v>8</v>
      </c>
      <c r="F53" s="8"/>
      <c r="H53" s="8"/>
      <c r="I53" s="8" t="s">
        <v>14567</v>
      </c>
      <c r="J53" s="8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8" t="s">
        <v>10020</v>
      </c>
      <c r="E54" s="8"/>
      <c r="F54" s="8"/>
      <c r="H54" s="8"/>
      <c r="I54" s="8" t="s">
        <v>14570</v>
      </c>
      <c r="J54" s="8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8" t="s">
        <v>4</v>
      </c>
      <c r="E55" s="8" t="s">
        <v>8</v>
      </c>
      <c r="F55" s="8"/>
      <c r="H55" s="8"/>
      <c r="I55" s="8" t="s">
        <v>14573</v>
      </c>
      <c r="J55" s="8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8" t="s">
        <v>10020</v>
      </c>
      <c r="E56" s="8"/>
      <c r="F56" s="8"/>
      <c r="H56" s="8"/>
      <c r="I56" s="8" t="s">
        <v>14576</v>
      </c>
      <c r="J56" s="8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8" t="s">
        <v>10020</v>
      </c>
      <c r="E57" s="8"/>
      <c r="F57" s="8"/>
      <c r="H57" s="8"/>
      <c r="I57" s="8" t="s">
        <v>14579</v>
      </c>
      <c r="J57" s="8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8" t="s">
        <v>4</v>
      </c>
      <c r="E58" s="8" t="s">
        <v>8</v>
      </c>
      <c r="F58" s="8"/>
      <c r="H58" s="8"/>
      <c r="I58" s="8" t="s">
        <v>14582</v>
      </c>
      <c r="J58" s="8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8" t="s">
        <v>10020</v>
      </c>
      <c r="E59" s="8"/>
      <c r="F59" s="8"/>
      <c r="H59" s="8"/>
      <c r="I59" s="8" t="s">
        <v>14585</v>
      </c>
      <c r="J59" s="8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8" t="s">
        <v>10020</v>
      </c>
      <c r="E60" s="8"/>
      <c r="F60" s="8"/>
      <c r="H60" s="8"/>
      <c r="I60" s="8" t="s">
        <v>14588</v>
      </c>
      <c r="J60" s="8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8" t="s">
        <v>91</v>
      </c>
      <c r="E61" s="8" t="s">
        <v>9597</v>
      </c>
      <c r="F61" s="8"/>
      <c r="H61" s="8"/>
      <c r="I61" s="8" t="s">
        <v>14591</v>
      </c>
      <c r="J61" s="8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8" t="s">
        <v>10020</v>
      </c>
      <c r="E62" s="8"/>
      <c r="F62" s="8"/>
      <c r="H62" s="8"/>
      <c r="I62" s="8" t="s">
        <v>14594</v>
      </c>
      <c r="J62" s="8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8" t="s">
        <v>4</v>
      </c>
      <c r="E63" s="8" t="s">
        <v>8</v>
      </c>
      <c r="F63" s="8"/>
      <c r="H63" s="8"/>
      <c r="I63" s="8" t="s">
        <v>14597</v>
      </c>
      <c r="J63" s="8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8" t="s">
        <v>4</v>
      </c>
      <c r="E64" s="8" t="s">
        <v>8</v>
      </c>
      <c r="F64" s="8"/>
      <c r="H64" s="8"/>
      <c r="I64" s="8" t="s">
        <v>14600</v>
      </c>
      <c r="J64" s="8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8" t="s">
        <v>10020</v>
      </c>
      <c r="E65" s="8"/>
      <c r="F65" s="8"/>
      <c r="H65" s="8"/>
      <c r="I65" s="8" t="s">
        <v>14603</v>
      </c>
      <c r="J65" s="8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8" t="s">
        <v>4</v>
      </c>
      <c r="E66" s="8" t="s">
        <v>8</v>
      </c>
      <c r="F66" s="8"/>
      <c r="H66" s="8"/>
      <c r="I66" s="8" t="s">
        <v>14606</v>
      </c>
      <c r="J66" s="8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8" t="s">
        <v>10020</v>
      </c>
      <c r="E67" s="8"/>
      <c r="F67" s="8"/>
      <c r="H67" s="8"/>
      <c r="I67" s="8" t="s">
        <v>14609</v>
      </c>
      <c r="J67" s="8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8" t="s">
        <v>4</v>
      </c>
      <c r="E68" s="8" t="s">
        <v>8</v>
      </c>
      <c r="F68" s="8"/>
      <c r="H68" s="8"/>
      <c r="I68" s="8" t="s">
        <v>14612</v>
      </c>
      <c r="J68" s="8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8" t="s">
        <v>4</v>
      </c>
      <c r="E69" s="8" t="s">
        <v>8</v>
      </c>
      <c r="F69" s="8"/>
      <c r="H69" s="8"/>
      <c r="I69" s="8" t="s">
        <v>14615</v>
      </c>
      <c r="J69" s="8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8" t="s">
        <v>10020</v>
      </c>
      <c r="E70" s="8"/>
      <c r="F70" s="8"/>
      <c r="H70" s="8"/>
      <c r="I70" s="8" t="s">
        <v>14618</v>
      </c>
      <c r="J70" s="8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8" t="s">
        <v>10020</v>
      </c>
      <c r="E71" s="8"/>
      <c r="F71" s="8"/>
      <c r="H71" s="8"/>
      <c r="I71" s="8" t="s">
        <v>14621</v>
      </c>
      <c r="J71" s="8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8" t="s">
        <v>10020</v>
      </c>
      <c r="E72" s="8"/>
      <c r="F72" s="8"/>
      <c r="H72" s="8"/>
      <c r="I72" s="8" t="s">
        <v>14624</v>
      </c>
      <c r="J72" s="8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8" t="s">
        <v>10020</v>
      </c>
      <c r="E73" s="8"/>
      <c r="F73" s="8"/>
      <c r="H73" s="8"/>
      <c r="I73" s="8" t="s">
        <v>14627</v>
      </c>
      <c r="J73" s="8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8" t="s">
        <v>10020</v>
      </c>
      <c r="E74" s="8"/>
      <c r="F74" s="8"/>
      <c r="H74" s="8"/>
      <c r="I74" s="8" t="s">
        <v>16935</v>
      </c>
      <c r="J74" s="8" t="s">
        <v>10066</v>
      </c>
      <c r="K74" t="s">
        <v>16936</v>
      </c>
      <c r="L74" t="s">
        <v>16937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8" t="s">
        <v>17481</v>
      </c>
      <c r="E75" s="8" t="s">
        <v>468</v>
      </c>
      <c r="F75" s="8"/>
      <c r="H75" s="8"/>
      <c r="I75" s="8" t="s">
        <v>16938</v>
      </c>
      <c r="J75" s="8" t="s">
        <v>10066</v>
      </c>
      <c r="K75" t="s">
        <v>16939</v>
      </c>
      <c r="L75" t="s">
        <v>16940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8" t="s">
        <v>17481</v>
      </c>
      <c r="E76" s="8" t="s">
        <v>468</v>
      </c>
      <c r="F76" s="8"/>
      <c r="H76" s="8"/>
      <c r="I76" s="8" t="s">
        <v>16941</v>
      </c>
      <c r="J76" s="8" t="s">
        <v>10066</v>
      </c>
      <c r="K76" t="s">
        <v>16942</v>
      </c>
      <c r="L76" t="s">
        <v>16943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8" t="s">
        <v>17481</v>
      </c>
      <c r="E77" s="8" t="s">
        <v>468</v>
      </c>
      <c r="F77" s="8"/>
      <c r="H77" s="8"/>
      <c r="I77" s="8" t="s">
        <v>16944</v>
      </c>
      <c r="J77" s="8" t="s">
        <v>10066</v>
      </c>
      <c r="K77" t="s">
        <v>16945</v>
      </c>
      <c r="L77" t="s">
        <v>16946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8" t="s">
        <v>17481</v>
      </c>
      <c r="E78" s="8" t="s">
        <v>468</v>
      </c>
      <c r="F78" s="8"/>
      <c r="H78" s="8"/>
      <c r="I78" s="8" t="s">
        <v>16947</v>
      </c>
      <c r="J78" s="8" t="s">
        <v>10066</v>
      </c>
      <c r="K78" t="s">
        <v>16948</v>
      </c>
      <c r="L78" t="s">
        <v>16949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8" t="s">
        <v>17481</v>
      </c>
      <c r="E79" s="8" t="s">
        <v>468</v>
      </c>
      <c r="F79" s="8"/>
      <c r="H79" s="8"/>
      <c r="I79" s="8" t="s">
        <v>16950</v>
      </c>
      <c r="J79" s="8" t="s">
        <v>10066</v>
      </c>
      <c r="K79" t="s">
        <v>16951</v>
      </c>
      <c r="L79" t="s">
        <v>16952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8" t="s">
        <v>17481</v>
      </c>
      <c r="E80" s="8" t="s">
        <v>468</v>
      </c>
      <c r="F80" s="8"/>
      <c r="H80" s="8"/>
      <c r="I80" s="8" t="s">
        <v>16953</v>
      </c>
      <c r="J80" s="8" t="s">
        <v>10066</v>
      </c>
      <c r="K80" t="s">
        <v>16954</v>
      </c>
      <c r="L80" t="s">
        <v>16955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8" t="s">
        <v>17481</v>
      </c>
      <c r="E81" s="8" t="s">
        <v>468</v>
      </c>
      <c r="F81" s="8"/>
      <c r="H81" s="8"/>
      <c r="I81" s="8" t="s">
        <v>16956</v>
      </c>
      <c r="J81" s="8" t="s">
        <v>10066</v>
      </c>
      <c r="K81" t="s">
        <v>16957</v>
      </c>
      <c r="L81" t="s">
        <v>16958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8" t="s">
        <v>17481</v>
      </c>
      <c r="E82" s="8" t="s">
        <v>468</v>
      </c>
      <c r="F82" s="8"/>
      <c r="H82" s="8"/>
      <c r="I82" s="8" t="s">
        <v>16959</v>
      </c>
      <c r="J82" s="8" t="s">
        <v>10066</v>
      </c>
      <c r="K82" t="s">
        <v>16960</v>
      </c>
      <c r="L82" t="s">
        <v>16961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8" t="s">
        <v>17481</v>
      </c>
      <c r="E83" s="8" t="s">
        <v>468</v>
      </c>
      <c r="F83" s="8"/>
      <c r="H83" s="8"/>
      <c r="I83" s="8" t="s">
        <v>16962</v>
      </c>
      <c r="J83" s="8" t="s">
        <v>10066</v>
      </c>
      <c r="K83" t="s">
        <v>16963</v>
      </c>
      <c r="L83" t="s">
        <v>16964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8" t="s">
        <v>17481</v>
      </c>
      <c r="E84" s="8" t="s">
        <v>468</v>
      </c>
      <c r="F84" s="8"/>
      <c r="H84" s="8"/>
      <c r="I84" s="8" t="s">
        <v>16965</v>
      </c>
      <c r="J84" s="8" t="s">
        <v>10066</v>
      </c>
      <c r="K84" t="s">
        <v>16966</v>
      </c>
      <c r="L84" t="s">
        <v>16967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8" t="s">
        <v>17481</v>
      </c>
      <c r="E85" s="8" t="s">
        <v>468</v>
      </c>
      <c r="F85" s="8"/>
      <c r="H85" s="8"/>
      <c r="I85" s="8" t="s">
        <v>16968</v>
      </c>
      <c r="J85" s="8" t="s">
        <v>10066</v>
      </c>
      <c r="K85" t="s">
        <v>16969</v>
      </c>
      <c r="L85" t="s">
        <v>16970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8" t="s">
        <v>17481</v>
      </c>
      <c r="E86" s="8" t="s">
        <v>468</v>
      </c>
      <c r="F86" s="8"/>
      <c r="H86" s="8"/>
      <c r="I86" s="8" t="s">
        <v>16971</v>
      </c>
      <c r="J86" s="8" t="s">
        <v>10066</v>
      </c>
      <c r="K86" t="s">
        <v>16972</v>
      </c>
      <c r="L86" t="s">
        <v>16973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8" t="s">
        <v>10020</v>
      </c>
      <c r="E87" s="8"/>
      <c r="F87" s="8"/>
      <c r="H87" s="8"/>
      <c r="I87" s="8" t="s">
        <v>16974</v>
      </c>
      <c r="J87" s="8" t="s">
        <v>10066</v>
      </c>
      <c r="K87" t="s">
        <v>16975</v>
      </c>
      <c r="L87" t="s">
        <v>16976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8" t="s">
        <v>10020</v>
      </c>
      <c r="E88" s="8"/>
      <c r="F88" s="8"/>
      <c r="H88" s="8"/>
      <c r="I88" s="8" t="s">
        <v>16977</v>
      </c>
      <c r="J88" s="8" t="s">
        <v>10066</v>
      </c>
      <c r="K88" t="s">
        <v>16978</v>
      </c>
      <c r="L88" t="s">
        <v>16979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8" t="s">
        <v>10020</v>
      </c>
      <c r="E89" s="8"/>
      <c r="F89" s="8"/>
      <c r="H89" s="8"/>
      <c r="I89" s="8" t="s">
        <v>16980</v>
      </c>
      <c r="J89" s="8" t="s">
        <v>10066</v>
      </c>
      <c r="K89" t="s">
        <v>16981</v>
      </c>
      <c r="L89" t="s">
        <v>16982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8" t="s">
        <v>4</v>
      </c>
      <c r="E90" s="8" t="s">
        <v>8</v>
      </c>
      <c r="F90" s="8"/>
      <c r="H90" s="8"/>
      <c r="I90" s="8" t="s">
        <v>16983</v>
      </c>
      <c r="J90" s="8" t="s">
        <v>10066</v>
      </c>
      <c r="K90" t="s">
        <v>16984</v>
      </c>
      <c r="L90" t="s">
        <v>16985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8" t="s">
        <v>10020</v>
      </c>
      <c r="E91" s="8"/>
      <c r="F91" s="8"/>
      <c r="H91" s="8"/>
      <c r="I91" s="8" t="s">
        <v>16986</v>
      </c>
      <c r="J91" s="8" t="s">
        <v>10066</v>
      </c>
      <c r="K91" t="s">
        <v>16987</v>
      </c>
      <c r="L91" t="s">
        <v>16988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8" t="s">
        <v>10020</v>
      </c>
      <c r="E92" s="8"/>
      <c r="F92" s="8"/>
      <c r="H92" s="8"/>
      <c r="I92" s="8" t="s">
        <v>16989</v>
      </c>
      <c r="J92" s="8" t="s">
        <v>10066</v>
      </c>
      <c r="K92" t="s">
        <v>16990</v>
      </c>
      <c r="L92" t="s">
        <v>16991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8" t="s">
        <v>10020</v>
      </c>
      <c r="E93" s="8"/>
      <c r="F93" s="8"/>
      <c r="H93" s="8"/>
      <c r="I93" s="8" t="s">
        <v>16992</v>
      </c>
      <c r="J93" s="8" t="s">
        <v>10066</v>
      </c>
      <c r="K93" t="s">
        <v>16993</v>
      </c>
      <c r="L93" t="s">
        <v>16994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8" t="s">
        <v>10020</v>
      </c>
      <c r="E94" s="8"/>
      <c r="F94" s="8"/>
      <c r="H94" s="8"/>
      <c r="I94" s="8" t="s">
        <v>16995</v>
      </c>
      <c r="J94" s="8" t="s">
        <v>10066</v>
      </c>
      <c r="K94" t="s">
        <v>16996</v>
      </c>
      <c r="L94" t="s">
        <v>16997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8" t="s">
        <v>10020</v>
      </c>
      <c r="E95" s="8"/>
      <c r="F95" s="8"/>
      <c r="H95" s="8"/>
      <c r="I95" s="8" t="s">
        <v>16998</v>
      </c>
      <c r="J95" s="8" t="s">
        <v>10066</v>
      </c>
      <c r="K95" t="s">
        <v>16999</v>
      </c>
      <c r="L95" t="s">
        <v>17000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8" t="s">
        <v>4</v>
      </c>
      <c r="E96" s="8" t="s">
        <v>8</v>
      </c>
      <c r="F96" s="8"/>
      <c r="H96" s="8"/>
      <c r="I96" s="8" t="s">
        <v>17001</v>
      </c>
      <c r="J96" s="8" t="s">
        <v>10066</v>
      </c>
      <c r="K96" t="s">
        <v>17002</v>
      </c>
      <c r="L96" t="s">
        <v>17003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8" t="s">
        <v>10020</v>
      </c>
      <c r="E97" s="8"/>
      <c r="F97" s="8"/>
      <c r="H97" s="8"/>
      <c r="I97" s="8" t="s">
        <v>17004</v>
      </c>
      <c r="J97" s="8" t="s">
        <v>10066</v>
      </c>
      <c r="K97" t="s">
        <v>17005</v>
      </c>
      <c r="L97" t="s">
        <v>17006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8" t="s">
        <v>10020</v>
      </c>
      <c r="E98" s="8"/>
      <c r="F98" s="8"/>
      <c r="H98" s="8"/>
      <c r="I98" s="8" t="s">
        <v>17007</v>
      </c>
      <c r="J98" s="8" t="s">
        <v>10066</v>
      </c>
      <c r="K98" t="s">
        <v>17008</v>
      </c>
      <c r="L98" t="s">
        <v>17009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8" t="s">
        <v>10020</v>
      </c>
      <c r="E99" s="8"/>
      <c r="F99" s="8"/>
      <c r="H99" s="8"/>
      <c r="I99" s="8" t="s">
        <v>17010</v>
      </c>
      <c r="J99" s="8" t="s">
        <v>10066</v>
      </c>
      <c r="K99" t="s">
        <v>17011</v>
      </c>
      <c r="L99" t="s">
        <v>17012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8" t="s">
        <v>4</v>
      </c>
      <c r="E100" s="8" t="s">
        <v>8</v>
      </c>
      <c r="F100" s="8"/>
      <c r="H100" s="8"/>
      <c r="I100" s="8" t="s">
        <v>17013</v>
      </c>
      <c r="J100" s="8" t="s">
        <v>10066</v>
      </c>
      <c r="K100" t="s">
        <v>17014</v>
      </c>
      <c r="L100" t="s">
        <v>17015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8" t="s">
        <v>10020</v>
      </c>
      <c r="E101" s="8"/>
      <c r="F101" s="8"/>
      <c r="H101" s="8"/>
      <c r="I101" s="8" t="s">
        <v>17016</v>
      </c>
      <c r="J101" s="8" t="s">
        <v>10066</v>
      </c>
      <c r="K101" t="s">
        <v>17017</v>
      </c>
      <c r="L101" t="s">
        <v>17018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8" t="s">
        <v>4</v>
      </c>
      <c r="E102" s="8" t="s">
        <v>8</v>
      </c>
      <c r="F102" s="8"/>
      <c r="H102" s="8"/>
      <c r="I102" s="8" t="s">
        <v>17019</v>
      </c>
      <c r="J102" s="8" t="s">
        <v>10066</v>
      </c>
      <c r="K102" t="s">
        <v>17020</v>
      </c>
      <c r="L102" t="s">
        <v>17021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8" t="s">
        <v>10020</v>
      </c>
      <c r="E103" s="8"/>
      <c r="F103" s="8"/>
      <c r="H103" s="8"/>
      <c r="I103" s="8" t="s">
        <v>17022</v>
      </c>
      <c r="J103" s="8" t="s">
        <v>10066</v>
      </c>
      <c r="K103" t="s">
        <v>17023</v>
      </c>
      <c r="L103" t="s">
        <v>17024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8" t="s">
        <v>10020</v>
      </c>
      <c r="E104" s="8"/>
      <c r="F104" s="8"/>
      <c r="H104" s="8"/>
      <c r="I104" s="8" t="s">
        <v>17025</v>
      </c>
      <c r="J104" s="8" t="s">
        <v>10066</v>
      </c>
      <c r="K104" t="s">
        <v>17026</v>
      </c>
      <c r="L104" t="s">
        <v>17027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8" t="s">
        <v>10020</v>
      </c>
      <c r="E105" s="8"/>
      <c r="F105" s="8"/>
      <c r="H105" s="8"/>
      <c r="I105" s="8" t="s">
        <v>17028</v>
      </c>
      <c r="J105" s="8" t="s">
        <v>10066</v>
      </c>
      <c r="K105" t="s">
        <v>17029</v>
      </c>
      <c r="L105" t="s">
        <v>17030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8" t="s">
        <v>10020</v>
      </c>
      <c r="E106" s="8"/>
      <c r="F106" s="8"/>
      <c r="H106" s="8"/>
      <c r="I106" s="8" t="s">
        <v>17031</v>
      </c>
      <c r="J106" s="8" t="s">
        <v>10066</v>
      </c>
      <c r="K106" t="s">
        <v>17032</v>
      </c>
      <c r="L106" t="s">
        <v>17033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8" t="s">
        <v>10020</v>
      </c>
      <c r="E107" s="8"/>
      <c r="F107" s="8"/>
      <c r="H107" s="8"/>
      <c r="I107" s="8" t="s">
        <v>17034</v>
      </c>
      <c r="J107" s="8" t="s">
        <v>10066</v>
      </c>
      <c r="K107" t="s">
        <v>17035</v>
      </c>
      <c r="L107" t="s">
        <v>17036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8" t="s">
        <v>10020</v>
      </c>
      <c r="E108" s="8"/>
      <c r="F108" s="8"/>
      <c r="H108" s="8"/>
      <c r="I108" s="8" t="s">
        <v>17037</v>
      </c>
      <c r="J108" s="8" t="s">
        <v>10066</v>
      </c>
      <c r="K108" t="s">
        <v>17038</v>
      </c>
      <c r="L108" t="s">
        <v>17039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8" t="s">
        <v>10020</v>
      </c>
      <c r="E109" s="8"/>
      <c r="F109" s="8"/>
      <c r="H109" s="8"/>
      <c r="I109" s="8" t="s">
        <v>17040</v>
      </c>
      <c r="J109" s="8" t="s">
        <v>10066</v>
      </c>
      <c r="K109" t="s">
        <v>17041</v>
      </c>
      <c r="L109" t="s">
        <v>17042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8" t="s">
        <v>10020</v>
      </c>
      <c r="E110" s="8"/>
      <c r="F110" s="8"/>
      <c r="H110" s="8"/>
      <c r="I110" s="8" t="s">
        <v>17043</v>
      </c>
      <c r="J110" s="8" t="s">
        <v>10066</v>
      </c>
      <c r="K110" t="s">
        <v>17044</v>
      </c>
      <c r="L110" t="s">
        <v>17045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8" t="s">
        <v>4</v>
      </c>
      <c r="E111" s="8" t="s">
        <v>8</v>
      </c>
      <c r="F111" s="8"/>
      <c r="H111" s="8"/>
      <c r="I111" s="8" t="s">
        <v>17046</v>
      </c>
      <c r="J111" s="8" t="s">
        <v>10066</v>
      </c>
      <c r="K111" t="s">
        <v>17047</v>
      </c>
      <c r="L111" t="s">
        <v>17048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8" t="s">
        <v>4</v>
      </c>
      <c r="E112" s="8" t="s">
        <v>8</v>
      </c>
      <c r="F112" s="8"/>
      <c r="H112" s="8"/>
      <c r="I112" s="8" t="s">
        <v>17049</v>
      </c>
      <c r="J112" s="8" t="s">
        <v>10066</v>
      </c>
      <c r="K112" t="s">
        <v>17050</v>
      </c>
      <c r="L112" t="s">
        <v>17051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8" t="s">
        <v>1607</v>
      </c>
      <c r="E113" s="8" t="s">
        <v>8</v>
      </c>
      <c r="F113" s="8"/>
      <c r="H113" s="8"/>
      <c r="I113" s="8" t="s">
        <v>17052</v>
      </c>
      <c r="J113" s="8" t="s">
        <v>10066</v>
      </c>
      <c r="K113" t="s">
        <v>17053</v>
      </c>
      <c r="L113" t="s">
        <v>17054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8" t="s">
        <v>4</v>
      </c>
      <c r="E114" s="8" t="s">
        <v>8</v>
      </c>
      <c r="F114" s="8"/>
      <c r="H114" s="8"/>
      <c r="I114" s="8" t="s">
        <v>17733</v>
      </c>
      <c r="J114" s="8" t="s">
        <v>10066</v>
      </c>
      <c r="K114" t="s">
        <v>17734</v>
      </c>
      <c r="L114" t="s">
        <v>17735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8" t="s">
        <v>91</v>
      </c>
      <c r="E115" s="8" t="s">
        <v>17898</v>
      </c>
      <c r="F115" s="8"/>
      <c r="H115" s="8"/>
      <c r="I115" s="8" t="s">
        <v>17736</v>
      </c>
      <c r="J115" s="8" t="s">
        <v>10066</v>
      </c>
      <c r="K115" t="s">
        <v>17737</v>
      </c>
      <c r="L115" t="s">
        <v>17738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8" t="s">
        <v>1607</v>
      </c>
      <c r="E116" s="8" t="s">
        <v>8</v>
      </c>
      <c r="F116" s="8"/>
      <c r="H116" s="8"/>
      <c r="I116" s="8" t="s">
        <v>17739</v>
      </c>
      <c r="J116" s="8" t="s">
        <v>10066</v>
      </c>
      <c r="K116" t="s">
        <v>17740</v>
      </c>
      <c r="L116" t="s">
        <v>17741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8" t="s">
        <v>4</v>
      </c>
      <c r="E117" s="8" t="s">
        <v>8</v>
      </c>
      <c r="F117" s="8"/>
      <c r="H117" s="8"/>
      <c r="I117" s="8" t="s">
        <v>18265</v>
      </c>
      <c r="J117" s="8" t="s">
        <v>10066</v>
      </c>
      <c r="K117" t="s">
        <v>18266</v>
      </c>
      <c r="L117" t="s">
        <v>18267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8" t="s">
        <v>1607</v>
      </c>
      <c r="E118" s="8" t="s">
        <v>8</v>
      </c>
      <c r="F118" s="8"/>
      <c r="H118" s="8"/>
      <c r="I118" s="8" t="s">
        <v>18268</v>
      </c>
      <c r="J118" s="8" t="s">
        <v>10066</v>
      </c>
      <c r="K118" t="s">
        <v>18269</v>
      </c>
      <c r="L118" t="s">
        <v>18270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8" t="s">
        <v>1607</v>
      </c>
      <c r="E119" s="8" t="s">
        <v>8</v>
      </c>
      <c r="F119" s="8"/>
      <c r="H119" s="8"/>
      <c r="I119" s="8" t="s">
        <v>18271</v>
      </c>
      <c r="J119" s="8" t="s">
        <v>10066</v>
      </c>
      <c r="K119" t="s">
        <v>18272</v>
      </c>
      <c r="L119" t="s">
        <v>18273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8" t="s">
        <v>4</v>
      </c>
      <c r="E120" s="8" t="s">
        <v>8</v>
      </c>
      <c r="F120" s="8"/>
      <c r="H120" s="8"/>
      <c r="I120" s="8" t="s">
        <v>18663</v>
      </c>
      <c r="J120" s="8" t="s">
        <v>10066</v>
      </c>
      <c r="K120" t="s">
        <v>18664</v>
      </c>
      <c r="L120" t="s">
        <v>18665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8" t="s">
        <v>1273</v>
      </c>
      <c r="E121" s="8" t="s">
        <v>70</v>
      </c>
      <c r="F121" s="8"/>
      <c r="H121" s="8"/>
      <c r="I121" s="8" t="s">
        <v>18666</v>
      </c>
      <c r="J121" s="8" t="s">
        <v>10066</v>
      </c>
      <c r="K121" t="s">
        <v>18667</v>
      </c>
      <c r="L121" t="s">
        <v>18668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8" t="s">
        <v>227</v>
      </c>
      <c r="E122" s="8" t="s">
        <v>70</v>
      </c>
      <c r="F122" s="8" t="s">
        <v>18883</v>
      </c>
      <c r="H122" s="8"/>
      <c r="I122" s="8" t="s">
        <v>18669</v>
      </c>
      <c r="J122" s="8" t="s">
        <v>10066</v>
      </c>
      <c r="K122" t="s">
        <v>18670</v>
      </c>
      <c r="L122" t="s">
        <v>18671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8" t="s">
        <v>227</v>
      </c>
      <c r="E123" s="8" t="s">
        <v>70</v>
      </c>
      <c r="F123" s="8" t="s">
        <v>18883</v>
      </c>
      <c r="H123" s="8"/>
      <c r="I123" s="8" t="s">
        <v>18672</v>
      </c>
      <c r="J123" s="8" t="s">
        <v>10066</v>
      </c>
      <c r="K123" t="s">
        <v>18673</v>
      </c>
      <c r="L123" t="s">
        <v>18674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8" t="s">
        <v>227</v>
      </c>
      <c r="E124" s="8" t="s">
        <v>70</v>
      </c>
      <c r="F124" s="8" t="s">
        <v>18883</v>
      </c>
      <c r="H124" s="8"/>
      <c r="I124" s="8" t="s">
        <v>18675</v>
      </c>
      <c r="J124" s="8" t="s">
        <v>10066</v>
      </c>
      <c r="K124" t="s">
        <v>18676</v>
      </c>
      <c r="L124" t="s">
        <v>18677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8" t="s">
        <v>227</v>
      </c>
      <c r="E125" s="8" t="s">
        <v>70</v>
      </c>
      <c r="F125" s="8" t="s">
        <v>18883</v>
      </c>
      <c r="H125" s="8"/>
      <c r="I125" s="8" t="s">
        <v>18678</v>
      </c>
      <c r="J125" s="8" t="s">
        <v>10066</v>
      </c>
      <c r="K125" t="s">
        <v>18679</v>
      </c>
      <c r="L125" t="s">
        <v>18680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8" t="s">
        <v>227</v>
      </c>
      <c r="E126" s="8" t="s">
        <v>70</v>
      </c>
      <c r="F126" s="8" t="s">
        <v>18883</v>
      </c>
      <c r="H126" s="8"/>
      <c r="I126" s="8" t="s">
        <v>18681</v>
      </c>
      <c r="J126" s="8" t="s">
        <v>10066</v>
      </c>
      <c r="K126" t="s">
        <v>18682</v>
      </c>
      <c r="L126" t="s">
        <v>18683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8" t="s">
        <v>227</v>
      </c>
      <c r="E127" s="8" t="s">
        <v>70</v>
      </c>
      <c r="F127" s="8" t="s">
        <v>18883</v>
      </c>
      <c r="H127" s="8"/>
      <c r="I127" s="8" t="s">
        <v>18684</v>
      </c>
      <c r="J127" s="8" t="s">
        <v>10066</v>
      </c>
      <c r="K127" t="s">
        <v>18685</v>
      </c>
      <c r="L127" t="s">
        <v>18686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8" t="s">
        <v>227</v>
      </c>
      <c r="E128" s="8" t="s">
        <v>70</v>
      </c>
      <c r="F128" s="8" t="s">
        <v>18883</v>
      </c>
      <c r="H128" s="8"/>
      <c r="I128" s="8" t="s">
        <v>18687</v>
      </c>
      <c r="J128" s="8" t="s">
        <v>10066</v>
      </c>
      <c r="K128" t="s">
        <v>18688</v>
      </c>
      <c r="L128" t="s">
        <v>18689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8" t="s">
        <v>227</v>
      </c>
      <c r="E129" s="8" t="s">
        <v>70</v>
      </c>
      <c r="F129" s="8" t="s">
        <v>18883</v>
      </c>
      <c r="H129" s="8"/>
      <c r="I129" s="8" t="s">
        <v>18690</v>
      </c>
      <c r="J129" s="8" t="s">
        <v>10066</v>
      </c>
      <c r="K129" t="s">
        <v>18691</v>
      </c>
      <c r="L129" t="s">
        <v>18692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8" t="s">
        <v>227</v>
      </c>
      <c r="E130" s="8" t="s">
        <v>70</v>
      </c>
      <c r="F130" s="8" t="s">
        <v>18883</v>
      </c>
      <c r="H130" s="8"/>
      <c r="I130" s="8" t="s">
        <v>18693</v>
      </c>
      <c r="J130" s="8" t="s">
        <v>10066</v>
      </c>
      <c r="K130" t="s">
        <v>18694</v>
      </c>
      <c r="L130" t="s">
        <v>18695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8" t="s">
        <v>227</v>
      </c>
      <c r="E131" s="8" t="s">
        <v>70</v>
      </c>
      <c r="F131" s="8" t="s">
        <v>18883</v>
      </c>
      <c r="H131" s="8"/>
      <c r="I131" s="8" t="s">
        <v>18696</v>
      </c>
      <c r="J131" s="8" t="s">
        <v>10066</v>
      </c>
      <c r="K131" t="s">
        <v>18697</v>
      </c>
      <c r="L131" t="s">
        <v>18698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8" t="s">
        <v>227</v>
      </c>
      <c r="E132" s="8" t="s">
        <v>70</v>
      </c>
      <c r="F132" s="8" t="s">
        <v>18883</v>
      </c>
      <c r="H132" s="8"/>
      <c r="I132" s="8" t="s">
        <v>18699</v>
      </c>
      <c r="J132" s="8" t="s">
        <v>10066</v>
      </c>
      <c r="K132" t="s">
        <v>18700</v>
      </c>
      <c r="L132" t="s">
        <v>18701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8" t="s">
        <v>227</v>
      </c>
      <c r="E133" s="8" t="s">
        <v>70</v>
      </c>
      <c r="F133" s="8" t="s">
        <v>18883</v>
      </c>
      <c r="H133" s="8"/>
      <c r="I133" s="8" t="s">
        <v>18702</v>
      </c>
      <c r="J133" s="8" t="s">
        <v>10066</v>
      </c>
      <c r="K133" t="s">
        <v>18703</v>
      </c>
      <c r="L133" t="s">
        <v>18704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8" t="s">
        <v>4099</v>
      </c>
      <c r="E134" s="8"/>
      <c r="F134" s="8"/>
      <c r="H134" s="8"/>
      <c r="I134" s="8" t="s">
        <v>18705</v>
      </c>
      <c r="J134" s="8" t="s">
        <v>10066</v>
      </c>
      <c r="K134" t="s">
        <v>18706</v>
      </c>
      <c r="L134" t="s">
        <v>18707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8" t="s">
        <v>62</v>
      </c>
      <c r="E135" s="8" t="s">
        <v>70</v>
      </c>
      <c r="F135" s="8" t="s">
        <v>51</v>
      </c>
      <c r="H135" s="8"/>
      <c r="I135" s="8" t="s">
        <v>18708</v>
      </c>
      <c r="J135" s="8" t="s">
        <v>10066</v>
      </c>
      <c r="K135" t="s">
        <v>18709</v>
      </c>
      <c r="L135" t="s">
        <v>18710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8" t="s">
        <v>227</v>
      </c>
      <c r="E136" s="8" t="s">
        <v>18867</v>
      </c>
      <c r="F136" s="8" t="s">
        <v>18883</v>
      </c>
      <c r="H136" s="8"/>
      <c r="I136" s="8" t="s">
        <v>18711</v>
      </c>
      <c r="J136" s="8" t="s">
        <v>10066</v>
      </c>
      <c r="K136" t="s">
        <v>18712</v>
      </c>
      <c r="L136" t="s">
        <v>18713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8" t="s">
        <v>227</v>
      </c>
      <c r="E137" s="8" t="s">
        <v>18867</v>
      </c>
      <c r="F137" s="8" t="s">
        <v>18883</v>
      </c>
      <c r="H137" s="8"/>
      <c r="I137" s="8" t="s">
        <v>18714</v>
      </c>
      <c r="J137" s="8" t="s">
        <v>10066</v>
      </c>
      <c r="K137" t="s">
        <v>18715</v>
      </c>
      <c r="L137" t="s">
        <v>18716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8" t="s">
        <v>227</v>
      </c>
      <c r="E138" s="8" t="s">
        <v>18867</v>
      </c>
      <c r="F138" s="8" t="s">
        <v>18883</v>
      </c>
      <c r="H138" s="8"/>
      <c r="I138" s="8" t="s">
        <v>18717</v>
      </c>
      <c r="J138" s="8" t="s">
        <v>10066</v>
      </c>
      <c r="K138" t="s">
        <v>18718</v>
      </c>
      <c r="L138" t="s">
        <v>18719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8" t="s">
        <v>227</v>
      </c>
      <c r="E139" s="8" t="s">
        <v>18867</v>
      </c>
      <c r="F139" s="8" t="s">
        <v>18883</v>
      </c>
      <c r="H139" s="8"/>
      <c r="I139" s="8" t="s">
        <v>18720</v>
      </c>
      <c r="J139" s="8" t="s">
        <v>10066</v>
      </c>
      <c r="K139" t="s">
        <v>18721</v>
      </c>
      <c r="L139" t="s">
        <v>18722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8" t="s">
        <v>227</v>
      </c>
      <c r="E140" s="8" t="s">
        <v>18867</v>
      </c>
      <c r="F140" s="8" t="s">
        <v>18883</v>
      </c>
      <c r="H140" s="8"/>
      <c r="I140" s="8" t="s">
        <v>18723</v>
      </c>
      <c r="J140" s="8" t="s">
        <v>10066</v>
      </c>
      <c r="K140" t="s">
        <v>18724</v>
      </c>
      <c r="L140" t="s">
        <v>18725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8" t="s">
        <v>227</v>
      </c>
      <c r="E141" s="8" t="s">
        <v>18867</v>
      </c>
      <c r="F141" s="8" t="s">
        <v>18883</v>
      </c>
      <c r="H141" s="8"/>
      <c r="I141" s="8" t="s">
        <v>18726</v>
      </c>
      <c r="J141" s="8" t="s">
        <v>10066</v>
      </c>
      <c r="K141" t="s">
        <v>18727</v>
      </c>
      <c r="L141" t="s">
        <v>18728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8" t="s">
        <v>227</v>
      </c>
      <c r="E142" s="8" t="s">
        <v>18867</v>
      </c>
      <c r="F142" s="8" t="s">
        <v>18883</v>
      </c>
      <c r="H142" s="8"/>
      <c r="I142" s="8" t="s">
        <v>18729</v>
      </c>
      <c r="J142" s="8" t="s">
        <v>10066</v>
      </c>
      <c r="K142" t="s">
        <v>18730</v>
      </c>
      <c r="L142" t="s">
        <v>18731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8" t="s">
        <v>227</v>
      </c>
      <c r="E143" s="8" t="s">
        <v>18867</v>
      </c>
      <c r="F143" s="8" t="s">
        <v>18883</v>
      </c>
      <c r="H143" s="8"/>
      <c r="I143" s="8" t="s">
        <v>18732</v>
      </c>
      <c r="J143" s="8" t="s">
        <v>10066</v>
      </c>
      <c r="K143" t="s">
        <v>18733</v>
      </c>
      <c r="L143" t="s">
        <v>18734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8" t="s">
        <v>227</v>
      </c>
      <c r="E144" s="8" t="s">
        <v>18867</v>
      </c>
      <c r="F144" s="8" t="s">
        <v>18883</v>
      </c>
      <c r="H144" s="8"/>
      <c r="I144" s="8" t="s">
        <v>18735</v>
      </c>
      <c r="J144" s="8" t="s">
        <v>10066</v>
      </c>
      <c r="K144" t="s">
        <v>18736</v>
      </c>
      <c r="L144" t="s">
        <v>18737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8" t="s">
        <v>227</v>
      </c>
      <c r="E145" s="8" t="s">
        <v>18867</v>
      </c>
      <c r="F145" s="8" t="s">
        <v>18883</v>
      </c>
      <c r="H145" s="8"/>
      <c r="I145" s="8" t="s">
        <v>18738</v>
      </c>
      <c r="J145" s="8" t="s">
        <v>10066</v>
      </c>
      <c r="K145" t="s">
        <v>18739</v>
      </c>
      <c r="L145" t="s">
        <v>18740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8" t="s">
        <v>227</v>
      </c>
      <c r="E146" s="8" t="s">
        <v>18867</v>
      </c>
      <c r="F146" s="8" t="s">
        <v>18883</v>
      </c>
      <c r="H146" s="8"/>
      <c r="I146" s="8" t="s">
        <v>18741</v>
      </c>
      <c r="J146" s="8" t="s">
        <v>10066</v>
      </c>
      <c r="K146" t="s">
        <v>18742</v>
      </c>
      <c r="L146" t="s">
        <v>18743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8" t="s">
        <v>227</v>
      </c>
      <c r="E147" s="8" t="s">
        <v>18867</v>
      </c>
      <c r="F147" s="8" t="s">
        <v>18883</v>
      </c>
      <c r="H147" s="8"/>
      <c r="I147" s="8" t="s">
        <v>18744</v>
      </c>
      <c r="J147" s="8" t="s">
        <v>10066</v>
      </c>
      <c r="K147" t="s">
        <v>18745</v>
      </c>
      <c r="L147" t="s">
        <v>18746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8" t="s">
        <v>227</v>
      </c>
      <c r="E148" s="8" t="s">
        <v>18867</v>
      </c>
      <c r="F148" s="8" t="s">
        <v>18883</v>
      </c>
      <c r="H148" s="8"/>
      <c r="I148" s="8" t="s">
        <v>18747</v>
      </c>
      <c r="J148" s="8" t="s">
        <v>10066</v>
      </c>
      <c r="K148" t="s">
        <v>18748</v>
      </c>
      <c r="L148" t="s">
        <v>18749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8" t="s">
        <v>62</v>
      </c>
      <c r="E149" s="8" t="s">
        <v>18867</v>
      </c>
      <c r="F149" s="8" t="s">
        <v>51</v>
      </c>
      <c r="H149" s="8"/>
      <c r="I149" s="8" t="s">
        <v>18750</v>
      </c>
      <c r="J149" s="8" t="s">
        <v>10066</v>
      </c>
      <c r="K149" t="s">
        <v>18751</v>
      </c>
      <c r="L149" t="s">
        <v>18752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8" t="s">
        <v>7</v>
      </c>
      <c r="E150" s="8"/>
      <c r="F150" s="8"/>
      <c r="H150" s="8"/>
      <c r="I150" s="8" t="s">
        <v>18753</v>
      </c>
      <c r="J150" s="8" t="s">
        <v>10066</v>
      </c>
      <c r="K150" t="s">
        <v>18754</v>
      </c>
      <c r="L150" t="s">
        <v>18755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8" t="s">
        <v>4</v>
      </c>
      <c r="E151" s="8" t="s">
        <v>8</v>
      </c>
      <c r="F151" s="8"/>
      <c r="H151" s="8"/>
      <c r="I151" s="8" t="s">
        <v>18756</v>
      </c>
      <c r="J151" s="8" t="s">
        <v>10066</v>
      </c>
      <c r="K151" t="s">
        <v>18757</v>
      </c>
      <c r="L151" t="s">
        <v>18758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8" t="s">
        <v>4</v>
      </c>
      <c r="E152" s="8" t="s">
        <v>8</v>
      </c>
      <c r="F152" s="8"/>
      <c r="H152" s="8"/>
      <c r="I152" s="8" t="s">
        <v>19243</v>
      </c>
      <c r="J152" s="8" t="s">
        <v>10066</v>
      </c>
      <c r="K152" t="s">
        <v>19244</v>
      </c>
      <c r="L152" t="s">
        <v>19245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8" t="s">
        <v>10020</v>
      </c>
      <c r="E153" s="8"/>
      <c r="F153" s="8"/>
      <c r="H153" s="8"/>
      <c r="I153" s="8" t="s">
        <v>19246</v>
      </c>
      <c r="J153" s="8" t="s">
        <v>10066</v>
      </c>
      <c r="K153" t="s">
        <v>19247</v>
      </c>
      <c r="L153" t="s">
        <v>19248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8" t="s">
        <v>10020</v>
      </c>
      <c r="E154" s="8"/>
      <c r="F154" s="8"/>
      <c r="H154" s="8"/>
      <c r="I154" s="8" t="s">
        <v>19249</v>
      </c>
      <c r="J154" s="8" t="s">
        <v>10066</v>
      </c>
      <c r="K154" t="s">
        <v>19250</v>
      </c>
      <c r="L154" t="s">
        <v>19251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8" t="s">
        <v>62</v>
      </c>
      <c r="E155" s="8" t="s">
        <v>19391</v>
      </c>
      <c r="F155" s="8" t="s">
        <v>60</v>
      </c>
      <c r="H155" s="8"/>
      <c r="I155" s="8" t="s">
        <v>19252</v>
      </c>
      <c r="J155" s="8" t="s">
        <v>10066</v>
      </c>
      <c r="K155" t="s">
        <v>19253</v>
      </c>
      <c r="L155" t="s">
        <v>19254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8" t="s">
        <v>4</v>
      </c>
      <c r="E156" s="8" t="s">
        <v>8</v>
      </c>
      <c r="F156" s="8"/>
      <c r="H156" s="8"/>
      <c r="I156" s="8" t="s">
        <v>19255</v>
      </c>
      <c r="J156" s="8" t="s">
        <v>10066</v>
      </c>
      <c r="K156" t="s">
        <v>19256</v>
      </c>
      <c r="L156" t="s">
        <v>19257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8" t="s">
        <v>10020</v>
      </c>
      <c r="E157" s="8"/>
      <c r="F157" s="8"/>
      <c r="H157" s="8"/>
      <c r="I157" s="8" t="s">
        <v>19258</v>
      </c>
      <c r="J157" s="8" t="s">
        <v>10066</v>
      </c>
      <c r="K157" t="s">
        <v>19259</v>
      </c>
      <c r="L157" t="s">
        <v>19260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8" t="s">
        <v>10020</v>
      </c>
      <c r="E158" s="8"/>
      <c r="F158" s="8"/>
      <c r="H158" s="8"/>
      <c r="I158" s="8" t="s">
        <v>19261</v>
      </c>
      <c r="J158" s="8" t="s">
        <v>10066</v>
      </c>
      <c r="K158" t="s">
        <v>19262</v>
      </c>
      <c r="L158" t="s">
        <v>19263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8" t="s">
        <v>10020</v>
      </c>
      <c r="E159" s="8"/>
      <c r="F159" s="8"/>
      <c r="H159" s="8"/>
      <c r="I159" s="8" t="s">
        <v>19264</v>
      </c>
      <c r="J159" s="8" t="s">
        <v>10066</v>
      </c>
      <c r="K159" t="s">
        <v>19265</v>
      </c>
      <c r="L159" t="s">
        <v>19266</v>
      </c>
      <c r="M159" s="2" t="str">
        <f>HYPERLINK(склад2въезд131920212223789106[[#This Row],[RelativePath]])</f>
        <v>14 На гаражи\GD7678666_1_20260313T195459Z.jpg</v>
      </c>
    </row>
  </sheetData>
  <conditionalFormatting sqref="D160:D170 E160:E173 D2:E159 G2:H159">
    <cfRule type="containsText" dxfId="692" priority="14" operator="containsText" text="Выезд с территории">
      <formula>NOT(ISERROR(SEARCH("Выезд с территории",D2)))</formula>
    </cfRule>
  </conditionalFormatting>
  <conditionalFormatting sqref="F2:F159">
    <cfRule type="notContainsText" dxfId="691" priority="13" operator="notContains" text="порожний">
      <formula>ISERROR(SEARCH("порожний",F2))</formula>
    </cfRule>
  </conditionalFormatting>
  <conditionalFormatting sqref="E2:E173">
    <cfRule type="containsText" dxfId="690" priority="11" operator="containsText" text="Газель базы">
      <formula>NOT(ISERROR(SEARCH("Газель базы",E2)))</formula>
    </cfRule>
    <cfRule type="containsText" dxfId="689" priority="12" operator="containsText" text="Погрузчик базы">
      <formula>NOT(ISERROR(SEARCH("Погрузчик базы",E2)))</formula>
    </cfRule>
  </conditionalFormatting>
  <conditionalFormatting sqref="E2:E173">
    <cfRule type="containsText" dxfId="688" priority="10" operator="containsText" text="Трактор базы">
      <formula>NOT(ISERROR(SEARCH("Трактор базы",E2)))</formula>
    </cfRule>
  </conditionalFormatting>
  <conditionalFormatting sqref="A2:C159">
    <cfRule type="expression" dxfId="687" priority="9">
      <formula>$A2="пн"</formula>
    </cfRule>
  </conditionalFormatting>
  <conditionalFormatting sqref="A2:C161">
    <cfRule type="expression" dxfId="686" priority="3">
      <formula>$A2="вс"</formula>
    </cfRule>
    <cfRule type="expression" dxfId="685" priority="4">
      <formula>$A2="сб"</formula>
    </cfRule>
    <cfRule type="expression" dxfId="684" priority="5">
      <formula>$A2="пт"</formula>
    </cfRule>
    <cfRule type="expression" dxfId="683" priority="6">
      <formula>$A2="чт"</formula>
    </cfRule>
    <cfRule type="expression" dxfId="682" priority="7">
      <formula>$A2="ср"</formula>
    </cfRule>
    <cfRule type="expression" dxfId="681" priority="8">
      <formula>$A2="вт"</formula>
    </cfRule>
  </conditionalFormatting>
  <conditionalFormatting sqref="D2:D170">
    <cfRule type="containsText" dxfId="68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0">
    <cfRule type="containsText" dxfId="67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83"/>
  <sheetViews>
    <sheetView zoomScale="90" zoomScaleNormal="90" workbookViewId="0">
      <pane ySplit="1" topLeftCell="A59" activePane="bottomLeft" state="frozen"/>
      <selection pane="bottomLeft" activeCell="I78" sqref="I78:I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26.85546875" bestFit="1" customWidth="1"/>
    <col min="6" max="6" width="6.57031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8" t="s">
        <v>4</v>
      </c>
      <c r="E2" s="8" t="s">
        <v>8</v>
      </c>
      <c r="F2" s="8"/>
      <c r="H2" s="8"/>
      <c r="I2" s="8" t="s">
        <v>10865</v>
      </c>
      <c r="J2" s="8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8" t="s">
        <v>1607</v>
      </c>
      <c r="E3" s="8" t="s">
        <v>8</v>
      </c>
      <c r="F3" s="8"/>
      <c r="H3" s="8"/>
      <c r="I3" s="8" t="s">
        <v>10573</v>
      </c>
      <c r="J3" s="8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8" t="s">
        <v>4</v>
      </c>
      <c r="E4" s="8" t="s">
        <v>11066</v>
      </c>
      <c r="F4" s="8"/>
      <c r="H4" s="8"/>
      <c r="I4" s="8" t="s">
        <v>10576</v>
      </c>
      <c r="J4" s="8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8" t="s">
        <v>1607</v>
      </c>
      <c r="E5" s="8" t="s">
        <v>8</v>
      </c>
      <c r="F5" s="8"/>
      <c r="H5" s="8"/>
      <c r="I5" s="8" t="s">
        <v>10579</v>
      </c>
      <c r="J5" s="8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8" t="s">
        <v>4</v>
      </c>
      <c r="E6" s="8" t="s">
        <v>8</v>
      </c>
      <c r="F6" s="8"/>
      <c r="H6" s="8"/>
      <c r="I6" s="8" t="s">
        <v>13614</v>
      </c>
      <c r="J6" s="8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8" t="s">
        <v>4</v>
      </c>
      <c r="E7" s="8" t="s">
        <v>8</v>
      </c>
      <c r="F7" s="8"/>
      <c r="H7" s="8"/>
      <c r="I7" s="8" t="s">
        <v>13617</v>
      </c>
      <c r="J7" s="8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8" t="s">
        <v>4</v>
      </c>
      <c r="E8" s="8" t="s">
        <v>8</v>
      </c>
      <c r="F8" s="8"/>
      <c r="H8" s="8"/>
      <c r="I8" s="8" t="s">
        <v>13620</v>
      </c>
      <c r="J8" s="8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8" t="s">
        <v>4</v>
      </c>
      <c r="E9" s="8" t="s">
        <v>8</v>
      </c>
      <c r="F9" s="8"/>
      <c r="H9" s="8"/>
      <c r="I9" s="8" t="s">
        <v>13623</v>
      </c>
      <c r="J9" s="8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8" t="s">
        <v>4</v>
      </c>
      <c r="E10" s="8" t="s">
        <v>8</v>
      </c>
      <c r="F10" s="8"/>
      <c r="H10" s="8"/>
      <c r="I10" s="8" t="s">
        <v>13626</v>
      </c>
      <c r="J10" s="8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8" t="s">
        <v>4</v>
      </c>
      <c r="E11" s="8" t="s">
        <v>8</v>
      </c>
      <c r="F11" s="8"/>
      <c r="H11" s="8"/>
      <c r="I11" s="8" t="s">
        <v>13629</v>
      </c>
      <c r="J11" s="8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8" t="s">
        <v>4</v>
      </c>
      <c r="E12" s="8" t="s">
        <v>8</v>
      </c>
      <c r="F12" s="8"/>
      <c r="H12" s="8"/>
      <c r="I12" s="8" t="s">
        <v>13632</v>
      </c>
      <c r="J12" s="8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8" t="s">
        <v>4</v>
      </c>
      <c r="E13" s="8" t="s">
        <v>8</v>
      </c>
      <c r="F13" s="8"/>
      <c r="H13" s="8"/>
      <c r="I13" s="8" t="s">
        <v>13635</v>
      </c>
      <c r="J13" s="8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8" t="s">
        <v>1607</v>
      </c>
      <c r="E14" s="8" t="s">
        <v>8</v>
      </c>
      <c r="F14" s="8"/>
      <c r="H14" s="8"/>
      <c r="I14" s="8" t="s">
        <v>14026</v>
      </c>
      <c r="J14" s="8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8" t="s">
        <v>1607</v>
      </c>
      <c r="E15" s="8" t="s">
        <v>8</v>
      </c>
      <c r="F15" s="8"/>
      <c r="H15" s="8"/>
      <c r="I15" s="8" t="s">
        <v>14029</v>
      </c>
      <c r="J15" s="8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8" t="s">
        <v>16685</v>
      </c>
      <c r="E16" s="8" t="s">
        <v>86</v>
      </c>
      <c r="F16" s="8"/>
      <c r="H16" s="8"/>
      <c r="I16" s="8" t="s">
        <v>14630</v>
      </c>
      <c r="J16" s="8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8" t="s">
        <v>4</v>
      </c>
      <c r="E17" s="8" t="s">
        <v>8</v>
      </c>
      <c r="F17" s="8"/>
      <c r="H17" s="8"/>
      <c r="I17" s="8" t="s">
        <v>14633</v>
      </c>
      <c r="J17" s="8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8" t="s">
        <v>4</v>
      </c>
      <c r="E18" s="8" t="s">
        <v>8</v>
      </c>
      <c r="F18" s="8"/>
      <c r="H18" s="8"/>
      <c r="I18" s="8" t="s">
        <v>14636</v>
      </c>
      <c r="J18" s="8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8" t="s">
        <v>4</v>
      </c>
      <c r="E19" s="8" t="s">
        <v>11070</v>
      </c>
      <c r="F19" s="8"/>
      <c r="H19" s="8" t="s">
        <v>4390</v>
      </c>
      <c r="I19" s="8" t="s">
        <v>14639</v>
      </c>
      <c r="J19" s="8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8" t="s">
        <v>4</v>
      </c>
      <c r="E20" s="8" t="s">
        <v>8</v>
      </c>
      <c r="F20" s="8"/>
      <c r="H20" s="8"/>
      <c r="I20" s="8" t="s">
        <v>14642</v>
      </c>
      <c r="J20" s="8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8" t="s">
        <v>1607</v>
      </c>
      <c r="E21" s="8" t="s">
        <v>8</v>
      </c>
      <c r="F21" s="8"/>
      <c r="H21" s="8"/>
      <c r="I21" s="8" t="s">
        <v>14645</v>
      </c>
      <c r="J21" s="8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8" t="s">
        <v>1607</v>
      </c>
      <c r="E22" s="8" t="s">
        <v>8</v>
      </c>
      <c r="F22" s="8"/>
      <c r="H22" s="8"/>
      <c r="I22" s="8" t="s">
        <v>14648</v>
      </c>
      <c r="J22" s="8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8" t="s">
        <v>4</v>
      </c>
      <c r="E23" s="8" t="s">
        <v>8</v>
      </c>
      <c r="F23" s="8"/>
      <c r="H23" s="8"/>
      <c r="I23" s="8" t="s">
        <v>16594</v>
      </c>
      <c r="J23" s="8" t="s">
        <v>11085</v>
      </c>
      <c r="K23" t="s">
        <v>16595</v>
      </c>
      <c r="L23" t="s">
        <v>16596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8" t="s">
        <v>4</v>
      </c>
      <c r="E24" s="8" t="s">
        <v>8</v>
      </c>
      <c r="F24" s="8"/>
      <c r="H24" s="8"/>
      <c r="I24" s="8" t="s">
        <v>16597</v>
      </c>
      <c r="J24" s="8" t="s">
        <v>11085</v>
      </c>
      <c r="K24" t="s">
        <v>16598</v>
      </c>
      <c r="L24" t="s">
        <v>16599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8" t="s">
        <v>1607</v>
      </c>
      <c r="E25" s="8" t="s">
        <v>8</v>
      </c>
      <c r="F25" s="8"/>
      <c r="H25" s="8"/>
      <c r="I25" s="8" t="s">
        <v>16600</v>
      </c>
      <c r="J25" s="8" t="s">
        <v>11085</v>
      </c>
      <c r="K25" t="s">
        <v>16601</v>
      </c>
      <c r="L25" t="s">
        <v>16602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8" t="s">
        <v>4</v>
      </c>
      <c r="E26" s="8" t="s">
        <v>8</v>
      </c>
      <c r="F26" s="8"/>
      <c r="H26" s="8"/>
      <c r="I26" s="8" t="s">
        <v>16603</v>
      </c>
      <c r="J26" s="8" t="s">
        <v>11085</v>
      </c>
      <c r="K26" t="s">
        <v>16604</v>
      </c>
      <c r="L26" t="s">
        <v>16605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8" t="s">
        <v>16685</v>
      </c>
      <c r="E27" s="8" t="s">
        <v>1274</v>
      </c>
      <c r="F27" s="8"/>
      <c r="H27" s="8"/>
      <c r="I27" s="8" t="s">
        <v>16606</v>
      </c>
      <c r="J27" s="8" t="s">
        <v>11085</v>
      </c>
      <c r="K27" t="s">
        <v>16607</v>
      </c>
      <c r="L27" t="s">
        <v>16608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8" t="s">
        <v>4</v>
      </c>
      <c r="E28" s="8" t="s">
        <v>8</v>
      </c>
      <c r="F28" s="8"/>
      <c r="H28" s="8"/>
      <c r="I28" s="8" t="s">
        <v>16609</v>
      </c>
      <c r="J28" s="8" t="s">
        <v>11085</v>
      </c>
      <c r="K28" t="s">
        <v>16610</v>
      </c>
      <c r="L28" t="s">
        <v>16611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8" t="s">
        <v>4</v>
      </c>
      <c r="E29" s="8" t="s">
        <v>16656</v>
      </c>
      <c r="F29" s="8"/>
      <c r="H29" s="8"/>
      <c r="I29" s="8" t="s">
        <v>16612</v>
      </c>
      <c r="J29" s="8" t="s">
        <v>11085</v>
      </c>
      <c r="K29" t="s">
        <v>16613</v>
      </c>
      <c r="L29" t="s">
        <v>16614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8" t="s">
        <v>4</v>
      </c>
      <c r="E30" s="8" t="s">
        <v>468</v>
      </c>
      <c r="F30" s="8"/>
      <c r="H30" s="8"/>
      <c r="I30" s="8" t="s">
        <v>16615</v>
      </c>
      <c r="J30" s="8" t="s">
        <v>11085</v>
      </c>
      <c r="K30" t="s">
        <v>16616</v>
      </c>
      <c r="L30" t="s">
        <v>16617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8" t="s">
        <v>16686</v>
      </c>
      <c r="E31" s="8" t="s">
        <v>1274</v>
      </c>
      <c r="F31" s="8"/>
      <c r="H31" s="8"/>
      <c r="I31" s="8" t="s">
        <v>16618</v>
      </c>
      <c r="J31" s="8" t="s">
        <v>11085</v>
      </c>
      <c r="K31" t="s">
        <v>16619</v>
      </c>
      <c r="L31" t="s">
        <v>16620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8" t="s">
        <v>1273</v>
      </c>
      <c r="E32" s="8" t="s">
        <v>16661</v>
      </c>
      <c r="F32" s="8"/>
      <c r="H32" s="8"/>
      <c r="I32" s="8" t="s">
        <v>16621</v>
      </c>
      <c r="J32" s="8" t="s">
        <v>11085</v>
      </c>
      <c r="K32" t="s">
        <v>16622</v>
      </c>
      <c r="L32" t="s">
        <v>16623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8" t="s">
        <v>226</v>
      </c>
      <c r="E33" s="8" t="s">
        <v>16661</v>
      </c>
      <c r="F33" s="8" t="s">
        <v>58</v>
      </c>
      <c r="H33" s="8"/>
      <c r="I33" s="8" t="s">
        <v>16624</v>
      </c>
      <c r="J33" s="8" t="s">
        <v>11085</v>
      </c>
      <c r="K33" t="s">
        <v>16625</v>
      </c>
      <c r="L33" t="s">
        <v>16626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8" t="s">
        <v>226</v>
      </c>
      <c r="E34" s="8" t="s">
        <v>16661</v>
      </c>
      <c r="F34" s="8" t="s">
        <v>58</v>
      </c>
      <c r="H34" s="8" t="s">
        <v>16681</v>
      </c>
      <c r="I34" s="8" t="s">
        <v>16627</v>
      </c>
      <c r="J34" s="8" t="s">
        <v>11085</v>
      </c>
      <c r="K34" t="s">
        <v>16628</v>
      </c>
      <c r="L34" t="s">
        <v>16629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8" t="s">
        <v>4</v>
      </c>
      <c r="E35" s="8" t="s">
        <v>8</v>
      </c>
      <c r="F35" s="8"/>
      <c r="H35" s="8"/>
      <c r="I35" s="8" t="s">
        <v>16893</v>
      </c>
      <c r="J35" s="8" t="s">
        <v>11085</v>
      </c>
      <c r="K35" t="s">
        <v>16894</v>
      </c>
      <c r="L35" t="s">
        <v>16895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8" t="s">
        <v>17483</v>
      </c>
      <c r="E36" s="8" t="s">
        <v>86</v>
      </c>
      <c r="F36" s="8"/>
      <c r="H36" s="8"/>
      <c r="I36" s="8" t="s">
        <v>16896</v>
      </c>
      <c r="J36" s="8" t="s">
        <v>11085</v>
      </c>
      <c r="K36" t="s">
        <v>16897</v>
      </c>
      <c r="L36" t="s">
        <v>16898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8" t="s">
        <v>17482</v>
      </c>
      <c r="E37" s="8" t="s">
        <v>86</v>
      </c>
      <c r="F37" s="8"/>
      <c r="H37" s="8"/>
      <c r="I37" s="8" t="s">
        <v>16899</v>
      </c>
      <c r="J37" s="8" t="s">
        <v>11085</v>
      </c>
      <c r="K37" t="s">
        <v>16900</v>
      </c>
      <c r="L37" t="s">
        <v>16901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8" t="s">
        <v>4</v>
      </c>
      <c r="E38" s="8" t="s">
        <v>16656</v>
      </c>
      <c r="F38" s="8"/>
      <c r="H38" s="8" t="s">
        <v>17484</v>
      </c>
      <c r="I38" s="8" t="s">
        <v>16902</v>
      </c>
      <c r="J38" s="8" t="s">
        <v>11085</v>
      </c>
      <c r="K38" t="s">
        <v>16903</v>
      </c>
      <c r="L38" t="s">
        <v>16904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8" t="s">
        <v>17485</v>
      </c>
      <c r="E39" s="8" t="s">
        <v>1274</v>
      </c>
      <c r="F39" s="8"/>
      <c r="H39" s="8"/>
      <c r="I39" s="8" t="s">
        <v>16905</v>
      </c>
      <c r="J39" s="8" t="s">
        <v>11085</v>
      </c>
      <c r="K39" t="s">
        <v>16906</v>
      </c>
      <c r="L39" t="s">
        <v>16907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8" t="s">
        <v>17485</v>
      </c>
      <c r="E40" s="8" t="s">
        <v>1274</v>
      </c>
      <c r="F40" s="8"/>
      <c r="H40" s="8" t="s">
        <v>2352</v>
      </c>
      <c r="I40" s="8" t="s">
        <v>16908</v>
      </c>
      <c r="J40" s="8" t="s">
        <v>11085</v>
      </c>
      <c r="K40" t="s">
        <v>16909</v>
      </c>
      <c r="L40" t="s">
        <v>16910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8" t="s">
        <v>4</v>
      </c>
      <c r="E41" s="8" t="s">
        <v>8</v>
      </c>
      <c r="F41" s="8"/>
      <c r="H41" s="8"/>
      <c r="I41" s="8" t="s">
        <v>16911</v>
      </c>
      <c r="J41" s="8" t="s">
        <v>11085</v>
      </c>
      <c r="K41" t="s">
        <v>16912</v>
      </c>
      <c r="L41" t="s">
        <v>16913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8" t="s">
        <v>1607</v>
      </c>
      <c r="E42" s="8" t="s">
        <v>8</v>
      </c>
      <c r="F42" s="8"/>
      <c r="H42" s="8"/>
      <c r="I42" s="8" t="s">
        <v>16914</v>
      </c>
      <c r="J42" s="8" t="s">
        <v>11085</v>
      </c>
      <c r="K42" t="s">
        <v>16915</v>
      </c>
      <c r="L42" t="s">
        <v>16916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8" t="s">
        <v>4</v>
      </c>
      <c r="E43" s="8" t="s">
        <v>8</v>
      </c>
      <c r="F43" s="8"/>
      <c r="H43" s="8"/>
      <c r="I43" s="8" t="s">
        <v>16917</v>
      </c>
      <c r="J43" s="8" t="s">
        <v>11085</v>
      </c>
      <c r="K43" t="s">
        <v>16918</v>
      </c>
      <c r="L43" t="s">
        <v>16919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8" t="s">
        <v>1607</v>
      </c>
      <c r="E44" s="8" t="s">
        <v>8</v>
      </c>
      <c r="F44" s="8"/>
      <c r="H44" s="8"/>
      <c r="I44" s="8" t="s">
        <v>16920</v>
      </c>
      <c r="J44" s="8" t="s">
        <v>11085</v>
      </c>
      <c r="K44" t="s">
        <v>16921</v>
      </c>
      <c r="L44" t="s">
        <v>16922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8" t="s">
        <v>4</v>
      </c>
      <c r="E45" s="8" t="s">
        <v>8</v>
      </c>
      <c r="F45" s="8"/>
      <c r="H45" s="8"/>
      <c r="I45" s="8" t="s">
        <v>16923</v>
      </c>
      <c r="J45" s="8" t="s">
        <v>11085</v>
      </c>
      <c r="K45" t="s">
        <v>16924</v>
      </c>
      <c r="L45" t="s">
        <v>16925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8" t="s">
        <v>17480</v>
      </c>
      <c r="E46" s="8" t="s">
        <v>1274</v>
      </c>
      <c r="F46" s="8"/>
      <c r="H46" s="8"/>
      <c r="I46" s="8" t="s">
        <v>16926</v>
      </c>
      <c r="J46" s="8" t="s">
        <v>11085</v>
      </c>
      <c r="K46" t="s">
        <v>16927</v>
      </c>
      <c r="L46" t="s">
        <v>16928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8" t="s">
        <v>4</v>
      </c>
      <c r="E47" s="8" t="s">
        <v>8</v>
      </c>
      <c r="F47" s="8"/>
      <c r="H47" s="8"/>
      <c r="I47" s="8" t="s">
        <v>16929</v>
      </c>
      <c r="J47" s="8" t="s">
        <v>11085</v>
      </c>
      <c r="K47" t="s">
        <v>16930</v>
      </c>
      <c r="L47" t="s">
        <v>16931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8" t="s">
        <v>17480</v>
      </c>
      <c r="E48" s="8" t="s">
        <v>1274</v>
      </c>
      <c r="F48" s="8"/>
      <c r="H48" s="8"/>
      <c r="I48" s="8" t="s">
        <v>16932</v>
      </c>
      <c r="J48" s="8" t="s">
        <v>11085</v>
      </c>
      <c r="K48" t="s">
        <v>16933</v>
      </c>
      <c r="L48" t="s">
        <v>16934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8" t="s">
        <v>17912</v>
      </c>
      <c r="E49" s="8" t="s">
        <v>468</v>
      </c>
      <c r="F49" s="8"/>
      <c r="H49" s="8"/>
      <c r="I49" s="8" t="s">
        <v>17742</v>
      </c>
      <c r="J49" s="8" t="s">
        <v>11085</v>
      </c>
      <c r="K49" t="s">
        <v>17743</v>
      </c>
      <c r="L49" t="s">
        <v>17744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8" t="s">
        <v>17912</v>
      </c>
      <c r="E50" s="8" t="s">
        <v>468</v>
      </c>
      <c r="F50" s="8"/>
      <c r="H50" s="8"/>
      <c r="I50" s="8" t="s">
        <v>17745</v>
      </c>
      <c r="J50" s="8" t="s">
        <v>11085</v>
      </c>
      <c r="K50" t="s">
        <v>17746</v>
      </c>
      <c r="L50" t="s">
        <v>17747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8" t="s">
        <v>17912</v>
      </c>
      <c r="E51" s="8" t="s">
        <v>468</v>
      </c>
      <c r="F51" s="8"/>
      <c r="H51" s="8"/>
      <c r="I51" s="8" t="s">
        <v>17748</v>
      </c>
      <c r="J51" s="8" t="s">
        <v>11085</v>
      </c>
      <c r="K51" t="s">
        <v>17749</v>
      </c>
      <c r="L51" t="s">
        <v>17750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8" t="s">
        <v>17912</v>
      </c>
      <c r="E52" s="8" t="s">
        <v>468</v>
      </c>
      <c r="F52" s="8"/>
      <c r="H52" s="8"/>
      <c r="I52" s="8" t="s">
        <v>17751</v>
      </c>
      <c r="J52" s="8" t="s">
        <v>11085</v>
      </c>
      <c r="K52" t="s">
        <v>17752</v>
      </c>
      <c r="L52" t="s">
        <v>17753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8" t="s">
        <v>226</v>
      </c>
      <c r="E53" s="8" t="s">
        <v>70</v>
      </c>
      <c r="F53" s="8" t="s">
        <v>2377</v>
      </c>
      <c r="H53" s="8"/>
      <c r="I53" s="8" t="s">
        <v>17754</v>
      </c>
      <c r="J53" s="8" t="s">
        <v>11085</v>
      </c>
      <c r="K53" t="s">
        <v>17755</v>
      </c>
      <c r="L53" t="s">
        <v>17756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8" t="s">
        <v>226</v>
      </c>
      <c r="E54" s="8" t="s">
        <v>70</v>
      </c>
      <c r="F54" s="8" t="s">
        <v>2377</v>
      </c>
      <c r="H54" s="8" t="s">
        <v>2352</v>
      </c>
      <c r="I54" s="8" t="s">
        <v>17757</v>
      </c>
      <c r="J54" s="8" t="s">
        <v>11085</v>
      </c>
      <c r="K54" t="s">
        <v>17758</v>
      </c>
      <c r="L54" t="s">
        <v>17759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8" t="s">
        <v>226</v>
      </c>
      <c r="E55" s="8" t="s">
        <v>70</v>
      </c>
      <c r="F55" s="8" t="s">
        <v>2377</v>
      </c>
      <c r="H55" s="8" t="s">
        <v>2352</v>
      </c>
      <c r="I55" s="8" t="s">
        <v>17760</v>
      </c>
      <c r="J55" s="8" t="s">
        <v>11085</v>
      </c>
      <c r="K55" t="s">
        <v>17761</v>
      </c>
      <c r="L55" t="s">
        <v>17762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8" t="s">
        <v>226</v>
      </c>
      <c r="E56" s="8" t="s">
        <v>70</v>
      </c>
      <c r="F56" s="8" t="s">
        <v>2377</v>
      </c>
      <c r="H56" s="8" t="s">
        <v>2352</v>
      </c>
      <c r="I56" s="8" t="s">
        <v>17763</v>
      </c>
      <c r="J56" s="8" t="s">
        <v>11085</v>
      </c>
      <c r="K56" t="s">
        <v>17764</v>
      </c>
      <c r="L56" t="s">
        <v>17765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8" t="s">
        <v>226</v>
      </c>
      <c r="E57" s="8" t="s">
        <v>70</v>
      </c>
      <c r="F57" s="8" t="s">
        <v>2377</v>
      </c>
      <c r="H57" s="8" t="s">
        <v>2352</v>
      </c>
      <c r="I57" s="8" t="s">
        <v>17766</v>
      </c>
      <c r="J57" s="8" t="s">
        <v>11085</v>
      </c>
      <c r="K57" t="s">
        <v>17767</v>
      </c>
      <c r="L57" t="s">
        <v>17768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8" t="s">
        <v>226</v>
      </c>
      <c r="E58" s="8" t="s">
        <v>70</v>
      </c>
      <c r="F58" s="8" t="s">
        <v>2377</v>
      </c>
      <c r="H58" s="8" t="s">
        <v>2352</v>
      </c>
      <c r="I58" s="8" t="s">
        <v>17769</v>
      </c>
      <c r="J58" s="8" t="s">
        <v>11085</v>
      </c>
      <c r="K58" t="s">
        <v>17770</v>
      </c>
      <c r="L58" t="s">
        <v>17771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8" t="s">
        <v>226</v>
      </c>
      <c r="E59" s="8" t="s">
        <v>70</v>
      </c>
      <c r="F59" s="8" t="s">
        <v>2377</v>
      </c>
      <c r="H59" s="8" t="s">
        <v>2352</v>
      </c>
      <c r="I59" s="8" t="s">
        <v>17772</v>
      </c>
      <c r="J59" s="8" t="s">
        <v>11085</v>
      </c>
      <c r="K59" t="s">
        <v>17773</v>
      </c>
      <c r="L59" t="s">
        <v>17774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8" t="s">
        <v>226</v>
      </c>
      <c r="E60" s="8" t="s">
        <v>70</v>
      </c>
      <c r="F60" s="8" t="s">
        <v>2377</v>
      </c>
      <c r="H60" s="8" t="s">
        <v>2352</v>
      </c>
      <c r="I60" s="8" t="s">
        <v>17775</v>
      </c>
      <c r="J60" s="8" t="s">
        <v>11085</v>
      </c>
      <c r="K60" t="s">
        <v>17776</v>
      </c>
      <c r="L60" t="s">
        <v>17777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8" t="s">
        <v>226</v>
      </c>
      <c r="E61" s="8" t="s">
        <v>70</v>
      </c>
      <c r="F61" s="8" t="s">
        <v>2377</v>
      </c>
      <c r="H61" s="8" t="s">
        <v>2352</v>
      </c>
      <c r="I61" s="8" t="s">
        <v>17778</v>
      </c>
      <c r="J61" s="8" t="s">
        <v>11085</v>
      </c>
      <c r="K61" t="s">
        <v>17779</v>
      </c>
      <c r="L61" t="s">
        <v>17780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8" t="s">
        <v>226</v>
      </c>
      <c r="E62" s="8" t="s">
        <v>70</v>
      </c>
      <c r="F62" s="8" t="s">
        <v>2377</v>
      </c>
      <c r="H62" s="8" t="s">
        <v>2352</v>
      </c>
      <c r="I62" s="8" t="s">
        <v>17781</v>
      </c>
      <c r="J62" s="8" t="s">
        <v>11085</v>
      </c>
      <c r="K62" t="s">
        <v>17782</v>
      </c>
      <c r="L62" t="s">
        <v>17783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8" t="s">
        <v>3397</v>
      </c>
      <c r="E63" s="8" t="s">
        <v>70</v>
      </c>
      <c r="F63" s="8"/>
      <c r="H63" s="8"/>
      <c r="I63" s="8" t="s">
        <v>17784</v>
      </c>
      <c r="J63" s="8" t="s">
        <v>11085</v>
      </c>
      <c r="K63" t="s">
        <v>17785</v>
      </c>
      <c r="L63" t="s">
        <v>17786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8" t="s">
        <v>587</v>
      </c>
      <c r="E64" s="8" t="s">
        <v>70</v>
      </c>
      <c r="F64" s="8"/>
      <c r="H64" s="8"/>
      <c r="I64" s="8" t="s">
        <v>17787</v>
      </c>
      <c r="J64" s="8" t="s">
        <v>11085</v>
      </c>
      <c r="K64" t="s">
        <v>17788</v>
      </c>
      <c r="L64" t="s">
        <v>17789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8" t="s">
        <v>17909</v>
      </c>
      <c r="E65" s="8" t="s">
        <v>1274</v>
      </c>
      <c r="F65" s="8"/>
      <c r="H65" s="8"/>
      <c r="I65" s="8" t="s">
        <v>17790</v>
      </c>
      <c r="J65" s="8" t="s">
        <v>11085</v>
      </c>
      <c r="K65" t="s">
        <v>17791</v>
      </c>
      <c r="L65" t="s">
        <v>17792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8" t="s">
        <v>17909</v>
      </c>
      <c r="E66" s="8" t="s">
        <v>1274</v>
      </c>
      <c r="F66" s="8"/>
      <c r="H66" s="8"/>
      <c r="I66" s="8" t="s">
        <v>17793</v>
      </c>
      <c r="J66" s="8" t="s">
        <v>11085</v>
      </c>
      <c r="K66" t="s">
        <v>17794</v>
      </c>
      <c r="L66" t="s">
        <v>17795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8" t="s">
        <v>17909</v>
      </c>
      <c r="E67" s="8" t="s">
        <v>1274</v>
      </c>
      <c r="F67" s="8"/>
      <c r="H67" s="8"/>
      <c r="I67" s="8" t="s">
        <v>17796</v>
      </c>
      <c r="J67" s="8" t="s">
        <v>11085</v>
      </c>
      <c r="K67" t="s">
        <v>17797</v>
      </c>
      <c r="L67" t="s">
        <v>17798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8" t="s">
        <v>4</v>
      </c>
      <c r="E68" s="8" t="s">
        <v>8</v>
      </c>
      <c r="F68" s="8"/>
      <c r="H68" s="8"/>
      <c r="I68" s="8" t="s">
        <v>18274</v>
      </c>
      <c r="J68" s="8" t="s">
        <v>11085</v>
      </c>
      <c r="K68" t="s">
        <v>18275</v>
      </c>
      <c r="L68" t="s">
        <v>18276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8" t="s">
        <v>4</v>
      </c>
      <c r="E69" s="8" t="s">
        <v>8</v>
      </c>
      <c r="F69" s="8"/>
      <c r="H69" s="8"/>
      <c r="I69" s="8" t="s">
        <v>18277</v>
      </c>
      <c r="J69" s="8" t="s">
        <v>11085</v>
      </c>
      <c r="K69" t="s">
        <v>18278</v>
      </c>
      <c r="L69" t="s">
        <v>18279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8" t="s">
        <v>4</v>
      </c>
      <c r="E70" s="8" t="s">
        <v>8</v>
      </c>
      <c r="F70" s="8"/>
      <c r="H70" s="8"/>
      <c r="I70" s="8" t="s">
        <v>18280</v>
      </c>
      <c r="J70" s="8" t="s">
        <v>11085</v>
      </c>
      <c r="K70" t="s">
        <v>18281</v>
      </c>
      <c r="L70" t="s">
        <v>18282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8" t="s">
        <v>4</v>
      </c>
      <c r="E71" s="8" t="s">
        <v>8</v>
      </c>
      <c r="F71" s="8"/>
      <c r="H71" s="8"/>
      <c r="I71" s="8" t="s">
        <v>18283</v>
      </c>
      <c r="J71" s="8" t="s">
        <v>11085</v>
      </c>
      <c r="K71" t="s">
        <v>18284</v>
      </c>
      <c r="L71" t="s">
        <v>18285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8" t="s">
        <v>4</v>
      </c>
      <c r="E72" s="8" t="s">
        <v>8</v>
      </c>
      <c r="F72" s="8"/>
      <c r="H72" s="8"/>
      <c r="I72" s="8" t="s">
        <v>18759</v>
      </c>
      <c r="J72" s="8" t="s">
        <v>11085</v>
      </c>
      <c r="K72" t="s">
        <v>18760</v>
      </c>
      <c r="L72" t="s">
        <v>18761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8" t="s">
        <v>4</v>
      </c>
      <c r="E73" s="8" t="s">
        <v>468</v>
      </c>
      <c r="F73" s="8"/>
      <c r="H73" s="8"/>
      <c r="I73" s="8" t="s">
        <v>18762</v>
      </c>
      <c r="J73" s="8" t="s">
        <v>11085</v>
      </c>
      <c r="K73" t="s">
        <v>18763</v>
      </c>
      <c r="L73" t="s">
        <v>18764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8" t="s">
        <v>4</v>
      </c>
      <c r="E74" s="8" t="s">
        <v>468</v>
      </c>
      <c r="F74" s="8"/>
      <c r="H74" s="8"/>
      <c r="I74" s="8" t="s">
        <v>18765</v>
      </c>
      <c r="J74" s="8" t="s">
        <v>11085</v>
      </c>
      <c r="K74" t="s">
        <v>18766</v>
      </c>
      <c r="L74" t="s">
        <v>18767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8" t="s">
        <v>4</v>
      </c>
      <c r="E75" s="8" t="s">
        <v>468</v>
      </c>
      <c r="F75" s="8"/>
      <c r="H75" s="8"/>
      <c r="I75" s="8" t="s">
        <v>18768</v>
      </c>
      <c r="J75" s="8" t="s">
        <v>11085</v>
      </c>
      <c r="K75" t="s">
        <v>18769</v>
      </c>
      <c r="L75" t="s">
        <v>18770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8" t="s">
        <v>4</v>
      </c>
      <c r="E76" s="8" t="s">
        <v>11066</v>
      </c>
      <c r="F76" s="8"/>
      <c r="H76" s="8"/>
      <c r="I76" s="8" t="s">
        <v>18771</v>
      </c>
      <c r="J76" s="8" t="s">
        <v>11085</v>
      </c>
      <c r="K76" t="s">
        <v>18772</v>
      </c>
      <c r="L76" t="s">
        <v>18773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8" t="s">
        <v>4</v>
      </c>
      <c r="E77" s="8" t="s">
        <v>18884</v>
      </c>
      <c r="F77" s="8"/>
      <c r="H77" s="8"/>
      <c r="I77" s="8" t="s">
        <v>18774</v>
      </c>
      <c r="J77" s="8" t="s">
        <v>11085</v>
      </c>
      <c r="K77" t="s">
        <v>18775</v>
      </c>
      <c r="L77" t="s">
        <v>18776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8" t="s">
        <v>4</v>
      </c>
      <c r="E78" s="8" t="s">
        <v>8</v>
      </c>
      <c r="F78" s="8"/>
      <c r="H78" s="8"/>
      <c r="I78" s="8" t="s">
        <v>19267</v>
      </c>
      <c r="J78" s="8" t="s">
        <v>11085</v>
      </c>
      <c r="K78" t="s">
        <v>19268</v>
      </c>
      <c r="L78" t="s">
        <v>19269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8" t="s">
        <v>4</v>
      </c>
      <c r="E79" s="8" t="s">
        <v>468</v>
      </c>
      <c r="F79" s="8"/>
      <c r="H79" s="8"/>
      <c r="I79" s="8" t="s">
        <v>19270</v>
      </c>
      <c r="J79" s="8" t="s">
        <v>11085</v>
      </c>
      <c r="K79" t="s">
        <v>19271</v>
      </c>
      <c r="L79" t="s">
        <v>19272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8" t="s">
        <v>4</v>
      </c>
      <c r="E80" s="8" t="s">
        <v>468</v>
      </c>
      <c r="F80" s="8"/>
      <c r="H80" s="8"/>
      <c r="I80" s="8" t="s">
        <v>19273</v>
      </c>
      <c r="J80" s="8" t="s">
        <v>11085</v>
      </c>
      <c r="K80" t="s">
        <v>19274</v>
      </c>
      <c r="L80" t="s">
        <v>19275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8" t="s">
        <v>4</v>
      </c>
      <c r="E81" s="8" t="s">
        <v>468</v>
      </c>
      <c r="F81" s="8"/>
      <c r="H81" s="8"/>
      <c r="I81" s="8" t="s">
        <v>19276</v>
      </c>
      <c r="J81" s="8" t="s">
        <v>11085</v>
      </c>
      <c r="K81" t="s">
        <v>19277</v>
      </c>
      <c r="L81" t="s">
        <v>19278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8" t="s">
        <v>4</v>
      </c>
      <c r="E82" s="8" t="s">
        <v>17904</v>
      </c>
      <c r="F82" s="8"/>
      <c r="H82" s="8"/>
      <c r="I82" s="8" t="s">
        <v>19279</v>
      </c>
      <c r="J82" s="8" t="s">
        <v>11085</v>
      </c>
      <c r="K82" t="s">
        <v>19280</v>
      </c>
      <c r="L82" t="s">
        <v>19281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8" t="s">
        <v>4</v>
      </c>
      <c r="E83" s="8" t="s">
        <v>8</v>
      </c>
      <c r="F83" s="8"/>
      <c r="H83" s="8"/>
      <c r="I83" s="8" t="s">
        <v>19282</v>
      </c>
      <c r="J83" s="8" t="s">
        <v>11085</v>
      </c>
      <c r="K83" t="s">
        <v>19283</v>
      </c>
      <c r="L83" t="s">
        <v>19284</v>
      </c>
      <c r="M83" s="2" t="str">
        <f>HYPERLINK(входСтолярка[[#This Row],[RelativePath]])</f>
        <v>15 Вход столярка\GA3948333_9_20260313T215513Z.jpg</v>
      </c>
    </row>
  </sheetData>
  <conditionalFormatting sqref="D84:D94 E84:E97 D2:E83 G2:H83">
    <cfRule type="containsText" dxfId="678" priority="14" operator="containsText" text="Выезд с территории">
      <formula>NOT(ISERROR(SEARCH("Выезд с территории",D2)))</formula>
    </cfRule>
  </conditionalFormatting>
  <conditionalFormatting sqref="F2:F83">
    <cfRule type="notContainsText" dxfId="677" priority="13" operator="notContains" text="порожний">
      <formula>ISERROR(SEARCH("порожний",F2))</formula>
    </cfRule>
  </conditionalFormatting>
  <conditionalFormatting sqref="E2:E97">
    <cfRule type="containsText" dxfId="676" priority="11" operator="containsText" text="Газель базы">
      <formula>NOT(ISERROR(SEARCH("Газель базы",E2)))</formula>
    </cfRule>
    <cfRule type="containsText" dxfId="675" priority="12" operator="containsText" text="Погрузчик базы">
      <formula>NOT(ISERROR(SEARCH("Погрузчик базы",E2)))</formula>
    </cfRule>
  </conditionalFormatting>
  <conditionalFormatting sqref="E2:E97">
    <cfRule type="containsText" dxfId="674" priority="10" operator="containsText" text="Трактор базы">
      <formula>NOT(ISERROR(SEARCH("Трактор базы",E2)))</formula>
    </cfRule>
  </conditionalFormatting>
  <conditionalFormatting sqref="A2:C83">
    <cfRule type="expression" dxfId="673" priority="9">
      <formula>$A2="пн"</formula>
    </cfRule>
  </conditionalFormatting>
  <conditionalFormatting sqref="A2:C85">
    <cfRule type="expression" dxfId="672" priority="3">
      <formula>$A2="вс"</formula>
    </cfRule>
    <cfRule type="expression" dxfId="671" priority="4">
      <formula>$A2="сб"</formula>
    </cfRule>
    <cfRule type="expression" dxfId="670" priority="5">
      <formula>$A2="пт"</formula>
    </cfRule>
    <cfRule type="expression" dxfId="669" priority="6">
      <formula>$A2="чт"</formula>
    </cfRule>
    <cfRule type="expression" dxfId="668" priority="7">
      <formula>$A2="ср"</formula>
    </cfRule>
    <cfRule type="expression" dxfId="667" priority="8">
      <formula>$A2="вт"</formula>
    </cfRule>
  </conditionalFormatting>
  <conditionalFormatting sqref="D2:D94">
    <cfRule type="containsText" dxfId="6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4">
    <cfRule type="containsText" dxfId="6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207"/>
  <sheetViews>
    <sheetView zoomScale="90" zoomScaleNormal="90" workbookViewId="0">
      <pane ySplit="1" topLeftCell="A180" activePane="bottomLeft" state="frozen"/>
      <selection pane="bottomLeft" activeCell="I203" sqref="I203:I20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8" t="s">
        <v>4</v>
      </c>
      <c r="E2" s="8" t="s">
        <v>11080</v>
      </c>
      <c r="F2" s="8"/>
      <c r="H2" s="8"/>
      <c r="I2" s="8" t="s">
        <v>10868</v>
      </c>
      <c r="J2" s="8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8" t="s">
        <v>1607</v>
      </c>
      <c r="E3" s="8" t="s">
        <v>11080</v>
      </c>
      <c r="F3" s="8"/>
      <c r="H3" s="8" t="s">
        <v>11081</v>
      </c>
      <c r="I3" s="8" t="s">
        <v>10871</v>
      </c>
      <c r="J3" s="8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8" t="s">
        <v>1607</v>
      </c>
      <c r="E4" s="8" t="s">
        <v>11080</v>
      </c>
      <c r="F4" s="8"/>
      <c r="H4" s="8" t="s">
        <v>11081</v>
      </c>
      <c r="I4" s="8" t="s">
        <v>10874</v>
      </c>
      <c r="J4" s="8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8" t="s">
        <v>1607</v>
      </c>
      <c r="E5" s="8" t="s">
        <v>11080</v>
      </c>
      <c r="F5" s="8"/>
      <c r="H5" s="8"/>
      <c r="I5" s="8" t="s">
        <v>10877</v>
      </c>
      <c r="J5" s="8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8" t="s">
        <v>4</v>
      </c>
      <c r="E6" s="8" t="s">
        <v>468</v>
      </c>
      <c r="F6" s="8"/>
      <c r="H6" s="8"/>
      <c r="I6" s="8" t="s">
        <v>10880</v>
      </c>
      <c r="J6" s="8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8" t="s">
        <v>4</v>
      </c>
      <c r="E7" s="8" t="s">
        <v>8</v>
      </c>
      <c r="F7" s="8"/>
      <c r="H7" s="8"/>
      <c r="I7" s="8" t="s">
        <v>13638</v>
      </c>
      <c r="J7" s="8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8" t="s">
        <v>1607</v>
      </c>
      <c r="E8" s="8" t="s">
        <v>8</v>
      </c>
      <c r="F8" s="8"/>
      <c r="H8" s="8"/>
      <c r="I8" s="8" t="s">
        <v>13641</v>
      </c>
      <c r="J8" s="8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8" t="s">
        <v>1607</v>
      </c>
      <c r="E9" s="8" t="s">
        <v>8</v>
      </c>
      <c r="F9" s="8"/>
      <c r="H9" s="8"/>
      <c r="I9" s="8" t="s">
        <v>13644</v>
      </c>
      <c r="J9" s="8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8" t="s">
        <v>4</v>
      </c>
      <c r="E10" s="8" t="s">
        <v>8</v>
      </c>
      <c r="F10" s="8"/>
      <c r="H10" s="8"/>
      <c r="I10" s="8" t="s">
        <v>13647</v>
      </c>
      <c r="J10" s="8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8" t="s">
        <v>4</v>
      </c>
      <c r="E11" s="8" t="s">
        <v>8</v>
      </c>
      <c r="F11" s="8"/>
      <c r="H11" s="8"/>
      <c r="I11" s="8" t="s">
        <v>13650</v>
      </c>
      <c r="J11" s="8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8" t="s">
        <v>1607</v>
      </c>
      <c r="E12" s="8" t="s">
        <v>11080</v>
      </c>
      <c r="F12" s="8"/>
      <c r="H12" s="8"/>
      <c r="I12" s="8" t="s">
        <v>14032</v>
      </c>
      <c r="J12" s="8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8" t="s">
        <v>1607</v>
      </c>
      <c r="E13" s="8" t="s">
        <v>11080</v>
      </c>
      <c r="F13" s="8"/>
      <c r="H13" s="8"/>
      <c r="I13" s="8" t="s">
        <v>14035</v>
      </c>
      <c r="J13" s="8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8" t="s">
        <v>1607</v>
      </c>
      <c r="E14" s="8" t="s">
        <v>11080</v>
      </c>
      <c r="F14" s="8"/>
      <c r="H14" s="8"/>
      <c r="I14" s="8" t="s">
        <v>14651</v>
      </c>
      <c r="J14" s="8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8" t="s">
        <v>4</v>
      </c>
      <c r="E15" s="8" t="s">
        <v>468</v>
      </c>
      <c r="F15" s="8"/>
      <c r="H15" s="8"/>
      <c r="I15" s="8" t="s">
        <v>14654</v>
      </c>
      <c r="J15" s="8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8" t="s">
        <v>4</v>
      </c>
      <c r="E16" s="8" t="s">
        <v>16687</v>
      </c>
      <c r="F16" s="8"/>
      <c r="H16" s="8"/>
      <c r="I16" s="8" t="s">
        <v>14657</v>
      </c>
      <c r="J16" s="8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8" t="s">
        <v>4</v>
      </c>
      <c r="E17" s="8" t="s">
        <v>1274</v>
      </c>
      <c r="F17" s="8"/>
      <c r="H17" s="8"/>
      <c r="I17" s="8" t="s">
        <v>14660</v>
      </c>
      <c r="J17" s="8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8" t="s">
        <v>4</v>
      </c>
      <c r="E18" s="8" t="s">
        <v>16688</v>
      </c>
      <c r="F18" s="8"/>
      <c r="H18" s="8"/>
      <c r="I18" s="8" t="s">
        <v>14663</v>
      </c>
      <c r="J18" s="8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8" t="s">
        <v>4</v>
      </c>
      <c r="E19" s="8" t="s">
        <v>1274</v>
      </c>
      <c r="F19" s="8"/>
      <c r="H19" s="8"/>
      <c r="I19" s="8" t="s">
        <v>14666</v>
      </c>
      <c r="J19" s="8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8" t="s">
        <v>1607</v>
      </c>
      <c r="E20" s="8" t="s">
        <v>11080</v>
      </c>
      <c r="F20" s="8"/>
      <c r="H20" s="8"/>
      <c r="I20" s="8" t="s">
        <v>14669</v>
      </c>
      <c r="J20" s="8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8" t="s">
        <v>4</v>
      </c>
      <c r="E21" s="8" t="s">
        <v>1274</v>
      </c>
      <c r="F21" s="8"/>
      <c r="H21" s="8"/>
      <c r="I21" s="8" t="s">
        <v>14672</v>
      </c>
      <c r="J21" s="8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8" t="s">
        <v>4</v>
      </c>
      <c r="E22" s="8" t="s">
        <v>1274</v>
      </c>
      <c r="F22" s="8"/>
      <c r="H22" s="8"/>
      <c r="I22" s="8" t="s">
        <v>14675</v>
      </c>
      <c r="J22" s="8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8" t="s">
        <v>16689</v>
      </c>
      <c r="E23" s="8" t="s">
        <v>1274</v>
      </c>
      <c r="F23" s="8"/>
      <c r="H23" s="8"/>
      <c r="I23" s="8" t="s">
        <v>14678</v>
      </c>
      <c r="J23" s="8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8" t="s">
        <v>16689</v>
      </c>
      <c r="E24" s="8" t="s">
        <v>1274</v>
      </c>
      <c r="F24" s="8"/>
      <c r="H24" s="8"/>
      <c r="I24" s="8" t="s">
        <v>14681</v>
      </c>
      <c r="J24" s="8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8" t="s">
        <v>16689</v>
      </c>
      <c r="E25" s="8" t="s">
        <v>1274</v>
      </c>
      <c r="F25" s="8"/>
      <c r="H25" s="8"/>
      <c r="I25" s="8" t="s">
        <v>14684</v>
      </c>
      <c r="J25" s="8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8" t="s">
        <v>16689</v>
      </c>
      <c r="E26" s="8" t="s">
        <v>1274</v>
      </c>
      <c r="F26" s="8"/>
      <c r="H26" s="8"/>
      <c r="I26" s="8" t="s">
        <v>14687</v>
      </c>
      <c r="J26" s="8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8" t="s">
        <v>1607</v>
      </c>
      <c r="E27" s="8" t="s">
        <v>11080</v>
      </c>
      <c r="F27" s="8"/>
      <c r="H27" s="8"/>
      <c r="I27" s="8" t="s">
        <v>14690</v>
      </c>
      <c r="J27" s="8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8" t="s">
        <v>4</v>
      </c>
      <c r="E28" s="8" t="s">
        <v>468</v>
      </c>
      <c r="F28" s="8"/>
      <c r="H28" s="8"/>
      <c r="I28" s="8" t="s">
        <v>14693</v>
      </c>
      <c r="J28" s="8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8" t="s">
        <v>4</v>
      </c>
      <c r="E29" s="8" t="s">
        <v>1274</v>
      </c>
      <c r="F29" s="8"/>
      <c r="H29" s="8"/>
      <c r="I29" s="8" t="s">
        <v>14696</v>
      </c>
      <c r="J29" s="8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8" t="s">
        <v>4</v>
      </c>
      <c r="E30" s="8" t="s">
        <v>16688</v>
      </c>
      <c r="F30" s="8"/>
      <c r="H30" s="8"/>
      <c r="I30" s="8" t="s">
        <v>14699</v>
      </c>
      <c r="J30" s="8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8" t="s">
        <v>4</v>
      </c>
      <c r="E31" s="8" t="s">
        <v>1274</v>
      </c>
      <c r="F31" s="8"/>
      <c r="H31" s="8"/>
      <c r="I31" s="8" t="s">
        <v>14702</v>
      </c>
      <c r="J31" s="8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8" t="s">
        <v>1607</v>
      </c>
      <c r="E32" s="8" t="s">
        <v>11080</v>
      </c>
      <c r="F32" s="8"/>
      <c r="H32" s="8"/>
      <c r="I32" s="8" t="s">
        <v>14705</v>
      </c>
      <c r="J32" s="8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8" t="s">
        <v>1607</v>
      </c>
      <c r="E33" s="8" t="s">
        <v>11080</v>
      </c>
      <c r="F33" s="8"/>
      <c r="H33" s="8"/>
      <c r="I33" s="8" t="s">
        <v>14708</v>
      </c>
      <c r="J33" s="8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8" t="s">
        <v>4</v>
      </c>
      <c r="E34" s="8" t="s">
        <v>1274</v>
      </c>
      <c r="F34" s="8"/>
      <c r="H34" s="8"/>
      <c r="I34" s="8" t="s">
        <v>14711</v>
      </c>
      <c r="J34" s="8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8" t="s">
        <v>4</v>
      </c>
      <c r="E35" s="8" t="s">
        <v>468</v>
      </c>
      <c r="F35" s="8"/>
      <c r="H35" s="8"/>
      <c r="I35" s="8" t="s">
        <v>14714</v>
      </c>
      <c r="J35" s="8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8" t="s">
        <v>4</v>
      </c>
      <c r="E36" s="8" t="s">
        <v>468</v>
      </c>
      <c r="F36" s="8"/>
      <c r="H36" s="8"/>
      <c r="I36" s="8" t="s">
        <v>14717</v>
      </c>
      <c r="J36" s="8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8" t="s">
        <v>16689</v>
      </c>
      <c r="E37" s="8" t="s">
        <v>468</v>
      </c>
      <c r="F37" s="8"/>
      <c r="H37" s="8"/>
      <c r="I37" s="8" t="s">
        <v>14720</v>
      </c>
      <c r="J37" s="8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8" t="s">
        <v>16689</v>
      </c>
      <c r="E38" s="8" t="s">
        <v>468</v>
      </c>
      <c r="F38" s="8"/>
      <c r="H38" s="8"/>
      <c r="I38" s="8" t="s">
        <v>14723</v>
      </c>
      <c r="J38" s="8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8" t="s">
        <v>16689</v>
      </c>
      <c r="E39" s="8" t="s">
        <v>468</v>
      </c>
      <c r="F39" s="8"/>
      <c r="H39" s="8"/>
      <c r="I39" s="8" t="s">
        <v>14726</v>
      </c>
      <c r="J39" s="8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8" t="s">
        <v>16689</v>
      </c>
      <c r="E40" s="8" t="s">
        <v>468</v>
      </c>
      <c r="F40" s="8"/>
      <c r="H40" s="8"/>
      <c r="I40" s="8" t="s">
        <v>14729</v>
      </c>
      <c r="J40" s="8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8" t="s">
        <v>16689</v>
      </c>
      <c r="E41" s="8" t="s">
        <v>468</v>
      </c>
      <c r="F41" s="8"/>
      <c r="H41" s="8"/>
      <c r="I41" s="8" t="s">
        <v>14732</v>
      </c>
      <c r="J41" s="8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8" t="s">
        <v>4</v>
      </c>
      <c r="E42" s="8" t="s">
        <v>468</v>
      </c>
      <c r="F42" s="8"/>
      <c r="H42" s="8"/>
      <c r="I42" s="8" t="s">
        <v>14735</v>
      </c>
      <c r="J42" s="8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8" t="s">
        <v>4</v>
      </c>
      <c r="E43" s="8" t="s">
        <v>16687</v>
      </c>
      <c r="F43" s="8"/>
      <c r="H43" s="8"/>
      <c r="I43" s="8" t="s">
        <v>14738</v>
      </c>
      <c r="J43" s="8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8" t="s">
        <v>16689</v>
      </c>
      <c r="E44" s="8" t="s">
        <v>468</v>
      </c>
      <c r="F44" s="8"/>
      <c r="H44" s="8"/>
      <c r="I44" s="8" t="s">
        <v>14741</v>
      </c>
      <c r="J44" s="8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8" t="s">
        <v>16689</v>
      </c>
      <c r="E45" s="8" t="s">
        <v>468</v>
      </c>
      <c r="F45" s="8"/>
      <c r="H45" s="8"/>
      <c r="I45" s="8" t="s">
        <v>14744</v>
      </c>
      <c r="J45" s="8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8" t="s">
        <v>16689</v>
      </c>
      <c r="E46" s="8" t="s">
        <v>468</v>
      </c>
      <c r="F46" s="8"/>
      <c r="H46" s="8"/>
      <c r="I46" s="8" t="s">
        <v>14747</v>
      </c>
      <c r="J46" s="8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8" t="s">
        <v>16689</v>
      </c>
      <c r="E47" s="8" t="s">
        <v>468</v>
      </c>
      <c r="F47" s="8"/>
      <c r="H47" s="8"/>
      <c r="I47" s="8" t="s">
        <v>14750</v>
      </c>
      <c r="J47" s="8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8" t="s">
        <v>16689</v>
      </c>
      <c r="E48" s="8" t="s">
        <v>468</v>
      </c>
      <c r="F48" s="8"/>
      <c r="H48" s="8"/>
      <c r="I48" s="8" t="s">
        <v>14753</v>
      </c>
      <c r="J48" s="8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8" t="s">
        <v>4</v>
      </c>
      <c r="E49" s="8" t="s">
        <v>16687</v>
      </c>
      <c r="F49" s="8"/>
      <c r="H49" s="8"/>
      <c r="I49" s="8" t="s">
        <v>14756</v>
      </c>
      <c r="J49" s="8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8" t="s">
        <v>4</v>
      </c>
      <c r="E50" s="8" t="s">
        <v>1274</v>
      </c>
      <c r="F50" s="8"/>
      <c r="H50" s="8"/>
      <c r="I50" s="8" t="s">
        <v>14759</v>
      </c>
      <c r="J50" s="8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8" t="s">
        <v>4</v>
      </c>
      <c r="E51" s="8" t="s">
        <v>468</v>
      </c>
      <c r="F51" s="8"/>
      <c r="H51" s="8"/>
      <c r="I51" s="8" t="s">
        <v>14762</v>
      </c>
      <c r="J51" s="8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8" t="s">
        <v>4</v>
      </c>
      <c r="E52" s="8" t="s">
        <v>468</v>
      </c>
      <c r="F52" s="8"/>
      <c r="H52" s="8"/>
      <c r="I52" s="8" t="s">
        <v>14765</v>
      </c>
      <c r="J52" s="8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8" t="s">
        <v>4</v>
      </c>
      <c r="E53" s="8" t="s">
        <v>468</v>
      </c>
      <c r="F53" s="8"/>
      <c r="H53" s="8"/>
      <c r="I53" s="8" t="s">
        <v>14768</v>
      </c>
      <c r="J53" s="8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8" t="s">
        <v>4</v>
      </c>
      <c r="E54" s="8" t="s">
        <v>468</v>
      </c>
      <c r="F54" s="8"/>
      <c r="H54" s="8"/>
      <c r="I54" s="8" t="s">
        <v>14771</v>
      </c>
      <c r="J54" s="8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8" t="s">
        <v>4</v>
      </c>
      <c r="E55" s="8" t="s">
        <v>16687</v>
      </c>
      <c r="F55" s="8"/>
      <c r="H55" s="8"/>
      <c r="I55" s="8" t="s">
        <v>14774</v>
      </c>
      <c r="J55" s="8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8" t="s">
        <v>16689</v>
      </c>
      <c r="E56" s="8" t="s">
        <v>468</v>
      </c>
      <c r="F56" s="8"/>
      <c r="H56" s="8"/>
      <c r="I56" s="8" t="s">
        <v>14777</v>
      </c>
      <c r="J56" s="8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8" t="s">
        <v>16689</v>
      </c>
      <c r="E57" s="8" t="s">
        <v>468</v>
      </c>
      <c r="F57" s="8"/>
      <c r="H57" s="8"/>
      <c r="I57" s="8" t="s">
        <v>14780</v>
      </c>
      <c r="J57" s="8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8" t="s">
        <v>16689</v>
      </c>
      <c r="E58" s="8" t="s">
        <v>468</v>
      </c>
      <c r="F58" s="8"/>
      <c r="H58" s="8"/>
      <c r="I58" s="8" t="s">
        <v>14783</v>
      </c>
      <c r="J58" s="8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8" t="s">
        <v>16689</v>
      </c>
      <c r="E59" s="8" t="s">
        <v>468</v>
      </c>
      <c r="F59" s="8"/>
      <c r="H59" s="8"/>
      <c r="I59" s="8" t="s">
        <v>14786</v>
      </c>
      <c r="J59" s="8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8" t="s">
        <v>16689</v>
      </c>
      <c r="E60" s="8" t="s">
        <v>468</v>
      </c>
      <c r="F60" s="8"/>
      <c r="H60" s="8"/>
      <c r="I60" s="8" t="s">
        <v>14789</v>
      </c>
      <c r="J60" s="8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8" t="s">
        <v>16689</v>
      </c>
      <c r="E61" s="8" t="s">
        <v>468</v>
      </c>
      <c r="F61" s="8"/>
      <c r="H61" s="8"/>
      <c r="I61" s="8" t="s">
        <v>14792</v>
      </c>
      <c r="J61" s="8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8" t="s">
        <v>16689</v>
      </c>
      <c r="E62" s="8" t="s">
        <v>468</v>
      </c>
      <c r="F62" s="8"/>
      <c r="H62" s="8"/>
      <c r="I62" s="8" t="s">
        <v>14795</v>
      </c>
      <c r="J62" s="8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8" t="s">
        <v>16689</v>
      </c>
      <c r="E63" s="8" t="s">
        <v>468</v>
      </c>
      <c r="F63" s="8"/>
      <c r="H63" s="8"/>
      <c r="I63" s="8" t="s">
        <v>14798</v>
      </c>
      <c r="J63" s="8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8" t="s">
        <v>16689</v>
      </c>
      <c r="E64" s="8" t="s">
        <v>468</v>
      </c>
      <c r="F64" s="8"/>
      <c r="H64" s="8"/>
      <c r="I64" s="8" t="s">
        <v>14801</v>
      </c>
      <c r="J64" s="8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8" t="s">
        <v>4</v>
      </c>
      <c r="E65" s="8" t="s">
        <v>468</v>
      </c>
      <c r="F65" s="8"/>
      <c r="H65" s="8"/>
      <c r="I65" s="8" t="s">
        <v>14804</v>
      </c>
      <c r="J65" s="8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8" t="s">
        <v>4</v>
      </c>
      <c r="E66" s="8" t="s">
        <v>1274</v>
      </c>
      <c r="F66" s="8"/>
      <c r="H66" s="8"/>
      <c r="I66" s="8" t="s">
        <v>14807</v>
      </c>
      <c r="J66" s="8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8" t="s">
        <v>4</v>
      </c>
      <c r="E67" s="8" t="s">
        <v>468</v>
      </c>
      <c r="F67" s="8"/>
      <c r="H67" s="8"/>
      <c r="I67" s="8" t="s">
        <v>14810</v>
      </c>
      <c r="J67" s="8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8" t="s">
        <v>16689</v>
      </c>
      <c r="E68" s="8" t="s">
        <v>468</v>
      </c>
      <c r="F68" s="8"/>
      <c r="H68" s="8"/>
      <c r="I68" s="8" t="s">
        <v>14813</v>
      </c>
      <c r="J68" s="8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8" t="s">
        <v>16689</v>
      </c>
      <c r="E69" s="8" t="s">
        <v>468</v>
      </c>
      <c r="F69" s="8"/>
      <c r="H69" s="8"/>
      <c r="I69" s="8" t="s">
        <v>14816</v>
      </c>
      <c r="J69" s="8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8" t="s">
        <v>4</v>
      </c>
      <c r="E70" s="8" t="s">
        <v>16687</v>
      </c>
      <c r="F70" s="8"/>
      <c r="H70" s="8"/>
      <c r="I70" s="8" t="s">
        <v>14819</v>
      </c>
      <c r="J70" s="8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8" t="s">
        <v>4</v>
      </c>
      <c r="E71" s="8" t="s">
        <v>1274</v>
      </c>
      <c r="F71" s="8"/>
      <c r="H71" s="8"/>
      <c r="I71" s="8" t="s">
        <v>14822</v>
      </c>
      <c r="J71" s="8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8" t="s">
        <v>4</v>
      </c>
      <c r="E72" s="8" t="s">
        <v>468</v>
      </c>
      <c r="F72" s="8"/>
      <c r="H72" s="8"/>
      <c r="I72" s="8" t="s">
        <v>14825</v>
      </c>
      <c r="J72" s="8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8" t="s">
        <v>4</v>
      </c>
      <c r="E73" s="8" t="s">
        <v>468</v>
      </c>
      <c r="F73" s="8"/>
      <c r="H73" s="8"/>
      <c r="I73" s="8" t="s">
        <v>14828</v>
      </c>
      <c r="J73" s="8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8" t="s">
        <v>16689</v>
      </c>
      <c r="E74" s="8" t="s">
        <v>468</v>
      </c>
      <c r="F74" s="8"/>
      <c r="H74" s="8"/>
      <c r="I74" s="8" t="s">
        <v>14831</v>
      </c>
      <c r="J74" s="8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8" t="s">
        <v>16689</v>
      </c>
      <c r="E75" s="8" t="s">
        <v>468</v>
      </c>
      <c r="F75" s="8"/>
      <c r="H75" s="8"/>
      <c r="I75" s="8" t="s">
        <v>14834</v>
      </c>
      <c r="J75" s="8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8" t="s">
        <v>16689</v>
      </c>
      <c r="E76" s="8" t="s">
        <v>468</v>
      </c>
      <c r="F76" s="8"/>
      <c r="H76" s="8"/>
      <c r="I76" s="8" t="s">
        <v>14837</v>
      </c>
      <c r="J76" s="8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8" t="s">
        <v>16689</v>
      </c>
      <c r="E77" s="8" t="s">
        <v>468</v>
      </c>
      <c r="F77" s="8"/>
      <c r="H77" s="8"/>
      <c r="I77" s="8" t="s">
        <v>14840</v>
      </c>
      <c r="J77" s="8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8" t="s">
        <v>4</v>
      </c>
      <c r="E78" s="8" t="s">
        <v>468</v>
      </c>
      <c r="F78" s="8"/>
      <c r="H78" s="8"/>
      <c r="I78" s="8" t="s">
        <v>14843</v>
      </c>
      <c r="J78" s="8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8" t="s">
        <v>16690</v>
      </c>
      <c r="E79" s="8" t="s">
        <v>468</v>
      </c>
      <c r="F79" s="8"/>
      <c r="H79" s="8"/>
      <c r="I79" s="8" t="s">
        <v>14846</v>
      </c>
      <c r="J79" s="8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8" t="s">
        <v>4</v>
      </c>
      <c r="E80" s="8" t="s">
        <v>11080</v>
      </c>
      <c r="F80" s="8"/>
      <c r="H80" s="8"/>
      <c r="I80" s="8" t="s">
        <v>14849</v>
      </c>
      <c r="J80" s="8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8" t="s">
        <v>16691</v>
      </c>
      <c r="E81" s="8"/>
      <c r="F81" s="8"/>
      <c r="H81" s="8"/>
      <c r="I81" s="8" t="s">
        <v>14852</v>
      </c>
      <c r="J81" s="8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8" t="s">
        <v>16691</v>
      </c>
      <c r="E82" s="8"/>
      <c r="F82" s="8"/>
      <c r="H82" s="8"/>
      <c r="I82" s="8" t="s">
        <v>14855</v>
      </c>
      <c r="J82" s="8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8" t="s">
        <v>16691</v>
      </c>
      <c r="E83" s="8"/>
      <c r="F83" s="8"/>
      <c r="H83" s="8"/>
      <c r="I83" s="8" t="s">
        <v>14858</v>
      </c>
      <c r="J83" s="8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8" t="s">
        <v>4</v>
      </c>
      <c r="E84" s="8" t="s">
        <v>16688</v>
      </c>
      <c r="F84" s="8"/>
      <c r="H84" s="8"/>
      <c r="I84" s="8" t="s">
        <v>14861</v>
      </c>
      <c r="J84" s="8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8" t="s">
        <v>4</v>
      </c>
      <c r="E85" s="8" t="s">
        <v>11080</v>
      </c>
      <c r="F85" s="8"/>
      <c r="H85" s="8"/>
      <c r="I85" s="8" t="s">
        <v>14864</v>
      </c>
      <c r="J85" s="8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8" t="s">
        <v>4</v>
      </c>
      <c r="E86" s="8" t="s">
        <v>11080</v>
      </c>
      <c r="F86" s="8"/>
      <c r="H86" s="8"/>
      <c r="I86" s="8" t="s">
        <v>17088</v>
      </c>
      <c r="J86" s="8" t="s">
        <v>13484</v>
      </c>
      <c r="K86" t="s">
        <v>17089</v>
      </c>
      <c r="L86" t="s">
        <v>17090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8" t="s">
        <v>16689</v>
      </c>
      <c r="E87" s="8" t="s">
        <v>468</v>
      </c>
      <c r="F87" s="8"/>
      <c r="H87" s="8"/>
      <c r="I87" s="8" t="s">
        <v>17091</v>
      </c>
      <c r="J87" s="8" t="s">
        <v>13484</v>
      </c>
      <c r="K87" t="s">
        <v>17092</v>
      </c>
      <c r="L87" t="s">
        <v>17093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8" t="s">
        <v>16689</v>
      </c>
      <c r="E88" s="8" t="s">
        <v>468</v>
      </c>
      <c r="F88" s="8"/>
      <c r="H88" s="8"/>
      <c r="I88" s="8" t="s">
        <v>17094</v>
      </c>
      <c r="J88" s="8" t="s">
        <v>13484</v>
      </c>
      <c r="K88" t="s">
        <v>17095</v>
      </c>
      <c r="L88" t="s">
        <v>17096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8" t="s">
        <v>16689</v>
      </c>
      <c r="E89" s="8" t="s">
        <v>468</v>
      </c>
      <c r="F89" s="8"/>
      <c r="H89" s="8"/>
      <c r="I89" s="8" t="s">
        <v>17097</v>
      </c>
      <c r="J89" s="8" t="s">
        <v>13484</v>
      </c>
      <c r="K89" t="s">
        <v>17098</v>
      </c>
      <c r="L89" t="s">
        <v>17099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8" t="s">
        <v>16689</v>
      </c>
      <c r="E90" s="8" t="s">
        <v>468</v>
      </c>
      <c r="F90" s="8"/>
      <c r="H90" s="8"/>
      <c r="I90" s="8" t="s">
        <v>17100</v>
      </c>
      <c r="J90" s="8" t="s">
        <v>13484</v>
      </c>
      <c r="K90" t="s">
        <v>17101</v>
      </c>
      <c r="L90" t="s">
        <v>17102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8" t="s">
        <v>16689</v>
      </c>
      <c r="E91" s="8" t="s">
        <v>468</v>
      </c>
      <c r="F91" s="8"/>
      <c r="H91" s="8"/>
      <c r="I91" s="8" t="s">
        <v>17103</v>
      </c>
      <c r="J91" s="8" t="s">
        <v>13484</v>
      </c>
      <c r="K91" t="s">
        <v>17104</v>
      </c>
      <c r="L91" t="s">
        <v>17105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8" t="s">
        <v>16689</v>
      </c>
      <c r="E92" s="8" t="s">
        <v>468</v>
      </c>
      <c r="F92" s="8"/>
      <c r="H92" s="8"/>
      <c r="I92" s="8" t="s">
        <v>17106</v>
      </c>
      <c r="J92" s="8" t="s">
        <v>13484</v>
      </c>
      <c r="K92" t="s">
        <v>17107</v>
      </c>
      <c r="L92" t="s">
        <v>17108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8" t="s">
        <v>16689</v>
      </c>
      <c r="E93" s="8" t="s">
        <v>1274</v>
      </c>
      <c r="F93" s="8"/>
      <c r="H93" s="8"/>
      <c r="I93" s="8" t="s">
        <v>17109</v>
      </c>
      <c r="J93" s="8" t="s">
        <v>13484</v>
      </c>
      <c r="K93" t="s">
        <v>17110</v>
      </c>
      <c r="L93" t="s">
        <v>17111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8" t="s">
        <v>4</v>
      </c>
      <c r="E94" s="8" t="s">
        <v>468</v>
      </c>
      <c r="F94" s="8"/>
      <c r="H94" s="8"/>
      <c r="I94" s="8" t="s">
        <v>17112</v>
      </c>
      <c r="J94" s="8" t="s">
        <v>13484</v>
      </c>
      <c r="K94" t="s">
        <v>17113</v>
      </c>
      <c r="L94" t="s">
        <v>14387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8" t="s">
        <v>16689</v>
      </c>
      <c r="E95" s="8" t="s">
        <v>17486</v>
      </c>
      <c r="F95" s="8"/>
      <c r="H95" s="8"/>
      <c r="I95" s="8" t="s">
        <v>17114</v>
      </c>
      <c r="J95" s="8" t="s">
        <v>13484</v>
      </c>
      <c r="K95" t="s">
        <v>17115</v>
      </c>
      <c r="L95" t="s">
        <v>17116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8" t="s">
        <v>16689</v>
      </c>
      <c r="E96" s="8" t="s">
        <v>17486</v>
      </c>
      <c r="F96" s="8"/>
      <c r="H96" s="8"/>
      <c r="I96" s="8" t="s">
        <v>17117</v>
      </c>
      <c r="J96" s="8" t="s">
        <v>13484</v>
      </c>
      <c r="K96" t="s">
        <v>17118</v>
      </c>
      <c r="L96" t="s">
        <v>17119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8" t="s">
        <v>16689</v>
      </c>
      <c r="E97" s="8" t="s">
        <v>17486</v>
      </c>
      <c r="F97" s="8"/>
      <c r="H97" s="8"/>
      <c r="I97" s="8" t="s">
        <v>17120</v>
      </c>
      <c r="J97" s="8" t="s">
        <v>13484</v>
      </c>
      <c r="K97" t="s">
        <v>17121</v>
      </c>
      <c r="L97" t="s">
        <v>17122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8" t="s">
        <v>16689</v>
      </c>
      <c r="E98" s="8" t="s">
        <v>17486</v>
      </c>
      <c r="F98" s="8"/>
      <c r="H98" s="8"/>
      <c r="I98" s="8" t="s">
        <v>17123</v>
      </c>
      <c r="J98" s="8" t="s">
        <v>13484</v>
      </c>
      <c r="K98" t="s">
        <v>17124</v>
      </c>
      <c r="L98" t="s">
        <v>17125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8" t="s">
        <v>16689</v>
      </c>
      <c r="E99" s="8" t="s">
        <v>17486</v>
      </c>
      <c r="F99" s="8"/>
      <c r="H99" s="8"/>
      <c r="I99" s="8" t="s">
        <v>17126</v>
      </c>
      <c r="J99" s="8" t="s">
        <v>13484</v>
      </c>
      <c r="K99" t="s">
        <v>17127</v>
      </c>
      <c r="L99" t="s">
        <v>17128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8" t="s">
        <v>4</v>
      </c>
      <c r="E100" s="8" t="s">
        <v>468</v>
      </c>
      <c r="F100" s="8"/>
      <c r="H100" s="8"/>
      <c r="I100" s="8" t="s">
        <v>17129</v>
      </c>
      <c r="J100" s="8" t="s">
        <v>13484</v>
      </c>
      <c r="K100" t="s">
        <v>17130</v>
      </c>
      <c r="L100" t="s">
        <v>17131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8" t="s">
        <v>4</v>
      </c>
      <c r="E101" s="8" t="s">
        <v>468</v>
      </c>
      <c r="F101" s="8"/>
      <c r="H101" s="8"/>
      <c r="I101" s="8" t="s">
        <v>17132</v>
      </c>
      <c r="J101" s="8" t="s">
        <v>13484</v>
      </c>
      <c r="K101" t="s">
        <v>17133</v>
      </c>
      <c r="L101" t="s">
        <v>17134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8" t="s">
        <v>4</v>
      </c>
      <c r="E102" s="8" t="s">
        <v>468</v>
      </c>
      <c r="F102" s="8"/>
      <c r="H102" s="8"/>
      <c r="I102" s="8" t="s">
        <v>17135</v>
      </c>
      <c r="J102" s="8" t="s">
        <v>13484</v>
      </c>
      <c r="K102" t="s">
        <v>17136</v>
      </c>
      <c r="L102" t="s">
        <v>17137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8" t="s">
        <v>4</v>
      </c>
      <c r="E103" s="8" t="s">
        <v>468</v>
      </c>
      <c r="F103" s="8"/>
      <c r="H103" s="8"/>
      <c r="I103" s="8" t="s">
        <v>17138</v>
      </c>
      <c r="J103" s="8" t="s">
        <v>13484</v>
      </c>
      <c r="K103" t="s">
        <v>17139</v>
      </c>
      <c r="L103" t="s">
        <v>17140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8" t="s">
        <v>4</v>
      </c>
      <c r="E104" s="8" t="s">
        <v>468</v>
      </c>
      <c r="F104" s="8"/>
      <c r="H104" s="8"/>
      <c r="I104" s="8" t="s">
        <v>17141</v>
      </c>
      <c r="J104" s="8" t="s">
        <v>13484</v>
      </c>
      <c r="K104" t="s">
        <v>17142</v>
      </c>
      <c r="L104" t="s">
        <v>17143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8" t="s">
        <v>4</v>
      </c>
      <c r="E105" s="8" t="s">
        <v>468</v>
      </c>
      <c r="F105" s="8"/>
      <c r="H105" s="8"/>
      <c r="I105" s="8" t="s">
        <v>17144</v>
      </c>
      <c r="J105" s="8" t="s">
        <v>13484</v>
      </c>
      <c r="K105" t="s">
        <v>17145</v>
      </c>
      <c r="L105" t="s">
        <v>17146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8" t="s">
        <v>4</v>
      </c>
      <c r="E106" s="8" t="s">
        <v>468</v>
      </c>
      <c r="F106" s="8"/>
      <c r="H106" s="8"/>
      <c r="I106" s="8" t="s">
        <v>17147</v>
      </c>
      <c r="J106" s="8" t="s">
        <v>13484</v>
      </c>
      <c r="K106" t="s">
        <v>17148</v>
      </c>
      <c r="L106" t="s">
        <v>17149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8" t="s">
        <v>4</v>
      </c>
      <c r="E107" s="8" t="s">
        <v>468</v>
      </c>
      <c r="F107" s="8"/>
      <c r="H107" s="8"/>
      <c r="I107" s="8" t="s">
        <v>17150</v>
      </c>
      <c r="J107" s="8" t="s">
        <v>13484</v>
      </c>
      <c r="K107" t="s">
        <v>17151</v>
      </c>
      <c r="L107" t="s">
        <v>17152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8" t="s">
        <v>4</v>
      </c>
      <c r="E108" s="8" t="s">
        <v>468</v>
      </c>
      <c r="F108" s="8"/>
      <c r="H108" s="8"/>
      <c r="I108" s="8" t="s">
        <v>17153</v>
      </c>
      <c r="J108" s="8" t="s">
        <v>13484</v>
      </c>
      <c r="K108" t="s">
        <v>17154</v>
      </c>
      <c r="L108" t="s">
        <v>17155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8" t="s">
        <v>4</v>
      </c>
      <c r="E109" s="8" t="s">
        <v>468</v>
      </c>
      <c r="F109" s="8"/>
      <c r="H109" s="8"/>
      <c r="I109" s="8" t="s">
        <v>17156</v>
      </c>
      <c r="J109" s="8" t="s">
        <v>13484</v>
      </c>
      <c r="K109" t="s">
        <v>17157</v>
      </c>
      <c r="L109" t="s">
        <v>17158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8" t="s">
        <v>16689</v>
      </c>
      <c r="E110" s="8" t="s">
        <v>17486</v>
      </c>
      <c r="F110" s="8"/>
      <c r="H110" s="8"/>
      <c r="I110" s="8" t="s">
        <v>17159</v>
      </c>
      <c r="J110" s="8" t="s">
        <v>13484</v>
      </c>
      <c r="K110" t="s">
        <v>17160</v>
      </c>
      <c r="L110" t="s">
        <v>17161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8" t="s">
        <v>16689</v>
      </c>
      <c r="E111" s="8" t="s">
        <v>17486</v>
      </c>
      <c r="F111" s="8"/>
      <c r="H111" s="8"/>
      <c r="I111" s="8" t="s">
        <v>17162</v>
      </c>
      <c r="J111" s="8" t="s">
        <v>13484</v>
      </c>
      <c r="K111" t="s">
        <v>17163</v>
      </c>
      <c r="L111" t="s">
        <v>17164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8" t="s">
        <v>16689</v>
      </c>
      <c r="E112" s="8" t="s">
        <v>17486</v>
      </c>
      <c r="F112" s="8"/>
      <c r="H112" s="8"/>
      <c r="I112" s="8" t="s">
        <v>17165</v>
      </c>
      <c r="J112" s="8" t="s">
        <v>13484</v>
      </c>
      <c r="K112" t="s">
        <v>17166</v>
      </c>
      <c r="L112" t="s">
        <v>17167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8" t="s">
        <v>16689</v>
      </c>
      <c r="E113" s="8" t="s">
        <v>17486</v>
      </c>
      <c r="F113" s="8"/>
      <c r="H113" s="8"/>
      <c r="I113" s="8" t="s">
        <v>17168</v>
      </c>
      <c r="J113" s="8" t="s">
        <v>13484</v>
      </c>
      <c r="K113" t="s">
        <v>17169</v>
      </c>
      <c r="L113" t="s">
        <v>17170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8" t="s">
        <v>16689</v>
      </c>
      <c r="E114" s="8" t="s">
        <v>17486</v>
      </c>
      <c r="F114" s="8"/>
      <c r="H114" s="8"/>
      <c r="I114" s="8" t="s">
        <v>17171</v>
      </c>
      <c r="J114" s="8" t="s">
        <v>13484</v>
      </c>
      <c r="K114" t="s">
        <v>17172</v>
      </c>
      <c r="L114" t="s">
        <v>17173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8" t="s">
        <v>16689</v>
      </c>
      <c r="E115" s="8" t="s">
        <v>17486</v>
      </c>
      <c r="F115" s="8"/>
      <c r="H115" s="8"/>
      <c r="I115" s="8" t="s">
        <v>17174</v>
      </c>
      <c r="J115" s="8" t="s">
        <v>13484</v>
      </c>
      <c r="K115" t="s">
        <v>17175</v>
      </c>
      <c r="L115" t="s">
        <v>17176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8" t="s">
        <v>4</v>
      </c>
      <c r="E116" s="8" t="s">
        <v>1274</v>
      </c>
      <c r="F116" s="8"/>
      <c r="H116" s="8"/>
      <c r="I116" s="8" t="s">
        <v>17177</v>
      </c>
      <c r="J116" s="8" t="s">
        <v>13484</v>
      </c>
      <c r="K116" t="s">
        <v>17178</v>
      </c>
      <c r="L116" t="s">
        <v>17179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8" t="s">
        <v>4</v>
      </c>
      <c r="E117" s="8" t="s">
        <v>1274</v>
      </c>
      <c r="F117" s="8"/>
      <c r="H117" s="8"/>
      <c r="I117" s="8" t="s">
        <v>17180</v>
      </c>
      <c r="J117" s="8" t="s">
        <v>13484</v>
      </c>
      <c r="K117" t="s">
        <v>17181</v>
      </c>
      <c r="L117" t="s">
        <v>17182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8" t="s">
        <v>4</v>
      </c>
      <c r="E118" s="8" t="s">
        <v>1274</v>
      </c>
      <c r="F118" s="8"/>
      <c r="H118" s="8"/>
      <c r="I118" s="8" t="s">
        <v>17183</v>
      </c>
      <c r="J118" s="8" t="s">
        <v>13484</v>
      </c>
      <c r="K118" t="s">
        <v>17184</v>
      </c>
      <c r="L118" t="s">
        <v>17185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8" t="s">
        <v>4</v>
      </c>
      <c r="E119" s="8" t="s">
        <v>1274</v>
      </c>
      <c r="F119" s="8"/>
      <c r="H119" s="8"/>
      <c r="I119" s="8" t="s">
        <v>17186</v>
      </c>
      <c r="J119" s="8" t="s">
        <v>13484</v>
      </c>
      <c r="K119" t="s">
        <v>17187</v>
      </c>
      <c r="L119" t="s">
        <v>17188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8" t="s">
        <v>4</v>
      </c>
      <c r="E120" s="8" t="s">
        <v>468</v>
      </c>
      <c r="F120" s="8"/>
      <c r="H120" s="8"/>
      <c r="I120" s="8" t="s">
        <v>17189</v>
      </c>
      <c r="J120" s="8" t="s">
        <v>13484</v>
      </c>
      <c r="K120" t="s">
        <v>17190</v>
      </c>
      <c r="L120" t="s">
        <v>17191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8" t="s">
        <v>4</v>
      </c>
      <c r="E121" s="8" t="s">
        <v>468</v>
      </c>
      <c r="F121" s="8"/>
      <c r="H121" s="8"/>
      <c r="I121" s="8" t="s">
        <v>17192</v>
      </c>
      <c r="J121" s="8" t="s">
        <v>13484</v>
      </c>
      <c r="K121" t="s">
        <v>17193</v>
      </c>
      <c r="L121" t="s">
        <v>17194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8" t="s">
        <v>4</v>
      </c>
      <c r="E122" s="8" t="s">
        <v>468</v>
      </c>
      <c r="F122" s="8"/>
      <c r="H122" s="8"/>
      <c r="I122" s="8" t="s">
        <v>17195</v>
      </c>
      <c r="J122" s="8" t="s">
        <v>13484</v>
      </c>
      <c r="K122" t="s">
        <v>17196</v>
      </c>
      <c r="L122" t="s">
        <v>17197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8" t="s">
        <v>4</v>
      </c>
      <c r="E123" s="8" t="s">
        <v>468</v>
      </c>
      <c r="F123" s="8"/>
      <c r="H123" s="8"/>
      <c r="I123" s="8" t="s">
        <v>17198</v>
      </c>
      <c r="J123" s="8" t="s">
        <v>13484</v>
      </c>
      <c r="K123" t="s">
        <v>17199</v>
      </c>
      <c r="L123" t="s">
        <v>17200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8" t="s">
        <v>4</v>
      </c>
      <c r="E124" s="8" t="s">
        <v>468</v>
      </c>
      <c r="F124" s="8"/>
      <c r="H124" s="8"/>
      <c r="I124" s="8" t="s">
        <v>17201</v>
      </c>
      <c r="J124" s="8" t="s">
        <v>13484</v>
      </c>
      <c r="K124" t="s">
        <v>17202</v>
      </c>
      <c r="L124" t="s">
        <v>17203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8" t="s">
        <v>4</v>
      </c>
      <c r="E125" s="8" t="s">
        <v>468</v>
      </c>
      <c r="F125" s="8"/>
      <c r="H125" s="8"/>
      <c r="I125" s="8" t="s">
        <v>17204</v>
      </c>
      <c r="J125" s="8" t="s">
        <v>13484</v>
      </c>
      <c r="K125" t="s">
        <v>17205</v>
      </c>
      <c r="L125" t="s">
        <v>17206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8" t="s">
        <v>4</v>
      </c>
      <c r="E126" s="8" t="s">
        <v>468</v>
      </c>
      <c r="F126" s="8"/>
      <c r="H126" s="8"/>
      <c r="I126" s="8" t="s">
        <v>17207</v>
      </c>
      <c r="J126" s="8" t="s">
        <v>13484</v>
      </c>
      <c r="K126" t="s">
        <v>17208</v>
      </c>
      <c r="L126" t="s">
        <v>17209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8" t="s">
        <v>4</v>
      </c>
      <c r="E127" s="8" t="s">
        <v>468</v>
      </c>
      <c r="F127" s="8"/>
      <c r="H127" s="8"/>
      <c r="I127" s="8" t="s">
        <v>17210</v>
      </c>
      <c r="J127" s="8" t="s">
        <v>13484</v>
      </c>
      <c r="K127" t="s">
        <v>17211</v>
      </c>
      <c r="L127" t="s">
        <v>17212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8" t="s">
        <v>16689</v>
      </c>
      <c r="E128" s="8" t="s">
        <v>468</v>
      </c>
      <c r="F128" s="8"/>
      <c r="H128" s="8"/>
      <c r="I128" s="8" t="s">
        <v>17213</v>
      </c>
      <c r="J128" s="8" t="s">
        <v>13484</v>
      </c>
      <c r="K128" t="s">
        <v>17214</v>
      </c>
      <c r="L128" t="s">
        <v>17215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8" t="s">
        <v>16689</v>
      </c>
      <c r="E129" s="8" t="s">
        <v>468</v>
      </c>
      <c r="F129" s="8"/>
      <c r="H129" s="8"/>
      <c r="I129" s="8" t="s">
        <v>17216</v>
      </c>
      <c r="J129" s="8" t="s">
        <v>13484</v>
      </c>
      <c r="K129" t="s">
        <v>17217</v>
      </c>
      <c r="L129" t="s">
        <v>17218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8" t="s">
        <v>17487</v>
      </c>
      <c r="E130" s="8" t="s">
        <v>1274</v>
      </c>
      <c r="F130" s="8"/>
      <c r="H130" s="8"/>
      <c r="I130" s="8" t="s">
        <v>17219</v>
      </c>
      <c r="J130" s="8" t="s">
        <v>13484</v>
      </c>
      <c r="K130" t="s">
        <v>17220</v>
      </c>
      <c r="L130" t="s">
        <v>17221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8" t="s">
        <v>4</v>
      </c>
      <c r="E131" s="8" t="s">
        <v>1274</v>
      </c>
      <c r="F131" s="8"/>
      <c r="H131" s="8"/>
      <c r="I131" s="8" t="s">
        <v>17222</v>
      </c>
      <c r="J131" s="8" t="s">
        <v>13484</v>
      </c>
      <c r="K131" t="s">
        <v>17223</v>
      </c>
      <c r="L131" t="s">
        <v>17224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8" t="s">
        <v>4</v>
      </c>
      <c r="E132" s="8" t="s">
        <v>1274</v>
      </c>
      <c r="F132" s="8"/>
      <c r="H132" s="8"/>
      <c r="I132" s="8" t="s">
        <v>17225</v>
      </c>
      <c r="J132" s="8" t="s">
        <v>13484</v>
      </c>
      <c r="K132" t="s">
        <v>17226</v>
      </c>
      <c r="L132" t="s">
        <v>17227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8" t="s">
        <v>4</v>
      </c>
      <c r="E133" s="8" t="s">
        <v>1274</v>
      </c>
      <c r="F133" s="8"/>
      <c r="H133" s="8"/>
      <c r="I133" s="8" t="s">
        <v>17228</v>
      </c>
      <c r="J133" s="8" t="s">
        <v>13484</v>
      </c>
      <c r="K133" t="s">
        <v>17229</v>
      </c>
      <c r="L133" t="s">
        <v>17230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8" t="s">
        <v>4</v>
      </c>
      <c r="E134" s="8" t="s">
        <v>1274</v>
      </c>
      <c r="F134" s="8"/>
      <c r="H134" s="8"/>
      <c r="I134" s="8" t="s">
        <v>17231</v>
      </c>
      <c r="J134" s="8" t="s">
        <v>13484</v>
      </c>
      <c r="K134" t="s">
        <v>17232</v>
      </c>
      <c r="L134" t="s">
        <v>17233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8" t="s">
        <v>4</v>
      </c>
      <c r="E135" s="8" t="s">
        <v>1274</v>
      </c>
      <c r="F135" s="8"/>
      <c r="H135" s="8"/>
      <c r="I135" s="8" t="s">
        <v>17234</v>
      </c>
      <c r="J135" s="8" t="s">
        <v>13484</v>
      </c>
      <c r="K135" t="s">
        <v>17235</v>
      </c>
      <c r="L135" t="s">
        <v>17236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8" t="s">
        <v>4</v>
      </c>
      <c r="E136" s="8" t="s">
        <v>1274</v>
      </c>
      <c r="F136" s="8"/>
      <c r="H136" s="8"/>
      <c r="I136" s="8" t="s">
        <v>17237</v>
      </c>
      <c r="J136" s="8" t="s">
        <v>13484</v>
      </c>
      <c r="K136" t="s">
        <v>17238</v>
      </c>
      <c r="L136" t="s">
        <v>17239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8" t="s">
        <v>4</v>
      </c>
      <c r="E137" s="8" t="s">
        <v>1274</v>
      </c>
      <c r="F137" s="8"/>
      <c r="H137" s="8"/>
      <c r="I137" s="8" t="s">
        <v>17240</v>
      </c>
      <c r="J137" s="8" t="s">
        <v>13484</v>
      </c>
      <c r="K137" t="s">
        <v>17241</v>
      </c>
      <c r="L137" t="s">
        <v>17242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8" t="s">
        <v>4</v>
      </c>
      <c r="E138" s="8" t="s">
        <v>1274</v>
      </c>
      <c r="F138" s="8"/>
      <c r="H138" s="8"/>
      <c r="I138" s="8" t="s">
        <v>17243</v>
      </c>
      <c r="J138" s="8" t="s">
        <v>13484</v>
      </c>
      <c r="K138" t="s">
        <v>17244</v>
      </c>
      <c r="L138" t="s">
        <v>17245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8" t="s">
        <v>4</v>
      </c>
      <c r="E139" s="8" t="s">
        <v>11080</v>
      </c>
      <c r="F139" s="8"/>
      <c r="H139" s="8"/>
      <c r="I139" s="8" t="s">
        <v>17246</v>
      </c>
      <c r="J139" s="8" t="s">
        <v>13484</v>
      </c>
      <c r="K139" t="s">
        <v>17247</v>
      </c>
      <c r="L139" t="s">
        <v>17248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8" t="s">
        <v>4</v>
      </c>
      <c r="E140" s="8" t="s">
        <v>11080</v>
      </c>
      <c r="F140" s="8"/>
      <c r="H140" s="8"/>
      <c r="I140" s="8" t="s">
        <v>17249</v>
      </c>
      <c r="J140" s="8" t="s">
        <v>13484</v>
      </c>
      <c r="K140" t="s">
        <v>17250</v>
      </c>
      <c r="L140" t="s">
        <v>17251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8" t="s">
        <v>4</v>
      </c>
      <c r="E141" s="8" t="s">
        <v>1274</v>
      </c>
      <c r="F141" s="8"/>
      <c r="H141" s="8"/>
      <c r="I141" s="8" t="s">
        <v>17252</v>
      </c>
      <c r="J141" s="8" t="s">
        <v>13484</v>
      </c>
      <c r="K141" t="s">
        <v>17253</v>
      </c>
      <c r="L141" t="s">
        <v>17254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8" t="s">
        <v>4</v>
      </c>
      <c r="E142" s="8" t="s">
        <v>11080</v>
      </c>
      <c r="F142" s="8"/>
      <c r="H142" s="8"/>
      <c r="I142" s="8" t="s">
        <v>17255</v>
      </c>
      <c r="J142" s="8" t="s">
        <v>13484</v>
      </c>
      <c r="K142" t="s">
        <v>17256</v>
      </c>
      <c r="L142" t="s">
        <v>17257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8" t="s">
        <v>4</v>
      </c>
      <c r="E143" s="8" t="s">
        <v>11080</v>
      </c>
      <c r="F143" s="8"/>
      <c r="H143" s="8"/>
      <c r="I143" s="8" t="s">
        <v>17258</v>
      </c>
      <c r="J143" s="8" t="s">
        <v>13484</v>
      </c>
      <c r="K143" t="s">
        <v>17259</v>
      </c>
      <c r="L143" t="s">
        <v>17260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8" t="s">
        <v>1607</v>
      </c>
      <c r="E144" s="8" t="s">
        <v>11080</v>
      </c>
      <c r="F144" s="8"/>
      <c r="H144" s="8"/>
      <c r="I144" s="8" t="s">
        <v>17261</v>
      </c>
      <c r="J144" s="8" t="s">
        <v>13484</v>
      </c>
      <c r="K144" t="s">
        <v>17262</v>
      </c>
      <c r="L144" t="s">
        <v>17263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8" t="s">
        <v>4</v>
      </c>
      <c r="E145" s="8" t="s">
        <v>11080</v>
      </c>
      <c r="F145" s="8"/>
      <c r="H145" s="8"/>
      <c r="I145" s="8" t="s">
        <v>17264</v>
      </c>
      <c r="J145" s="8" t="s">
        <v>13484</v>
      </c>
      <c r="K145" t="s">
        <v>17265</v>
      </c>
      <c r="L145" t="s">
        <v>17266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8" t="s">
        <v>4</v>
      </c>
      <c r="E146" s="8" t="s">
        <v>1274</v>
      </c>
      <c r="F146" s="8"/>
      <c r="H146" s="8"/>
      <c r="I146" s="8" t="s">
        <v>17267</v>
      </c>
      <c r="J146" s="8" t="s">
        <v>13484</v>
      </c>
      <c r="K146" t="s">
        <v>17268</v>
      </c>
      <c r="L146" t="s">
        <v>17269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8" t="s">
        <v>16689</v>
      </c>
      <c r="E147" s="8" t="s">
        <v>1274</v>
      </c>
      <c r="F147" s="8"/>
      <c r="H147" s="8"/>
      <c r="I147" s="8" t="s">
        <v>17270</v>
      </c>
      <c r="J147" s="8" t="s">
        <v>13484</v>
      </c>
      <c r="K147" t="s">
        <v>17271</v>
      </c>
      <c r="L147" t="s">
        <v>17272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8" t="s">
        <v>16689</v>
      </c>
      <c r="E148" s="8" t="s">
        <v>1274</v>
      </c>
      <c r="F148" s="8"/>
      <c r="H148" s="8"/>
      <c r="I148" s="8" t="s">
        <v>17273</v>
      </c>
      <c r="J148" s="8" t="s">
        <v>13484</v>
      </c>
      <c r="K148" t="s">
        <v>17274</v>
      </c>
      <c r="L148" t="s">
        <v>17275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8" t="s">
        <v>16689</v>
      </c>
      <c r="E149" s="8" t="s">
        <v>1274</v>
      </c>
      <c r="F149" s="8"/>
      <c r="H149" s="8"/>
      <c r="I149" s="8" t="s">
        <v>17276</v>
      </c>
      <c r="J149" s="8" t="s">
        <v>13484</v>
      </c>
      <c r="K149" t="s">
        <v>17277</v>
      </c>
      <c r="L149" t="s">
        <v>17278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8" t="s">
        <v>16689</v>
      </c>
      <c r="E150" s="8" t="s">
        <v>1274</v>
      </c>
      <c r="F150" s="8"/>
      <c r="H150" s="8"/>
      <c r="I150" s="8" t="s">
        <v>17279</v>
      </c>
      <c r="J150" s="8" t="s">
        <v>13484</v>
      </c>
      <c r="K150" t="s">
        <v>17280</v>
      </c>
      <c r="L150" t="s">
        <v>17281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8" t="s">
        <v>16689</v>
      </c>
      <c r="E151" s="8" t="s">
        <v>1274</v>
      </c>
      <c r="F151" s="8"/>
      <c r="H151" s="8"/>
      <c r="I151" s="8" t="s">
        <v>17282</v>
      </c>
      <c r="J151" s="8" t="s">
        <v>13484</v>
      </c>
      <c r="K151" t="s">
        <v>17283</v>
      </c>
      <c r="L151" t="s">
        <v>17284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8" t="s">
        <v>16689</v>
      </c>
      <c r="E152" s="8" t="s">
        <v>1274</v>
      </c>
      <c r="F152" s="8"/>
      <c r="H152" s="8"/>
      <c r="I152" s="8" t="s">
        <v>17285</v>
      </c>
      <c r="J152" s="8" t="s">
        <v>13484</v>
      </c>
      <c r="K152" t="s">
        <v>17286</v>
      </c>
      <c r="L152" t="s">
        <v>17287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8" t="s">
        <v>16689</v>
      </c>
      <c r="E153" s="8" t="s">
        <v>1274</v>
      </c>
      <c r="F153" s="8"/>
      <c r="H153" s="8"/>
      <c r="I153" s="8" t="s">
        <v>17288</v>
      </c>
      <c r="J153" s="8" t="s">
        <v>13484</v>
      </c>
      <c r="K153" t="s">
        <v>17289</v>
      </c>
      <c r="L153" t="s">
        <v>17290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8" t="s">
        <v>16689</v>
      </c>
      <c r="E154" s="8" t="s">
        <v>1274</v>
      </c>
      <c r="F154" s="8"/>
      <c r="H154" s="8"/>
      <c r="I154" s="8" t="s">
        <v>17291</v>
      </c>
      <c r="J154" s="8" t="s">
        <v>13484</v>
      </c>
      <c r="K154" t="s">
        <v>17292</v>
      </c>
      <c r="L154" t="s">
        <v>17293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8" t="s">
        <v>16689</v>
      </c>
      <c r="E155" s="8" t="s">
        <v>1274</v>
      </c>
      <c r="F155" s="8"/>
      <c r="H155" s="8"/>
      <c r="I155" s="8" t="s">
        <v>17294</v>
      </c>
      <c r="J155" s="8" t="s">
        <v>13484</v>
      </c>
      <c r="K155" t="s">
        <v>17295</v>
      </c>
      <c r="L155" t="s">
        <v>17296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8" t="s">
        <v>16689</v>
      </c>
      <c r="E156" s="8" t="s">
        <v>1274</v>
      </c>
      <c r="F156" s="8"/>
      <c r="H156" s="8"/>
      <c r="I156" s="8" t="s">
        <v>17297</v>
      </c>
      <c r="J156" s="8" t="s">
        <v>13484</v>
      </c>
      <c r="K156" t="s">
        <v>17298</v>
      </c>
      <c r="L156" t="s">
        <v>17299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8" t="s">
        <v>16689</v>
      </c>
      <c r="E157" s="8" t="s">
        <v>1274</v>
      </c>
      <c r="F157" s="8"/>
      <c r="H157" s="8"/>
      <c r="I157" s="8" t="s">
        <v>17300</v>
      </c>
      <c r="J157" s="8" t="s">
        <v>13484</v>
      </c>
      <c r="K157" t="s">
        <v>17301</v>
      </c>
      <c r="L157" t="s">
        <v>17302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8" t="s">
        <v>16689</v>
      </c>
      <c r="E158" s="8" t="s">
        <v>1274</v>
      </c>
      <c r="F158" s="8"/>
      <c r="H158" s="8"/>
      <c r="I158" s="8" t="s">
        <v>17303</v>
      </c>
      <c r="J158" s="8" t="s">
        <v>13484</v>
      </c>
      <c r="K158" t="s">
        <v>17304</v>
      </c>
      <c r="L158" t="s">
        <v>17305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8" t="s">
        <v>16689</v>
      </c>
      <c r="E159" s="8" t="s">
        <v>1274</v>
      </c>
      <c r="F159" s="8"/>
      <c r="H159" s="8"/>
      <c r="I159" s="8" t="s">
        <v>17306</v>
      </c>
      <c r="J159" s="8" t="s">
        <v>13484</v>
      </c>
      <c r="K159" t="s">
        <v>17307</v>
      </c>
      <c r="L159" t="s">
        <v>17308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8" t="s">
        <v>4</v>
      </c>
      <c r="E160" s="8" t="s">
        <v>11080</v>
      </c>
      <c r="F160" s="8"/>
      <c r="H160" s="8"/>
      <c r="I160" s="8" t="s">
        <v>17309</v>
      </c>
      <c r="J160" s="8" t="s">
        <v>13484</v>
      </c>
      <c r="K160" t="s">
        <v>17310</v>
      </c>
      <c r="L160" t="s">
        <v>17311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8" t="s">
        <v>1607</v>
      </c>
      <c r="E161" s="8" t="s">
        <v>11080</v>
      </c>
      <c r="F161" s="8"/>
      <c r="H161" s="8"/>
      <c r="I161" s="8" t="s">
        <v>17312</v>
      </c>
      <c r="J161" s="8" t="s">
        <v>13484</v>
      </c>
      <c r="K161" t="s">
        <v>17313</v>
      </c>
      <c r="L161" t="s">
        <v>17314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8" t="s">
        <v>4</v>
      </c>
      <c r="E162" s="8" t="s">
        <v>11080</v>
      </c>
      <c r="F162" s="8"/>
      <c r="H162" s="8"/>
      <c r="I162" s="8" t="s">
        <v>17799</v>
      </c>
      <c r="J162" s="8" t="s">
        <v>13484</v>
      </c>
      <c r="K162" t="s">
        <v>17800</v>
      </c>
      <c r="L162" t="s">
        <v>17801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8" t="s">
        <v>4</v>
      </c>
      <c r="E163" s="8" t="s">
        <v>1274</v>
      </c>
      <c r="F163" s="8"/>
      <c r="H163" s="8"/>
      <c r="I163" s="8" t="s">
        <v>17802</v>
      </c>
      <c r="J163" s="8" t="s">
        <v>13484</v>
      </c>
      <c r="K163" t="s">
        <v>17803</v>
      </c>
      <c r="L163" t="s">
        <v>17804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8" t="s">
        <v>4</v>
      </c>
      <c r="E164" s="8" t="s">
        <v>468</v>
      </c>
      <c r="F164" s="8"/>
      <c r="H164" s="8"/>
      <c r="I164" s="8" t="s">
        <v>17805</v>
      </c>
      <c r="J164" s="8" t="s">
        <v>13484</v>
      </c>
      <c r="K164" t="s">
        <v>17806</v>
      </c>
      <c r="L164" t="s">
        <v>17807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8" t="s">
        <v>17913</v>
      </c>
      <c r="E165" s="8"/>
      <c r="F165" s="8"/>
      <c r="H165" s="8"/>
      <c r="I165" s="8" t="s">
        <v>17808</v>
      </c>
      <c r="J165" s="8" t="s">
        <v>13484</v>
      </c>
      <c r="K165" t="s">
        <v>17809</v>
      </c>
      <c r="L165" t="s">
        <v>17810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8" t="s">
        <v>17913</v>
      </c>
      <c r="E166" s="8"/>
      <c r="F166" s="8"/>
      <c r="H166" s="8"/>
      <c r="I166" s="8" t="s">
        <v>17811</v>
      </c>
      <c r="J166" s="8" t="s">
        <v>13484</v>
      </c>
      <c r="K166" t="s">
        <v>17812</v>
      </c>
      <c r="L166" t="s">
        <v>17813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8" t="s">
        <v>4</v>
      </c>
      <c r="E167" s="8" t="s">
        <v>11080</v>
      </c>
      <c r="F167" s="8"/>
      <c r="H167" s="8"/>
      <c r="I167" s="8" t="s">
        <v>17814</v>
      </c>
      <c r="J167" s="8" t="s">
        <v>13484</v>
      </c>
      <c r="K167" t="s">
        <v>17815</v>
      </c>
      <c r="L167" t="s">
        <v>17816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8" t="s">
        <v>16689</v>
      </c>
      <c r="E168" s="8" t="s">
        <v>1274</v>
      </c>
      <c r="F168" s="8"/>
      <c r="H168" s="8"/>
      <c r="I168" s="8" t="s">
        <v>17817</v>
      </c>
      <c r="J168" s="8" t="s">
        <v>13484</v>
      </c>
      <c r="K168" t="s">
        <v>17818</v>
      </c>
      <c r="L168" t="s">
        <v>17819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8" t="s">
        <v>16689</v>
      </c>
      <c r="E169" s="8" t="s">
        <v>1274</v>
      </c>
      <c r="F169" s="8"/>
      <c r="H169" s="8"/>
      <c r="I169" s="8" t="s">
        <v>17820</v>
      </c>
      <c r="J169" s="8" t="s">
        <v>13484</v>
      </c>
      <c r="K169" t="s">
        <v>17821</v>
      </c>
      <c r="L169" t="s">
        <v>17600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8" t="s">
        <v>16689</v>
      </c>
      <c r="E170" s="8" t="s">
        <v>1274</v>
      </c>
      <c r="F170" s="8"/>
      <c r="H170" s="8"/>
      <c r="I170" s="8" t="s">
        <v>17822</v>
      </c>
      <c r="J170" s="8" t="s">
        <v>13484</v>
      </c>
      <c r="K170" t="s">
        <v>17823</v>
      </c>
      <c r="L170" t="s">
        <v>17824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8" t="s">
        <v>16689</v>
      </c>
      <c r="E171" s="8" t="s">
        <v>1274</v>
      </c>
      <c r="F171" s="8"/>
      <c r="H171" s="8"/>
      <c r="I171" s="8" t="s">
        <v>17825</v>
      </c>
      <c r="J171" s="8" t="s">
        <v>13484</v>
      </c>
      <c r="K171" t="s">
        <v>17826</v>
      </c>
      <c r="L171" t="s">
        <v>17827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8" t="s">
        <v>16689</v>
      </c>
      <c r="E172" s="8" t="s">
        <v>1274</v>
      </c>
      <c r="F172" s="8"/>
      <c r="H172" s="8"/>
      <c r="I172" s="8" t="s">
        <v>17828</v>
      </c>
      <c r="J172" s="8" t="s">
        <v>13484</v>
      </c>
      <c r="K172" t="s">
        <v>17829</v>
      </c>
      <c r="L172" t="s">
        <v>17830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8" t="s">
        <v>16689</v>
      </c>
      <c r="E173" s="8" t="s">
        <v>1274</v>
      </c>
      <c r="F173" s="8"/>
      <c r="H173" s="8"/>
      <c r="I173" s="8" t="s">
        <v>17831</v>
      </c>
      <c r="J173" s="8" t="s">
        <v>13484</v>
      </c>
      <c r="K173" t="s">
        <v>17832</v>
      </c>
      <c r="L173" t="s">
        <v>17833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8" t="s">
        <v>4</v>
      </c>
      <c r="E174" s="8" t="s">
        <v>17914</v>
      </c>
      <c r="F174" s="8"/>
      <c r="H174" s="8"/>
      <c r="I174" s="8" t="s">
        <v>17834</v>
      </c>
      <c r="J174" s="8" t="s">
        <v>13484</v>
      </c>
      <c r="K174" t="s">
        <v>17835</v>
      </c>
      <c r="L174" t="s">
        <v>17836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8" t="s">
        <v>4</v>
      </c>
      <c r="E175" s="8" t="s">
        <v>1274</v>
      </c>
      <c r="F175" s="8"/>
      <c r="H175" s="8"/>
      <c r="I175" s="8" t="s">
        <v>18286</v>
      </c>
      <c r="J175" s="8" t="s">
        <v>13484</v>
      </c>
      <c r="K175" t="s">
        <v>18287</v>
      </c>
      <c r="L175" t="s">
        <v>18288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8" t="s">
        <v>4</v>
      </c>
      <c r="E176" s="8" t="s">
        <v>11080</v>
      </c>
      <c r="F176" s="8"/>
      <c r="H176" s="8"/>
      <c r="I176" s="8" t="s">
        <v>18289</v>
      </c>
      <c r="J176" s="8" t="s">
        <v>13484</v>
      </c>
      <c r="K176" t="s">
        <v>18290</v>
      </c>
      <c r="L176" t="s">
        <v>18291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8" t="s">
        <v>4</v>
      </c>
      <c r="E177" s="8" t="s">
        <v>468</v>
      </c>
      <c r="F177" s="8"/>
      <c r="H177" s="8"/>
      <c r="I177" s="8" t="s">
        <v>18292</v>
      </c>
      <c r="J177" s="8" t="s">
        <v>13484</v>
      </c>
      <c r="K177" t="s">
        <v>18293</v>
      </c>
      <c r="L177" t="s">
        <v>18294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8" t="s">
        <v>4</v>
      </c>
      <c r="E178" s="8" t="s">
        <v>468</v>
      </c>
      <c r="F178" s="8"/>
      <c r="H178" s="8"/>
      <c r="I178" s="8" t="s">
        <v>18295</v>
      </c>
      <c r="J178" s="8" t="s">
        <v>13484</v>
      </c>
      <c r="K178" t="s">
        <v>18296</v>
      </c>
      <c r="L178" t="s">
        <v>18297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8" t="s">
        <v>4</v>
      </c>
      <c r="E179" s="8" t="s">
        <v>468</v>
      </c>
      <c r="F179" s="8"/>
      <c r="H179" s="8"/>
      <c r="I179" s="8" t="s">
        <v>18298</v>
      </c>
      <c r="J179" s="8" t="s">
        <v>13484</v>
      </c>
      <c r="K179" t="s">
        <v>18299</v>
      </c>
      <c r="L179" t="s">
        <v>18300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8" t="s">
        <v>4</v>
      </c>
      <c r="E180" s="8" t="s">
        <v>468</v>
      </c>
      <c r="F180" s="8"/>
      <c r="H180" s="8"/>
      <c r="I180" s="8" t="s">
        <v>18301</v>
      </c>
      <c r="J180" s="8" t="s">
        <v>13484</v>
      </c>
      <c r="K180" t="s">
        <v>18302</v>
      </c>
      <c r="L180" t="s">
        <v>18303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8" t="s">
        <v>4</v>
      </c>
      <c r="E181" s="8" t="s">
        <v>1274</v>
      </c>
      <c r="F181" s="8"/>
      <c r="H181" s="8"/>
      <c r="I181" s="8" t="s">
        <v>18304</v>
      </c>
      <c r="J181" s="8" t="s">
        <v>13484</v>
      </c>
      <c r="K181" t="s">
        <v>18305</v>
      </c>
      <c r="L181" t="s">
        <v>18306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8" t="s">
        <v>16689</v>
      </c>
      <c r="E182" s="8" t="s">
        <v>1274</v>
      </c>
      <c r="F182" s="8"/>
      <c r="H182" s="8"/>
      <c r="I182" s="8" t="s">
        <v>18307</v>
      </c>
      <c r="J182" s="8" t="s">
        <v>13484</v>
      </c>
      <c r="K182" t="s">
        <v>18308</v>
      </c>
      <c r="L182" t="s">
        <v>18309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8" t="s">
        <v>16689</v>
      </c>
      <c r="E183" s="8" t="s">
        <v>1274</v>
      </c>
      <c r="F183" s="8"/>
      <c r="H183" s="8"/>
      <c r="I183" s="8" t="s">
        <v>18310</v>
      </c>
      <c r="J183" s="8" t="s">
        <v>13484</v>
      </c>
      <c r="K183" t="s">
        <v>18311</v>
      </c>
      <c r="L183" t="s">
        <v>18312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8" t="s">
        <v>4</v>
      </c>
      <c r="E184" s="8" t="s">
        <v>17914</v>
      </c>
      <c r="F184" s="8"/>
      <c r="H184" s="8"/>
      <c r="I184" s="8" t="s">
        <v>18313</v>
      </c>
      <c r="J184" s="8" t="s">
        <v>13484</v>
      </c>
      <c r="K184" t="s">
        <v>18314</v>
      </c>
      <c r="L184" t="s">
        <v>18315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8" t="s">
        <v>4</v>
      </c>
      <c r="E185" s="8" t="s">
        <v>1274</v>
      </c>
      <c r="F185" s="8"/>
      <c r="H185" s="8"/>
      <c r="I185" s="8" t="s">
        <v>18777</v>
      </c>
      <c r="J185" s="8" t="s">
        <v>13484</v>
      </c>
      <c r="K185" t="s">
        <v>18778</v>
      </c>
      <c r="L185" t="s">
        <v>18779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8" t="s">
        <v>4</v>
      </c>
      <c r="E186" s="8" t="s">
        <v>1274</v>
      </c>
      <c r="F186" s="8"/>
      <c r="H186" s="8"/>
      <c r="I186" s="8" t="s">
        <v>18780</v>
      </c>
      <c r="J186" s="8" t="s">
        <v>13484</v>
      </c>
      <c r="K186" t="s">
        <v>18781</v>
      </c>
      <c r="L186" t="s">
        <v>18782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8" t="s">
        <v>4</v>
      </c>
      <c r="E187" s="8" t="s">
        <v>468</v>
      </c>
      <c r="F187" s="8"/>
      <c r="H187" s="8"/>
      <c r="I187" s="8" t="s">
        <v>18783</v>
      </c>
      <c r="J187" s="8" t="s">
        <v>13484</v>
      </c>
      <c r="K187" t="s">
        <v>18784</v>
      </c>
      <c r="L187" t="s">
        <v>18785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8" t="s">
        <v>16689</v>
      </c>
      <c r="E188" s="8" t="s">
        <v>1274</v>
      </c>
      <c r="F188" s="8"/>
      <c r="H188" s="8"/>
      <c r="I188" s="8" t="s">
        <v>18786</v>
      </c>
      <c r="J188" s="8" t="s">
        <v>13484</v>
      </c>
      <c r="K188" t="s">
        <v>18787</v>
      </c>
      <c r="L188" t="s">
        <v>18788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8" t="s">
        <v>16689</v>
      </c>
      <c r="E189" s="8" t="s">
        <v>1274</v>
      </c>
      <c r="F189" s="8"/>
      <c r="H189" s="8"/>
      <c r="I189" s="8" t="s">
        <v>18789</v>
      </c>
      <c r="J189" s="8" t="s">
        <v>13484</v>
      </c>
      <c r="K189" t="s">
        <v>18790</v>
      </c>
      <c r="L189" t="s">
        <v>18791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8" t="s">
        <v>16689</v>
      </c>
      <c r="E190" s="8" t="s">
        <v>1274</v>
      </c>
      <c r="F190" s="8"/>
      <c r="H190" s="8"/>
      <c r="I190" s="8" t="s">
        <v>18792</v>
      </c>
      <c r="J190" s="8" t="s">
        <v>13484</v>
      </c>
      <c r="K190" t="s">
        <v>18793</v>
      </c>
      <c r="L190" t="s">
        <v>18794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8" t="s">
        <v>16689</v>
      </c>
      <c r="E191" s="8" t="s">
        <v>1274</v>
      </c>
      <c r="F191" s="8"/>
      <c r="H191" s="8"/>
      <c r="I191" s="8" t="s">
        <v>18795</v>
      </c>
      <c r="J191" s="8" t="s">
        <v>13484</v>
      </c>
      <c r="K191" t="s">
        <v>18796</v>
      </c>
      <c r="L191" t="s">
        <v>18797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8" t="s">
        <v>16689</v>
      </c>
      <c r="E192" s="8" t="s">
        <v>468</v>
      </c>
      <c r="F192" s="8"/>
      <c r="H192" s="8"/>
      <c r="I192" s="8" t="s">
        <v>18798</v>
      </c>
      <c r="J192" s="8" t="s">
        <v>13484</v>
      </c>
      <c r="K192" t="s">
        <v>18799</v>
      </c>
      <c r="L192" t="s">
        <v>18800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8" t="s">
        <v>4</v>
      </c>
      <c r="E193" s="8" t="s">
        <v>468</v>
      </c>
      <c r="F193" s="8"/>
      <c r="H193" s="8"/>
      <c r="I193" s="8" t="s">
        <v>18801</v>
      </c>
      <c r="J193" s="8" t="s">
        <v>13484</v>
      </c>
      <c r="K193" t="s">
        <v>18802</v>
      </c>
      <c r="L193" t="s">
        <v>18803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8" t="s">
        <v>4</v>
      </c>
      <c r="E194" s="8" t="s">
        <v>468</v>
      </c>
      <c r="F194" s="8"/>
      <c r="H194" s="8"/>
      <c r="I194" s="8" t="s">
        <v>18804</v>
      </c>
      <c r="J194" s="8" t="s">
        <v>13484</v>
      </c>
      <c r="K194" t="s">
        <v>18805</v>
      </c>
      <c r="L194" t="s">
        <v>18806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8" t="s">
        <v>4</v>
      </c>
      <c r="E195" s="8" t="s">
        <v>468</v>
      </c>
      <c r="F195" s="8"/>
      <c r="H195" s="8"/>
      <c r="I195" s="8" t="s">
        <v>18807</v>
      </c>
      <c r="J195" s="8" t="s">
        <v>13484</v>
      </c>
      <c r="K195" t="s">
        <v>18808</v>
      </c>
      <c r="L195" t="s">
        <v>18809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8" t="s">
        <v>4</v>
      </c>
      <c r="E196" s="8" t="s">
        <v>468</v>
      </c>
      <c r="F196" s="8"/>
      <c r="H196" s="8"/>
      <c r="I196" s="8" t="s">
        <v>18810</v>
      </c>
      <c r="J196" s="8" t="s">
        <v>13484</v>
      </c>
      <c r="K196" t="s">
        <v>18811</v>
      </c>
      <c r="L196" t="s">
        <v>18812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8" t="s">
        <v>4</v>
      </c>
      <c r="E197" s="8" t="s">
        <v>1274</v>
      </c>
      <c r="F197" s="8"/>
      <c r="H197" s="8"/>
      <c r="I197" s="8" t="s">
        <v>18813</v>
      </c>
      <c r="J197" s="8" t="s">
        <v>13484</v>
      </c>
      <c r="K197" t="s">
        <v>18814</v>
      </c>
      <c r="L197" t="s">
        <v>18815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8" t="s">
        <v>4</v>
      </c>
      <c r="E198" s="8" t="s">
        <v>468</v>
      </c>
      <c r="F198" s="8"/>
      <c r="H198" s="8"/>
      <c r="I198" s="8" t="s">
        <v>18816</v>
      </c>
      <c r="J198" s="8" t="s">
        <v>13484</v>
      </c>
      <c r="K198" t="s">
        <v>18817</v>
      </c>
      <c r="L198" t="s">
        <v>18818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8" t="s">
        <v>4</v>
      </c>
      <c r="E199" s="8" t="s">
        <v>468</v>
      </c>
      <c r="F199" s="8"/>
      <c r="H199" s="8"/>
      <c r="I199" s="8" t="s">
        <v>18819</v>
      </c>
      <c r="J199" s="8" t="s">
        <v>13484</v>
      </c>
      <c r="K199" t="s">
        <v>18820</v>
      </c>
      <c r="L199" t="s">
        <v>18821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8" t="s">
        <v>4</v>
      </c>
      <c r="E200" s="8" t="s">
        <v>468</v>
      </c>
      <c r="F200" s="8"/>
      <c r="H200" s="8"/>
      <c r="I200" s="8" t="s">
        <v>18822</v>
      </c>
      <c r="J200" s="8" t="s">
        <v>13484</v>
      </c>
      <c r="K200" t="s">
        <v>18823</v>
      </c>
      <c r="L200" t="s">
        <v>18824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8" t="s">
        <v>4</v>
      </c>
      <c r="E201" s="8" t="s">
        <v>468</v>
      </c>
      <c r="F201" s="8"/>
      <c r="H201" s="8"/>
      <c r="I201" s="8" t="s">
        <v>18825</v>
      </c>
      <c r="J201" s="8" t="s">
        <v>13484</v>
      </c>
      <c r="K201" t="s">
        <v>18826</v>
      </c>
      <c r="L201" t="s">
        <v>18827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8" t="s">
        <v>1607</v>
      </c>
      <c r="E202" s="8" t="s">
        <v>11080</v>
      </c>
      <c r="F202" s="8"/>
      <c r="H202" s="8"/>
      <c r="I202" s="8" t="s">
        <v>18828</v>
      </c>
      <c r="J202" s="8" t="s">
        <v>13484</v>
      </c>
      <c r="K202" t="s">
        <v>18829</v>
      </c>
      <c r="L202" t="s">
        <v>18830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8" t="s">
        <v>4</v>
      </c>
      <c r="E203" s="8" t="s">
        <v>11080</v>
      </c>
      <c r="F203" s="8"/>
      <c r="H203" s="8"/>
      <c r="I203" s="8" t="s">
        <v>19285</v>
      </c>
      <c r="J203" s="8" t="s">
        <v>13484</v>
      </c>
      <c r="K203" t="s">
        <v>19286</v>
      </c>
      <c r="L203" t="s">
        <v>19287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8" t="s">
        <v>4</v>
      </c>
      <c r="E204" s="8" t="s">
        <v>1274</v>
      </c>
      <c r="F204" s="8"/>
      <c r="H204" s="8"/>
      <c r="I204" s="8" t="s">
        <v>19288</v>
      </c>
      <c r="J204" s="8" t="s">
        <v>13484</v>
      </c>
      <c r="K204" t="s">
        <v>19289</v>
      </c>
      <c r="L204" t="s">
        <v>19290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8" t="s">
        <v>4</v>
      </c>
      <c r="E205" s="8" t="s">
        <v>19402</v>
      </c>
      <c r="F205" s="8"/>
      <c r="H205" s="8"/>
      <c r="I205" s="8" t="s">
        <v>19291</v>
      </c>
      <c r="J205" s="8" t="s">
        <v>13484</v>
      </c>
      <c r="K205" t="s">
        <v>19292</v>
      </c>
      <c r="L205" t="s">
        <v>19293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8" t="s">
        <v>4</v>
      </c>
      <c r="E206" s="8" t="s">
        <v>468</v>
      </c>
      <c r="F206" s="8"/>
      <c r="H206" s="8"/>
      <c r="I206" s="8" t="s">
        <v>19294</v>
      </c>
      <c r="J206" s="8" t="s">
        <v>13484</v>
      </c>
      <c r="K206" t="s">
        <v>19295</v>
      </c>
      <c r="L206" t="s">
        <v>19296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8" t="s">
        <v>1607</v>
      </c>
      <c r="E207" s="8" t="s">
        <v>11080</v>
      </c>
      <c r="F207" s="8"/>
      <c r="H207" s="8"/>
      <c r="I207" s="8" t="s">
        <v>19297</v>
      </c>
      <c r="J207" s="8" t="s">
        <v>13484</v>
      </c>
      <c r="K207" t="s">
        <v>19298</v>
      </c>
      <c r="L207" t="s">
        <v>19299</v>
      </c>
      <c r="M207" s="2" t="str">
        <f>HYPERLINK(столярка[[#This Row],[RelativePath]])</f>
        <v>16 Столярка\GA3948333_11_20260313T191610Z.jpg</v>
      </c>
    </row>
  </sheetData>
  <conditionalFormatting sqref="D208:D218 E208:E221 D2:E207 G2:H207">
    <cfRule type="containsText" dxfId="664" priority="14" operator="containsText" text="Выезд с территории">
      <formula>NOT(ISERROR(SEARCH("Выезд с территории",D2)))</formula>
    </cfRule>
  </conditionalFormatting>
  <conditionalFormatting sqref="F2:F207">
    <cfRule type="notContainsText" dxfId="663" priority="13" operator="notContains" text="порожний">
      <formula>ISERROR(SEARCH("порожний",F2))</formula>
    </cfRule>
  </conditionalFormatting>
  <conditionalFormatting sqref="E2:E221">
    <cfRule type="containsText" dxfId="662" priority="11" operator="containsText" text="Газель базы">
      <formula>NOT(ISERROR(SEARCH("Газель базы",E2)))</formula>
    </cfRule>
    <cfRule type="containsText" dxfId="661" priority="12" operator="containsText" text="Погрузчик базы">
      <formula>NOT(ISERROR(SEARCH("Погрузчик базы",E2)))</formula>
    </cfRule>
  </conditionalFormatting>
  <conditionalFormatting sqref="E2:E221">
    <cfRule type="containsText" dxfId="660" priority="10" operator="containsText" text="Трактор базы">
      <formula>NOT(ISERROR(SEARCH("Трактор базы",E2)))</formula>
    </cfRule>
  </conditionalFormatting>
  <conditionalFormatting sqref="A2:C207">
    <cfRule type="expression" dxfId="659" priority="9">
      <formula>$A2="пн"</formula>
    </cfRule>
  </conditionalFormatting>
  <conditionalFormatting sqref="A2:C209">
    <cfRule type="expression" dxfId="658" priority="3">
      <formula>$A2="вс"</formula>
    </cfRule>
    <cfRule type="expression" dxfId="657" priority="4">
      <formula>$A2="сб"</formula>
    </cfRule>
    <cfRule type="expression" dxfId="656" priority="5">
      <formula>$A2="пт"</formula>
    </cfRule>
    <cfRule type="expression" dxfId="655" priority="6">
      <formula>$A2="чт"</formula>
    </cfRule>
    <cfRule type="expression" dxfId="654" priority="7">
      <formula>$A2="ср"</formula>
    </cfRule>
    <cfRule type="expression" dxfId="653" priority="8">
      <formula>$A2="вт"</formula>
    </cfRule>
  </conditionalFormatting>
  <conditionalFormatting sqref="D2:D218">
    <cfRule type="containsText" dxfId="6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8">
    <cfRule type="containsText" dxfId="6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141"/>
  <sheetViews>
    <sheetView zoomScale="90" zoomScaleNormal="90" workbookViewId="0">
      <pane ySplit="1" topLeftCell="A101" activePane="bottomLeft" state="frozen"/>
      <selection pane="bottomLeft" activeCell="I118" sqref="I118:I14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8" t="s">
        <v>11083</v>
      </c>
      <c r="E2" s="8" t="s">
        <v>11066</v>
      </c>
      <c r="F2" s="8"/>
      <c r="H2" s="8"/>
      <c r="I2" s="8" t="s">
        <v>10883</v>
      </c>
      <c r="J2" s="8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8" t="s">
        <v>588</v>
      </c>
      <c r="E3" s="8" t="s">
        <v>86</v>
      </c>
      <c r="F3" s="8"/>
      <c r="H3" s="8"/>
      <c r="I3" s="8" t="s">
        <v>10582</v>
      </c>
      <c r="J3" s="8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8" t="s">
        <v>588</v>
      </c>
      <c r="E4" s="8" t="s">
        <v>86</v>
      </c>
      <c r="F4" s="8"/>
      <c r="H4" s="8"/>
      <c r="I4" s="8" t="s">
        <v>10583</v>
      </c>
      <c r="J4" s="8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8" t="s">
        <v>4</v>
      </c>
      <c r="E5" s="8" t="s">
        <v>8</v>
      </c>
      <c r="F5" s="8"/>
      <c r="H5" s="8"/>
      <c r="I5" s="8" t="s">
        <v>10891</v>
      </c>
      <c r="J5" s="8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8" t="s">
        <v>11073</v>
      </c>
      <c r="E6" s="8" t="s">
        <v>86</v>
      </c>
      <c r="F6" s="8"/>
      <c r="H6" s="8"/>
      <c r="I6" s="8" t="s">
        <v>10894</v>
      </c>
      <c r="J6" s="8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8" t="s">
        <v>13900</v>
      </c>
      <c r="E7" s="8" t="s">
        <v>11066</v>
      </c>
      <c r="F7" s="8"/>
      <c r="H7" s="8"/>
      <c r="I7" s="8" t="s">
        <v>10897</v>
      </c>
      <c r="J7" s="8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8" t="s">
        <v>11084</v>
      </c>
      <c r="E8" s="8" t="s">
        <v>11066</v>
      </c>
      <c r="F8" s="8"/>
      <c r="H8" s="8"/>
      <c r="I8" s="8" t="s">
        <v>10900</v>
      </c>
      <c r="J8" s="8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8" t="s">
        <v>4</v>
      </c>
      <c r="E9" s="8" t="s">
        <v>8</v>
      </c>
      <c r="F9" s="8"/>
      <c r="H9" s="8"/>
      <c r="I9" s="8" t="s">
        <v>13653</v>
      </c>
      <c r="J9" s="8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8" t="s">
        <v>588</v>
      </c>
      <c r="E10" s="8" t="s">
        <v>8</v>
      </c>
      <c r="F10" s="8"/>
      <c r="H10" s="8"/>
      <c r="I10" s="8" t="s">
        <v>13656</v>
      </c>
      <c r="J10" s="8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8" t="s">
        <v>588</v>
      </c>
      <c r="E11" s="8" t="s">
        <v>8</v>
      </c>
      <c r="F11" s="8"/>
      <c r="H11" s="8"/>
      <c r="I11" s="8" t="s">
        <v>13659</v>
      </c>
      <c r="J11" s="8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8" t="s">
        <v>588</v>
      </c>
      <c r="E12" s="8" t="s">
        <v>8</v>
      </c>
      <c r="F12" s="8"/>
      <c r="H12" s="8"/>
      <c r="I12" s="8" t="s">
        <v>13662</v>
      </c>
      <c r="J12" s="8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8" t="s">
        <v>588</v>
      </c>
      <c r="E13" s="8" t="s">
        <v>8</v>
      </c>
      <c r="F13" s="8"/>
      <c r="H13" s="8"/>
      <c r="I13" s="8" t="s">
        <v>13665</v>
      </c>
      <c r="J13" s="8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8" t="s">
        <v>588</v>
      </c>
      <c r="E14" s="8" t="s">
        <v>8</v>
      </c>
      <c r="F14" s="8"/>
      <c r="H14" s="8"/>
      <c r="I14" s="8" t="s">
        <v>13668</v>
      </c>
      <c r="J14" s="8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8" t="s">
        <v>588</v>
      </c>
      <c r="E15" s="8" t="s">
        <v>8</v>
      </c>
      <c r="F15" s="8"/>
      <c r="H15" s="8"/>
      <c r="I15" s="8" t="s">
        <v>13671</v>
      </c>
      <c r="J15" s="8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8" t="s">
        <v>13900</v>
      </c>
      <c r="E16" s="8" t="s">
        <v>8</v>
      </c>
      <c r="F16" s="8"/>
      <c r="H16" s="8"/>
      <c r="I16" s="8" t="s">
        <v>13674</v>
      </c>
      <c r="J16" s="8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8" t="s">
        <v>11084</v>
      </c>
      <c r="E17" s="8" t="s">
        <v>11066</v>
      </c>
      <c r="F17" s="8"/>
      <c r="H17" s="8"/>
      <c r="I17" s="8" t="s">
        <v>13677</v>
      </c>
      <c r="J17" s="8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8" t="s">
        <v>588</v>
      </c>
      <c r="E18" s="8" t="s">
        <v>8</v>
      </c>
      <c r="F18" s="8"/>
      <c r="H18" s="8"/>
      <c r="I18" s="8" t="s">
        <v>13680</v>
      </c>
      <c r="J18" s="8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8" t="s">
        <v>588</v>
      </c>
      <c r="E19" s="8" t="s">
        <v>8</v>
      </c>
      <c r="F19" s="8"/>
      <c r="H19" s="8"/>
      <c r="I19" s="8" t="s">
        <v>13683</v>
      </c>
      <c r="J19" s="8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8" t="s">
        <v>587</v>
      </c>
      <c r="E20" s="8" t="s">
        <v>8</v>
      </c>
      <c r="F20" s="8"/>
      <c r="H20" s="8"/>
      <c r="I20" s="8" t="s">
        <v>13686</v>
      </c>
      <c r="J20" s="8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8" t="s">
        <v>587</v>
      </c>
      <c r="E21" s="8" t="s">
        <v>8</v>
      </c>
      <c r="F21" s="8"/>
      <c r="H21" s="8" t="s">
        <v>2352</v>
      </c>
      <c r="I21" s="8" t="s">
        <v>13689</v>
      </c>
      <c r="J21" s="8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8" t="s">
        <v>13901</v>
      </c>
      <c r="E22" s="8" t="s">
        <v>8</v>
      </c>
      <c r="F22" s="8"/>
      <c r="H22" s="8"/>
      <c r="I22" s="8" t="s">
        <v>13692</v>
      </c>
      <c r="J22" s="8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8" t="s">
        <v>588</v>
      </c>
      <c r="E23" s="8" t="s">
        <v>8</v>
      </c>
      <c r="F23" s="8"/>
      <c r="H23" s="8"/>
      <c r="I23" s="8" t="s">
        <v>13695</v>
      </c>
      <c r="J23" s="8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8" t="s">
        <v>588</v>
      </c>
      <c r="E24" s="8" t="s">
        <v>8</v>
      </c>
      <c r="F24" s="8"/>
      <c r="H24" s="8"/>
      <c r="I24" s="8" t="s">
        <v>13698</v>
      </c>
      <c r="J24" s="8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8" t="s">
        <v>13902</v>
      </c>
      <c r="E25" s="8" t="s">
        <v>8</v>
      </c>
      <c r="F25" s="8"/>
      <c r="H25" s="8"/>
      <c r="I25" s="8" t="s">
        <v>13701</v>
      </c>
      <c r="J25" s="8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8" t="s">
        <v>4</v>
      </c>
      <c r="E26" s="8" t="s">
        <v>8</v>
      </c>
      <c r="F26" s="8"/>
      <c r="H26" s="8"/>
      <c r="I26" s="8" t="s">
        <v>13704</v>
      </c>
      <c r="J26" s="8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8" t="s">
        <v>1273</v>
      </c>
      <c r="E27" s="8" t="s">
        <v>8</v>
      </c>
      <c r="F27" s="8"/>
      <c r="H27" s="8"/>
      <c r="I27" s="8" t="s">
        <v>13707</v>
      </c>
      <c r="J27" s="8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8" t="s">
        <v>13903</v>
      </c>
      <c r="E28" s="8" t="s">
        <v>8</v>
      </c>
      <c r="F28" s="8" t="s">
        <v>1288</v>
      </c>
      <c r="H28" s="8"/>
      <c r="I28" s="8" t="s">
        <v>13710</v>
      </c>
      <c r="J28" s="8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8" t="s">
        <v>13903</v>
      </c>
      <c r="E29" s="8" t="s">
        <v>8</v>
      </c>
      <c r="F29" s="8" t="s">
        <v>1288</v>
      </c>
      <c r="G29" s="7">
        <v>1</v>
      </c>
      <c r="H29" s="8" t="s">
        <v>2352</v>
      </c>
      <c r="I29" s="8" t="s">
        <v>13713</v>
      </c>
      <c r="J29" s="8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8" t="s">
        <v>10572</v>
      </c>
      <c r="E30" s="8" t="s">
        <v>8</v>
      </c>
      <c r="F30" s="8"/>
      <c r="H30" s="8"/>
      <c r="I30" s="8" t="s">
        <v>13716</v>
      </c>
      <c r="J30" s="8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8" t="s">
        <v>13903</v>
      </c>
      <c r="E31" s="8" t="s">
        <v>8</v>
      </c>
      <c r="F31" s="8" t="s">
        <v>10243</v>
      </c>
      <c r="G31" s="7">
        <v>1</v>
      </c>
      <c r="H31" s="8"/>
      <c r="I31" s="8" t="s">
        <v>13719</v>
      </c>
      <c r="J31" s="8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8" t="s">
        <v>13903</v>
      </c>
      <c r="E32" s="8" t="s">
        <v>8</v>
      </c>
      <c r="F32" s="8" t="s">
        <v>10243</v>
      </c>
      <c r="G32" s="7">
        <v>1</v>
      </c>
      <c r="H32" s="8"/>
      <c r="I32" s="8" t="s">
        <v>13723</v>
      </c>
      <c r="J32" s="8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8" t="s">
        <v>13903</v>
      </c>
      <c r="E33" s="8" t="s">
        <v>8</v>
      </c>
      <c r="F33" s="8" t="s">
        <v>10243</v>
      </c>
      <c r="G33" s="7">
        <v>1</v>
      </c>
      <c r="H33" s="8"/>
      <c r="I33" s="8" t="s">
        <v>13726</v>
      </c>
      <c r="J33" s="8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8" t="s">
        <v>13903</v>
      </c>
      <c r="E34" s="8" t="s">
        <v>8</v>
      </c>
      <c r="F34" s="8" t="s">
        <v>10243</v>
      </c>
      <c r="G34" s="7">
        <v>1</v>
      </c>
      <c r="H34" s="8"/>
      <c r="I34" s="8" t="s">
        <v>13729</v>
      </c>
      <c r="J34" s="8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8" t="s">
        <v>10572</v>
      </c>
      <c r="E35" s="8" t="s">
        <v>8</v>
      </c>
      <c r="F35" s="8"/>
      <c r="H35" s="8"/>
      <c r="I35" s="8" t="s">
        <v>13732</v>
      </c>
      <c r="J35" s="8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8" t="s">
        <v>13903</v>
      </c>
      <c r="E36" s="8" t="s">
        <v>8</v>
      </c>
      <c r="F36" s="8" t="s">
        <v>13904</v>
      </c>
      <c r="H36" s="8"/>
      <c r="I36" s="8" t="s">
        <v>13735</v>
      </c>
      <c r="J36" s="8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8" t="s">
        <v>13903</v>
      </c>
      <c r="E37" s="8" t="s">
        <v>8</v>
      </c>
      <c r="F37" s="8" t="s">
        <v>13904</v>
      </c>
      <c r="H37" s="8"/>
      <c r="I37" s="8" t="s">
        <v>13738</v>
      </c>
      <c r="J37" s="8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8" t="s">
        <v>10572</v>
      </c>
      <c r="E38" s="8" t="s">
        <v>8</v>
      </c>
      <c r="F38" s="8"/>
      <c r="H38" s="8" t="s">
        <v>13905</v>
      </c>
      <c r="I38" s="8" t="s">
        <v>13741</v>
      </c>
      <c r="J38" s="8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8" t="s">
        <v>4</v>
      </c>
      <c r="E39" s="8" t="s">
        <v>8</v>
      </c>
      <c r="F39" s="8"/>
      <c r="H39" s="8"/>
      <c r="I39" s="8" t="s">
        <v>13744</v>
      </c>
      <c r="J39" s="8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8" t="s">
        <v>10015</v>
      </c>
      <c r="E40" s="8" t="s">
        <v>8</v>
      </c>
      <c r="F40" s="8"/>
      <c r="H40" s="8"/>
      <c r="I40" s="8" t="s">
        <v>13747</v>
      </c>
      <c r="J40" s="8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8" t="s">
        <v>4</v>
      </c>
      <c r="E41" s="8" t="s">
        <v>8</v>
      </c>
      <c r="F41" s="8"/>
      <c r="H41" s="8"/>
      <c r="I41" s="8" t="s">
        <v>13750</v>
      </c>
      <c r="J41" s="8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8" t="s">
        <v>1607</v>
      </c>
      <c r="E42" s="8" t="s">
        <v>8</v>
      </c>
      <c r="F42" s="8"/>
      <c r="H42" s="8"/>
      <c r="I42" s="8" t="s">
        <v>14038</v>
      </c>
      <c r="J42" s="8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8" t="s">
        <v>1607</v>
      </c>
      <c r="E43" s="8" t="s">
        <v>8</v>
      </c>
      <c r="F43" s="8"/>
      <c r="H43" s="8"/>
      <c r="I43" s="8" t="s">
        <v>14041</v>
      </c>
      <c r="J43" s="8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8" t="s">
        <v>4</v>
      </c>
      <c r="E44" s="8" t="s">
        <v>8</v>
      </c>
      <c r="F44" s="8"/>
      <c r="H44" s="8"/>
      <c r="I44" s="8" t="s">
        <v>14912</v>
      </c>
      <c r="J44" s="8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8" t="s">
        <v>4</v>
      </c>
      <c r="E45" s="8" t="s">
        <v>11066</v>
      </c>
      <c r="F45" s="8"/>
      <c r="H45" s="8"/>
      <c r="I45" s="8" t="s">
        <v>14915</v>
      </c>
      <c r="J45" s="8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8" t="s">
        <v>4</v>
      </c>
      <c r="E46" s="8" t="s">
        <v>8</v>
      </c>
      <c r="F46" s="8"/>
      <c r="H46" s="8"/>
      <c r="I46" s="8" t="s">
        <v>14918</v>
      </c>
      <c r="J46" s="8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8" t="s">
        <v>12</v>
      </c>
      <c r="E47" s="8"/>
      <c r="F47" s="8"/>
      <c r="H47" s="8"/>
      <c r="I47" s="8" t="s">
        <v>14921</v>
      </c>
      <c r="J47" s="8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8" t="s">
        <v>12</v>
      </c>
      <c r="E48" s="8"/>
      <c r="F48" s="8"/>
      <c r="H48" s="8"/>
      <c r="I48" s="8" t="s">
        <v>14924</v>
      </c>
      <c r="J48" s="8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8" t="s">
        <v>137</v>
      </c>
      <c r="E49" s="8" t="s">
        <v>11070</v>
      </c>
      <c r="F49" s="8"/>
      <c r="H49" s="8"/>
      <c r="I49" s="8" t="s">
        <v>14927</v>
      </c>
      <c r="J49" s="8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8" t="s">
        <v>12</v>
      </c>
      <c r="E50" s="8"/>
      <c r="F50" s="8"/>
      <c r="H50" s="8"/>
      <c r="I50" s="8" t="s">
        <v>14930</v>
      </c>
      <c r="J50" s="8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8" t="s">
        <v>4</v>
      </c>
      <c r="E51" s="8" t="s">
        <v>8</v>
      </c>
      <c r="F51" s="8"/>
      <c r="H51" s="8"/>
      <c r="I51" s="8" t="s">
        <v>14933</v>
      </c>
      <c r="J51" s="8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8" t="s">
        <v>166</v>
      </c>
      <c r="E52" s="8" t="s">
        <v>9597</v>
      </c>
      <c r="F52" s="8"/>
      <c r="H52" s="8"/>
      <c r="I52" s="8" t="s">
        <v>14936</v>
      </c>
      <c r="J52" s="8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8" t="s">
        <v>12</v>
      </c>
      <c r="E53" s="8"/>
      <c r="F53" s="8"/>
      <c r="H53" s="8"/>
      <c r="I53" s="8" t="s">
        <v>16630</v>
      </c>
      <c r="J53" s="8" t="s">
        <v>10884</v>
      </c>
      <c r="K53" t="s">
        <v>16631</v>
      </c>
      <c r="L53" t="s">
        <v>16632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8" t="s">
        <v>12</v>
      </c>
      <c r="E54" s="8"/>
      <c r="F54" s="8"/>
      <c r="H54" s="8"/>
      <c r="I54" s="8" t="s">
        <v>14939</v>
      </c>
      <c r="J54" s="8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8" t="s">
        <v>4</v>
      </c>
      <c r="E55" s="8" t="s">
        <v>8</v>
      </c>
      <c r="F55" s="8"/>
      <c r="H55" s="8"/>
      <c r="I55" s="8" t="s">
        <v>14942</v>
      </c>
      <c r="J55" s="8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8" t="s">
        <v>4</v>
      </c>
      <c r="E56" s="8" t="s">
        <v>8</v>
      </c>
      <c r="F56" s="8"/>
      <c r="H56" s="8"/>
      <c r="I56" s="8" t="s">
        <v>16633</v>
      </c>
      <c r="J56" s="8" t="s">
        <v>10884</v>
      </c>
      <c r="K56" t="s">
        <v>16634</v>
      </c>
      <c r="L56" t="s">
        <v>16635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8" t="s">
        <v>12</v>
      </c>
      <c r="E57" s="8"/>
      <c r="F57" s="8"/>
      <c r="H57" s="8"/>
      <c r="I57" s="8" t="s">
        <v>16636</v>
      </c>
      <c r="J57" s="8" t="s">
        <v>10884</v>
      </c>
      <c r="K57" t="s">
        <v>16637</v>
      </c>
      <c r="L57" t="s">
        <v>16638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8" t="s">
        <v>588</v>
      </c>
      <c r="E58" s="8" t="s">
        <v>86</v>
      </c>
      <c r="F58" s="8"/>
      <c r="H58" s="8"/>
      <c r="I58" s="8" t="s">
        <v>16639</v>
      </c>
      <c r="J58" s="8" t="s">
        <v>10884</v>
      </c>
      <c r="K58" t="s">
        <v>16640</v>
      </c>
      <c r="L58" t="s">
        <v>16641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8" t="s">
        <v>588</v>
      </c>
      <c r="E59" s="8" t="s">
        <v>86</v>
      </c>
      <c r="F59" s="8"/>
      <c r="H59" s="8"/>
      <c r="I59" s="8" t="s">
        <v>16642</v>
      </c>
      <c r="J59" s="8" t="s">
        <v>10884</v>
      </c>
      <c r="K59" t="s">
        <v>16643</v>
      </c>
      <c r="L59" t="s">
        <v>16644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8" t="s">
        <v>4</v>
      </c>
      <c r="E60" s="8" t="s">
        <v>8</v>
      </c>
      <c r="F60" s="8"/>
      <c r="H60" s="8"/>
      <c r="I60" s="8" t="s">
        <v>16645</v>
      </c>
      <c r="J60" s="8" t="s">
        <v>10884</v>
      </c>
      <c r="K60" t="s">
        <v>16646</v>
      </c>
      <c r="L60" t="s">
        <v>16647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8" t="s">
        <v>4</v>
      </c>
      <c r="E61" s="8" t="s">
        <v>8</v>
      </c>
      <c r="F61" s="8"/>
      <c r="H61" s="8"/>
      <c r="I61" s="8" t="s">
        <v>16648</v>
      </c>
      <c r="J61" s="8" t="s">
        <v>10884</v>
      </c>
      <c r="K61" t="s">
        <v>16649</v>
      </c>
      <c r="L61" t="s">
        <v>16650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8" t="s">
        <v>4</v>
      </c>
      <c r="E62" s="8" t="s">
        <v>8</v>
      </c>
      <c r="F62" s="8"/>
      <c r="H62" s="8"/>
      <c r="I62" s="8" t="s">
        <v>17315</v>
      </c>
      <c r="J62" s="8" t="s">
        <v>10884</v>
      </c>
      <c r="K62" t="s">
        <v>17316</v>
      </c>
      <c r="L62" t="s">
        <v>17317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8" t="s">
        <v>16677</v>
      </c>
      <c r="E63" s="8" t="s">
        <v>86</v>
      </c>
      <c r="F63" s="8"/>
      <c r="H63" s="8"/>
      <c r="I63" s="8" t="s">
        <v>17318</v>
      </c>
      <c r="J63" s="8" t="s">
        <v>10884</v>
      </c>
      <c r="K63" t="s">
        <v>17319</v>
      </c>
      <c r="L63" t="s">
        <v>17320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8" t="s">
        <v>1273</v>
      </c>
      <c r="E64" s="8" t="s">
        <v>11066</v>
      </c>
      <c r="F64" s="8"/>
      <c r="H64" s="8"/>
      <c r="I64" s="8" t="s">
        <v>17321</v>
      </c>
      <c r="J64" s="8" t="s">
        <v>10884</v>
      </c>
      <c r="K64" t="s">
        <v>17322</v>
      </c>
      <c r="L64" t="s">
        <v>17323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8" t="s">
        <v>17489</v>
      </c>
      <c r="E65" s="8" t="s">
        <v>11066</v>
      </c>
      <c r="F65" s="8"/>
      <c r="H65" s="8"/>
      <c r="I65" s="8" t="s">
        <v>17324</v>
      </c>
      <c r="J65" s="8" t="s">
        <v>10884</v>
      </c>
      <c r="K65" t="s">
        <v>17325</v>
      </c>
      <c r="L65" t="s">
        <v>17326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8" t="s">
        <v>587</v>
      </c>
      <c r="E66" s="8" t="s">
        <v>11066</v>
      </c>
      <c r="F66" s="8" t="s">
        <v>17488</v>
      </c>
      <c r="H66" s="8"/>
      <c r="I66" s="8" t="s">
        <v>17327</v>
      </c>
      <c r="J66" s="8" t="s">
        <v>10884</v>
      </c>
      <c r="K66" t="s">
        <v>17328</v>
      </c>
      <c r="L66" t="s">
        <v>17329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8" t="s">
        <v>166</v>
      </c>
      <c r="E67" s="8" t="s">
        <v>16661</v>
      </c>
      <c r="F67" s="8" t="s">
        <v>16657</v>
      </c>
      <c r="H67" s="8"/>
      <c r="I67" s="8" t="s">
        <v>17330</v>
      </c>
      <c r="J67" s="8" t="s">
        <v>10884</v>
      </c>
      <c r="K67" t="s">
        <v>17331</v>
      </c>
      <c r="L67" t="s">
        <v>16470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8" t="s">
        <v>4</v>
      </c>
      <c r="E68" s="8" t="s">
        <v>8</v>
      </c>
      <c r="F68" s="8"/>
      <c r="H68" s="8"/>
      <c r="I68" s="8" t="s">
        <v>17332</v>
      </c>
      <c r="J68" s="8" t="s">
        <v>10884</v>
      </c>
      <c r="K68" t="s">
        <v>17333</v>
      </c>
      <c r="L68" t="s">
        <v>17334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8" t="s">
        <v>17490</v>
      </c>
      <c r="E69" s="8" t="s">
        <v>1274</v>
      </c>
      <c r="F69" s="8"/>
      <c r="H69" s="8"/>
      <c r="I69" s="8" t="s">
        <v>17335</v>
      </c>
      <c r="J69" s="8" t="s">
        <v>10884</v>
      </c>
      <c r="K69" t="s">
        <v>17336</v>
      </c>
      <c r="L69" t="s">
        <v>17337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8" t="s">
        <v>17490</v>
      </c>
      <c r="E70" s="8" t="s">
        <v>468</v>
      </c>
      <c r="F70" s="8"/>
      <c r="H70" s="8"/>
      <c r="I70" s="8" t="s">
        <v>17338</v>
      </c>
      <c r="J70" s="8" t="s">
        <v>10884</v>
      </c>
      <c r="K70" t="s">
        <v>17339</v>
      </c>
      <c r="L70" t="s">
        <v>17340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8" t="s">
        <v>4</v>
      </c>
      <c r="E71" s="8" t="s">
        <v>8</v>
      </c>
      <c r="F71" s="8"/>
      <c r="H71" s="8"/>
      <c r="I71" s="8" t="s">
        <v>17341</v>
      </c>
      <c r="J71" s="8" t="s">
        <v>10884</v>
      </c>
      <c r="K71" t="s">
        <v>17342</v>
      </c>
      <c r="L71" t="s">
        <v>17343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8" t="s">
        <v>1607</v>
      </c>
      <c r="E72" s="8" t="s">
        <v>8</v>
      </c>
      <c r="F72" s="8"/>
      <c r="H72" s="8"/>
      <c r="I72" s="8" t="s">
        <v>17344</v>
      </c>
      <c r="J72" s="8" t="s">
        <v>10884</v>
      </c>
      <c r="K72" t="s">
        <v>17345</v>
      </c>
      <c r="L72" t="s">
        <v>17346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8" t="s">
        <v>4</v>
      </c>
      <c r="E73" s="8" t="s">
        <v>8</v>
      </c>
      <c r="F73" s="8"/>
      <c r="H73" s="8"/>
      <c r="I73" s="8" t="s">
        <v>17347</v>
      </c>
      <c r="J73" s="8" t="s">
        <v>10884</v>
      </c>
      <c r="K73" t="s">
        <v>17348</v>
      </c>
      <c r="L73" t="s">
        <v>17349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8" t="s">
        <v>1607</v>
      </c>
      <c r="E74" s="8" t="s">
        <v>8</v>
      </c>
      <c r="F74" s="8"/>
      <c r="H74" s="8"/>
      <c r="I74" s="8" t="s">
        <v>17350</v>
      </c>
      <c r="J74" s="8" t="s">
        <v>10884</v>
      </c>
      <c r="K74" t="s">
        <v>17351</v>
      </c>
      <c r="L74" t="s">
        <v>17352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8" t="s">
        <v>4</v>
      </c>
      <c r="E75" s="8" t="s">
        <v>8</v>
      </c>
      <c r="F75" s="8"/>
      <c r="H75" s="8"/>
      <c r="I75" s="8" t="s">
        <v>17353</v>
      </c>
      <c r="J75" s="8" t="s">
        <v>10884</v>
      </c>
      <c r="K75" t="s">
        <v>17354</v>
      </c>
      <c r="L75" t="s">
        <v>17355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8" t="s">
        <v>1607</v>
      </c>
      <c r="E76" s="8" t="s">
        <v>8</v>
      </c>
      <c r="F76" s="8"/>
      <c r="H76" s="8"/>
      <c r="I76" s="8" t="s">
        <v>17356</v>
      </c>
      <c r="J76" s="8" t="s">
        <v>10884</v>
      </c>
      <c r="K76" t="s">
        <v>17357</v>
      </c>
      <c r="L76" t="s">
        <v>17358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8" t="s">
        <v>4</v>
      </c>
      <c r="E77" s="8" t="s">
        <v>8</v>
      </c>
      <c r="F77" s="8"/>
      <c r="H77" s="8"/>
      <c r="I77" s="8" t="s">
        <v>17837</v>
      </c>
      <c r="J77" s="8" t="s">
        <v>10884</v>
      </c>
      <c r="K77" t="s">
        <v>17838</v>
      </c>
      <c r="L77" t="s">
        <v>17839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8" t="s">
        <v>588</v>
      </c>
      <c r="E78" s="8" t="s">
        <v>86</v>
      </c>
      <c r="F78" s="8"/>
      <c r="H78" s="8"/>
      <c r="I78" s="8" t="s">
        <v>17840</v>
      </c>
      <c r="J78" s="8" t="s">
        <v>10884</v>
      </c>
      <c r="K78" t="s">
        <v>17841</v>
      </c>
      <c r="L78" t="s">
        <v>17842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8" t="s">
        <v>4921</v>
      </c>
      <c r="E79" s="8" t="s">
        <v>11066</v>
      </c>
      <c r="F79" s="8"/>
      <c r="H79" s="8"/>
      <c r="I79" s="8" t="s">
        <v>17843</v>
      </c>
      <c r="J79" s="8" t="s">
        <v>10884</v>
      </c>
      <c r="K79" t="s">
        <v>17844</v>
      </c>
      <c r="L79" t="s">
        <v>17845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8" t="s">
        <v>4</v>
      </c>
      <c r="E80" s="8" t="s">
        <v>17915</v>
      </c>
      <c r="F80" s="8"/>
      <c r="H80" s="8"/>
      <c r="I80" s="8" t="s">
        <v>17846</v>
      </c>
      <c r="J80" s="8" t="s">
        <v>10884</v>
      </c>
      <c r="K80" t="s">
        <v>17847</v>
      </c>
      <c r="L80" t="s">
        <v>17848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8" t="s">
        <v>4</v>
      </c>
      <c r="E81" s="8" t="s">
        <v>17915</v>
      </c>
      <c r="F81" s="8"/>
      <c r="H81" s="8"/>
      <c r="I81" s="8" t="s">
        <v>17849</v>
      </c>
      <c r="J81" s="8" t="s">
        <v>10884</v>
      </c>
      <c r="K81" t="s">
        <v>17850</v>
      </c>
      <c r="L81" t="s">
        <v>17851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8" t="s">
        <v>17489</v>
      </c>
      <c r="E82" s="8" t="s">
        <v>11066</v>
      </c>
      <c r="F82" s="8"/>
      <c r="H82" s="8"/>
      <c r="I82" s="8" t="s">
        <v>17852</v>
      </c>
      <c r="J82" s="8" t="s">
        <v>10884</v>
      </c>
      <c r="K82" t="s">
        <v>17853</v>
      </c>
      <c r="L82" t="s">
        <v>17854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8" t="s">
        <v>587</v>
      </c>
      <c r="E83" s="8" t="s">
        <v>70</v>
      </c>
      <c r="F83" s="8" t="s">
        <v>17900</v>
      </c>
      <c r="H83" s="8"/>
      <c r="I83" s="8" t="s">
        <v>17855</v>
      </c>
      <c r="J83" s="8" t="s">
        <v>10884</v>
      </c>
      <c r="K83" t="s">
        <v>17856</v>
      </c>
      <c r="L83" t="s">
        <v>17857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8" t="s">
        <v>4</v>
      </c>
      <c r="E84" s="8" t="s">
        <v>17916</v>
      </c>
      <c r="F84" s="8"/>
      <c r="H84" s="8"/>
      <c r="I84" s="8" t="s">
        <v>17858</v>
      </c>
      <c r="J84" s="8" t="s">
        <v>10884</v>
      </c>
      <c r="K84" t="s">
        <v>17859</v>
      </c>
      <c r="L84" t="s">
        <v>17860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8" t="s">
        <v>137</v>
      </c>
      <c r="E85" s="8" t="s">
        <v>17898</v>
      </c>
      <c r="F85" s="8"/>
      <c r="H85" s="8"/>
      <c r="I85" s="8" t="s">
        <v>17861</v>
      </c>
      <c r="J85" s="8" t="s">
        <v>10884</v>
      </c>
      <c r="K85" t="s">
        <v>17862</v>
      </c>
      <c r="L85" t="s">
        <v>17863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8" t="s">
        <v>588</v>
      </c>
      <c r="E86" s="8" t="s">
        <v>86</v>
      </c>
      <c r="F86" s="8"/>
      <c r="H86" s="8"/>
      <c r="I86" s="8" t="s">
        <v>17864</v>
      </c>
      <c r="J86" s="8" t="s">
        <v>10884</v>
      </c>
      <c r="K86" t="s">
        <v>17865</v>
      </c>
      <c r="L86" t="s">
        <v>17866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8" t="s">
        <v>588</v>
      </c>
      <c r="E87" s="8" t="s">
        <v>86</v>
      </c>
      <c r="F87" s="8"/>
      <c r="H87" s="8"/>
      <c r="I87" s="8" t="s">
        <v>17867</v>
      </c>
      <c r="J87" s="8" t="s">
        <v>10884</v>
      </c>
      <c r="K87" t="s">
        <v>17868</v>
      </c>
      <c r="L87" t="s">
        <v>17869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8" t="s">
        <v>588</v>
      </c>
      <c r="E88" s="8" t="s">
        <v>86</v>
      </c>
      <c r="F88" s="8"/>
      <c r="H88" s="8"/>
      <c r="I88" s="8" t="s">
        <v>17870</v>
      </c>
      <c r="J88" s="8" t="s">
        <v>10884</v>
      </c>
      <c r="K88" t="s">
        <v>17871</v>
      </c>
      <c r="L88" t="s">
        <v>17872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8" t="s">
        <v>588</v>
      </c>
      <c r="E89" s="8" t="s">
        <v>86</v>
      </c>
      <c r="F89" s="8"/>
      <c r="H89" s="8"/>
      <c r="I89" s="8" t="s">
        <v>17873</v>
      </c>
      <c r="J89" s="8" t="s">
        <v>10884</v>
      </c>
      <c r="K89" t="s">
        <v>17874</v>
      </c>
      <c r="L89" t="s">
        <v>17875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8" t="s">
        <v>588</v>
      </c>
      <c r="E90" s="8" t="s">
        <v>86</v>
      </c>
      <c r="F90" s="8"/>
      <c r="H90" s="8"/>
      <c r="I90" s="8" t="s">
        <v>17876</v>
      </c>
      <c r="J90" s="8" t="s">
        <v>10884</v>
      </c>
      <c r="K90" t="s">
        <v>17877</v>
      </c>
      <c r="L90" t="s">
        <v>17878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8" t="s">
        <v>587</v>
      </c>
      <c r="E91" s="8" t="s">
        <v>11066</v>
      </c>
      <c r="F91" s="8"/>
      <c r="H91" s="8"/>
      <c r="I91" s="8" t="s">
        <v>17879</v>
      </c>
      <c r="J91" s="8" t="s">
        <v>10884</v>
      </c>
      <c r="K91" t="s">
        <v>17880</v>
      </c>
      <c r="L91" t="s">
        <v>17881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8" t="s">
        <v>4</v>
      </c>
      <c r="E92" s="8" t="s">
        <v>8</v>
      </c>
      <c r="F92" s="8"/>
      <c r="H92" s="8"/>
      <c r="I92" s="8" t="s">
        <v>17882</v>
      </c>
      <c r="J92" s="8" t="s">
        <v>10884</v>
      </c>
      <c r="K92" t="s">
        <v>17883</v>
      </c>
      <c r="L92" t="s">
        <v>17884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8" t="s">
        <v>588</v>
      </c>
      <c r="E93" s="8" t="s">
        <v>86</v>
      </c>
      <c r="F93" s="8"/>
      <c r="H93" s="8"/>
      <c r="I93" s="8" t="s">
        <v>17885</v>
      </c>
      <c r="J93" s="8" t="s">
        <v>10884</v>
      </c>
      <c r="K93" t="s">
        <v>17886</v>
      </c>
      <c r="L93" t="s">
        <v>17887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8" t="s">
        <v>588</v>
      </c>
      <c r="E94" s="8" t="s">
        <v>86</v>
      </c>
      <c r="F94" s="8"/>
      <c r="H94" s="8"/>
      <c r="I94" s="8" t="s">
        <v>17888</v>
      </c>
      <c r="J94" s="8" t="s">
        <v>10884</v>
      </c>
      <c r="K94" t="s">
        <v>17889</v>
      </c>
      <c r="L94" t="s">
        <v>17890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8" t="s">
        <v>4</v>
      </c>
      <c r="E95" s="8" t="s">
        <v>8</v>
      </c>
      <c r="F95" s="8"/>
      <c r="H95" s="8"/>
      <c r="I95" s="8" t="s">
        <v>17891</v>
      </c>
      <c r="J95" s="8" t="s">
        <v>10884</v>
      </c>
      <c r="K95" t="s">
        <v>17892</v>
      </c>
      <c r="L95" t="s">
        <v>17893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8" t="s">
        <v>4</v>
      </c>
      <c r="E96" s="8" t="s">
        <v>8</v>
      </c>
      <c r="F96" s="8"/>
      <c r="H96" s="8"/>
      <c r="I96" s="8" t="s">
        <v>18316</v>
      </c>
      <c r="J96" s="8" t="s">
        <v>10884</v>
      </c>
      <c r="K96" t="s">
        <v>18317</v>
      </c>
      <c r="L96" t="s">
        <v>18318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8" t="s">
        <v>588</v>
      </c>
      <c r="E97" s="8" t="s">
        <v>86</v>
      </c>
      <c r="F97" s="8"/>
      <c r="H97" s="8"/>
      <c r="I97" s="8" t="s">
        <v>18319</v>
      </c>
      <c r="J97" s="8" t="s">
        <v>10884</v>
      </c>
      <c r="K97" t="s">
        <v>18320</v>
      </c>
      <c r="L97" t="s">
        <v>18321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8" t="s">
        <v>588</v>
      </c>
      <c r="E98" s="8" t="s">
        <v>86</v>
      </c>
      <c r="F98" s="8"/>
      <c r="H98" s="8"/>
      <c r="I98" s="8" t="s">
        <v>18322</v>
      </c>
      <c r="J98" s="8" t="s">
        <v>10884</v>
      </c>
      <c r="K98" t="s">
        <v>18323</v>
      </c>
      <c r="L98" t="s">
        <v>18324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8" t="s">
        <v>588</v>
      </c>
      <c r="E99" s="8" t="s">
        <v>86</v>
      </c>
      <c r="F99" s="8"/>
      <c r="H99" s="8"/>
      <c r="I99" s="8" t="s">
        <v>18325</v>
      </c>
      <c r="J99" s="8" t="s">
        <v>10884</v>
      </c>
      <c r="K99" t="s">
        <v>18326</v>
      </c>
      <c r="L99" t="s">
        <v>18327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8" t="s">
        <v>588</v>
      </c>
      <c r="E100" s="8" t="s">
        <v>86</v>
      </c>
      <c r="F100" s="8"/>
      <c r="H100" s="8"/>
      <c r="I100" s="8" t="s">
        <v>18328</v>
      </c>
      <c r="J100" s="8" t="s">
        <v>10884</v>
      </c>
      <c r="K100" t="s">
        <v>18329</v>
      </c>
      <c r="L100" t="s">
        <v>18330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8" t="s">
        <v>588</v>
      </c>
      <c r="E101" s="8" t="s">
        <v>86</v>
      </c>
      <c r="F101" s="8"/>
      <c r="H101" s="8"/>
      <c r="I101" s="8" t="s">
        <v>18331</v>
      </c>
      <c r="J101" s="8" t="s">
        <v>10884</v>
      </c>
      <c r="K101" t="s">
        <v>18332</v>
      </c>
      <c r="L101" t="s">
        <v>18333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8" t="s">
        <v>18353</v>
      </c>
      <c r="E102" s="8" t="s">
        <v>86</v>
      </c>
      <c r="F102" s="8"/>
      <c r="H102" s="8"/>
      <c r="I102" s="8" t="s">
        <v>18334</v>
      </c>
      <c r="J102" s="8" t="s">
        <v>10884</v>
      </c>
      <c r="K102" t="s">
        <v>18335</v>
      </c>
      <c r="L102" t="s">
        <v>18336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8" t="s">
        <v>4</v>
      </c>
      <c r="E103" s="8" t="s">
        <v>7361</v>
      </c>
      <c r="F103" s="8"/>
      <c r="H103" s="8"/>
      <c r="I103" s="8" t="s">
        <v>18337</v>
      </c>
      <c r="J103" s="8" t="s">
        <v>10884</v>
      </c>
      <c r="K103" t="s">
        <v>18338</v>
      </c>
      <c r="L103" t="s">
        <v>18339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8"/>
      <c r="E104" s="8"/>
      <c r="F104" s="8"/>
      <c r="H104" s="8"/>
      <c r="I104" s="8" t="s">
        <v>18340</v>
      </c>
      <c r="J104" s="8" t="s">
        <v>10884</v>
      </c>
      <c r="K104" t="s">
        <v>18341</v>
      </c>
      <c r="L104" t="s">
        <v>18342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8" t="s">
        <v>4</v>
      </c>
      <c r="E105" s="8" t="s">
        <v>8</v>
      </c>
      <c r="F105" s="8"/>
      <c r="H105" s="8"/>
      <c r="I105" s="8" t="s">
        <v>18343</v>
      </c>
      <c r="J105" s="8" t="s">
        <v>10884</v>
      </c>
      <c r="K105" t="s">
        <v>18344</v>
      </c>
      <c r="L105" t="s">
        <v>18345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8" t="s">
        <v>4</v>
      </c>
      <c r="E106" s="8" t="s">
        <v>8</v>
      </c>
      <c r="F106" s="8"/>
      <c r="H106" s="8"/>
      <c r="I106" s="8" t="s">
        <v>18831</v>
      </c>
      <c r="J106" s="8" t="s">
        <v>10884</v>
      </c>
      <c r="K106" t="s">
        <v>18832</v>
      </c>
      <c r="L106" t="s">
        <v>18833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8" t="s">
        <v>17489</v>
      </c>
      <c r="E107" s="8" t="s">
        <v>11066</v>
      </c>
      <c r="F107" s="8"/>
      <c r="H107" s="8"/>
      <c r="I107" s="8" t="s">
        <v>18834</v>
      </c>
      <c r="J107" s="8" t="s">
        <v>10884</v>
      </c>
      <c r="K107" t="s">
        <v>18835</v>
      </c>
      <c r="L107" t="s">
        <v>18836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8" t="s">
        <v>137</v>
      </c>
      <c r="E108" s="8" t="s">
        <v>18882</v>
      </c>
      <c r="F108" s="8"/>
      <c r="H108" s="8"/>
      <c r="I108" s="8" t="s">
        <v>18837</v>
      </c>
      <c r="J108" s="8" t="s">
        <v>10884</v>
      </c>
      <c r="K108" t="s">
        <v>18838</v>
      </c>
      <c r="L108" t="s">
        <v>18839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8" t="s">
        <v>137</v>
      </c>
      <c r="E109" s="8" t="s">
        <v>70</v>
      </c>
      <c r="F109" s="8"/>
      <c r="H109" s="8"/>
      <c r="I109" s="8" t="s">
        <v>18840</v>
      </c>
      <c r="J109" s="8" t="s">
        <v>10884</v>
      </c>
      <c r="K109" t="s">
        <v>18841</v>
      </c>
      <c r="L109" t="s">
        <v>18842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8" t="s">
        <v>4</v>
      </c>
      <c r="E110" s="8" t="s">
        <v>8</v>
      </c>
      <c r="F110" s="8"/>
      <c r="H110" s="8"/>
      <c r="I110" s="8" t="s">
        <v>18843</v>
      </c>
      <c r="J110" s="8" t="s">
        <v>10884</v>
      </c>
      <c r="K110" t="s">
        <v>18844</v>
      </c>
      <c r="L110" t="s">
        <v>18845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8" t="s">
        <v>137</v>
      </c>
      <c r="E111" s="8" t="s">
        <v>18867</v>
      </c>
      <c r="F111" s="8"/>
      <c r="H111" s="8"/>
      <c r="I111" s="8" t="s">
        <v>18846</v>
      </c>
      <c r="J111" s="8" t="s">
        <v>10884</v>
      </c>
      <c r="K111" t="s">
        <v>18847</v>
      </c>
      <c r="L111" t="s">
        <v>18848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8" t="s">
        <v>4</v>
      </c>
      <c r="E112" s="8" t="s">
        <v>8</v>
      </c>
      <c r="F112" s="8"/>
      <c r="H112" s="8"/>
      <c r="I112" s="8" t="s">
        <v>18849</v>
      </c>
      <c r="J112" s="8" t="s">
        <v>10884</v>
      </c>
      <c r="K112" t="s">
        <v>18850</v>
      </c>
      <c r="L112" t="s">
        <v>18851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8" t="s">
        <v>18885</v>
      </c>
      <c r="E113" s="8" t="s">
        <v>11066</v>
      </c>
      <c r="F113" s="8" t="s">
        <v>17897</v>
      </c>
      <c r="H113" s="8"/>
      <c r="I113" s="8" t="s">
        <v>18852</v>
      </c>
      <c r="J113" s="8" t="s">
        <v>10884</v>
      </c>
      <c r="K113" t="s">
        <v>18853</v>
      </c>
      <c r="L113" t="s">
        <v>18854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8" t="s">
        <v>4921</v>
      </c>
      <c r="E114" s="8" t="s">
        <v>11066</v>
      </c>
      <c r="F114" s="8"/>
      <c r="H114" s="8"/>
      <c r="I114" s="8" t="s">
        <v>18855</v>
      </c>
      <c r="J114" s="8" t="s">
        <v>10884</v>
      </c>
      <c r="K114" t="s">
        <v>18856</v>
      </c>
      <c r="L114" t="s">
        <v>18857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8" t="s">
        <v>4921</v>
      </c>
      <c r="E115" s="8" t="s">
        <v>11066</v>
      </c>
      <c r="F115" s="8"/>
      <c r="H115" s="8"/>
      <c r="I115" s="8" t="s">
        <v>18858</v>
      </c>
      <c r="J115" s="8" t="s">
        <v>10884</v>
      </c>
      <c r="K115" t="s">
        <v>18859</v>
      </c>
      <c r="L115" t="s">
        <v>18860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8" t="s">
        <v>588</v>
      </c>
      <c r="E116" s="8" t="s">
        <v>86</v>
      </c>
      <c r="F116" s="8"/>
      <c r="H116" s="8"/>
      <c r="I116" s="8" t="s">
        <v>18861</v>
      </c>
      <c r="J116" s="8" t="s">
        <v>10884</v>
      </c>
      <c r="K116" t="s">
        <v>18862</v>
      </c>
      <c r="L116" t="s">
        <v>18863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8" t="s">
        <v>4</v>
      </c>
      <c r="E117" s="8" t="s">
        <v>8</v>
      </c>
      <c r="F117" s="8"/>
      <c r="H117" s="8"/>
      <c r="I117" s="8" t="s">
        <v>18864</v>
      </c>
      <c r="J117" s="8" t="s">
        <v>10884</v>
      </c>
      <c r="K117" t="s">
        <v>18865</v>
      </c>
      <c r="L117" t="s">
        <v>18866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8" t="s">
        <v>4</v>
      </c>
      <c r="E118" s="8" t="s">
        <v>8</v>
      </c>
      <c r="F118" s="8"/>
      <c r="H118" s="8"/>
      <c r="I118" s="8" t="s">
        <v>19309</v>
      </c>
      <c r="J118" s="8" t="s">
        <v>10884</v>
      </c>
      <c r="K118" t="s">
        <v>19310</v>
      </c>
      <c r="L118" t="s">
        <v>19311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8" t="s">
        <v>6436</v>
      </c>
      <c r="E119" s="8" t="s">
        <v>19391</v>
      </c>
      <c r="F119" s="8"/>
      <c r="H119" s="8"/>
      <c r="I119" s="8" t="s">
        <v>19312</v>
      </c>
      <c r="J119" s="8" t="s">
        <v>10884</v>
      </c>
      <c r="K119" t="s">
        <v>19313</v>
      </c>
      <c r="L119" t="s">
        <v>19314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8" t="s">
        <v>6436</v>
      </c>
      <c r="E120" s="8" t="s">
        <v>19391</v>
      </c>
      <c r="F120" s="8"/>
      <c r="H120" s="8" t="s">
        <v>2352</v>
      </c>
      <c r="I120" s="8" t="s">
        <v>19315</v>
      </c>
      <c r="J120" s="8" t="s">
        <v>10884</v>
      </c>
      <c r="K120" t="s">
        <v>19316</v>
      </c>
      <c r="L120" t="s">
        <v>19317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8" t="s">
        <v>4921</v>
      </c>
      <c r="E121" s="8" t="s">
        <v>19392</v>
      </c>
      <c r="F121" s="8"/>
      <c r="H121" s="8"/>
      <c r="I121" s="8" t="s">
        <v>19318</v>
      </c>
      <c r="J121" s="8" t="s">
        <v>10884</v>
      </c>
      <c r="K121" t="s">
        <v>19319</v>
      </c>
      <c r="L121" t="s">
        <v>19320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8" t="s">
        <v>587</v>
      </c>
      <c r="E122" s="8" t="s">
        <v>19392</v>
      </c>
      <c r="F122" s="8"/>
      <c r="H122" s="8"/>
      <c r="I122" s="8" t="s">
        <v>19321</v>
      </c>
      <c r="J122" s="8" t="s">
        <v>10884</v>
      </c>
      <c r="K122" t="s">
        <v>19322</v>
      </c>
      <c r="L122" t="s">
        <v>19323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8" t="s">
        <v>4</v>
      </c>
      <c r="E123" s="8" t="s">
        <v>8</v>
      </c>
      <c r="F123" s="8"/>
      <c r="H123" s="8"/>
      <c r="I123" s="8" t="s">
        <v>19324</v>
      </c>
      <c r="J123" s="8" t="s">
        <v>10884</v>
      </c>
      <c r="K123" t="s">
        <v>19325</v>
      </c>
      <c r="L123" t="s">
        <v>19326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8" t="s">
        <v>4</v>
      </c>
      <c r="E124" s="8" t="s">
        <v>8</v>
      </c>
      <c r="F124" s="8"/>
      <c r="H124" s="8"/>
      <c r="I124" s="8" t="s">
        <v>19327</v>
      </c>
      <c r="J124" s="8" t="s">
        <v>10884</v>
      </c>
      <c r="K124" t="s">
        <v>19328</v>
      </c>
      <c r="L124" t="s">
        <v>19329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8" t="s">
        <v>4</v>
      </c>
      <c r="E125" s="8" t="s">
        <v>8</v>
      </c>
      <c r="F125" s="8"/>
      <c r="H125" s="8"/>
      <c r="I125" s="8" t="s">
        <v>19330</v>
      </c>
      <c r="J125" s="8" t="s">
        <v>10884</v>
      </c>
      <c r="K125" t="s">
        <v>19331</v>
      </c>
      <c r="L125" t="s">
        <v>19332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8" t="s">
        <v>588</v>
      </c>
      <c r="E126" s="8" t="s">
        <v>86</v>
      </c>
      <c r="F126" s="8"/>
      <c r="H126" s="8"/>
      <c r="I126" s="8" t="s">
        <v>19333</v>
      </c>
      <c r="J126" s="8" t="s">
        <v>10884</v>
      </c>
      <c r="K126" t="s">
        <v>19334</v>
      </c>
      <c r="L126" t="s">
        <v>19335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8" t="s">
        <v>588</v>
      </c>
      <c r="E127" s="8" t="s">
        <v>86</v>
      </c>
      <c r="F127" s="8"/>
      <c r="H127" s="8"/>
      <c r="I127" s="8" t="s">
        <v>19336</v>
      </c>
      <c r="J127" s="8" t="s">
        <v>10884</v>
      </c>
      <c r="K127" t="s">
        <v>19337</v>
      </c>
      <c r="L127" t="s">
        <v>19338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8" t="s">
        <v>588</v>
      </c>
      <c r="E128" s="8" t="s">
        <v>86</v>
      </c>
      <c r="F128" s="8"/>
      <c r="H128" s="8"/>
      <c r="I128" s="8" t="s">
        <v>19339</v>
      </c>
      <c r="J128" s="8" t="s">
        <v>10884</v>
      </c>
      <c r="K128" t="s">
        <v>19340</v>
      </c>
      <c r="L128" t="s">
        <v>19341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8" t="s">
        <v>137</v>
      </c>
      <c r="E129" s="8" t="s">
        <v>70</v>
      </c>
      <c r="F129" s="8"/>
      <c r="H129" s="8"/>
      <c r="I129" s="8" t="s">
        <v>19342</v>
      </c>
      <c r="J129" s="8" t="s">
        <v>10884</v>
      </c>
      <c r="K129" t="s">
        <v>19343</v>
      </c>
      <c r="L129" t="s">
        <v>19344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8" t="s">
        <v>588</v>
      </c>
      <c r="E130" s="8" t="s">
        <v>86</v>
      </c>
      <c r="F130" s="8"/>
      <c r="H130" s="8"/>
      <c r="I130" s="8" t="s">
        <v>19345</v>
      </c>
      <c r="J130" s="8" t="s">
        <v>10884</v>
      </c>
      <c r="K130" t="s">
        <v>19346</v>
      </c>
      <c r="L130" t="s">
        <v>19347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8" t="s">
        <v>4</v>
      </c>
      <c r="E131" s="8" t="s">
        <v>8</v>
      </c>
      <c r="F131" s="8"/>
      <c r="H131" s="8"/>
      <c r="I131" s="8" t="s">
        <v>19348</v>
      </c>
      <c r="J131" s="8" t="s">
        <v>10884</v>
      </c>
      <c r="K131" t="s">
        <v>19349</v>
      </c>
      <c r="L131" t="s">
        <v>19350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8" t="s">
        <v>137</v>
      </c>
      <c r="E132" s="8" t="s">
        <v>16656</v>
      </c>
      <c r="F132" s="8"/>
      <c r="H132" s="8" t="s">
        <v>19403</v>
      </c>
      <c r="I132" s="8" t="s">
        <v>19351</v>
      </c>
      <c r="J132" s="8" t="s">
        <v>10884</v>
      </c>
      <c r="K132" t="s">
        <v>19352</v>
      </c>
      <c r="L132" t="s">
        <v>19353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8" t="s">
        <v>4</v>
      </c>
      <c r="E133" s="8" t="s">
        <v>8</v>
      </c>
      <c r="F133" s="8"/>
      <c r="H133" s="8"/>
      <c r="I133" s="8" t="s">
        <v>19354</v>
      </c>
      <c r="J133" s="8" t="s">
        <v>10884</v>
      </c>
      <c r="K133" t="s">
        <v>19355</v>
      </c>
      <c r="L133" t="s">
        <v>19356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8" t="s">
        <v>4</v>
      </c>
      <c r="E134" s="8" t="s">
        <v>8</v>
      </c>
      <c r="F134" s="8"/>
      <c r="H134" s="8"/>
      <c r="I134" s="8" t="s">
        <v>19357</v>
      </c>
      <c r="J134" s="8" t="s">
        <v>10884</v>
      </c>
      <c r="K134" t="s">
        <v>19358</v>
      </c>
      <c r="L134" t="s">
        <v>19359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8" t="s">
        <v>137</v>
      </c>
      <c r="E135" s="8" t="s">
        <v>19394</v>
      </c>
      <c r="F135" s="8"/>
      <c r="H135" s="8"/>
      <c r="I135" s="8" t="s">
        <v>19360</v>
      </c>
      <c r="J135" s="8" t="s">
        <v>10884</v>
      </c>
      <c r="K135" t="s">
        <v>19361</v>
      </c>
      <c r="L135" t="s">
        <v>19362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8" t="s">
        <v>226</v>
      </c>
      <c r="E136" s="8" t="s">
        <v>19394</v>
      </c>
      <c r="F136" s="8" t="s">
        <v>58</v>
      </c>
      <c r="H136" s="8"/>
      <c r="I136" s="8" t="s">
        <v>19363</v>
      </c>
      <c r="J136" s="8" t="s">
        <v>10884</v>
      </c>
      <c r="K136" t="s">
        <v>19364</v>
      </c>
      <c r="L136" t="s">
        <v>19365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8" t="s">
        <v>226</v>
      </c>
      <c r="E137" s="8" t="s">
        <v>19394</v>
      </c>
      <c r="F137" s="8" t="s">
        <v>18883</v>
      </c>
      <c r="H137" s="8"/>
      <c r="I137" s="8" t="s">
        <v>19366</v>
      </c>
      <c r="J137" s="8" t="s">
        <v>10884</v>
      </c>
      <c r="K137" t="s">
        <v>19367</v>
      </c>
      <c r="L137" t="s">
        <v>19368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8" t="s">
        <v>226</v>
      </c>
      <c r="E138" s="8" t="s">
        <v>19394</v>
      </c>
      <c r="F138" s="8" t="s">
        <v>18883</v>
      </c>
      <c r="H138" s="8"/>
      <c r="I138" s="8" t="s">
        <v>19369</v>
      </c>
      <c r="J138" s="8" t="s">
        <v>10884</v>
      </c>
      <c r="K138" t="s">
        <v>19370</v>
      </c>
      <c r="L138" t="s">
        <v>19371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8" t="s">
        <v>226</v>
      </c>
      <c r="E139" s="8" t="s">
        <v>19394</v>
      </c>
      <c r="F139" s="8" t="s">
        <v>18883</v>
      </c>
      <c r="H139" s="8"/>
      <c r="I139" s="8" t="s">
        <v>19372</v>
      </c>
      <c r="J139" s="8" t="s">
        <v>10884</v>
      </c>
      <c r="K139" t="s">
        <v>19373</v>
      </c>
      <c r="L139" t="s">
        <v>19374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8" t="s">
        <v>3397</v>
      </c>
      <c r="E140" s="8" t="s">
        <v>19394</v>
      </c>
      <c r="F140" s="8"/>
      <c r="H140" s="8"/>
      <c r="I140" s="8" t="s">
        <v>19375</v>
      </c>
      <c r="J140" s="8" t="s">
        <v>10884</v>
      </c>
      <c r="K140" t="s">
        <v>19376</v>
      </c>
      <c r="L140" t="s">
        <v>19377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8" t="s">
        <v>16681</v>
      </c>
      <c r="E141" s="8" t="s">
        <v>19394</v>
      </c>
      <c r="F141" s="8" t="s">
        <v>4233</v>
      </c>
      <c r="H141" s="8"/>
      <c r="I141" s="8" t="s">
        <v>19378</v>
      </c>
      <c r="J141" s="8" t="s">
        <v>10884</v>
      </c>
      <c r="K141" t="s">
        <v>19379</v>
      </c>
      <c r="L141" t="s">
        <v>19380</v>
      </c>
      <c r="M141" s="2" t="str">
        <f>HYPERLINK(площадкаСнавесом[[#This Row],[RelativePath]])</f>
        <v>17 Площадка с навесом\GA3948333_10_20260313T195759Z.jpg</v>
      </c>
    </row>
  </sheetData>
  <conditionalFormatting sqref="D142:D152 E142:E155 D2:E141 G2:H141">
    <cfRule type="containsText" dxfId="650" priority="14" operator="containsText" text="Выезд с территории">
      <formula>NOT(ISERROR(SEARCH("Выезд с территории",D2)))</formula>
    </cfRule>
  </conditionalFormatting>
  <conditionalFormatting sqref="F2:F141">
    <cfRule type="notContainsText" dxfId="649" priority="13" operator="notContains" text="порожний">
      <formula>ISERROR(SEARCH("порожний",F2))</formula>
    </cfRule>
  </conditionalFormatting>
  <conditionalFormatting sqref="E2:E155">
    <cfRule type="containsText" dxfId="648" priority="11" operator="containsText" text="Газель базы">
      <formula>NOT(ISERROR(SEARCH("Газель базы",E2)))</formula>
    </cfRule>
    <cfRule type="containsText" dxfId="647" priority="12" operator="containsText" text="Погрузчик базы">
      <formula>NOT(ISERROR(SEARCH("Погрузчик базы",E2)))</formula>
    </cfRule>
  </conditionalFormatting>
  <conditionalFormatting sqref="E2:E155">
    <cfRule type="containsText" dxfId="646" priority="10" operator="containsText" text="Трактор базы">
      <formula>NOT(ISERROR(SEARCH("Трактор базы",E2)))</formula>
    </cfRule>
  </conditionalFormatting>
  <conditionalFormatting sqref="A2:C141">
    <cfRule type="expression" dxfId="645" priority="9">
      <formula>$A2="пн"</formula>
    </cfRule>
  </conditionalFormatting>
  <conditionalFormatting sqref="A2:C143">
    <cfRule type="expression" dxfId="644" priority="3">
      <formula>$A2="вс"</formula>
    </cfRule>
    <cfRule type="expression" dxfId="643" priority="4">
      <formula>$A2="сб"</formula>
    </cfRule>
    <cfRule type="expression" dxfId="642" priority="5">
      <formula>$A2="пт"</formula>
    </cfRule>
    <cfRule type="expression" dxfId="641" priority="6">
      <formula>$A2="чт"</formula>
    </cfRule>
    <cfRule type="expression" dxfId="640" priority="7">
      <formula>$A2="ср"</formula>
    </cfRule>
    <cfRule type="expression" dxfId="639" priority="8">
      <formula>$A2="вт"</formula>
    </cfRule>
  </conditionalFormatting>
  <conditionalFormatting sqref="D2:D152">
    <cfRule type="containsText" dxfId="63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2">
    <cfRule type="containsText" dxfId="63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5798"/>
  <sheetViews>
    <sheetView topLeftCell="A5615" zoomScale="90" zoomScaleNormal="90" workbookViewId="0">
      <selection activeCell="B5776" sqref="B5776:B5777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hidden="1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hidden="1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hidden="1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hidden="1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hidden="1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hidden="1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hidden="1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hidden="1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x14ac:dyDescent="0.25">
      <c r="A4344" t="s">
        <v>11084</v>
      </c>
      <c r="B4344" t="s">
        <v>11066</v>
      </c>
      <c r="F4344" t="s">
        <v>13677</v>
      </c>
      <c r="G4344" t="s">
        <v>11082</v>
      </c>
    </row>
    <row r="4345" spans="1:7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hidden="1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hidden="1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16183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16184</v>
      </c>
      <c r="E4431" t="s">
        <v>16185</v>
      </c>
      <c r="F4431" t="s">
        <v>14090</v>
      </c>
      <c r="G4431" t="s">
        <v>91</v>
      </c>
    </row>
    <row r="4432" spans="1:7" hidden="1" x14ac:dyDescent="0.25">
      <c r="A4432" t="s">
        <v>16184</v>
      </c>
      <c r="E4432" t="s">
        <v>16185</v>
      </c>
      <c r="F4432" t="s">
        <v>16186</v>
      </c>
      <c r="G4432" t="s">
        <v>91</v>
      </c>
    </row>
    <row r="4433" spans="1:7" hidden="1" x14ac:dyDescent="0.25">
      <c r="A4433" t="s">
        <v>16184</v>
      </c>
      <c r="E4433" t="s">
        <v>16185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16651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16652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16651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16651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16189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16653</v>
      </c>
      <c r="F4454" t="s">
        <v>14334</v>
      </c>
      <c r="G4454" t="s">
        <v>11071</v>
      </c>
    </row>
    <row r="4455" spans="1:7" hidden="1" x14ac:dyDescent="0.25">
      <c r="A4455" t="s">
        <v>16654</v>
      </c>
      <c r="B4455" t="s">
        <v>16653</v>
      </c>
      <c r="E4455" t="s">
        <v>16655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16653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16656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16661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16661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16661</v>
      </c>
      <c r="C4467" t="s">
        <v>16657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16658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16658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16659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16659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16660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16659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16659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16653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16661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16661</v>
      </c>
      <c r="C4491" t="s">
        <v>16657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16662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16661</v>
      </c>
      <c r="C4506" t="s">
        <v>16657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16663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16665</v>
      </c>
      <c r="B4558" t="s">
        <v>468</v>
      </c>
      <c r="D4558">
        <v>2</v>
      </c>
      <c r="F4558" t="s">
        <v>15257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16666</v>
      </c>
      <c r="F4565" t="s">
        <v>15029</v>
      </c>
      <c r="G4565" t="s">
        <v>12641</v>
      </c>
    </row>
    <row r="4566" spans="1:7" hidden="1" x14ac:dyDescent="0.25">
      <c r="A4566" t="s">
        <v>16666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16667</v>
      </c>
      <c r="E4571" t="s">
        <v>16668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16192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16195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16198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16201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16204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16207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16210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16213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16216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16219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16222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16225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16228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16231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16234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16237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16240</v>
      </c>
      <c r="G4590" t="s">
        <v>12641</v>
      </c>
    </row>
    <row r="4591" spans="1:7" hidden="1" x14ac:dyDescent="0.25">
      <c r="A4591" t="s">
        <v>16669</v>
      </c>
      <c r="F4591" t="s">
        <v>16243</v>
      </c>
      <c r="G4591" t="s">
        <v>12641</v>
      </c>
    </row>
    <row r="4592" spans="1:7" hidden="1" x14ac:dyDescent="0.25">
      <c r="A4592" t="s">
        <v>16669</v>
      </c>
      <c r="E4592" t="s">
        <v>2352</v>
      </c>
      <c r="F4592" t="s">
        <v>16246</v>
      </c>
      <c r="G4592" t="s">
        <v>12641</v>
      </c>
    </row>
    <row r="4593" spans="1:7" hidden="1" x14ac:dyDescent="0.25">
      <c r="A4593" t="s">
        <v>16669</v>
      </c>
      <c r="E4593" t="s">
        <v>2352</v>
      </c>
      <c r="F4593" t="s">
        <v>16249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16252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16255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16258</v>
      </c>
      <c r="G4596" t="s">
        <v>12641</v>
      </c>
    </row>
    <row r="4597" spans="1:7" hidden="1" x14ac:dyDescent="0.25">
      <c r="A4597" t="s">
        <v>16670</v>
      </c>
      <c r="B4597" t="s">
        <v>86</v>
      </c>
      <c r="F4597" t="s">
        <v>16261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16264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16267</v>
      </c>
      <c r="G4599" t="s">
        <v>12641</v>
      </c>
    </row>
    <row r="4600" spans="1:7" hidden="1" x14ac:dyDescent="0.25">
      <c r="A4600" t="s">
        <v>16671</v>
      </c>
      <c r="B4600" t="s">
        <v>86</v>
      </c>
      <c r="F4600" t="s">
        <v>16270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16273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16276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16279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16282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16285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16288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16291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16294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16297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16300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16303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16306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16309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16312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16315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16318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16153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16156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16159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16162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16165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16168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16171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16174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16177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16672</v>
      </c>
      <c r="F4626" t="s">
        <v>16180</v>
      </c>
      <c r="G4626" t="s">
        <v>12642</v>
      </c>
    </row>
    <row r="4627" spans="1:7" hidden="1" x14ac:dyDescent="0.25">
      <c r="A4627" t="s">
        <v>20</v>
      </c>
      <c r="F4627" t="s">
        <v>16321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16324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16327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16330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16333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16336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16339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16342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16345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16348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16351</v>
      </c>
      <c r="G4637" t="s">
        <v>12642</v>
      </c>
    </row>
    <row r="4638" spans="1:7" hidden="1" x14ac:dyDescent="0.25">
      <c r="A4638" t="s">
        <v>16673</v>
      </c>
      <c r="B4638" t="s">
        <v>7355</v>
      </c>
      <c r="F4638" t="s">
        <v>16354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16357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16360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16363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16366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16369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16372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16375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16378</v>
      </c>
      <c r="G4646" t="s">
        <v>12642</v>
      </c>
    </row>
    <row r="4647" spans="1:7" hidden="1" x14ac:dyDescent="0.25">
      <c r="A4647" t="s">
        <v>16674</v>
      </c>
      <c r="F4647" t="s">
        <v>16381</v>
      </c>
      <c r="G4647" t="s">
        <v>12642</v>
      </c>
    </row>
    <row r="4648" spans="1:7" hidden="1" x14ac:dyDescent="0.25">
      <c r="A4648" t="s">
        <v>16674</v>
      </c>
      <c r="E4648" t="s">
        <v>2352</v>
      </c>
      <c r="F4648" t="s">
        <v>16384</v>
      </c>
      <c r="G4648" t="s">
        <v>12642</v>
      </c>
    </row>
    <row r="4649" spans="1:7" hidden="1" x14ac:dyDescent="0.25">
      <c r="A4649" t="s">
        <v>16674</v>
      </c>
      <c r="E4649" t="s">
        <v>2352</v>
      </c>
      <c r="F4649" t="s">
        <v>16387</v>
      </c>
      <c r="G4649" t="s">
        <v>12642</v>
      </c>
    </row>
    <row r="4650" spans="1:7" hidden="1" x14ac:dyDescent="0.25">
      <c r="A4650" t="s">
        <v>16669</v>
      </c>
      <c r="F4650" t="s">
        <v>16390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16393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16396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16399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16402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16405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16408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16411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16414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16417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16675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16676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16677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16678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16489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16492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16495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16498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16501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16504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16507</v>
      </c>
      <c r="G4679" t="s">
        <v>12643</v>
      </c>
    </row>
    <row r="4680" spans="1:7" hidden="1" x14ac:dyDescent="0.25">
      <c r="A4680" t="s">
        <v>4</v>
      </c>
      <c r="B4680" t="s">
        <v>16679</v>
      </c>
      <c r="F4680" t="s">
        <v>16510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16513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16516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16519</v>
      </c>
      <c r="G4683" t="s">
        <v>12643</v>
      </c>
    </row>
    <row r="4684" spans="1:7" hidden="1" x14ac:dyDescent="0.25">
      <c r="A4684" t="s">
        <v>1273</v>
      </c>
      <c r="B4684" t="s">
        <v>16656</v>
      </c>
      <c r="F4684" t="s">
        <v>16522</v>
      </c>
      <c r="G4684" t="s">
        <v>12643</v>
      </c>
    </row>
    <row r="4685" spans="1:7" hidden="1" x14ac:dyDescent="0.25">
      <c r="A4685" t="s">
        <v>16680</v>
      </c>
      <c r="F4685" t="s">
        <v>16525</v>
      </c>
      <c r="G4685" t="s">
        <v>12643</v>
      </c>
    </row>
    <row r="4686" spans="1:7" hidden="1" x14ac:dyDescent="0.25">
      <c r="A4686" t="s">
        <v>16680</v>
      </c>
      <c r="E4686" t="s">
        <v>2352</v>
      </c>
      <c r="F4686" t="s">
        <v>16528</v>
      </c>
      <c r="G4686" t="s">
        <v>12643</v>
      </c>
    </row>
    <row r="4687" spans="1:7" hidden="1" x14ac:dyDescent="0.25">
      <c r="A4687" t="s">
        <v>16680</v>
      </c>
      <c r="E4687" t="s">
        <v>2352</v>
      </c>
      <c r="F4687" t="s">
        <v>16531</v>
      </c>
      <c r="G4687" t="s">
        <v>12643</v>
      </c>
    </row>
    <row r="4688" spans="1:7" hidden="1" x14ac:dyDescent="0.25">
      <c r="A4688" t="s">
        <v>16680</v>
      </c>
      <c r="E4688" t="s">
        <v>2352</v>
      </c>
      <c r="F4688" t="s">
        <v>16534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16537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16540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16543</v>
      </c>
      <c r="G4691" t="s">
        <v>12643</v>
      </c>
    </row>
    <row r="4692" spans="1:7" hidden="1" x14ac:dyDescent="0.25">
      <c r="A4692" t="s">
        <v>1273</v>
      </c>
      <c r="B4692" t="s">
        <v>16661</v>
      </c>
      <c r="F4692" t="s">
        <v>16546</v>
      </c>
      <c r="G4692" t="s">
        <v>12643</v>
      </c>
    </row>
    <row r="4693" spans="1:7" hidden="1" x14ac:dyDescent="0.25">
      <c r="A4693" t="s">
        <v>226</v>
      </c>
      <c r="B4693" t="s">
        <v>16661</v>
      </c>
      <c r="C4693" t="s">
        <v>16657</v>
      </c>
      <c r="F4693" t="s">
        <v>16549</v>
      </c>
      <c r="G4693" t="s">
        <v>12643</v>
      </c>
    </row>
    <row r="4694" spans="1:7" hidden="1" x14ac:dyDescent="0.25">
      <c r="A4694" t="s">
        <v>226</v>
      </c>
      <c r="B4694" t="s">
        <v>16661</v>
      </c>
      <c r="C4694" t="s">
        <v>16657</v>
      </c>
      <c r="E4694" t="s">
        <v>2352</v>
      </c>
      <c r="F4694" t="s">
        <v>16552</v>
      </c>
      <c r="G4694" t="s">
        <v>12643</v>
      </c>
    </row>
    <row r="4695" spans="1:7" hidden="1" x14ac:dyDescent="0.25">
      <c r="A4695" t="s">
        <v>587</v>
      </c>
      <c r="B4695" t="s">
        <v>16661</v>
      </c>
      <c r="C4695" t="s">
        <v>16657</v>
      </c>
      <c r="F4695" t="s">
        <v>16555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16558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16561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16564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16567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16570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16573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16576</v>
      </c>
      <c r="G4702" t="s">
        <v>12643</v>
      </c>
    </row>
    <row r="4703" spans="1:7" hidden="1" x14ac:dyDescent="0.25">
      <c r="A4703" t="s">
        <v>16676</v>
      </c>
      <c r="B4703" t="s">
        <v>10130</v>
      </c>
      <c r="E4703" t="s">
        <v>4390</v>
      </c>
      <c r="F4703" t="s">
        <v>16579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16582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16585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16588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16591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16681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16420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16423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16426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16429</v>
      </c>
      <c r="G4718" t="s">
        <v>12644</v>
      </c>
    </row>
    <row r="4719" spans="1:7" hidden="1" x14ac:dyDescent="0.25">
      <c r="A4719" t="s">
        <v>1539</v>
      </c>
      <c r="F4719" t="s">
        <v>16432</v>
      </c>
      <c r="G4719" t="s">
        <v>12644</v>
      </c>
    </row>
    <row r="4720" spans="1:7" hidden="1" x14ac:dyDescent="0.25">
      <c r="A4720" t="s">
        <v>1539</v>
      </c>
      <c r="F4720" t="s">
        <v>16435</v>
      </c>
      <c r="G4720" t="s">
        <v>12644</v>
      </c>
    </row>
    <row r="4721" spans="1:7" hidden="1" x14ac:dyDescent="0.25">
      <c r="A4721" t="s">
        <v>1539</v>
      </c>
      <c r="F4721" t="s">
        <v>16438</v>
      </c>
      <c r="G4721" t="s">
        <v>12644</v>
      </c>
    </row>
    <row r="4722" spans="1:7" hidden="1" x14ac:dyDescent="0.25">
      <c r="A4722" t="s">
        <v>1539</v>
      </c>
      <c r="F4722" t="s">
        <v>16441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16444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16447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16450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16453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16682</v>
      </c>
      <c r="F4727" t="s">
        <v>16456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16459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16681</v>
      </c>
      <c r="F4729" t="s">
        <v>16462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16465</v>
      </c>
      <c r="G4730" t="s">
        <v>12644</v>
      </c>
    </row>
    <row r="4731" spans="1:7" hidden="1" x14ac:dyDescent="0.25">
      <c r="A4731" t="s">
        <v>4</v>
      </c>
      <c r="B4731" t="s">
        <v>16661</v>
      </c>
      <c r="C4731" t="s">
        <v>16657</v>
      </c>
      <c r="F4731" t="s">
        <v>16468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16471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16474</v>
      </c>
      <c r="G4733" t="s">
        <v>12644</v>
      </c>
    </row>
    <row r="4734" spans="1:7" hidden="1" x14ac:dyDescent="0.25">
      <c r="A4734" t="s">
        <v>1539</v>
      </c>
      <c r="F4734" t="s">
        <v>16477</v>
      </c>
      <c r="G4734" t="s">
        <v>12644</v>
      </c>
    </row>
    <row r="4735" spans="1:7" hidden="1" x14ac:dyDescent="0.25">
      <c r="A4735" t="s">
        <v>1539</v>
      </c>
      <c r="F4735" t="s">
        <v>16480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16483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16486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16683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16684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16685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16594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16597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16600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16603</v>
      </c>
      <c r="G4820" t="s">
        <v>11078</v>
      </c>
    </row>
    <row r="4821" spans="1:7" hidden="1" x14ac:dyDescent="0.25">
      <c r="A4821" t="s">
        <v>16685</v>
      </c>
      <c r="B4821" t="s">
        <v>1274</v>
      </c>
      <c r="F4821" t="s">
        <v>16606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16609</v>
      </c>
      <c r="G4822" t="s">
        <v>11078</v>
      </c>
    </row>
    <row r="4823" spans="1:7" hidden="1" x14ac:dyDescent="0.25">
      <c r="A4823" t="s">
        <v>4</v>
      </c>
      <c r="B4823" t="s">
        <v>16656</v>
      </c>
      <c r="F4823" t="s">
        <v>16612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16615</v>
      </c>
      <c r="G4824" t="s">
        <v>11078</v>
      </c>
    </row>
    <row r="4825" spans="1:7" hidden="1" x14ac:dyDescent="0.25">
      <c r="A4825" t="s">
        <v>16686</v>
      </c>
      <c r="B4825" t="s">
        <v>1274</v>
      </c>
      <c r="F4825" t="s">
        <v>16618</v>
      </c>
      <c r="G4825" t="s">
        <v>11078</v>
      </c>
    </row>
    <row r="4826" spans="1:7" hidden="1" x14ac:dyDescent="0.25">
      <c r="A4826" t="s">
        <v>1273</v>
      </c>
      <c r="B4826" t="s">
        <v>16661</v>
      </c>
      <c r="F4826" t="s">
        <v>16621</v>
      </c>
      <c r="G4826" t="s">
        <v>11078</v>
      </c>
    </row>
    <row r="4827" spans="1:7" hidden="1" x14ac:dyDescent="0.25">
      <c r="A4827" t="s">
        <v>226</v>
      </c>
      <c r="B4827" t="s">
        <v>16661</v>
      </c>
      <c r="C4827" t="s">
        <v>58</v>
      </c>
      <c r="F4827" t="s">
        <v>16624</v>
      </c>
      <c r="G4827" t="s">
        <v>11078</v>
      </c>
    </row>
    <row r="4828" spans="1:7" hidden="1" x14ac:dyDescent="0.25">
      <c r="A4828" t="s">
        <v>226</v>
      </c>
      <c r="B4828" t="s">
        <v>16661</v>
      </c>
      <c r="C4828" t="s">
        <v>58</v>
      </c>
      <c r="E4828" t="s">
        <v>16681</v>
      </c>
      <c r="F4828" t="s">
        <v>16627</v>
      </c>
      <c r="G4828" t="s">
        <v>11078</v>
      </c>
    </row>
    <row r="4829" spans="1:7" hidden="1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hidden="1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hidden="1" x14ac:dyDescent="0.25">
      <c r="A4831" t="s">
        <v>4</v>
      </c>
      <c r="B4831" t="s">
        <v>16687</v>
      </c>
      <c r="F4831" t="s">
        <v>14657</v>
      </c>
      <c r="G4831" t="s">
        <v>11079</v>
      </c>
    </row>
    <row r="4832" spans="1:7" hidden="1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hidden="1" x14ac:dyDescent="0.25">
      <c r="A4833" t="s">
        <v>4</v>
      </c>
      <c r="B4833" t="s">
        <v>16688</v>
      </c>
      <c r="F4833" t="s">
        <v>14663</v>
      </c>
      <c r="G4833" t="s">
        <v>11079</v>
      </c>
    </row>
    <row r="4834" spans="1:7" hidden="1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hidden="1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hidden="1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hidden="1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hidden="1" x14ac:dyDescent="0.25">
      <c r="A4838" t="s">
        <v>16689</v>
      </c>
      <c r="B4838" t="s">
        <v>1274</v>
      </c>
      <c r="F4838" t="s">
        <v>14678</v>
      </c>
      <c r="G4838" t="s">
        <v>11079</v>
      </c>
    </row>
    <row r="4839" spans="1:7" hidden="1" x14ac:dyDescent="0.25">
      <c r="A4839" t="s">
        <v>16689</v>
      </c>
      <c r="B4839" t="s">
        <v>1274</v>
      </c>
      <c r="F4839" t="s">
        <v>14681</v>
      </c>
      <c r="G4839" t="s">
        <v>11079</v>
      </c>
    </row>
    <row r="4840" spans="1:7" hidden="1" x14ac:dyDescent="0.25">
      <c r="A4840" t="s">
        <v>16689</v>
      </c>
      <c r="B4840" t="s">
        <v>1274</v>
      </c>
      <c r="F4840" t="s">
        <v>14684</v>
      </c>
      <c r="G4840" t="s">
        <v>11079</v>
      </c>
    </row>
    <row r="4841" spans="1:7" hidden="1" x14ac:dyDescent="0.25">
      <c r="A4841" t="s">
        <v>16689</v>
      </c>
      <c r="B4841" t="s">
        <v>1274</v>
      </c>
      <c r="F4841" t="s">
        <v>14687</v>
      </c>
      <c r="G4841" t="s">
        <v>11079</v>
      </c>
    </row>
    <row r="4842" spans="1:7" hidden="1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hidden="1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hidden="1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hidden="1" x14ac:dyDescent="0.25">
      <c r="A4845" t="s">
        <v>4</v>
      </c>
      <c r="B4845" t="s">
        <v>16688</v>
      </c>
      <c r="F4845" t="s">
        <v>14699</v>
      </c>
      <c r="G4845" t="s">
        <v>11079</v>
      </c>
    </row>
    <row r="4846" spans="1:7" hidden="1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hidden="1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hidden="1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hidden="1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hidden="1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hidden="1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hidden="1" x14ac:dyDescent="0.25">
      <c r="A4852" t="s">
        <v>16689</v>
      </c>
      <c r="B4852" t="s">
        <v>468</v>
      </c>
      <c r="F4852" t="s">
        <v>14720</v>
      </c>
      <c r="G4852" t="s">
        <v>11079</v>
      </c>
    </row>
    <row r="4853" spans="1:7" hidden="1" x14ac:dyDescent="0.25">
      <c r="A4853" t="s">
        <v>16689</v>
      </c>
      <c r="B4853" t="s">
        <v>468</v>
      </c>
      <c r="F4853" t="s">
        <v>14723</v>
      </c>
      <c r="G4853" t="s">
        <v>11079</v>
      </c>
    </row>
    <row r="4854" spans="1:7" hidden="1" x14ac:dyDescent="0.25">
      <c r="A4854" t="s">
        <v>16689</v>
      </c>
      <c r="B4854" t="s">
        <v>468</v>
      </c>
      <c r="F4854" t="s">
        <v>14726</v>
      </c>
      <c r="G4854" t="s">
        <v>11079</v>
      </c>
    </row>
    <row r="4855" spans="1:7" hidden="1" x14ac:dyDescent="0.25">
      <c r="A4855" t="s">
        <v>16689</v>
      </c>
      <c r="B4855" t="s">
        <v>468</v>
      </c>
      <c r="F4855" t="s">
        <v>14729</v>
      </c>
      <c r="G4855" t="s">
        <v>11079</v>
      </c>
    </row>
    <row r="4856" spans="1:7" hidden="1" x14ac:dyDescent="0.25">
      <c r="A4856" t="s">
        <v>16689</v>
      </c>
      <c r="B4856" t="s">
        <v>468</v>
      </c>
      <c r="F4856" t="s">
        <v>14732</v>
      </c>
      <c r="G4856" t="s">
        <v>11079</v>
      </c>
    </row>
    <row r="4857" spans="1:7" hidden="1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hidden="1" x14ac:dyDescent="0.25">
      <c r="A4858" t="s">
        <v>4</v>
      </c>
      <c r="B4858" t="s">
        <v>16687</v>
      </c>
      <c r="F4858" t="s">
        <v>14738</v>
      </c>
      <c r="G4858" t="s">
        <v>11079</v>
      </c>
    </row>
    <row r="4859" spans="1:7" hidden="1" x14ac:dyDescent="0.25">
      <c r="A4859" t="s">
        <v>16689</v>
      </c>
      <c r="B4859" t="s">
        <v>468</v>
      </c>
      <c r="F4859" t="s">
        <v>14741</v>
      </c>
      <c r="G4859" t="s">
        <v>11079</v>
      </c>
    </row>
    <row r="4860" spans="1:7" hidden="1" x14ac:dyDescent="0.25">
      <c r="A4860" t="s">
        <v>16689</v>
      </c>
      <c r="B4860" t="s">
        <v>468</v>
      </c>
      <c r="F4860" t="s">
        <v>14744</v>
      </c>
      <c r="G4860" t="s">
        <v>11079</v>
      </c>
    </row>
    <row r="4861" spans="1:7" hidden="1" x14ac:dyDescent="0.25">
      <c r="A4861" t="s">
        <v>16689</v>
      </c>
      <c r="B4861" t="s">
        <v>468</v>
      </c>
      <c r="F4861" t="s">
        <v>14747</v>
      </c>
      <c r="G4861" t="s">
        <v>11079</v>
      </c>
    </row>
    <row r="4862" spans="1:7" hidden="1" x14ac:dyDescent="0.25">
      <c r="A4862" t="s">
        <v>16689</v>
      </c>
      <c r="B4862" t="s">
        <v>468</v>
      </c>
      <c r="F4862" t="s">
        <v>14750</v>
      </c>
      <c r="G4862" t="s">
        <v>11079</v>
      </c>
    </row>
    <row r="4863" spans="1:7" hidden="1" x14ac:dyDescent="0.25">
      <c r="A4863" t="s">
        <v>16689</v>
      </c>
      <c r="B4863" t="s">
        <v>468</v>
      </c>
      <c r="F4863" t="s">
        <v>14753</v>
      </c>
      <c r="G4863" t="s">
        <v>11079</v>
      </c>
    </row>
    <row r="4864" spans="1:7" hidden="1" x14ac:dyDescent="0.25">
      <c r="A4864" t="s">
        <v>4</v>
      </c>
      <c r="B4864" t="s">
        <v>16687</v>
      </c>
      <c r="F4864" t="s">
        <v>14756</v>
      </c>
      <c r="G4864" t="s">
        <v>11079</v>
      </c>
    </row>
    <row r="4865" spans="1:7" hidden="1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hidden="1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hidden="1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hidden="1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hidden="1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hidden="1" x14ac:dyDescent="0.25">
      <c r="A4870" t="s">
        <v>4</v>
      </c>
      <c r="B4870" t="s">
        <v>16687</v>
      </c>
      <c r="F4870" t="s">
        <v>14774</v>
      </c>
      <c r="G4870" t="s">
        <v>11079</v>
      </c>
    </row>
    <row r="4871" spans="1:7" hidden="1" x14ac:dyDescent="0.25">
      <c r="A4871" t="s">
        <v>16689</v>
      </c>
      <c r="B4871" t="s">
        <v>468</v>
      </c>
      <c r="F4871" t="s">
        <v>14777</v>
      </c>
      <c r="G4871" t="s">
        <v>11079</v>
      </c>
    </row>
    <row r="4872" spans="1:7" hidden="1" x14ac:dyDescent="0.25">
      <c r="A4872" t="s">
        <v>16689</v>
      </c>
      <c r="B4872" t="s">
        <v>468</v>
      </c>
      <c r="F4872" t="s">
        <v>14780</v>
      </c>
      <c r="G4872" t="s">
        <v>11079</v>
      </c>
    </row>
    <row r="4873" spans="1:7" hidden="1" x14ac:dyDescent="0.25">
      <c r="A4873" t="s">
        <v>16689</v>
      </c>
      <c r="B4873" t="s">
        <v>468</v>
      </c>
      <c r="F4873" t="s">
        <v>14783</v>
      </c>
      <c r="G4873" t="s">
        <v>11079</v>
      </c>
    </row>
    <row r="4874" spans="1:7" hidden="1" x14ac:dyDescent="0.25">
      <c r="A4874" t="s">
        <v>16689</v>
      </c>
      <c r="B4874" t="s">
        <v>468</v>
      </c>
      <c r="F4874" t="s">
        <v>14786</v>
      </c>
      <c r="G4874" t="s">
        <v>11079</v>
      </c>
    </row>
    <row r="4875" spans="1:7" hidden="1" x14ac:dyDescent="0.25">
      <c r="A4875" t="s">
        <v>16689</v>
      </c>
      <c r="B4875" t="s">
        <v>468</v>
      </c>
      <c r="F4875" t="s">
        <v>14789</v>
      </c>
      <c r="G4875" t="s">
        <v>11079</v>
      </c>
    </row>
    <row r="4876" spans="1:7" hidden="1" x14ac:dyDescent="0.25">
      <c r="A4876" t="s">
        <v>16689</v>
      </c>
      <c r="B4876" t="s">
        <v>468</v>
      </c>
      <c r="F4876" t="s">
        <v>14792</v>
      </c>
      <c r="G4876" t="s">
        <v>11079</v>
      </c>
    </row>
    <row r="4877" spans="1:7" hidden="1" x14ac:dyDescent="0.25">
      <c r="A4877" t="s">
        <v>16689</v>
      </c>
      <c r="B4877" t="s">
        <v>468</v>
      </c>
      <c r="F4877" t="s">
        <v>14795</v>
      </c>
      <c r="G4877" t="s">
        <v>11079</v>
      </c>
    </row>
    <row r="4878" spans="1:7" hidden="1" x14ac:dyDescent="0.25">
      <c r="A4878" t="s">
        <v>16689</v>
      </c>
      <c r="B4878" t="s">
        <v>468</v>
      </c>
      <c r="F4878" t="s">
        <v>14798</v>
      </c>
      <c r="G4878" t="s">
        <v>11079</v>
      </c>
    </row>
    <row r="4879" spans="1:7" hidden="1" x14ac:dyDescent="0.25">
      <c r="A4879" t="s">
        <v>16689</v>
      </c>
      <c r="B4879" t="s">
        <v>468</v>
      </c>
      <c r="F4879" t="s">
        <v>14801</v>
      </c>
      <c r="G4879" t="s">
        <v>11079</v>
      </c>
    </row>
    <row r="4880" spans="1:7" hidden="1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hidden="1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hidden="1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hidden="1" x14ac:dyDescent="0.25">
      <c r="A4883" t="s">
        <v>16689</v>
      </c>
      <c r="B4883" t="s">
        <v>468</v>
      </c>
      <c r="F4883" t="s">
        <v>14813</v>
      </c>
      <c r="G4883" t="s">
        <v>11079</v>
      </c>
    </row>
    <row r="4884" spans="1:7" hidden="1" x14ac:dyDescent="0.25">
      <c r="A4884" t="s">
        <v>16689</v>
      </c>
      <c r="B4884" t="s">
        <v>468</v>
      </c>
      <c r="F4884" t="s">
        <v>14816</v>
      </c>
      <c r="G4884" t="s">
        <v>11079</v>
      </c>
    </row>
    <row r="4885" spans="1:7" hidden="1" x14ac:dyDescent="0.25">
      <c r="A4885" t="s">
        <v>4</v>
      </c>
      <c r="B4885" t="s">
        <v>16687</v>
      </c>
      <c r="F4885" t="s">
        <v>14819</v>
      </c>
      <c r="G4885" t="s">
        <v>11079</v>
      </c>
    </row>
    <row r="4886" spans="1:7" hidden="1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hidden="1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hidden="1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hidden="1" x14ac:dyDescent="0.25">
      <c r="A4889" t="s">
        <v>16689</v>
      </c>
      <c r="B4889" t="s">
        <v>468</v>
      </c>
      <c r="F4889" t="s">
        <v>14831</v>
      </c>
      <c r="G4889" t="s">
        <v>11079</v>
      </c>
    </row>
    <row r="4890" spans="1:7" hidden="1" x14ac:dyDescent="0.25">
      <c r="A4890" t="s">
        <v>16689</v>
      </c>
      <c r="B4890" t="s">
        <v>468</v>
      </c>
      <c r="F4890" t="s">
        <v>14834</v>
      </c>
      <c r="G4890" t="s">
        <v>11079</v>
      </c>
    </row>
    <row r="4891" spans="1:7" hidden="1" x14ac:dyDescent="0.25">
      <c r="A4891" t="s">
        <v>16689</v>
      </c>
      <c r="B4891" t="s">
        <v>468</v>
      </c>
      <c r="F4891" t="s">
        <v>14837</v>
      </c>
      <c r="G4891" t="s">
        <v>11079</v>
      </c>
    </row>
    <row r="4892" spans="1:7" hidden="1" x14ac:dyDescent="0.25">
      <c r="A4892" t="s">
        <v>16689</v>
      </c>
      <c r="B4892" t="s">
        <v>468</v>
      </c>
      <c r="F4892" t="s">
        <v>14840</v>
      </c>
      <c r="G4892" t="s">
        <v>11079</v>
      </c>
    </row>
    <row r="4893" spans="1:7" hidden="1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hidden="1" x14ac:dyDescent="0.25">
      <c r="A4894" t="s">
        <v>16690</v>
      </c>
      <c r="B4894" t="s">
        <v>468</v>
      </c>
      <c r="F4894" t="s">
        <v>14846</v>
      </c>
      <c r="G4894" t="s">
        <v>11079</v>
      </c>
    </row>
    <row r="4895" spans="1:7" hidden="1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hidden="1" x14ac:dyDescent="0.25">
      <c r="A4896" t="s">
        <v>16691</v>
      </c>
      <c r="F4896" t="s">
        <v>14852</v>
      </c>
      <c r="G4896" t="s">
        <v>11079</v>
      </c>
    </row>
    <row r="4897" spans="1:7" hidden="1" x14ac:dyDescent="0.25">
      <c r="A4897" t="s">
        <v>16691</v>
      </c>
      <c r="F4897" t="s">
        <v>14855</v>
      </c>
      <c r="G4897" t="s">
        <v>11079</v>
      </c>
    </row>
    <row r="4898" spans="1:7" hidden="1" x14ac:dyDescent="0.25">
      <c r="A4898" t="s">
        <v>16691</v>
      </c>
      <c r="F4898" t="s">
        <v>14858</v>
      </c>
      <c r="G4898" t="s">
        <v>11079</v>
      </c>
    </row>
    <row r="4899" spans="1:7" hidden="1" x14ac:dyDescent="0.25">
      <c r="A4899" t="s">
        <v>4</v>
      </c>
      <c r="B4899" t="s">
        <v>16688</v>
      </c>
      <c r="F4899" t="s">
        <v>14861</v>
      </c>
      <c r="G4899" t="s">
        <v>11079</v>
      </c>
    </row>
    <row r="4900" spans="1:7" hidden="1" x14ac:dyDescent="0.25">
      <c r="A4900" t="s">
        <v>4</v>
      </c>
      <c r="B4900" t="s">
        <v>11080</v>
      </c>
      <c r="F4900" t="s">
        <v>14864</v>
      </c>
      <c r="G4900" t="s">
        <v>11079</v>
      </c>
    </row>
    <row r="4901" spans="1:7" hidden="1" x14ac:dyDescent="0.25">
      <c r="A4901" t="s">
        <v>16184</v>
      </c>
      <c r="F4901" t="s">
        <v>16710</v>
      </c>
      <c r="G4901" t="s">
        <v>91</v>
      </c>
    </row>
    <row r="4902" spans="1:7" hidden="1" x14ac:dyDescent="0.25">
      <c r="A4902" t="s">
        <v>16184</v>
      </c>
      <c r="F4902" t="s">
        <v>16713</v>
      </c>
      <c r="G4902" t="s">
        <v>91</v>
      </c>
    </row>
    <row r="4903" spans="1:7" hidden="1" x14ac:dyDescent="0.25">
      <c r="A4903" t="s">
        <v>16184</v>
      </c>
      <c r="F4903" t="s">
        <v>16716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16692</v>
      </c>
      <c r="G4904" t="s">
        <v>12640</v>
      </c>
    </row>
    <row r="4905" spans="1:7" hidden="1" x14ac:dyDescent="0.25">
      <c r="A4905" t="s">
        <v>1607</v>
      </c>
      <c r="B4905" t="s">
        <v>8</v>
      </c>
      <c r="F4905" t="s">
        <v>16695</v>
      </c>
      <c r="G4905" t="s">
        <v>12640</v>
      </c>
    </row>
    <row r="4906" spans="1:7" hidden="1" x14ac:dyDescent="0.25">
      <c r="A4906" t="s">
        <v>4</v>
      </c>
      <c r="B4906" t="s">
        <v>8</v>
      </c>
      <c r="F4906" t="s">
        <v>16698</v>
      </c>
      <c r="G4906" t="s">
        <v>12640</v>
      </c>
    </row>
    <row r="4907" spans="1:7" hidden="1" x14ac:dyDescent="0.25">
      <c r="A4907" t="s">
        <v>1607</v>
      </c>
      <c r="B4907" t="s">
        <v>8</v>
      </c>
      <c r="F4907" t="s">
        <v>16701</v>
      </c>
      <c r="G4907" t="s">
        <v>12640</v>
      </c>
    </row>
    <row r="4908" spans="1:7" hidden="1" x14ac:dyDescent="0.25">
      <c r="A4908" t="s">
        <v>4</v>
      </c>
      <c r="B4908" t="s">
        <v>8</v>
      </c>
      <c r="F4908" t="s">
        <v>16704</v>
      </c>
      <c r="G4908" t="s">
        <v>12640</v>
      </c>
    </row>
    <row r="4909" spans="1:7" hidden="1" x14ac:dyDescent="0.25">
      <c r="A4909" t="s">
        <v>1607</v>
      </c>
      <c r="B4909" t="s">
        <v>8</v>
      </c>
      <c r="F4909" t="s">
        <v>16707</v>
      </c>
      <c r="G4909" t="s">
        <v>12640</v>
      </c>
    </row>
    <row r="4910" spans="1:7" hidden="1" x14ac:dyDescent="0.25">
      <c r="A4910" t="s">
        <v>4</v>
      </c>
      <c r="B4910" t="s">
        <v>8</v>
      </c>
      <c r="F4910" t="s">
        <v>16731</v>
      </c>
      <c r="G4910" t="s">
        <v>11071</v>
      </c>
    </row>
    <row r="4911" spans="1:7" hidden="1" x14ac:dyDescent="0.25">
      <c r="A4911" t="s">
        <v>4</v>
      </c>
      <c r="B4911" t="s">
        <v>8</v>
      </c>
      <c r="F4911" t="s">
        <v>16734</v>
      </c>
      <c r="G4911" t="s">
        <v>11071</v>
      </c>
    </row>
    <row r="4912" spans="1:7" hidden="1" x14ac:dyDescent="0.25">
      <c r="A4912" t="s">
        <v>4</v>
      </c>
      <c r="B4912" t="s">
        <v>8</v>
      </c>
      <c r="F4912" t="s">
        <v>16737</v>
      </c>
      <c r="G4912" t="s">
        <v>11071</v>
      </c>
    </row>
    <row r="4913" spans="1:7" hidden="1" x14ac:dyDescent="0.25">
      <c r="A4913" t="s">
        <v>1607</v>
      </c>
      <c r="B4913" t="s">
        <v>8</v>
      </c>
      <c r="F4913" t="s">
        <v>16740</v>
      </c>
      <c r="G4913" t="s">
        <v>11071</v>
      </c>
    </row>
    <row r="4914" spans="1:7" hidden="1" x14ac:dyDescent="0.25">
      <c r="A4914" t="s">
        <v>1607</v>
      </c>
      <c r="B4914" t="s">
        <v>8</v>
      </c>
      <c r="F4914" t="s">
        <v>16743</v>
      </c>
      <c r="G4914" t="s">
        <v>11071</v>
      </c>
    </row>
    <row r="4915" spans="1:7" hidden="1" x14ac:dyDescent="0.25">
      <c r="A4915" t="s">
        <v>1607</v>
      </c>
      <c r="B4915" t="s">
        <v>8</v>
      </c>
      <c r="F4915" t="s">
        <v>16746</v>
      </c>
      <c r="G4915" t="s">
        <v>11071</v>
      </c>
    </row>
    <row r="4916" spans="1:7" hidden="1" x14ac:dyDescent="0.25">
      <c r="A4916" t="s">
        <v>4</v>
      </c>
      <c r="B4916" t="s">
        <v>8</v>
      </c>
      <c r="F4916" t="s">
        <v>16749</v>
      </c>
      <c r="G4916" t="s">
        <v>11071</v>
      </c>
    </row>
    <row r="4917" spans="1:7" hidden="1" x14ac:dyDescent="0.25">
      <c r="A4917" t="s">
        <v>4</v>
      </c>
      <c r="B4917" t="s">
        <v>8</v>
      </c>
      <c r="F4917" t="s">
        <v>16719</v>
      </c>
      <c r="G4917" t="s">
        <v>894</v>
      </c>
    </row>
    <row r="4918" spans="1:7" hidden="1" x14ac:dyDescent="0.25">
      <c r="A4918" t="s">
        <v>4</v>
      </c>
      <c r="B4918" t="s">
        <v>8</v>
      </c>
      <c r="F4918" t="s">
        <v>16722</v>
      </c>
      <c r="G4918" t="s">
        <v>894</v>
      </c>
    </row>
    <row r="4919" spans="1:7" hidden="1" x14ac:dyDescent="0.25">
      <c r="A4919" t="s">
        <v>4</v>
      </c>
      <c r="B4919" t="s">
        <v>8</v>
      </c>
      <c r="F4919" t="s">
        <v>16725</v>
      </c>
      <c r="G4919" t="s">
        <v>894</v>
      </c>
    </row>
    <row r="4920" spans="1:7" hidden="1" x14ac:dyDescent="0.25">
      <c r="A4920" t="s">
        <v>4</v>
      </c>
      <c r="B4920" t="s">
        <v>8</v>
      </c>
      <c r="F4920" t="s">
        <v>16728</v>
      </c>
      <c r="G4920" t="s">
        <v>894</v>
      </c>
    </row>
    <row r="4921" spans="1:7" hidden="1" x14ac:dyDescent="0.25">
      <c r="A4921" t="s">
        <v>4</v>
      </c>
      <c r="B4921" t="s">
        <v>8</v>
      </c>
      <c r="F4921" t="s">
        <v>17055</v>
      </c>
      <c r="G4921" t="s">
        <v>895</v>
      </c>
    </row>
    <row r="4922" spans="1:7" hidden="1" x14ac:dyDescent="0.25">
      <c r="A4922" t="s">
        <v>4</v>
      </c>
      <c r="B4922" t="s">
        <v>7045</v>
      </c>
      <c r="F4922" t="s">
        <v>17058</v>
      </c>
      <c r="G4922" t="s">
        <v>895</v>
      </c>
    </row>
    <row r="4923" spans="1:7" hidden="1" x14ac:dyDescent="0.25">
      <c r="A4923" t="s">
        <v>1273</v>
      </c>
      <c r="B4923" t="s">
        <v>10130</v>
      </c>
      <c r="F4923" t="s">
        <v>17061</v>
      </c>
      <c r="G4923" t="s">
        <v>895</v>
      </c>
    </row>
    <row r="4924" spans="1:7" hidden="1" x14ac:dyDescent="0.25">
      <c r="A4924" t="s">
        <v>587</v>
      </c>
      <c r="B4924" t="s">
        <v>10130</v>
      </c>
      <c r="F4924" t="s">
        <v>17064</v>
      </c>
      <c r="G4924" t="s">
        <v>895</v>
      </c>
    </row>
    <row r="4925" spans="1:7" hidden="1" x14ac:dyDescent="0.25">
      <c r="A4925" t="s">
        <v>4921</v>
      </c>
      <c r="B4925" t="s">
        <v>3356</v>
      </c>
      <c r="F4925" t="s">
        <v>17067</v>
      </c>
      <c r="G4925" t="s">
        <v>895</v>
      </c>
    </row>
    <row r="4926" spans="1:7" hidden="1" x14ac:dyDescent="0.25">
      <c r="A4926" t="s">
        <v>1607</v>
      </c>
      <c r="B4926" t="s">
        <v>8</v>
      </c>
      <c r="F4926" t="s">
        <v>17070</v>
      </c>
      <c r="G4926" t="s">
        <v>895</v>
      </c>
    </row>
    <row r="4927" spans="1:7" hidden="1" x14ac:dyDescent="0.25">
      <c r="A4927" t="s">
        <v>1607</v>
      </c>
      <c r="B4927" t="s">
        <v>8</v>
      </c>
      <c r="F4927" t="s">
        <v>17073</v>
      </c>
      <c r="G4927" t="s">
        <v>895</v>
      </c>
    </row>
    <row r="4928" spans="1:7" hidden="1" x14ac:dyDescent="0.25">
      <c r="A4928" t="s">
        <v>1607</v>
      </c>
      <c r="B4928" t="s">
        <v>8</v>
      </c>
      <c r="F4928" t="s">
        <v>17076</v>
      </c>
      <c r="G4928" t="s">
        <v>895</v>
      </c>
    </row>
    <row r="4929" spans="1:7" hidden="1" x14ac:dyDescent="0.25">
      <c r="A4929" t="s">
        <v>1607</v>
      </c>
      <c r="B4929" t="s">
        <v>8</v>
      </c>
      <c r="F4929" t="s">
        <v>17079</v>
      </c>
      <c r="G4929" t="s">
        <v>895</v>
      </c>
    </row>
    <row r="4930" spans="1:7" hidden="1" x14ac:dyDescent="0.25">
      <c r="A4930" t="s">
        <v>1607</v>
      </c>
      <c r="B4930" t="s">
        <v>8</v>
      </c>
      <c r="F4930" t="s">
        <v>17082</v>
      </c>
      <c r="G4930" t="s">
        <v>895</v>
      </c>
    </row>
    <row r="4931" spans="1:7" hidden="1" x14ac:dyDescent="0.25">
      <c r="A4931" t="s">
        <v>1607</v>
      </c>
      <c r="B4931" t="s">
        <v>8</v>
      </c>
      <c r="F4931" t="s">
        <v>17085</v>
      </c>
      <c r="G4931" t="s">
        <v>895</v>
      </c>
    </row>
    <row r="4932" spans="1:7" hidden="1" x14ac:dyDescent="0.25">
      <c r="A4932" t="s">
        <v>4</v>
      </c>
      <c r="B4932" t="s">
        <v>8</v>
      </c>
      <c r="F4932" t="s">
        <v>16782</v>
      </c>
      <c r="G4932" t="s">
        <v>896</v>
      </c>
    </row>
    <row r="4933" spans="1:7" hidden="1" x14ac:dyDescent="0.25">
      <c r="A4933" t="s">
        <v>7</v>
      </c>
      <c r="F4933" t="s">
        <v>16785</v>
      </c>
      <c r="G4933" t="s">
        <v>896</v>
      </c>
    </row>
    <row r="4934" spans="1:7" hidden="1" x14ac:dyDescent="0.25">
      <c r="A4934" t="s">
        <v>4</v>
      </c>
      <c r="B4934" t="s">
        <v>8</v>
      </c>
      <c r="F4934" t="s">
        <v>16788</v>
      </c>
      <c r="G4934" t="s">
        <v>896</v>
      </c>
    </row>
    <row r="4935" spans="1:7" hidden="1" x14ac:dyDescent="0.25">
      <c r="A4935" t="s">
        <v>4</v>
      </c>
      <c r="B4935" t="s">
        <v>8</v>
      </c>
      <c r="F4935" t="s">
        <v>16791</v>
      </c>
      <c r="G4935" t="s">
        <v>896</v>
      </c>
    </row>
    <row r="4936" spans="1:7" hidden="1" x14ac:dyDescent="0.25">
      <c r="A4936" t="s">
        <v>1607</v>
      </c>
      <c r="B4936" t="s">
        <v>8</v>
      </c>
      <c r="F4936" t="s">
        <v>16794</v>
      </c>
      <c r="G4936" t="s">
        <v>896</v>
      </c>
    </row>
    <row r="4937" spans="1:7" hidden="1" x14ac:dyDescent="0.25">
      <c r="A4937" t="s">
        <v>7</v>
      </c>
      <c r="F4937" t="s">
        <v>16797</v>
      </c>
      <c r="G4937" t="s">
        <v>896</v>
      </c>
    </row>
    <row r="4938" spans="1:7" hidden="1" x14ac:dyDescent="0.25">
      <c r="A4938" t="s">
        <v>4</v>
      </c>
      <c r="B4938" t="s">
        <v>8</v>
      </c>
      <c r="F4938" t="s">
        <v>16800</v>
      </c>
      <c r="G4938" t="s">
        <v>896</v>
      </c>
    </row>
    <row r="4939" spans="1:7" hidden="1" x14ac:dyDescent="0.25">
      <c r="A4939" t="s">
        <v>4</v>
      </c>
      <c r="B4939" t="s">
        <v>8</v>
      </c>
      <c r="F4939" t="s">
        <v>16803</v>
      </c>
      <c r="G4939" t="s">
        <v>896</v>
      </c>
    </row>
    <row r="4940" spans="1:7" hidden="1" x14ac:dyDescent="0.25">
      <c r="A4940" t="s">
        <v>1607</v>
      </c>
      <c r="B4940" t="s">
        <v>8</v>
      </c>
      <c r="F4940" t="s">
        <v>16806</v>
      </c>
      <c r="G4940" t="s">
        <v>896</v>
      </c>
    </row>
    <row r="4941" spans="1:7" hidden="1" x14ac:dyDescent="0.25">
      <c r="A4941" t="s">
        <v>4</v>
      </c>
      <c r="B4941" t="s">
        <v>8</v>
      </c>
      <c r="F4941" t="s">
        <v>17359</v>
      </c>
      <c r="G4941" t="s">
        <v>897</v>
      </c>
    </row>
    <row r="4942" spans="1:7" hidden="1" x14ac:dyDescent="0.25">
      <c r="A4942" t="s">
        <v>11</v>
      </c>
      <c r="F4942" t="s">
        <v>17362</v>
      </c>
      <c r="G4942" t="s">
        <v>897</v>
      </c>
    </row>
    <row r="4943" spans="1:7" hidden="1" x14ac:dyDescent="0.25">
      <c r="A4943" t="s">
        <v>11</v>
      </c>
      <c r="F4943" t="s">
        <v>17365</v>
      </c>
      <c r="G4943" t="s">
        <v>897</v>
      </c>
    </row>
    <row r="4944" spans="1:7" hidden="1" x14ac:dyDescent="0.25">
      <c r="A4944" t="s">
        <v>4</v>
      </c>
      <c r="B4944" t="s">
        <v>8</v>
      </c>
      <c r="F4944" t="s">
        <v>17368</v>
      </c>
      <c r="G4944" t="s">
        <v>897</v>
      </c>
    </row>
    <row r="4945" spans="1:7" hidden="1" x14ac:dyDescent="0.25">
      <c r="A4945" t="s">
        <v>4</v>
      </c>
      <c r="B4945" t="s">
        <v>8</v>
      </c>
      <c r="F4945" t="s">
        <v>17371</v>
      </c>
      <c r="G4945" t="s">
        <v>897</v>
      </c>
    </row>
    <row r="4946" spans="1:7" hidden="1" x14ac:dyDescent="0.25">
      <c r="A4946" t="s">
        <v>11</v>
      </c>
      <c r="F4946" t="s">
        <v>17374</v>
      </c>
      <c r="G4946" t="s">
        <v>897</v>
      </c>
    </row>
    <row r="4947" spans="1:7" hidden="1" x14ac:dyDescent="0.25">
      <c r="A4947" t="s">
        <v>4</v>
      </c>
      <c r="B4947" t="s">
        <v>8</v>
      </c>
      <c r="F4947" t="s">
        <v>17377</v>
      </c>
      <c r="G4947" t="s">
        <v>897</v>
      </c>
    </row>
    <row r="4948" spans="1:7" hidden="1" x14ac:dyDescent="0.25">
      <c r="A4948" t="s">
        <v>4</v>
      </c>
      <c r="B4948" t="s">
        <v>8</v>
      </c>
      <c r="F4948" t="s">
        <v>17380</v>
      </c>
      <c r="G4948" t="s">
        <v>897</v>
      </c>
    </row>
    <row r="4949" spans="1:7" hidden="1" x14ac:dyDescent="0.25">
      <c r="A4949" t="s">
        <v>1607</v>
      </c>
      <c r="B4949" t="s">
        <v>8</v>
      </c>
      <c r="F4949" t="s">
        <v>17383</v>
      </c>
      <c r="G4949" t="s">
        <v>897</v>
      </c>
    </row>
    <row r="4950" spans="1:7" hidden="1" x14ac:dyDescent="0.25">
      <c r="A4950" t="s">
        <v>4</v>
      </c>
      <c r="B4950" t="s">
        <v>6157</v>
      </c>
      <c r="F4950" t="s">
        <v>16752</v>
      </c>
      <c r="G4950" t="s">
        <v>12641</v>
      </c>
    </row>
    <row r="4951" spans="1:7" hidden="1" x14ac:dyDescent="0.25">
      <c r="A4951" t="s">
        <v>1607</v>
      </c>
      <c r="B4951" t="s">
        <v>6157</v>
      </c>
      <c r="F4951" t="s">
        <v>16755</v>
      </c>
      <c r="G4951" t="s">
        <v>12641</v>
      </c>
    </row>
    <row r="4952" spans="1:7" hidden="1" x14ac:dyDescent="0.25">
      <c r="A4952" t="s">
        <v>4</v>
      </c>
      <c r="B4952" t="s">
        <v>6157</v>
      </c>
      <c r="F4952" t="s">
        <v>16758</v>
      </c>
      <c r="G4952" t="s">
        <v>12641</v>
      </c>
    </row>
    <row r="4953" spans="1:7" hidden="1" x14ac:dyDescent="0.25">
      <c r="A4953" t="s">
        <v>1607</v>
      </c>
      <c r="B4953" t="s">
        <v>6157</v>
      </c>
      <c r="F4953" t="s">
        <v>16761</v>
      </c>
      <c r="G4953" t="s">
        <v>12641</v>
      </c>
    </row>
    <row r="4954" spans="1:7" hidden="1" x14ac:dyDescent="0.25">
      <c r="A4954" t="s">
        <v>4</v>
      </c>
      <c r="B4954" t="s">
        <v>6157</v>
      </c>
      <c r="F4954" t="s">
        <v>16764</v>
      </c>
      <c r="G4954" t="s">
        <v>12641</v>
      </c>
    </row>
    <row r="4955" spans="1:7" hidden="1" x14ac:dyDescent="0.25">
      <c r="A4955" t="s">
        <v>7354</v>
      </c>
      <c r="B4955" t="s">
        <v>1274</v>
      </c>
      <c r="F4955" t="s">
        <v>16767</v>
      </c>
      <c r="G4955" t="s">
        <v>12641</v>
      </c>
    </row>
    <row r="4956" spans="1:7" hidden="1" x14ac:dyDescent="0.25">
      <c r="A4956" t="s">
        <v>7354</v>
      </c>
      <c r="B4956" t="s">
        <v>1274</v>
      </c>
      <c r="F4956" t="s">
        <v>16770</v>
      </c>
      <c r="G4956" t="s">
        <v>12641</v>
      </c>
    </row>
    <row r="4957" spans="1:7" hidden="1" x14ac:dyDescent="0.25">
      <c r="A4957" t="s">
        <v>7354</v>
      </c>
      <c r="B4957" t="s">
        <v>1274</v>
      </c>
      <c r="F4957" t="s">
        <v>16773</v>
      </c>
      <c r="G4957" t="s">
        <v>12641</v>
      </c>
    </row>
    <row r="4958" spans="1:7" hidden="1" x14ac:dyDescent="0.25">
      <c r="A4958" t="s">
        <v>7354</v>
      </c>
      <c r="B4958" t="s">
        <v>1274</v>
      </c>
      <c r="F4958" t="s">
        <v>16776</v>
      </c>
      <c r="G4958" t="s">
        <v>12641</v>
      </c>
    </row>
    <row r="4959" spans="1:7" hidden="1" x14ac:dyDescent="0.25">
      <c r="A4959" t="s">
        <v>7354</v>
      </c>
      <c r="B4959" t="s">
        <v>1274</v>
      </c>
      <c r="F4959" t="s">
        <v>16779</v>
      </c>
      <c r="G4959" t="s">
        <v>12641</v>
      </c>
    </row>
    <row r="4960" spans="1:7" hidden="1" x14ac:dyDescent="0.25">
      <c r="A4960" t="s">
        <v>4</v>
      </c>
      <c r="B4960" t="s">
        <v>17477</v>
      </c>
      <c r="F4960" t="s">
        <v>17386</v>
      </c>
      <c r="G4960" t="s">
        <v>12642</v>
      </c>
    </row>
    <row r="4961" spans="1:7" hidden="1" x14ac:dyDescent="0.25">
      <c r="A4961" t="s">
        <v>4</v>
      </c>
      <c r="B4961" t="s">
        <v>17477</v>
      </c>
      <c r="F4961" t="s">
        <v>17389</v>
      </c>
      <c r="G4961" t="s">
        <v>12642</v>
      </c>
    </row>
    <row r="4962" spans="1:7" hidden="1" x14ac:dyDescent="0.25">
      <c r="A4962" t="s">
        <v>4</v>
      </c>
      <c r="B4962" t="s">
        <v>17476</v>
      </c>
      <c r="E4962" t="s">
        <v>17478</v>
      </c>
      <c r="F4962" t="s">
        <v>17392</v>
      </c>
      <c r="G4962" t="s">
        <v>12642</v>
      </c>
    </row>
    <row r="4963" spans="1:7" hidden="1" x14ac:dyDescent="0.25">
      <c r="A4963" t="s">
        <v>1607</v>
      </c>
      <c r="B4963" t="s">
        <v>9</v>
      </c>
      <c r="F4963" t="s">
        <v>17395</v>
      </c>
      <c r="G4963" t="s">
        <v>12642</v>
      </c>
    </row>
    <row r="4964" spans="1:7" hidden="1" x14ac:dyDescent="0.25">
      <c r="A4964" t="s">
        <v>1607</v>
      </c>
      <c r="B4964" t="s">
        <v>9</v>
      </c>
      <c r="F4964" t="s">
        <v>17398</v>
      </c>
      <c r="G4964" t="s">
        <v>12642</v>
      </c>
    </row>
    <row r="4965" spans="1:7" hidden="1" x14ac:dyDescent="0.25">
      <c r="A4965" t="s">
        <v>1627</v>
      </c>
      <c r="B4965" t="s">
        <v>687</v>
      </c>
      <c r="F4965" t="s">
        <v>17401</v>
      </c>
      <c r="G4965" t="s">
        <v>12642</v>
      </c>
    </row>
    <row r="4966" spans="1:7" hidden="1" x14ac:dyDescent="0.25">
      <c r="A4966" t="s">
        <v>1627</v>
      </c>
      <c r="B4966" t="s">
        <v>687</v>
      </c>
      <c r="F4966" t="s">
        <v>17404</v>
      </c>
      <c r="G4966" t="s">
        <v>12642</v>
      </c>
    </row>
    <row r="4967" spans="1:7" hidden="1" x14ac:dyDescent="0.25">
      <c r="A4967" t="s">
        <v>1627</v>
      </c>
      <c r="B4967" t="s">
        <v>687</v>
      </c>
      <c r="F4967" t="s">
        <v>17407</v>
      </c>
      <c r="G4967" t="s">
        <v>12642</v>
      </c>
    </row>
    <row r="4968" spans="1:7" hidden="1" x14ac:dyDescent="0.25">
      <c r="A4968" t="s">
        <v>1627</v>
      </c>
      <c r="B4968" t="s">
        <v>687</v>
      </c>
      <c r="F4968" t="s">
        <v>17410</v>
      </c>
      <c r="G4968" t="s">
        <v>12642</v>
      </c>
    </row>
    <row r="4969" spans="1:7" hidden="1" x14ac:dyDescent="0.25">
      <c r="A4969" t="s">
        <v>1627</v>
      </c>
      <c r="B4969" t="s">
        <v>687</v>
      </c>
      <c r="F4969" t="s">
        <v>17413</v>
      </c>
      <c r="G4969" t="s">
        <v>12642</v>
      </c>
    </row>
    <row r="4970" spans="1:7" hidden="1" x14ac:dyDescent="0.25">
      <c r="A4970" t="s">
        <v>1627</v>
      </c>
      <c r="B4970" t="s">
        <v>687</v>
      </c>
      <c r="F4970" t="s">
        <v>17416</v>
      </c>
      <c r="G4970" t="s">
        <v>12642</v>
      </c>
    </row>
    <row r="4971" spans="1:7" hidden="1" x14ac:dyDescent="0.25">
      <c r="A4971" t="s">
        <v>1627</v>
      </c>
      <c r="B4971" t="s">
        <v>687</v>
      </c>
      <c r="F4971" t="s">
        <v>17419</v>
      </c>
      <c r="G4971" t="s">
        <v>12642</v>
      </c>
    </row>
    <row r="4972" spans="1:7" hidden="1" x14ac:dyDescent="0.25">
      <c r="A4972" t="s">
        <v>1627</v>
      </c>
      <c r="B4972" t="s">
        <v>687</v>
      </c>
      <c r="F4972" t="s">
        <v>17422</v>
      </c>
      <c r="G4972" t="s">
        <v>12642</v>
      </c>
    </row>
    <row r="4973" spans="1:7" hidden="1" x14ac:dyDescent="0.25">
      <c r="A4973" t="s">
        <v>1627</v>
      </c>
      <c r="B4973" t="s">
        <v>687</v>
      </c>
      <c r="F4973" t="s">
        <v>17425</v>
      </c>
      <c r="G4973" t="s">
        <v>12642</v>
      </c>
    </row>
    <row r="4974" spans="1:7" hidden="1" x14ac:dyDescent="0.25">
      <c r="A4974" t="s">
        <v>1627</v>
      </c>
      <c r="B4974" t="s">
        <v>687</v>
      </c>
      <c r="F4974" t="s">
        <v>17428</v>
      </c>
      <c r="G4974" t="s">
        <v>12642</v>
      </c>
    </row>
    <row r="4975" spans="1:7" hidden="1" x14ac:dyDescent="0.25">
      <c r="A4975" t="s">
        <v>1627</v>
      </c>
      <c r="B4975" t="s">
        <v>687</v>
      </c>
      <c r="F4975" t="s">
        <v>17431</v>
      </c>
      <c r="G4975" t="s">
        <v>12642</v>
      </c>
    </row>
    <row r="4976" spans="1:7" hidden="1" x14ac:dyDescent="0.25">
      <c r="A4976" t="s">
        <v>4</v>
      </c>
      <c r="B4976" t="s">
        <v>9</v>
      </c>
      <c r="F4976" t="s">
        <v>17434</v>
      </c>
      <c r="G4976" t="s">
        <v>12642</v>
      </c>
    </row>
    <row r="4977" spans="1:7" hidden="1" x14ac:dyDescent="0.25">
      <c r="A4977" t="s">
        <v>4</v>
      </c>
      <c r="B4977" t="s">
        <v>9</v>
      </c>
      <c r="F4977" t="s">
        <v>17437</v>
      </c>
      <c r="G4977" t="s">
        <v>12642</v>
      </c>
    </row>
    <row r="4978" spans="1:7" hidden="1" x14ac:dyDescent="0.25">
      <c r="A4978" t="s">
        <v>7746</v>
      </c>
      <c r="B4978" t="s">
        <v>1274</v>
      </c>
      <c r="F4978" t="s">
        <v>17440</v>
      </c>
      <c r="G4978" t="s">
        <v>12642</v>
      </c>
    </row>
    <row r="4979" spans="1:7" hidden="1" x14ac:dyDescent="0.25">
      <c r="A4979" t="s">
        <v>7746</v>
      </c>
      <c r="B4979" t="s">
        <v>1274</v>
      </c>
      <c r="F4979" t="s">
        <v>17443</v>
      </c>
      <c r="G4979" t="s">
        <v>12642</v>
      </c>
    </row>
    <row r="4980" spans="1:7" hidden="1" x14ac:dyDescent="0.25">
      <c r="A4980" t="s">
        <v>4</v>
      </c>
      <c r="B4980" t="s">
        <v>8</v>
      </c>
      <c r="F4980" t="s">
        <v>16827</v>
      </c>
      <c r="G4980" t="s">
        <v>12643</v>
      </c>
    </row>
    <row r="4981" spans="1:7" hidden="1" x14ac:dyDescent="0.25">
      <c r="A4981" t="s">
        <v>4</v>
      </c>
      <c r="B4981" t="s">
        <v>17479</v>
      </c>
      <c r="F4981" t="s">
        <v>16830</v>
      </c>
      <c r="G4981" t="s">
        <v>12643</v>
      </c>
    </row>
    <row r="4982" spans="1:7" hidden="1" x14ac:dyDescent="0.25">
      <c r="A4982" t="s">
        <v>4</v>
      </c>
      <c r="B4982" t="s">
        <v>468</v>
      </c>
      <c r="F4982" t="s">
        <v>16833</v>
      </c>
      <c r="G4982" t="s">
        <v>12643</v>
      </c>
    </row>
    <row r="4983" spans="1:7" hidden="1" x14ac:dyDescent="0.25">
      <c r="A4983" t="s">
        <v>4</v>
      </c>
      <c r="B4983" t="s">
        <v>8</v>
      </c>
      <c r="F4983" t="s">
        <v>16836</v>
      </c>
      <c r="G4983" t="s">
        <v>12643</v>
      </c>
    </row>
    <row r="4984" spans="1:7" hidden="1" x14ac:dyDescent="0.25">
      <c r="A4984" t="s">
        <v>4</v>
      </c>
      <c r="B4984" t="s">
        <v>8</v>
      </c>
      <c r="F4984" t="s">
        <v>16839</v>
      </c>
      <c r="G4984" t="s">
        <v>12643</v>
      </c>
    </row>
    <row r="4985" spans="1:7" hidden="1" x14ac:dyDescent="0.25">
      <c r="A4985" t="s">
        <v>4</v>
      </c>
      <c r="B4985" t="s">
        <v>17479</v>
      </c>
      <c r="F4985" t="s">
        <v>16842</v>
      </c>
      <c r="G4985" t="s">
        <v>12643</v>
      </c>
    </row>
    <row r="4986" spans="1:7" hidden="1" x14ac:dyDescent="0.25">
      <c r="A4986" t="s">
        <v>1607</v>
      </c>
      <c r="B4986" t="s">
        <v>8</v>
      </c>
      <c r="F4986" t="s">
        <v>16845</v>
      </c>
      <c r="G4986" t="s">
        <v>12643</v>
      </c>
    </row>
    <row r="4987" spans="1:7" hidden="1" x14ac:dyDescent="0.25">
      <c r="A4987" t="s">
        <v>4</v>
      </c>
      <c r="B4987" t="s">
        <v>8</v>
      </c>
      <c r="F4987" t="s">
        <v>16848</v>
      </c>
      <c r="G4987" t="s">
        <v>12643</v>
      </c>
    </row>
    <row r="4988" spans="1:7" hidden="1" x14ac:dyDescent="0.25">
      <c r="A4988" t="s">
        <v>17480</v>
      </c>
      <c r="B4988" t="s">
        <v>1274</v>
      </c>
      <c r="F4988" t="s">
        <v>16851</v>
      </c>
      <c r="G4988" t="s">
        <v>12643</v>
      </c>
    </row>
    <row r="4989" spans="1:7" hidden="1" x14ac:dyDescent="0.25">
      <c r="A4989" t="s">
        <v>17480</v>
      </c>
      <c r="B4989" t="s">
        <v>1274</v>
      </c>
      <c r="F4989" t="s">
        <v>16854</v>
      </c>
      <c r="G4989" t="s">
        <v>12643</v>
      </c>
    </row>
    <row r="4990" spans="1:7" hidden="1" x14ac:dyDescent="0.25">
      <c r="A4990" t="s">
        <v>17480</v>
      </c>
      <c r="B4990" t="s">
        <v>1274</v>
      </c>
      <c r="F4990" t="s">
        <v>16857</v>
      </c>
      <c r="G4990" t="s">
        <v>12643</v>
      </c>
    </row>
    <row r="4991" spans="1:7" hidden="1" x14ac:dyDescent="0.25">
      <c r="A4991" t="s">
        <v>17480</v>
      </c>
      <c r="B4991" t="s">
        <v>1274</v>
      </c>
      <c r="F4991" t="s">
        <v>16860</v>
      </c>
      <c r="G4991" t="s">
        <v>12643</v>
      </c>
    </row>
    <row r="4992" spans="1:7" hidden="1" x14ac:dyDescent="0.25">
      <c r="A4992" t="s">
        <v>17480</v>
      </c>
      <c r="B4992" t="s">
        <v>1274</v>
      </c>
      <c r="F4992" t="s">
        <v>16863</v>
      </c>
      <c r="G4992" t="s">
        <v>12643</v>
      </c>
    </row>
    <row r="4993" spans="1:7" hidden="1" x14ac:dyDescent="0.25">
      <c r="A4993" t="s">
        <v>17480</v>
      </c>
      <c r="B4993" t="s">
        <v>1274</v>
      </c>
      <c r="F4993" t="s">
        <v>16866</v>
      </c>
      <c r="G4993" t="s">
        <v>12643</v>
      </c>
    </row>
    <row r="4994" spans="1:7" hidden="1" x14ac:dyDescent="0.25">
      <c r="A4994" t="s">
        <v>17480</v>
      </c>
      <c r="B4994" t="s">
        <v>1274</v>
      </c>
      <c r="F4994" t="s">
        <v>16869</v>
      </c>
      <c r="G4994" t="s">
        <v>12643</v>
      </c>
    </row>
    <row r="4995" spans="1:7" hidden="1" x14ac:dyDescent="0.25">
      <c r="A4995" t="s">
        <v>17480</v>
      </c>
      <c r="B4995" t="s">
        <v>1274</v>
      </c>
      <c r="F4995" t="s">
        <v>16872</v>
      </c>
      <c r="G4995" t="s">
        <v>12643</v>
      </c>
    </row>
    <row r="4996" spans="1:7" hidden="1" x14ac:dyDescent="0.25">
      <c r="A4996" t="s">
        <v>4</v>
      </c>
      <c r="B4996" t="s">
        <v>8</v>
      </c>
      <c r="F4996" t="s">
        <v>16875</v>
      </c>
      <c r="G4996" t="s">
        <v>12643</v>
      </c>
    </row>
    <row r="4997" spans="1:7" hidden="1" x14ac:dyDescent="0.25">
      <c r="A4997" t="s">
        <v>4</v>
      </c>
      <c r="B4997" t="s">
        <v>8</v>
      </c>
      <c r="F4997" t="s">
        <v>16809</v>
      </c>
      <c r="G4997" t="s">
        <v>12644</v>
      </c>
    </row>
    <row r="4998" spans="1:7" hidden="1" x14ac:dyDescent="0.25">
      <c r="A4998" t="s">
        <v>1607</v>
      </c>
      <c r="B4998" t="s">
        <v>8</v>
      </c>
      <c r="F4998" t="s">
        <v>16812</v>
      </c>
      <c r="G4998" t="s">
        <v>12644</v>
      </c>
    </row>
    <row r="4999" spans="1:7" hidden="1" x14ac:dyDescent="0.25">
      <c r="A4999" t="s">
        <v>4</v>
      </c>
      <c r="B4999" t="s">
        <v>8</v>
      </c>
      <c r="F4999" t="s">
        <v>16815</v>
      </c>
      <c r="G4999" t="s">
        <v>12644</v>
      </c>
    </row>
    <row r="5000" spans="1:7" hidden="1" x14ac:dyDescent="0.25">
      <c r="A5000" t="s">
        <v>1607</v>
      </c>
      <c r="B5000" t="s">
        <v>8</v>
      </c>
      <c r="F5000" t="s">
        <v>16818</v>
      </c>
      <c r="G5000" t="s">
        <v>12644</v>
      </c>
    </row>
    <row r="5001" spans="1:7" hidden="1" x14ac:dyDescent="0.25">
      <c r="A5001" t="s">
        <v>4</v>
      </c>
      <c r="B5001" t="s">
        <v>8</v>
      </c>
      <c r="F5001" t="s">
        <v>16821</v>
      </c>
      <c r="G5001" t="s">
        <v>12644</v>
      </c>
    </row>
    <row r="5002" spans="1:7" hidden="1" x14ac:dyDescent="0.25">
      <c r="A5002" t="s">
        <v>1607</v>
      </c>
      <c r="B5002" t="s">
        <v>8</v>
      </c>
      <c r="F5002" t="s">
        <v>16824</v>
      </c>
      <c r="G5002" t="s">
        <v>12644</v>
      </c>
    </row>
    <row r="5003" spans="1:7" hidden="1" x14ac:dyDescent="0.25">
      <c r="A5003" t="s">
        <v>4</v>
      </c>
      <c r="B5003" t="s">
        <v>8</v>
      </c>
      <c r="F5003" t="s">
        <v>17446</v>
      </c>
      <c r="G5003" t="s">
        <v>1537</v>
      </c>
    </row>
    <row r="5004" spans="1:7" hidden="1" x14ac:dyDescent="0.25">
      <c r="A5004" t="s">
        <v>4</v>
      </c>
      <c r="B5004" t="s">
        <v>8</v>
      </c>
      <c r="E5004" t="s">
        <v>2352</v>
      </c>
      <c r="F5004" t="s">
        <v>17449</v>
      </c>
      <c r="G5004" t="s">
        <v>1537</v>
      </c>
    </row>
    <row r="5005" spans="1:7" hidden="1" x14ac:dyDescent="0.25">
      <c r="A5005" t="s">
        <v>10020</v>
      </c>
      <c r="F5005" t="s">
        <v>17452</v>
      </c>
      <c r="G5005" t="s">
        <v>1537</v>
      </c>
    </row>
    <row r="5006" spans="1:7" hidden="1" x14ac:dyDescent="0.25">
      <c r="A5006" t="s">
        <v>10020</v>
      </c>
      <c r="F5006" t="s">
        <v>17455</v>
      </c>
      <c r="G5006" t="s">
        <v>1537</v>
      </c>
    </row>
    <row r="5007" spans="1:7" hidden="1" x14ac:dyDescent="0.25">
      <c r="A5007" t="s">
        <v>10020</v>
      </c>
      <c r="F5007" t="s">
        <v>17458</v>
      </c>
      <c r="G5007" t="s">
        <v>1537</v>
      </c>
    </row>
    <row r="5008" spans="1:7" hidden="1" x14ac:dyDescent="0.25">
      <c r="A5008" t="s">
        <v>4</v>
      </c>
      <c r="B5008" t="s">
        <v>8</v>
      </c>
      <c r="F5008" t="s">
        <v>17461</v>
      </c>
      <c r="G5008" t="s">
        <v>1537</v>
      </c>
    </row>
    <row r="5009" spans="1:7" hidden="1" x14ac:dyDescent="0.25">
      <c r="A5009" t="s">
        <v>7</v>
      </c>
      <c r="F5009" t="s">
        <v>17464</v>
      </c>
      <c r="G5009" t="s">
        <v>1537</v>
      </c>
    </row>
    <row r="5010" spans="1:7" hidden="1" x14ac:dyDescent="0.25">
      <c r="A5010" t="s">
        <v>4</v>
      </c>
      <c r="B5010" t="s">
        <v>8</v>
      </c>
      <c r="F5010" t="s">
        <v>17467</v>
      </c>
      <c r="G5010" t="s">
        <v>1537</v>
      </c>
    </row>
    <row r="5011" spans="1:7" hidden="1" x14ac:dyDescent="0.25">
      <c r="A5011" t="s">
        <v>4</v>
      </c>
      <c r="B5011" t="s">
        <v>8</v>
      </c>
      <c r="F5011" t="s">
        <v>17470</v>
      </c>
      <c r="G5011" t="s">
        <v>1537</v>
      </c>
    </row>
    <row r="5012" spans="1:7" hidden="1" x14ac:dyDescent="0.25">
      <c r="A5012" t="s">
        <v>1607</v>
      </c>
      <c r="B5012" t="s">
        <v>8</v>
      </c>
      <c r="F5012" t="s">
        <v>17473</v>
      </c>
      <c r="G5012" t="s">
        <v>1537</v>
      </c>
    </row>
    <row r="5013" spans="1:7" hidden="1" x14ac:dyDescent="0.25">
      <c r="A5013" t="s">
        <v>1607</v>
      </c>
      <c r="B5013" t="s">
        <v>8</v>
      </c>
      <c r="F5013" t="s">
        <v>16878</v>
      </c>
      <c r="G5013" t="s">
        <v>1600</v>
      </c>
    </row>
    <row r="5014" spans="1:7" hidden="1" x14ac:dyDescent="0.25">
      <c r="A5014" t="s">
        <v>4</v>
      </c>
      <c r="B5014" t="s">
        <v>8</v>
      </c>
      <c r="F5014" t="s">
        <v>16881</v>
      </c>
      <c r="G5014" t="s">
        <v>1600</v>
      </c>
    </row>
    <row r="5015" spans="1:7" hidden="1" x14ac:dyDescent="0.25">
      <c r="A5015" t="s">
        <v>1607</v>
      </c>
      <c r="B5015" t="s">
        <v>8</v>
      </c>
      <c r="F5015" t="s">
        <v>16884</v>
      </c>
      <c r="G5015" t="s">
        <v>1600</v>
      </c>
    </row>
    <row r="5016" spans="1:7" hidden="1" x14ac:dyDescent="0.25">
      <c r="A5016" t="s">
        <v>4</v>
      </c>
      <c r="B5016" t="s">
        <v>8</v>
      </c>
      <c r="F5016" t="s">
        <v>16887</v>
      </c>
      <c r="G5016" t="s">
        <v>1600</v>
      </c>
    </row>
    <row r="5017" spans="1:7" hidden="1" x14ac:dyDescent="0.25">
      <c r="A5017" t="s">
        <v>1607</v>
      </c>
      <c r="B5017" t="s">
        <v>8</v>
      </c>
      <c r="F5017" t="s">
        <v>16890</v>
      </c>
      <c r="G5017" t="s">
        <v>1600</v>
      </c>
    </row>
    <row r="5018" spans="1:7" hidden="1" x14ac:dyDescent="0.25">
      <c r="A5018" t="s">
        <v>10020</v>
      </c>
      <c r="F5018" t="s">
        <v>16935</v>
      </c>
      <c r="G5018" t="s">
        <v>10022</v>
      </c>
    </row>
    <row r="5019" spans="1:7" hidden="1" x14ac:dyDescent="0.25">
      <c r="A5019" t="s">
        <v>17481</v>
      </c>
      <c r="B5019" t="s">
        <v>468</v>
      </c>
      <c r="F5019" t="s">
        <v>16938</v>
      </c>
      <c r="G5019" t="s">
        <v>10022</v>
      </c>
    </row>
    <row r="5020" spans="1:7" hidden="1" x14ac:dyDescent="0.25">
      <c r="A5020" t="s">
        <v>17481</v>
      </c>
      <c r="B5020" t="s">
        <v>468</v>
      </c>
      <c r="F5020" t="s">
        <v>16941</v>
      </c>
      <c r="G5020" t="s">
        <v>10022</v>
      </c>
    </row>
    <row r="5021" spans="1:7" hidden="1" x14ac:dyDescent="0.25">
      <c r="A5021" t="s">
        <v>17481</v>
      </c>
      <c r="B5021" t="s">
        <v>468</v>
      </c>
      <c r="F5021" t="s">
        <v>16944</v>
      </c>
      <c r="G5021" t="s">
        <v>10022</v>
      </c>
    </row>
    <row r="5022" spans="1:7" hidden="1" x14ac:dyDescent="0.25">
      <c r="A5022" t="s">
        <v>17481</v>
      </c>
      <c r="B5022" t="s">
        <v>468</v>
      </c>
      <c r="F5022" t="s">
        <v>16947</v>
      </c>
      <c r="G5022" t="s">
        <v>10022</v>
      </c>
    </row>
    <row r="5023" spans="1:7" hidden="1" x14ac:dyDescent="0.25">
      <c r="A5023" t="s">
        <v>17481</v>
      </c>
      <c r="B5023" t="s">
        <v>468</v>
      </c>
      <c r="F5023" t="s">
        <v>16950</v>
      </c>
      <c r="G5023" t="s">
        <v>10022</v>
      </c>
    </row>
    <row r="5024" spans="1:7" hidden="1" x14ac:dyDescent="0.25">
      <c r="A5024" t="s">
        <v>17481</v>
      </c>
      <c r="B5024" t="s">
        <v>468</v>
      </c>
      <c r="F5024" t="s">
        <v>16953</v>
      </c>
      <c r="G5024" t="s">
        <v>10022</v>
      </c>
    </row>
    <row r="5025" spans="1:7" hidden="1" x14ac:dyDescent="0.25">
      <c r="A5025" t="s">
        <v>17481</v>
      </c>
      <c r="B5025" t="s">
        <v>468</v>
      </c>
      <c r="F5025" t="s">
        <v>16956</v>
      </c>
      <c r="G5025" t="s">
        <v>10022</v>
      </c>
    </row>
    <row r="5026" spans="1:7" hidden="1" x14ac:dyDescent="0.25">
      <c r="A5026" t="s">
        <v>17481</v>
      </c>
      <c r="B5026" t="s">
        <v>468</v>
      </c>
      <c r="F5026" t="s">
        <v>16959</v>
      </c>
      <c r="G5026" t="s">
        <v>10022</v>
      </c>
    </row>
    <row r="5027" spans="1:7" hidden="1" x14ac:dyDescent="0.25">
      <c r="A5027" t="s">
        <v>17481</v>
      </c>
      <c r="B5027" t="s">
        <v>468</v>
      </c>
      <c r="F5027" t="s">
        <v>16962</v>
      </c>
      <c r="G5027" t="s">
        <v>10022</v>
      </c>
    </row>
    <row r="5028" spans="1:7" hidden="1" x14ac:dyDescent="0.25">
      <c r="A5028" t="s">
        <v>17481</v>
      </c>
      <c r="B5028" t="s">
        <v>468</v>
      </c>
      <c r="F5028" t="s">
        <v>16965</v>
      </c>
      <c r="G5028" t="s">
        <v>10022</v>
      </c>
    </row>
    <row r="5029" spans="1:7" hidden="1" x14ac:dyDescent="0.25">
      <c r="A5029" t="s">
        <v>17481</v>
      </c>
      <c r="B5029" t="s">
        <v>468</v>
      </c>
      <c r="F5029" t="s">
        <v>16968</v>
      </c>
      <c r="G5029" t="s">
        <v>10022</v>
      </c>
    </row>
    <row r="5030" spans="1:7" hidden="1" x14ac:dyDescent="0.25">
      <c r="A5030" t="s">
        <v>17481</v>
      </c>
      <c r="B5030" t="s">
        <v>468</v>
      </c>
      <c r="F5030" t="s">
        <v>16971</v>
      </c>
      <c r="G5030" t="s">
        <v>10022</v>
      </c>
    </row>
    <row r="5031" spans="1:7" hidden="1" x14ac:dyDescent="0.25">
      <c r="A5031" t="s">
        <v>10020</v>
      </c>
      <c r="F5031" t="s">
        <v>16974</v>
      </c>
      <c r="G5031" t="s">
        <v>10022</v>
      </c>
    </row>
    <row r="5032" spans="1:7" hidden="1" x14ac:dyDescent="0.25">
      <c r="A5032" t="s">
        <v>10020</v>
      </c>
      <c r="F5032" t="s">
        <v>16977</v>
      </c>
      <c r="G5032" t="s">
        <v>10022</v>
      </c>
    </row>
    <row r="5033" spans="1:7" hidden="1" x14ac:dyDescent="0.25">
      <c r="A5033" t="s">
        <v>10020</v>
      </c>
      <c r="F5033" t="s">
        <v>16980</v>
      </c>
      <c r="G5033" t="s">
        <v>10022</v>
      </c>
    </row>
    <row r="5034" spans="1:7" hidden="1" x14ac:dyDescent="0.25">
      <c r="A5034" t="s">
        <v>4</v>
      </c>
      <c r="B5034" t="s">
        <v>8</v>
      </c>
      <c r="F5034" t="s">
        <v>16983</v>
      </c>
      <c r="G5034" t="s">
        <v>10022</v>
      </c>
    </row>
    <row r="5035" spans="1:7" hidden="1" x14ac:dyDescent="0.25">
      <c r="A5035" t="s">
        <v>10020</v>
      </c>
      <c r="F5035" t="s">
        <v>16986</v>
      </c>
      <c r="G5035" t="s">
        <v>10022</v>
      </c>
    </row>
    <row r="5036" spans="1:7" hidden="1" x14ac:dyDescent="0.25">
      <c r="A5036" t="s">
        <v>10020</v>
      </c>
      <c r="F5036" t="s">
        <v>16989</v>
      </c>
      <c r="G5036" t="s">
        <v>10022</v>
      </c>
    </row>
    <row r="5037" spans="1:7" hidden="1" x14ac:dyDescent="0.25">
      <c r="A5037" t="s">
        <v>10020</v>
      </c>
      <c r="F5037" t="s">
        <v>16992</v>
      </c>
      <c r="G5037" t="s">
        <v>10022</v>
      </c>
    </row>
    <row r="5038" spans="1:7" hidden="1" x14ac:dyDescent="0.25">
      <c r="A5038" t="s">
        <v>10020</v>
      </c>
      <c r="F5038" t="s">
        <v>16995</v>
      </c>
      <c r="G5038" t="s">
        <v>10022</v>
      </c>
    </row>
    <row r="5039" spans="1:7" hidden="1" x14ac:dyDescent="0.25">
      <c r="A5039" t="s">
        <v>10020</v>
      </c>
      <c r="F5039" t="s">
        <v>16998</v>
      </c>
      <c r="G5039" t="s">
        <v>10022</v>
      </c>
    </row>
    <row r="5040" spans="1:7" hidden="1" x14ac:dyDescent="0.25">
      <c r="A5040" t="s">
        <v>4</v>
      </c>
      <c r="B5040" t="s">
        <v>8</v>
      </c>
      <c r="F5040" t="s">
        <v>17001</v>
      </c>
      <c r="G5040" t="s">
        <v>10022</v>
      </c>
    </row>
    <row r="5041" spans="1:7" hidden="1" x14ac:dyDescent="0.25">
      <c r="A5041" t="s">
        <v>10020</v>
      </c>
      <c r="F5041" t="s">
        <v>17004</v>
      </c>
      <c r="G5041" t="s">
        <v>10022</v>
      </c>
    </row>
    <row r="5042" spans="1:7" hidden="1" x14ac:dyDescent="0.25">
      <c r="A5042" t="s">
        <v>10020</v>
      </c>
      <c r="F5042" t="s">
        <v>17007</v>
      </c>
      <c r="G5042" t="s">
        <v>10022</v>
      </c>
    </row>
    <row r="5043" spans="1:7" hidden="1" x14ac:dyDescent="0.25">
      <c r="A5043" t="s">
        <v>10020</v>
      </c>
      <c r="F5043" t="s">
        <v>17010</v>
      </c>
      <c r="G5043" t="s">
        <v>10022</v>
      </c>
    </row>
    <row r="5044" spans="1:7" hidden="1" x14ac:dyDescent="0.25">
      <c r="A5044" t="s">
        <v>4</v>
      </c>
      <c r="B5044" t="s">
        <v>8</v>
      </c>
      <c r="F5044" t="s">
        <v>17013</v>
      </c>
      <c r="G5044" t="s">
        <v>10022</v>
      </c>
    </row>
    <row r="5045" spans="1:7" hidden="1" x14ac:dyDescent="0.25">
      <c r="A5045" t="s">
        <v>10020</v>
      </c>
      <c r="F5045" t="s">
        <v>17016</v>
      </c>
      <c r="G5045" t="s">
        <v>10022</v>
      </c>
    </row>
    <row r="5046" spans="1:7" hidden="1" x14ac:dyDescent="0.25">
      <c r="A5046" t="s">
        <v>4</v>
      </c>
      <c r="B5046" t="s">
        <v>8</v>
      </c>
      <c r="F5046" t="s">
        <v>17019</v>
      </c>
      <c r="G5046" t="s">
        <v>10022</v>
      </c>
    </row>
    <row r="5047" spans="1:7" hidden="1" x14ac:dyDescent="0.25">
      <c r="A5047" t="s">
        <v>10020</v>
      </c>
      <c r="F5047" t="s">
        <v>17022</v>
      </c>
      <c r="G5047" t="s">
        <v>10022</v>
      </c>
    </row>
    <row r="5048" spans="1:7" hidden="1" x14ac:dyDescent="0.25">
      <c r="A5048" t="s">
        <v>10020</v>
      </c>
      <c r="F5048" t="s">
        <v>17025</v>
      </c>
      <c r="G5048" t="s">
        <v>10022</v>
      </c>
    </row>
    <row r="5049" spans="1:7" hidden="1" x14ac:dyDescent="0.25">
      <c r="A5049" t="s">
        <v>10020</v>
      </c>
      <c r="F5049" t="s">
        <v>17028</v>
      </c>
      <c r="G5049" t="s">
        <v>10022</v>
      </c>
    </row>
    <row r="5050" spans="1:7" hidden="1" x14ac:dyDescent="0.25">
      <c r="A5050" t="s">
        <v>10020</v>
      </c>
      <c r="F5050" t="s">
        <v>17031</v>
      </c>
      <c r="G5050" t="s">
        <v>10022</v>
      </c>
    </row>
    <row r="5051" spans="1:7" hidden="1" x14ac:dyDescent="0.25">
      <c r="A5051" t="s">
        <v>10020</v>
      </c>
      <c r="F5051" t="s">
        <v>17034</v>
      </c>
      <c r="G5051" t="s">
        <v>10022</v>
      </c>
    </row>
    <row r="5052" spans="1:7" hidden="1" x14ac:dyDescent="0.25">
      <c r="A5052" t="s">
        <v>10020</v>
      </c>
      <c r="F5052" t="s">
        <v>17037</v>
      </c>
      <c r="G5052" t="s">
        <v>10022</v>
      </c>
    </row>
    <row r="5053" spans="1:7" hidden="1" x14ac:dyDescent="0.25">
      <c r="A5053" t="s">
        <v>10020</v>
      </c>
      <c r="F5053" t="s">
        <v>17040</v>
      </c>
      <c r="G5053" t="s">
        <v>10022</v>
      </c>
    </row>
    <row r="5054" spans="1:7" hidden="1" x14ac:dyDescent="0.25">
      <c r="A5054" t="s">
        <v>10020</v>
      </c>
      <c r="F5054" t="s">
        <v>17043</v>
      </c>
      <c r="G5054" t="s">
        <v>10022</v>
      </c>
    </row>
    <row r="5055" spans="1:7" hidden="1" x14ac:dyDescent="0.25">
      <c r="A5055" t="s">
        <v>4</v>
      </c>
      <c r="B5055" t="s">
        <v>8</v>
      </c>
      <c r="F5055" t="s">
        <v>17046</v>
      </c>
      <c r="G5055" t="s">
        <v>10022</v>
      </c>
    </row>
    <row r="5056" spans="1:7" hidden="1" x14ac:dyDescent="0.25">
      <c r="A5056" t="s">
        <v>4</v>
      </c>
      <c r="B5056" t="s">
        <v>8</v>
      </c>
      <c r="F5056" t="s">
        <v>17049</v>
      </c>
      <c r="G5056" t="s">
        <v>10022</v>
      </c>
    </row>
    <row r="5057" spans="1:7" hidden="1" x14ac:dyDescent="0.25">
      <c r="A5057" t="s">
        <v>1607</v>
      </c>
      <c r="B5057" t="s">
        <v>8</v>
      </c>
      <c r="F5057" t="s">
        <v>17052</v>
      </c>
      <c r="G5057" t="s">
        <v>10022</v>
      </c>
    </row>
    <row r="5058" spans="1:7" hidden="1" x14ac:dyDescent="0.25">
      <c r="A5058" t="s">
        <v>4</v>
      </c>
      <c r="B5058" t="s">
        <v>8</v>
      </c>
      <c r="F5058" t="s">
        <v>16893</v>
      </c>
      <c r="G5058" t="s">
        <v>11078</v>
      </c>
    </row>
    <row r="5059" spans="1:7" hidden="1" x14ac:dyDescent="0.25">
      <c r="A5059" t="s">
        <v>17483</v>
      </c>
      <c r="B5059" t="s">
        <v>86</v>
      </c>
      <c r="F5059" t="s">
        <v>16896</v>
      </c>
      <c r="G5059" t="s">
        <v>11078</v>
      </c>
    </row>
    <row r="5060" spans="1:7" hidden="1" x14ac:dyDescent="0.25">
      <c r="A5060" t="s">
        <v>17482</v>
      </c>
      <c r="B5060" t="s">
        <v>86</v>
      </c>
      <c r="F5060" t="s">
        <v>16899</v>
      </c>
      <c r="G5060" t="s">
        <v>11078</v>
      </c>
    </row>
    <row r="5061" spans="1:7" hidden="1" x14ac:dyDescent="0.25">
      <c r="A5061" t="s">
        <v>4</v>
      </c>
      <c r="B5061" t="s">
        <v>16656</v>
      </c>
      <c r="E5061" t="s">
        <v>17484</v>
      </c>
      <c r="F5061" t="s">
        <v>16902</v>
      </c>
      <c r="G5061" t="s">
        <v>11078</v>
      </c>
    </row>
    <row r="5062" spans="1:7" hidden="1" x14ac:dyDescent="0.25">
      <c r="A5062" t="s">
        <v>17485</v>
      </c>
      <c r="B5062" t="s">
        <v>1274</v>
      </c>
      <c r="F5062" t="s">
        <v>16905</v>
      </c>
      <c r="G5062" t="s">
        <v>11078</v>
      </c>
    </row>
    <row r="5063" spans="1:7" hidden="1" x14ac:dyDescent="0.25">
      <c r="A5063" t="s">
        <v>17485</v>
      </c>
      <c r="B5063" t="s">
        <v>1274</v>
      </c>
      <c r="E5063" t="s">
        <v>2352</v>
      </c>
      <c r="F5063" t="s">
        <v>16908</v>
      </c>
      <c r="G5063" t="s">
        <v>11078</v>
      </c>
    </row>
    <row r="5064" spans="1:7" hidden="1" x14ac:dyDescent="0.25">
      <c r="A5064" t="s">
        <v>4</v>
      </c>
      <c r="B5064" t="s">
        <v>8</v>
      </c>
      <c r="F5064" t="s">
        <v>16911</v>
      </c>
      <c r="G5064" t="s">
        <v>11078</v>
      </c>
    </row>
    <row r="5065" spans="1:7" hidden="1" x14ac:dyDescent="0.25">
      <c r="A5065" t="s">
        <v>1607</v>
      </c>
      <c r="B5065" t="s">
        <v>8</v>
      </c>
      <c r="F5065" t="s">
        <v>16914</v>
      </c>
      <c r="G5065" t="s">
        <v>11078</v>
      </c>
    </row>
    <row r="5066" spans="1:7" hidden="1" x14ac:dyDescent="0.25">
      <c r="A5066" t="s">
        <v>4</v>
      </c>
      <c r="B5066" t="s">
        <v>8</v>
      </c>
      <c r="F5066" t="s">
        <v>16917</v>
      </c>
      <c r="G5066" t="s">
        <v>11078</v>
      </c>
    </row>
    <row r="5067" spans="1:7" hidden="1" x14ac:dyDescent="0.25">
      <c r="A5067" t="s">
        <v>1607</v>
      </c>
      <c r="B5067" t="s">
        <v>8</v>
      </c>
      <c r="F5067" t="s">
        <v>16920</v>
      </c>
      <c r="G5067" t="s">
        <v>11078</v>
      </c>
    </row>
    <row r="5068" spans="1:7" hidden="1" x14ac:dyDescent="0.25">
      <c r="A5068" t="s">
        <v>4</v>
      </c>
      <c r="B5068" t="s">
        <v>8</v>
      </c>
      <c r="F5068" t="s">
        <v>16923</v>
      </c>
      <c r="G5068" t="s">
        <v>11078</v>
      </c>
    </row>
    <row r="5069" spans="1:7" hidden="1" x14ac:dyDescent="0.25">
      <c r="A5069" t="s">
        <v>17480</v>
      </c>
      <c r="B5069" t="s">
        <v>1274</v>
      </c>
      <c r="F5069" t="s">
        <v>16926</v>
      </c>
      <c r="G5069" t="s">
        <v>11078</v>
      </c>
    </row>
    <row r="5070" spans="1:7" hidden="1" x14ac:dyDescent="0.25">
      <c r="A5070" t="s">
        <v>4</v>
      </c>
      <c r="B5070" t="s">
        <v>8</v>
      </c>
      <c r="F5070" t="s">
        <v>16929</v>
      </c>
      <c r="G5070" t="s">
        <v>11078</v>
      </c>
    </row>
    <row r="5071" spans="1:7" hidden="1" x14ac:dyDescent="0.25">
      <c r="A5071" t="s">
        <v>17480</v>
      </c>
      <c r="B5071" t="s">
        <v>1274</v>
      </c>
      <c r="F5071" t="s">
        <v>16932</v>
      </c>
      <c r="G5071" t="s">
        <v>11078</v>
      </c>
    </row>
    <row r="5072" spans="1:7" hidden="1" x14ac:dyDescent="0.25">
      <c r="A5072" t="s">
        <v>4</v>
      </c>
      <c r="B5072" t="s">
        <v>11080</v>
      </c>
      <c r="F5072" t="s">
        <v>17088</v>
      </c>
      <c r="G5072" t="s">
        <v>11079</v>
      </c>
    </row>
    <row r="5073" spans="1:7" hidden="1" x14ac:dyDescent="0.25">
      <c r="A5073" t="s">
        <v>16689</v>
      </c>
      <c r="B5073" t="s">
        <v>468</v>
      </c>
      <c r="F5073" t="s">
        <v>17091</v>
      </c>
      <c r="G5073" t="s">
        <v>11079</v>
      </c>
    </row>
    <row r="5074" spans="1:7" hidden="1" x14ac:dyDescent="0.25">
      <c r="A5074" t="s">
        <v>16689</v>
      </c>
      <c r="B5074" t="s">
        <v>468</v>
      </c>
      <c r="F5074" t="s">
        <v>17094</v>
      </c>
      <c r="G5074" t="s">
        <v>11079</v>
      </c>
    </row>
    <row r="5075" spans="1:7" hidden="1" x14ac:dyDescent="0.25">
      <c r="A5075" t="s">
        <v>16689</v>
      </c>
      <c r="B5075" t="s">
        <v>468</v>
      </c>
      <c r="F5075" t="s">
        <v>17097</v>
      </c>
      <c r="G5075" t="s">
        <v>11079</v>
      </c>
    </row>
    <row r="5076" spans="1:7" hidden="1" x14ac:dyDescent="0.25">
      <c r="A5076" t="s">
        <v>16689</v>
      </c>
      <c r="B5076" t="s">
        <v>468</v>
      </c>
      <c r="F5076" t="s">
        <v>17100</v>
      </c>
      <c r="G5076" t="s">
        <v>11079</v>
      </c>
    </row>
    <row r="5077" spans="1:7" hidden="1" x14ac:dyDescent="0.25">
      <c r="A5077" t="s">
        <v>16689</v>
      </c>
      <c r="B5077" t="s">
        <v>468</v>
      </c>
      <c r="F5077" t="s">
        <v>17103</v>
      </c>
      <c r="G5077" t="s">
        <v>11079</v>
      </c>
    </row>
    <row r="5078" spans="1:7" hidden="1" x14ac:dyDescent="0.25">
      <c r="A5078" t="s">
        <v>16689</v>
      </c>
      <c r="B5078" t="s">
        <v>468</v>
      </c>
      <c r="F5078" t="s">
        <v>17106</v>
      </c>
      <c r="G5078" t="s">
        <v>11079</v>
      </c>
    </row>
    <row r="5079" spans="1:7" hidden="1" x14ac:dyDescent="0.25">
      <c r="A5079" t="s">
        <v>16689</v>
      </c>
      <c r="B5079" t="s">
        <v>1274</v>
      </c>
      <c r="F5079" t="s">
        <v>17109</v>
      </c>
      <c r="G5079" t="s">
        <v>11079</v>
      </c>
    </row>
    <row r="5080" spans="1:7" hidden="1" x14ac:dyDescent="0.25">
      <c r="A5080" t="s">
        <v>4</v>
      </c>
      <c r="B5080" t="s">
        <v>468</v>
      </c>
      <c r="F5080" t="s">
        <v>17112</v>
      </c>
      <c r="G5080" t="s">
        <v>11079</v>
      </c>
    </row>
    <row r="5081" spans="1:7" hidden="1" x14ac:dyDescent="0.25">
      <c r="A5081" t="s">
        <v>16689</v>
      </c>
      <c r="B5081" t="s">
        <v>17486</v>
      </c>
      <c r="F5081" t="s">
        <v>17114</v>
      </c>
      <c r="G5081" t="s">
        <v>11079</v>
      </c>
    </row>
    <row r="5082" spans="1:7" hidden="1" x14ac:dyDescent="0.25">
      <c r="A5082" t="s">
        <v>16689</v>
      </c>
      <c r="B5082" t="s">
        <v>17486</v>
      </c>
      <c r="F5082" t="s">
        <v>17117</v>
      </c>
      <c r="G5082" t="s">
        <v>11079</v>
      </c>
    </row>
    <row r="5083" spans="1:7" hidden="1" x14ac:dyDescent="0.25">
      <c r="A5083" t="s">
        <v>16689</v>
      </c>
      <c r="B5083" t="s">
        <v>17486</v>
      </c>
      <c r="F5083" t="s">
        <v>17120</v>
      </c>
      <c r="G5083" t="s">
        <v>11079</v>
      </c>
    </row>
    <row r="5084" spans="1:7" hidden="1" x14ac:dyDescent="0.25">
      <c r="A5084" t="s">
        <v>16689</v>
      </c>
      <c r="B5084" t="s">
        <v>17486</v>
      </c>
      <c r="F5084" t="s">
        <v>17123</v>
      </c>
      <c r="G5084" t="s">
        <v>11079</v>
      </c>
    </row>
    <row r="5085" spans="1:7" hidden="1" x14ac:dyDescent="0.25">
      <c r="A5085" t="s">
        <v>16689</v>
      </c>
      <c r="B5085" t="s">
        <v>17486</v>
      </c>
      <c r="F5085" t="s">
        <v>17126</v>
      </c>
      <c r="G5085" t="s">
        <v>11079</v>
      </c>
    </row>
    <row r="5086" spans="1:7" hidden="1" x14ac:dyDescent="0.25">
      <c r="A5086" t="s">
        <v>4</v>
      </c>
      <c r="B5086" t="s">
        <v>468</v>
      </c>
      <c r="F5086" t="s">
        <v>17129</v>
      </c>
      <c r="G5086" t="s">
        <v>11079</v>
      </c>
    </row>
    <row r="5087" spans="1:7" hidden="1" x14ac:dyDescent="0.25">
      <c r="A5087" t="s">
        <v>4</v>
      </c>
      <c r="B5087" t="s">
        <v>468</v>
      </c>
      <c r="F5087" t="s">
        <v>17132</v>
      </c>
      <c r="G5087" t="s">
        <v>11079</v>
      </c>
    </row>
    <row r="5088" spans="1:7" hidden="1" x14ac:dyDescent="0.25">
      <c r="A5088" t="s">
        <v>4</v>
      </c>
      <c r="B5088" t="s">
        <v>468</v>
      </c>
      <c r="F5088" t="s">
        <v>17135</v>
      </c>
      <c r="G5088" t="s">
        <v>11079</v>
      </c>
    </row>
    <row r="5089" spans="1:7" hidden="1" x14ac:dyDescent="0.25">
      <c r="A5089" t="s">
        <v>4</v>
      </c>
      <c r="B5089" t="s">
        <v>468</v>
      </c>
      <c r="F5089" t="s">
        <v>17138</v>
      </c>
      <c r="G5089" t="s">
        <v>11079</v>
      </c>
    </row>
    <row r="5090" spans="1:7" hidden="1" x14ac:dyDescent="0.25">
      <c r="A5090" t="s">
        <v>4</v>
      </c>
      <c r="B5090" t="s">
        <v>468</v>
      </c>
      <c r="F5090" t="s">
        <v>17141</v>
      </c>
      <c r="G5090" t="s">
        <v>11079</v>
      </c>
    </row>
    <row r="5091" spans="1:7" hidden="1" x14ac:dyDescent="0.25">
      <c r="A5091" t="s">
        <v>4</v>
      </c>
      <c r="B5091" t="s">
        <v>468</v>
      </c>
      <c r="F5091" t="s">
        <v>17144</v>
      </c>
      <c r="G5091" t="s">
        <v>11079</v>
      </c>
    </row>
    <row r="5092" spans="1:7" hidden="1" x14ac:dyDescent="0.25">
      <c r="A5092" t="s">
        <v>4</v>
      </c>
      <c r="B5092" t="s">
        <v>468</v>
      </c>
      <c r="F5092" t="s">
        <v>17147</v>
      </c>
      <c r="G5092" t="s">
        <v>11079</v>
      </c>
    </row>
    <row r="5093" spans="1:7" hidden="1" x14ac:dyDescent="0.25">
      <c r="A5093" t="s">
        <v>4</v>
      </c>
      <c r="B5093" t="s">
        <v>468</v>
      </c>
      <c r="F5093" t="s">
        <v>17150</v>
      </c>
      <c r="G5093" t="s">
        <v>11079</v>
      </c>
    </row>
    <row r="5094" spans="1:7" hidden="1" x14ac:dyDescent="0.25">
      <c r="A5094" t="s">
        <v>4</v>
      </c>
      <c r="B5094" t="s">
        <v>468</v>
      </c>
      <c r="F5094" t="s">
        <v>17153</v>
      </c>
      <c r="G5094" t="s">
        <v>11079</v>
      </c>
    </row>
    <row r="5095" spans="1:7" hidden="1" x14ac:dyDescent="0.25">
      <c r="A5095" t="s">
        <v>4</v>
      </c>
      <c r="B5095" t="s">
        <v>468</v>
      </c>
      <c r="F5095" t="s">
        <v>17156</v>
      </c>
      <c r="G5095" t="s">
        <v>11079</v>
      </c>
    </row>
    <row r="5096" spans="1:7" hidden="1" x14ac:dyDescent="0.25">
      <c r="A5096" t="s">
        <v>16689</v>
      </c>
      <c r="B5096" t="s">
        <v>17486</v>
      </c>
      <c r="F5096" t="s">
        <v>17159</v>
      </c>
      <c r="G5096" t="s">
        <v>11079</v>
      </c>
    </row>
    <row r="5097" spans="1:7" hidden="1" x14ac:dyDescent="0.25">
      <c r="A5097" t="s">
        <v>16689</v>
      </c>
      <c r="B5097" t="s">
        <v>17486</v>
      </c>
      <c r="F5097" t="s">
        <v>17162</v>
      </c>
      <c r="G5097" t="s">
        <v>11079</v>
      </c>
    </row>
    <row r="5098" spans="1:7" hidden="1" x14ac:dyDescent="0.25">
      <c r="A5098" t="s">
        <v>16689</v>
      </c>
      <c r="B5098" t="s">
        <v>17486</v>
      </c>
      <c r="F5098" t="s">
        <v>17165</v>
      </c>
      <c r="G5098" t="s">
        <v>11079</v>
      </c>
    </row>
    <row r="5099" spans="1:7" hidden="1" x14ac:dyDescent="0.25">
      <c r="A5099" t="s">
        <v>16689</v>
      </c>
      <c r="B5099" t="s">
        <v>17486</v>
      </c>
      <c r="F5099" t="s">
        <v>17168</v>
      </c>
      <c r="G5099" t="s">
        <v>11079</v>
      </c>
    </row>
    <row r="5100" spans="1:7" hidden="1" x14ac:dyDescent="0.25">
      <c r="A5100" t="s">
        <v>16689</v>
      </c>
      <c r="B5100" t="s">
        <v>17486</v>
      </c>
      <c r="F5100" t="s">
        <v>17171</v>
      </c>
      <c r="G5100" t="s">
        <v>11079</v>
      </c>
    </row>
    <row r="5101" spans="1:7" hidden="1" x14ac:dyDescent="0.25">
      <c r="A5101" t="s">
        <v>16689</v>
      </c>
      <c r="B5101" t="s">
        <v>17486</v>
      </c>
      <c r="F5101" t="s">
        <v>17174</v>
      </c>
      <c r="G5101" t="s">
        <v>11079</v>
      </c>
    </row>
    <row r="5102" spans="1:7" hidden="1" x14ac:dyDescent="0.25">
      <c r="A5102" t="s">
        <v>4</v>
      </c>
      <c r="B5102" t="s">
        <v>1274</v>
      </c>
      <c r="F5102" t="s">
        <v>17177</v>
      </c>
      <c r="G5102" t="s">
        <v>11079</v>
      </c>
    </row>
    <row r="5103" spans="1:7" hidden="1" x14ac:dyDescent="0.25">
      <c r="A5103" t="s">
        <v>4</v>
      </c>
      <c r="B5103" t="s">
        <v>1274</v>
      </c>
      <c r="F5103" t="s">
        <v>17180</v>
      </c>
      <c r="G5103" t="s">
        <v>11079</v>
      </c>
    </row>
    <row r="5104" spans="1:7" hidden="1" x14ac:dyDescent="0.25">
      <c r="A5104" t="s">
        <v>4</v>
      </c>
      <c r="B5104" t="s">
        <v>1274</v>
      </c>
      <c r="F5104" t="s">
        <v>17183</v>
      </c>
      <c r="G5104" t="s">
        <v>11079</v>
      </c>
    </row>
    <row r="5105" spans="1:7" hidden="1" x14ac:dyDescent="0.25">
      <c r="A5105" t="s">
        <v>4</v>
      </c>
      <c r="B5105" t="s">
        <v>1274</v>
      </c>
      <c r="F5105" t="s">
        <v>17186</v>
      </c>
      <c r="G5105" t="s">
        <v>11079</v>
      </c>
    </row>
    <row r="5106" spans="1:7" hidden="1" x14ac:dyDescent="0.25">
      <c r="A5106" t="s">
        <v>4</v>
      </c>
      <c r="B5106" t="s">
        <v>468</v>
      </c>
      <c r="F5106" t="s">
        <v>17189</v>
      </c>
      <c r="G5106" t="s">
        <v>11079</v>
      </c>
    </row>
    <row r="5107" spans="1:7" hidden="1" x14ac:dyDescent="0.25">
      <c r="A5107" t="s">
        <v>4</v>
      </c>
      <c r="B5107" t="s">
        <v>468</v>
      </c>
      <c r="F5107" t="s">
        <v>17192</v>
      </c>
      <c r="G5107" t="s">
        <v>11079</v>
      </c>
    </row>
    <row r="5108" spans="1:7" hidden="1" x14ac:dyDescent="0.25">
      <c r="A5108" t="s">
        <v>4</v>
      </c>
      <c r="B5108" t="s">
        <v>468</v>
      </c>
      <c r="F5108" t="s">
        <v>17195</v>
      </c>
      <c r="G5108" t="s">
        <v>11079</v>
      </c>
    </row>
    <row r="5109" spans="1:7" hidden="1" x14ac:dyDescent="0.25">
      <c r="A5109" t="s">
        <v>4</v>
      </c>
      <c r="B5109" t="s">
        <v>468</v>
      </c>
      <c r="F5109" t="s">
        <v>17198</v>
      </c>
      <c r="G5109" t="s">
        <v>11079</v>
      </c>
    </row>
    <row r="5110" spans="1:7" hidden="1" x14ac:dyDescent="0.25">
      <c r="A5110" t="s">
        <v>4</v>
      </c>
      <c r="B5110" t="s">
        <v>468</v>
      </c>
      <c r="F5110" t="s">
        <v>17201</v>
      </c>
      <c r="G5110" t="s">
        <v>11079</v>
      </c>
    </row>
    <row r="5111" spans="1:7" hidden="1" x14ac:dyDescent="0.25">
      <c r="A5111" t="s">
        <v>4</v>
      </c>
      <c r="B5111" t="s">
        <v>468</v>
      </c>
      <c r="F5111" t="s">
        <v>17204</v>
      </c>
      <c r="G5111" t="s">
        <v>11079</v>
      </c>
    </row>
    <row r="5112" spans="1:7" hidden="1" x14ac:dyDescent="0.25">
      <c r="A5112" t="s">
        <v>4</v>
      </c>
      <c r="B5112" t="s">
        <v>468</v>
      </c>
      <c r="F5112" t="s">
        <v>17207</v>
      </c>
      <c r="G5112" t="s">
        <v>11079</v>
      </c>
    </row>
    <row r="5113" spans="1:7" hidden="1" x14ac:dyDescent="0.25">
      <c r="A5113" t="s">
        <v>4</v>
      </c>
      <c r="B5113" t="s">
        <v>468</v>
      </c>
      <c r="F5113" t="s">
        <v>17210</v>
      </c>
      <c r="G5113" t="s">
        <v>11079</v>
      </c>
    </row>
    <row r="5114" spans="1:7" hidden="1" x14ac:dyDescent="0.25">
      <c r="A5114" t="s">
        <v>16689</v>
      </c>
      <c r="B5114" t="s">
        <v>468</v>
      </c>
      <c r="F5114" t="s">
        <v>17213</v>
      </c>
      <c r="G5114" t="s">
        <v>11079</v>
      </c>
    </row>
    <row r="5115" spans="1:7" hidden="1" x14ac:dyDescent="0.25">
      <c r="A5115" t="s">
        <v>16689</v>
      </c>
      <c r="B5115" t="s">
        <v>468</v>
      </c>
      <c r="F5115" t="s">
        <v>17216</v>
      </c>
      <c r="G5115" t="s">
        <v>11079</v>
      </c>
    </row>
    <row r="5116" spans="1:7" hidden="1" x14ac:dyDescent="0.25">
      <c r="A5116" t="s">
        <v>17487</v>
      </c>
      <c r="B5116" t="s">
        <v>1274</v>
      </c>
      <c r="F5116" t="s">
        <v>17219</v>
      </c>
      <c r="G5116" t="s">
        <v>11079</v>
      </c>
    </row>
    <row r="5117" spans="1:7" hidden="1" x14ac:dyDescent="0.25">
      <c r="A5117" t="s">
        <v>4</v>
      </c>
      <c r="B5117" t="s">
        <v>1274</v>
      </c>
      <c r="F5117" t="s">
        <v>17222</v>
      </c>
      <c r="G5117" t="s">
        <v>11079</v>
      </c>
    </row>
    <row r="5118" spans="1:7" hidden="1" x14ac:dyDescent="0.25">
      <c r="A5118" t="s">
        <v>4</v>
      </c>
      <c r="B5118" t="s">
        <v>1274</v>
      </c>
      <c r="F5118" t="s">
        <v>17225</v>
      </c>
      <c r="G5118" t="s">
        <v>11079</v>
      </c>
    </row>
    <row r="5119" spans="1:7" hidden="1" x14ac:dyDescent="0.25">
      <c r="A5119" t="s">
        <v>4</v>
      </c>
      <c r="B5119" t="s">
        <v>1274</v>
      </c>
      <c r="F5119" t="s">
        <v>17228</v>
      </c>
      <c r="G5119" t="s">
        <v>11079</v>
      </c>
    </row>
    <row r="5120" spans="1:7" hidden="1" x14ac:dyDescent="0.25">
      <c r="A5120" t="s">
        <v>4</v>
      </c>
      <c r="B5120" t="s">
        <v>1274</v>
      </c>
      <c r="F5120" t="s">
        <v>17231</v>
      </c>
      <c r="G5120" t="s">
        <v>11079</v>
      </c>
    </row>
    <row r="5121" spans="1:7" hidden="1" x14ac:dyDescent="0.25">
      <c r="A5121" t="s">
        <v>4</v>
      </c>
      <c r="B5121" t="s">
        <v>1274</v>
      </c>
      <c r="F5121" t="s">
        <v>17234</v>
      </c>
      <c r="G5121" t="s">
        <v>11079</v>
      </c>
    </row>
    <row r="5122" spans="1:7" hidden="1" x14ac:dyDescent="0.25">
      <c r="A5122" t="s">
        <v>4</v>
      </c>
      <c r="B5122" t="s">
        <v>1274</v>
      </c>
      <c r="F5122" t="s">
        <v>17237</v>
      </c>
      <c r="G5122" t="s">
        <v>11079</v>
      </c>
    </row>
    <row r="5123" spans="1:7" hidden="1" x14ac:dyDescent="0.25">
      <c r="A5123" t="s">
        <v>4</v>
      </c>
      <c r="B5123" t="s">
        <v>1274</v>
      </c>
      <c r="F5123" t="s">
        <v>17240</v>
      </c>
      <c r="G5123" t="s">
        <v>11079</v>
      </c>
    </row>
    <row r="5124" spans="1:7" hidden="1" x14ac:dyDescent="0.25">
      <c r="A5124" t="s">
        <v>4</v>
      </c>
      <c r="B5124" t="s">
        <v>1274</v>
      </c>
      <c r="F5124" t="s">
        <v>17243</v>
      </c>
      <c r="G5124" t="s">
        <v>11079</v>
      </c>
    </row>
    <row r="5125" spans="1:7" hidden="1" x14ac:dyDescent="0.25">
      <c r="A5125" t="s">
        <v>4</v>
      </c>
      <c r="B5125" t="s">
        <v>11080</v>
      </c>
      <c r="F5125" t="s">
        <v>17246</v>
      </c>
      <c r="G5125" t="s">
        <v>11079</v>
      </c>
    </row>
    <row r="5126" spans="1:7" hidden="1" x14ac:dyDescent="0.25">
      <c r="A5126" t="s">
        <v>4</v>
      </c>
      <c r="B5126" t="s">
        <v>11080</v>
      </c>
      <c r="F5126" t="s">
        <v>17249</v>
      </c>
      <c r="G5126" t="s">
        <v>11079</v>
      </c>
    </row>
    <row r="5127" spans="1:7" hidden="1" x14ac:dyDescent="0.25">
      <c r="A5127" t="s">
        <v>4</v>
      </c>
      <c r="B5127" t="s">
        <v>1274</v>
      </c>
      <c r="F5127" t="s">
        <v>17252</v>
      </c>
      <c r="G5127" t="s">
        <v>11079</v>
      </c>
    </row>
    <row r="5128" spans="1:7" hidden="1" x14ac:dyDescent="0.25">
      <c r="A5128" t="s">
        <v>4</v>
      </c>
      <c r="B5128" t="s">
        <v>11080</v>
      </c>
      <c r="F5128" t="s">
        <v>17255</v>
      </c>
      <c r="G5128" t="s">
        <v>11079</v>
      </c>
    </row>
    <row r="5129" spans="1:7" hidden="1" x14ac:dyDescent="0.25">
      <c r="A5129" t="s">
        <v>4</v>
      </c>
      <c r="B5129" t="s">
        <v>11080</v>
      </c>
      <c r="F5129" t="s">
        <v>17258</v>
      </c>
      <c r="G5129" t="s">
        <v>11079</v>
      </c>
    </row>
    <row r="5130" spans="1:7" hidden="1" x14ac:dyDescent="0.25">
      <c r="A5130" t="s">
        <v>1607</v>
      </c>
      <c r="B5130" t="s">
        <v>11080</v>
      </c>
      <c r="F5130" t="s">
        <v>17261</v>
      </c>
      <c r="G5130" t="s">
        <v>11079</v>
      </c>
    </row>
    <row r="5131" spans="1:7" hidden="1" x14ac:dyDescent="0.25">
      <c r="A5131" t="s">
        <v>4</v>
      </c>
      <c r="B5131" t="s">
        <v>11080</v>
      </c>
      <c r="F5131" t="s">
        <v>17264</v>
      </c>
      <c r="G5131" t="s">
        <v>11079</v>
      </c>
    </row>
    <row r="5132" spans="1:7" hidden="1" x14ac:dyDescent="0.25">
      <c r="A5132" t="s">
        <v>4</v>
      </c>
      <c r="B5132" t="s">
        <v>1274</v>
      </c>
      <c r="F5132" t="s">
        <v>17267</v>
      </c>
      <c r="G5132" t="s">
        <v>11079</v>
      </c>
    </row>
    <row r="5133" spans="1:7" hidden="1" x14ac:dyDescent="0.25">
      <c r="A5133" t="s">
        <v>16689</v>
      </c>
      <c r="B5133" t="s">
        <v>1274</v>
      </c>
      <c r="F5133" t="s">
        <v>17270</v>
      </c>
      <c r="G5133" t="s">
        <v>11079</v>
      </c>
    </row>
    <row r="5134" spans="1:7" hidden="1" x14ac:dyDescent="0.25">
      <c r="A5134" t="s">
        <v>16689</v>
      </c>
      <c r="B5134" t="s">
        <v>1274</v>
      </c>
      <c r="F5134" t="s">
        <v>17273</v>
      </c>
      <c r="G5134" t="s">
        <v>11079</v>
      </c>
    </row>
    <row r="5135" spans="1:7" hidden="1" x14ac:dyDescent="0.25">
      <c r="A5135" t="s">
        <v>16689</v>
      </c>
      <c r="B5135" t="s">
        <v>1274</v>
      </c>
      <c r="F5135" t="s">
        <v>17276</v>
      </c>
      <c r="G5135" t="s">
        <v>11079</v>
      </c>
    </row>
    <row r="5136" spans="1:7" hidden="1" x14ac:dyDescent="0.25">
      <c r="A5136" t="s">
        <v>16689</v>
      </c>
      <c r="B5136" t="s">
        <v>1274</v>
      </c>
      <c r="F5136" t="s">
        <v>17279</v>
      </c>
      <c r="G5136" t="s">
        <v>11079</v>
      </c>
    </row>
    <row r="5137" spans="1:7" hidden="1" x14ac:dyDescent="0.25">
      <c r="A5137" t="s">
        <v>16689</v>
      </c>
      <c r="B5137" t="s">
        <v>1274</v>
      </c>
      <c r="F5137" t="s">
        <v>17282</v>
      </c>
      <c r="G5137" t="s">
        <v>11079</v>
      </c>
    </row>
    <row r="5138" spans="1:7" hidden="1" x14ac:dyDescent="0.25">
      <c r="A5138" t="s">
        <v>16689</v>
      </c>
      <c r="B5138" t="s">
        <v>1274</v>
      </c>
      <c r="F5138" t="s">
        <v>17285</v>
      </c>
      <c r="G5138" t="s">
        <v>11079</v>
      </c>
    </row>
    <row r="5139" spans="1:7" hidden="1" x14ac:dyDescent="0.25">
      <c r="A5139" t="s">
        <v>16689</v>
      </c>
      <c r="B5139" t="s">
        <v>1274</v>
      </c>
      <c r="F5139" t="s">
        <v>17288</v>
      </c>
      <c r="G5139" t="s">
        <v>11079</v>
      </c>
    </row>
    <row r="5140" spans="1:7" hidden="1" x14ac:dyDescent="0.25">
      <c r="A5140" t="s">
        <v>16689</v>
      </c>
      <c r="B5140" t="s">
        <v>1274</v>
      </c>
      <c r="F5140" t="s">
        <v>17291</v>
      </c>
      <c r="G5140" t="s">
        <v>11079</v>
      </c>
    </row>
    <row r="5141" spans="1:7" hidden="1" x14ac:dyDescent="0.25">
      <c r="A5141" t="s">
        <v>16689</v>
      </c>
      <c r="B5141" t="s">
        <v>1274</v>
      </c>
      <c r="F5141" t="s">
        <v>17294</v>
      </c>
      <c r="G5141" t="s">
        <v>11079</v>
      </c>
    </row>
    <row r="5142" spans="1:7" hidden="1" x14ac:dyDescent="0.25">
      <c r="A5142" t="s">
        <v>16689</v>
      </c>
      <c r="B5142" t="s">
        <v>1274</v>
      </c>
      <c r="F5142" t="s">
        <v>17297</v>
      </c>
      <c r="G5142" t="s">
        <v>11079</v>
      </c>
    </row>
    <row r="5143" spans="1:7" hidden="1" x14ac:dyDescent="0.25">
      <c r="A5143" t="s">
        <v>16689</v>
      </c>
      <c r="B5143" t="s">
        <v>1274</v>
      </c>
      <c r="F5143" t="s">
        <v>17300</v>
      </c>
      <c r="G5143" t="s">
        <v>11079</v>
      </c>
    </row>
    <row r="5144" spans="1:7" hidden="1" x14ac:dyDescent="0.25">
      <c r="A5144" t="s">
        <v>16689</v>
      </c>
      <c r="B5144" t="s">
        <v>1274</v>
      </c>
      <c r="F5144" t="s">
        <v>17303</v>
      </c>
      <c r="G5144" t="s">
        <v>11079</v>
      </c>
    </row>
    <row r="5145" spans="1:7" hidden="1" x14ac:dyDescent="0.25">
      <c r="A5145" t="s">
        <v>16689</v>
      </c>
      <c r="B5145" t="s">
        <v>1274</v>
      </c>
      <c r="F5145" t="s">
        <v>17306</v>
      </c>
      <c r="G5145" t="s">
        <v>11079</v>
      </c>
    </row>
    <row r="5146" spans="1:7" hidden="1" x14ac:dyDescent="0.25">
      <c r="A5146" t="s">
        <v>4</v>
      </c>
      <c r="B5146" t="s">
        <v>11080</v>
      </c>
      <c r="F5146" t="s">
        <v>17309</v>
      </c>
      <c r="G5146" t="s">
        <v>11079</v>
      </c>
    </row>
    <row r="5147" spans="1:7" hidden="1" x14ac:dyDescent="0.25">
      <c r="A5147" t="s">
        <v>1607</v>
      </c>
      <c r="B5147" t="s">
        <v>11080</v>
      </c>
      <c r="F5147" t="s">
        <v>17312</v>
      </c>
      <c r="G5147" t="s">
        <v>11079</v>
      </c>
    </row>
    <row r="5148" spans="1:7" x14ac:dyDescent="0.25">
      <c r="A5148" t="s">
        <v>4</v>
      </c>
      <c r="B5148" t="s">
        <v>8</v>
      </c>
      <c r="F5148" t="s">
        <v>14912</v>
      </c>
      <c r="G5148" t="s">
        <v>11082</v>
      </c>
    </row>
    <row r="5149" spans="1:7" x14ac:dyDescent="0.25">
      <c r="A5149" t="s">
        <v>4</v>
      </c>
      <c r="B5149" t="s">
        <v>11066</v>
      </c>
      <c r="F5149" t="s">
        <v>14915</v>
      </c>
      <c r="G5149" t="s">
        <v>11082</v>
      </c>
    </row>
    <row r="5150" spans="1:7" x14ac:dyDescent="0.25">
      <c r="A5150" t="s">
        <v>4</v>
      </c>
      <c r="B5150" t="s">
        <v>8</v>
      </c>
      <c r="F5150" t="s">
        <v>14918</v>
      </c>
      <c r="G5150" t="s">
        <v>11082</v>
      </c>
    </row>
    <row r="5151" spans="1:7" x14ac:dyDescent="0.25">
      <c r="A5151" t="s">
        <v>12</v>
      </c>
      <c r="F5151" t="s">
        <v>14921</v>
      </c>
      <c r="G5151" t="s">
        <v>11082</v>
      </c>
    </row>
    <row r="5152" spans="1:7" x14ac:dyDescent="0.25">
      <c r="A5152" t="s">
        <v>12</v>
      </c>
      <c r="F5152" t="s">
        <v>14924</v>
      </c>
      <c r="G5152" t="s">
        <v>11082</v>
      </c>
    </row>
    <row r="5153" spans="1:7" x14ac:dyDescent="0.25">
      <c r="A5153" t="s">
        <v>137</v>
      </c>
      <c r="B5153" t="s">
        <v>11070</v>
      </c>
      <c r="F5153" t="s">
        <v>14927</v>
      </c>
      <c r="G5153" t="s">
        <v>11082</v>
      </c>
    </row>
    <row r="5154" spans="1:7" x14ac:dyDescent="0.25">
      <c r="A5154" t="s">
        <v>12</v>
      </c>
      <c r="F5154" t="s">
        <v>14930</v>
      </c>
      <c r="G5154" t="s">
        <v>11082</v>
      </c>
    </row>
    <row r="5155" spans="1:7" x14ac:dyDescent="0.25">
      <c r="A5155" t="s">
        <v>4</v>
      </c>
      <c r="B5155" t="s">
        <v>8</v>
      </c>
      <c r="F5155" t="s">
        <v>14933</v>
      </c>
      <c r="G5155" t="s">
        <v>11082</v>
      </c>
    </row>
    <row r="5156" spans="1:7" x14ac:dyDescent="0.25">
      <c r="A5156" t="s">
        <v>166</v>
      </c>
      <c r="B5156" t="s">
        <v>9597</v>
      </c>
      <c r="F5156" t="s">
        <v>14936</v>
      </c>
      <c r="G5156" t="s">
        <v>11082</v>
      </c>
    </row>
    <row r="5157" spans="1:7" x14ac:dyDescent="0.25">
      <c r="A5157" t="s">
        <v>12</v>
      </c>
      <c r="F5157" t="s">
        <v>16630</v>
      </c>
      <c r="G5157" t="s">
        <v>11082</v>
      </c>
    </row>
    <row r="5158" spans="1:7" x14ac:dyDescent="0.25">
      <c r="A5158" t="s">
        <v>12</v>
      </c>
      <c r="F5158" t="s">
        <v>14939</v>
      </c>
      <c r="G5158" t="s">
        <v>11082</v>
      </c>
    </row>
    <row r="5159" spans="1:7" x14ac:dyDescent="0.25">
      <c r="A5159" t="s">
        <v>4</v>
      </c>
      <c r="B5159" t="s">
        <v>8</v>
      </c>
      <c r="F5159" t="s">
        <v>14942</v>
      </c>
      <c r="G5159" t="s">
        <v>11082</v>
      </c>
    </row>
    <row r="5160" spans="1:7" x14ac:dyDescent="0.25">
      <c r="A5160" t="s">
        <v>4</v>
      </c>
      <c r="B5160" t="s">
        <v>8</v>
      </c>
      <c r="F5160" t="s">
        <v>16633</v>
      </c>
      <c r="G5160" t="s">
        <v>11082</v>
      </c>
    </row>
    <row r="5161" spans="1:7" x14ac:dyDescent="0.25">
      <c r="A5161" t="s">
        <v>12</v>
      </c>
      <c r="F5161" t="s">
        <v>16636</v>
      </c>
      <c r="G5161" t="s">
        <v>11082</v>
      </c>
    </row>
    <row r="5162" spans="1:7" x14ac:dyDescent="0.25">
      <c r="A5162" t="s">
        <v>588</v>
      </c>
      <c r="B5162" t="s">
        <v>86</v>
      </c>
      <c r="F5162" t="s">
        <v>16639</v>
      </c>
      <c r="G5162" t="s">
        <v>11082</v>
      </c>
    </row>
    <row r="5163" spans="1:7" x14ac:dyDescent="0.25">
      <c r="A5163" t="s">
        <v>588</v>
      </c>
      <c r="B5163" t="s">
        <v>86</v>
      </c>
      <c r="F5163" t="s">
        <v>16642</v>
      </c>
      <c r="G5163" t="s">
        <v>11082</v>
      </c>
    </row>
    <row r="5164" spans="1:7" x14ac:dyDescent="0.25">
      <c r="A5164" t="s">
        <v>4</v>
      </c>
      <c r="B5164" t="s">
        <v>8</v>
      </c>
      <c r="F5164" t="s">
        <v>16645</v>
      </c>
      <c r="G5164" t="s">
        <v>11082</v>
      </c>
    </row>
    <row r="5165" spans="1:7" x14ac:dyDescent="0.25">
      <c r="A5165" t="s">
        <v>4</v>
      </c>
      <c r="B5165" t="s">
        <v>8</v>
      </c>
      <c r="F5165" t="s">
        <v>16648</v>
      </c>
      <c r="G5165" t="s">
        <v>11082</v>
      </c>
    </row>
    <row r="5166" spans="1:7" x14ac:dyDescent="0.25">
      <c r="A5166" t="s">
        <v>4</v>
      </c>
      <c r="B5166" t="s">
        <v>8</v>
      </c>
      <c r="F5166" t="s">
        <v>17315</v>
      </c>
      <c r="G5166" t="s">
        <v>11082</v>
      </c>
    </row>
    <row r="5167" spans="1:7" x14ac:dyDescent="0.25">
      <c r="A5167" t="s">
        <v>16677</v>
      </c>
      <c r="B5167" t="s">
        <v>86</v>
      </c>
      <c r="F5167" t="s">
        <v>17318</v>
      </c>
      <c r="G5167" t="s">
        <v>11082</v>
      </c>
    </row>
    <row r="5168" spans="1:7" x14ac:dyDescent="0.25">
      <c r="A5168" t="s">
        <v>1273</v>
      </c>
      <c r="B5168" t="s">
        <v>11066</v>
      </c>
      <c r="F5168" t="s">
        <v>17321</v>
      </c>
      <c r="G5168" t="s">
        <v>11082</v>
      </c>
    </row>
    <row r="5169" spans="1:7" x14ac:dyDescent="0.25">
      <c r="A5169" t="s">
        <v>17489</v>
      </c>
      <c r="B5169" t="s">
        <v>11066</v>
      </c>
      <c r="F5169" t="s">
        <v>17324</v>
      </c>
      <c r="G5169" t="s">
        <v>11082</v>
      </c>
    </row>
    <row r="5170" spans="1:7" x14ac:dyDescent="0.25">
      <c r="A5170" t="s">
        <v>587</v>
      </c>
      <c r="B5170" t="s">
        <v>11066</v>
      </c>
      <c r="C5170" t="s">
        <v>17488</v>
      </c>
      <c r="F5170" t="s">
        <v>17327</v>
      </c>
      <c r="G5170" t="s">
        <v>11082</v>
      </c>
    </row>
    <row r="5171" spans="1:7" x14ac:dyDescent="0.25">
      <c r="A5171" t="s">
        <v>166</v>
      </c>
      <c r="B5171" t="s">
        <v>16661</v>
      </c>
      <c r="C5171" t="s">
        <v>16657</v>
      </c>
      <c r="F5171" t="s">
        <v>17330</v>
      </c>
      <c r="G5171" t="s">
        <v>11082</v>
      </c>
    </row>
    <row r="5172" spans="1:7" x14ac:dyDescent="0.25">
      <c r="A5172" t="s">
        <v>4</v>
      </c>
      <c r="B5172" t="s">
        <v>8</v>
      </c>
      <c r="F5172" t="s">
        <v>17332</v>
      </c>
      <c r="G5172" t="s">
        <v>11082</v>
      </c>
    </row>
    <row r="5173" spans="1:7" x14ac:dyDescent="0.25">
      <c r="A5173" t="s">
        <v>17490</v>
      </c>
      <c r="B5173" t="s">
        <v>1274</v>
      </c>
      <c r="F5173" t="s">
        <v>17335</v>
      </c>
      <c r="G5173" t="s">
        <v>11082</v>
      </c>
    </row>
    <row r="5174" spans="1:7" x14ac:dyDescent="0.25">
      <c r="A5174" t="s">
        <v>17490</v>
      </c>
      <c r="B5174" t="s">
        <v>468</v>
      </c>
      <c r="F5174" t="s">
        <v>17338</v>
      </c>
      <c r="G5174" t="s">
        <v>11082</v>
      </c>
    </row>
    <row r="5175" spans="1:7" x14ac:dyDescent="0.25">
      <c r="A5175" t="s">
        <v>4</v>
      </c>
      <c r="B5175" t="s">
        <v>8</v>
      </c>
      <c r="F5175" t="s">
        <v>17341</v>
      </c>
      <c r="G5175" t="s">
        <v>11082</v>
      </c>
    </row>
    <row r="5176" spans="1:7" x14ac:dyDescent="0.25">
      <c r="A5176" t="s">
        <v>1607</v>
      </c>
      <c r="B5176" t="s">
        <v>8</v>
      </c>
      <c r="F5176" t="s">
        <v>17344</v>
      </c>
      <c r="G5176" t="s">
        <v>11082</v>
      </c>
    </row>
    <row r="5177" spans="1:7" x14ac:dyDescent="0.25">
      <c r="A5177" t="s">
        <v>4</v>
      </c>
      <c r="B5177" t="s">
        <v>8</v>
      </c>
      <c r="F5177" t="s">
        <v>17347</v>
      </c>
      <c r="G5177" t="s">
        <v>11082</v>
      </c>
    </row>
    <row r="5178" spans="1:7" x14ac:dyDescent="0.25">
      <c r="A5178" t="s">
        <v>1607</v>
      </c>
      <c r="B5178" t="s">
        <v>8</v>
      </c>
      <c r="F5178" t="s">
        <v>17350</v>
      </c>
      <c r="G5178" t="s">
        <v>11082</v>
      </c>
    </row>
    <row r="5179" spans="1:7" x14ac:dyDescent="0.25">
      <c r="A5179" t="s">
        <v>4</v>
      </c>
      <c r="B5179" t="s">
        <v>8</v>
      </c>
      <c r="F5179" t="s">
        <v>17353</v>
      </c>
      <c r="G5179" t="s">
        <v>11082</v>
      </c>
    </row>
    <row r="5180" spans="1:7" x14ac:dyDescent="0.25">
      <c r="A5180" t="s">
        <v>1607</v>
      </c>
      <c r="B5180" t="s">
        <v>8</v>
      </c>
      <c r="F5180" t="s">
        <v>17356</v>
      </c>
      <c r="G5180" t="s">
        <v>11082</v>
      </c>
    </row>
    <row r="5181" spans="1:7" hidden="1" x14ac:dyDescent="0.25">
      <c r="A5181" t="s">
        <v>17894</v>
      </c>
      <c r="F5181" t="s">
        <v>17518</v>
      </c>
      <c r="G5181" t="s">
        <v>91</v>
      </c>
    </row>
    <row r="5182" spans="1:7" hidden="1" x14ac:dyDescent="0.25">
      <c r="A5182" t="s">
        <v>1607</v>
      </c>
      <c r="B5182" t="s">
        <v>8</v>
      </c>
      <c r="E5182" t="s">
        <v>17895</v>
      </c>
      <c r="F5182" t="s">
        <v>17521</v>
      </c>
      <c r="G5182" t="s">
        <v>91</v>
      </c>
    </row>
    <row r="5183" spans="1:7" hidden="1" x14ac:dyDescent="0.25">
      <c r="A5183" t="s">
        <v>13845</v>
      </c>
      <c r="B5183" t="s">
        <v>86</v>
      </c>
      <c r="F5183" t="s">
        <v>17491</v>
      </c>
      <c r="G5183" t="s">
        <v>12640</v>
      </c>
    </row>
    <row r="5184" spans="1:7" hidden="1" x14ac:dyDescent="0.25">
      <c r="A5184" t="s">
        <v>17896</v>
      </c>
      <c r="B5184" t="s">
        <v>1274</v>
      </c>
      <c r="F5184" t="s">
        <v>17494</v>
      </c>
      <c r="G5184" t="s">
        <v>12640</v>
      </c>
    </row>
    <row r="5185" spans="1:7" hidden="1" x14ac:dyDescent="0.25">
      <c r="A5185" t="s">
        <v>9140</v>
      </c>
      <c r="B5185" t="s">
        <v>86</v>
      </c>
      <c r="F5185" t="s">
        <v>17497</v>
      </c>
      <c r="G5185" t="s">
        <v>12640</v>
      </c>
    </row>
    <row r="5186" spans="1:7" hidden="1" x14ac:dyDescent="0.25">
      <c r="A5186" t="s">
        <v>4</v>
      </c>
      <c r="B5186" t="s">
        <v>8</v>
      </c>
      <c r="F5186" t="s">
        <v>17500</v>
      </c>
      <c r="G5186" t="s">
        <v>12640</v>
      </c>
    </row>
    <row r="5187" spans="1:7" hidden="1" x14ac:dyDescent="0.25">
      <c r="A5187" t="s">
        <v>4</v>
      </c>
      <c r="B5187" t="s">
        <v>7045</v>
      </c>
      <c r="F5187" t="s">
        <v>17503</v>
      </c>
      <c r="G5187" t="s">
        <v>11071</v>
      </c>
    </row>
    <row r="5188" spans="1:7" hidden="1" x14ac:dyDescent="0.25">
      <c r="A5188" t="s">
        <v>587</v>
      </c>
      <c r="B5188" t="s">
        <v>70</v>
      </c>
      <c r="C5188" t="s">
        <v>17897</v>
      </c>
      <c r="F5188" t="s">
        <v>17506</v>
      </c>
      <c r="G5188" t="s">
        <v>11071</v>
      </c>
    </row>
    <row r="5189" spans="1:7" hidden="1" x14ac:dyDescent="0.25">
      <c r="A5189" t="s">
        <v>1273</v>
      </c>
      <c r="B5189" t="s">
        <v>17898</v>
      </c>
      <c r="E5189" t="s">
        <v>17899</v>
      </c>
      <c r="F5189" t="s">
        <v>17509</v>
      </c>
      <c r="G5189" t="s">
        <v>11071</v>
      </c>
    </row>
    <row r="5190" spans="1:7" hidden="1" x14ac:dyDescent="0.25">
      <c r="A5190" t="s">
        <v>587</v>
      </c>
      <c r="B5190" t="s">
        <v>11066</v>
      </c>
      <c r="C5190" t="s">
        <v>17900</v>
      </c>
      <c r="F5190" t="s">
        <v>17512</v>
      </c>
      <c r="G5190" t="s">
        <v>11071</v>
      </c>
    </row>
    <row r="5191" spans="1:7" hidden="1" x14ac:dyDescent="0.25">
      <c r="A5191" t="s">
        <v>4</v>
      </c>
      <c r="B5191" t="s">
        <v>8</v>
      </c>
      <c r="F5191" t="s">
        <v>17515</v>
      </c>
      <c r="G5191" t="s">
        <v>11071</v>
      </c>
    </row>
    <row r="5192" spans="1:7" hidden="1" x14ac:dyDescent="0.25">
      <c r="A5192" t="s">
        <v>4</v>
      </c>
      <c r="B5192" t="s">
        <v>8</v>
      </c>
      <c r="F5192" t="s">
        <v>17524</v>
      </c>
      <c r="G5192" t="s">
        <v>894</v>
      </c>
    </row>
    <row r="5193" spans="1:7" hidden="1" x14ac:dyDescent="0.25">
      <c r="A5193" t="s">
        <v>1607</v>
      </c>
      <c r="B5193" t="s">
        <v>8</v>
      </c>
      <c r="F5193" t="s">
        <v>17527</v>
      </c>
      <c r="G5193" t="s">
        <v>894</v>
      </c>
    </row>
    <row r="5194" spans="1:7" hidden="1" x14ac:dyDescent="0.25">
      <c r="A5194" t="s">
        <v>166</v>
      </c>
      <c r="B5194" t="s">
        <v>70</v>
      </c>
      <c r="C5194" t="s">
        <v>17900</v>
      </c>
      <c r="F5194" t="s">
        <v>17530</v>
      </c>
      <c r="G5194" t="s">
        <v>895</v>
      </c>
    </row>
    <row r="5195" spans="1:7" hidden="1" x14ac:dyDescent="0.25">
      <c r="A5195" t="s">
        <v>4</v>
      </c>
      <c r="B5195" t="s">
        <v>8</v>
      </c>
      <c r="F5195" t="s">
        <v>17533</v>
      </c>
      <c r="G5195" t="s">
        <v>895</v>
      </c>
    </row>
    <row r="5196" spans="1:7" hidden="1" x14ac:dyDescent="0.25">
      <c r="A5196" t="s">
        <v>4</v>
      </c>
      <c r="B5196" t="s">
        <v>8</v>
      </c>
      <c r="F5196" t="s">
        <v>17536</v>
      </c>
      <c r="G5196" t="s">
        <v>896</v>
      </c>
    </row>
    <row r="5197" spans="1:7" hidden="1" x14ac:dyDescent="0.25">
      <c r="A5197" t="s">
        <v>588</v>
      </c>
      <c r="B5197" t="s">
        <v>86</v>
      </c>
      <c r="F5197" t="s">
        <v>17539</v>
      </c>
      <c r="G5197" t="s">
        <v>896</v>
      </c>
    </row>
    <row r="5198" spans="1:7" hidden="1" x14ac:dyDescent="0.25">
      <c r="A5198" t="s">
        <v>588</v>
      </c>
      <c r="B5198" t="s">
        <v>86</v>
      </c>
      <c r="F5198" t="s">
        <v>17542</v>
      </c>
      <c r="G5198" t="s">
        <v>896</v>
      </c>
    </row>
    <row r="5199" spans="1:7" hidden="1" x14ac:dyDescent="0.25">
      <c r="A5199" t="s">
        <v>588</v>
      </c>
      <c r="B5199" t="s">
        <v>86</v>
      </c>
      <c r="F5199" t="s">
        <v>17545</v>
      </c>
      <c r="G5199" t="s">
        <v>896</v>
      </c>
    </row>
    <row r="5200" spans="1:7" hidden="1" x14ac:dyDescent="0.25">
      <c r="A5200" t="s">
        <v>588</v>
      </c>
      <c r="B5200" t="s">
        <v>86</v>
      </c>
      <c r="F5200" t="s">
        <v>17548</v>
      </c>
      <c r="G5200" t="s">
        <v>896</v>
      </c>
    </row>
    <row r="5201" spans="1:7" hidden="1" x14ac:dyDescent="0.25">
      <c r="A5201" t="s">
        <v>588</v>
      </c>
      <c r="B5201" t="s">
        <v>86</v>
      </c>
      <c r="F5201" t="s">
        <v>17551</v>
      </c>
      <c r="G5201" t="s">
        <v>896</v>
      </c>
    </row>
    <row r="5202" spans="1:7" hidden="1" x14ac:dyDescent="0.25">
      <c r="A5202" t="s">
        <v>1539</v>
      </c>
      <c r="F5202" t="s">
        <v>17554</v>
      </c>
      <c r="G5202" t="s">
        <v>896</v>
      </c>
    </row>
    <row r="5203" spans="1:7" hidden="1" x14ac:dyDescent="0.25">
      <c r="A5203" t="s">
        <v>1539</v>
      </c>
      <c r="F5203" t="s">
        <v>17557</v>
      </c>
      <c r="G5203" t="s">
        <v>896</v>
      </c>
    </row>
    <row r="5204" spans="1:7" hidden="1" x14ac:dyDescent="0.25">
      <c r="A5204" t="s">
        <v>1539</v>
      </c>
      <c r="F5204" t="s">
        <v>17560</v>
      </c>
      <c r="G5204" t="s">
        <v>896</v>
      </c>
    </row>
    <row r="5205" spans="1:7" hidden="1" x14ac:dyDescent="0.25">
      <c r="A5205" t="s">
        <v>1539</v>
      </c>
      <c r="F5205" t="s">
        <v>17563</v>
      </c>
      <c r="G5205" t="s">
        <v>896</v>
      </c>
    </row>
    <row r="5206" spans="1:7" hidden="1" x14ac:dyDescent="0.25">
      <c r="A5206" t="s">
        <v>4</v>
      </c>
      <c r="B5206" t="s">
        <v>8</v>
      </c>
      <c r="F5206" t="s">
        <v>17566</v>
      </c>
      <c r="G5206" t="s">
        <v>896</v>
      </c>
    </row>
    <row r="5207" spans="1:7" hidden="1" x14ac:dyDescent="0.25">
      <c r="A5207" t="s">
        <v>4</v>
      </c>
      <c r="B5207" t="s">
        <v>8</v>
      </c>
      <c r="F5207" t="s">
        <v>17569</v>
      </c>
      <c r="G5207" t="s">
        <v>897</v>
      </c>
    </row>
    <row r="5208" spans="1:7" hidden="1" x14ac:dyDescent="0.25">
      <c r="A5208" t="s">
        <v>1607</v>
      </c>
      <c r="B5208" t="s">
        <v>8</v>
      </c>
      <c r="F5208" t="s">
        <v>17572</v>
      </c>
      <c r="G5208" t="s">
        <v>897</v>
      </c>
    </row>
    <row r="5209" spans="1:7" hidden="1" x14ac:dyDescent="0.25">
      <c r="A5209" t="s">
        <v>4</v>
      </c>
      <c r="B5209" t="s">
        <v>6157</v>
      </c>
      <c r="F5209" t="s">
        <v>17574</v>
      </c>
      <c r="G5209" t="s">
        <v>12641</v>
      </c>
    </row>
    <row r="5210" spans="1:7" hidden="1" x14ac:dyDescent="0.25">
      <c r="A5210" t="s">
        <v>7354</v>
      </c>
      <c r="B5210" t="s">
        <v>1274</v>
      </c>
      <c r="F5210" t="s">
        <v>17577</v>
      </c>
      <c r="G5210" t="s">
        <v>12641</v>
      </c>
    </row>
    <row r="5211" spans="1:7" hidden="1" x14ac:dyDescent="0.25">
      <c r="A5211" t="s">
        <v>1607</v>
      </c>
      <c r="B5211" t="s">
        <v>6157</v>
      </c>
      <c r="F5211" t="s">
        <v>17580</v>
      </c>
      <c r="G5211" t="s">
        <v>12641</v>
      </c>
    </row>
    <row r="5212" spans="1:7" hidden="1" x14ac:dyDescent="0.25">
      <c r="A5212" t="s">
        <v>1273</v>
      </c>
      <c r="B5212" t="s">
        <v>70</v>
      </c>
      <c r="E5212" t="s">
        <v>4390</v>
      </c>
      <c r="F5212" t="s">
        <v>17583</v>
      </c>
      <c r="G5212" t="s">
        <v>12641</v>
      </c>
    </row>
    <row r="5213" spans="1:7" hidden="1" x14ac:dyDescent="0.25">
      <c r="A5213" t="s">
        <v>4</v>
      </c>
      <c r="B5213" t="s">
        <v>468</v>
      </c>
      <c r="F5213" t="s">
        <v>17586</v>
      </c>
      <c r="G5213" t="s">
        <v>12641</v>
      </c>
    </row>
    <row r="5214" spans="1:7" hidden="1" x14ac:dyDescent="0.25">
      <c r="A5214" t="s">
        <v>1607</v>
      </c>
      <c r="B5214" t="s">
        <v>6157</v>
      </c>
      <c r="F5214" t="s">
        <v>17589</v>
      </c>
      <c r="G5214" t="s">
        <v>12641</v>
      </c>
    </row>
    <row r="5215" spans="1:7" hidden="1" x14ac:dyDescent="0.25">
      <c r="A5215" t="s">
        <v>4</v>
      </c>
      <c r="B5215" t="s">
        <v>17901</v>
      </c>
      <c r="F5215" t="s">
        <v>17592</v>
      </c>
      <c r="G5215" t="s">
        <v>12641</v>
      </c>
    </row>
    <row r="5216" spans="1:7" hidden="1" x14ac:dyDescent="0.25">
      <c r="A5216" t="s">
        <v>4</v>
      </c>
      <c r="B5216" t="s">
        <v>17902</v>
      </c>
      <c r="F5216" t="s">
        <v>17595</v>
      </c>
      <c r="G5216" t="s">
        <v>12641</v>
      </c>
    </row>
    <row r="5217" spans="1:7" hidden="1" x14ac:dyDescent="0.25">
      <c r="A5217" t="s">
        <v>1607</v>
      </c>
      <c r="B5217" t="s">
        <v>6157</v>
      </c>
      <c r="F5217" t="s">
        <v>17598</v>
      </c>
      <c r="G5217" t="s">
        <v>12641</v>
      </c>
    </row>
    <row r="5218" spans="1:7" hidden="1" x14ac:dyDescent="0.25">
      <c r="A5218" t="s">
        <v>4</v>
      </c>
      <c r="B5218" t="s">
        <v>17903</v>
      </c>
      <c r="F5218" t="s">
        <v>17601</v>
      </c>
      <c r="G5218" t="s">
        <v>12641</v>
      </c>
    </row>
    <row r="5219" spans="1:7" hidden="1" x14ac:dyDescent="0.25">
      <c r="A5219" t="s">
        <v>4</v>
      </c>
      <c r="B5219" t="s">
        <v>17904</v>
      </c>
      <c r="F5219" t="s">
        <v>17604</v>
      </c>
      <c r="G5219" t="s">
        <v>12641</v>
      </c>
    </row>
    <row r="5220" spans="1:7" hidden="1" x14ac:dyDescent="0.25">
      <c r="A5220" t="s">
        <v>4</v>
      </c>
      <c r="B5220" t="s">
        <v>17905</v>
      </c>
      <c r="F5220" t="s">
        <v>17607</v>
      </c>
      <c r="G5220" t="s">
        <v>12641</v>
      </c>
    </row>
    <row r="5221" spans="1:7" hidden="1" x14ac:dyDescent="0.25">
      <c r="A5221" t="s">
        <v>4</v>
      </c>
      <c r="B5221" t="s">
        <v>17906</v>
      </c>
      <c r="F5221" t="s">
        <v>17610</v>
      </c>
      <c r="G5221" t="s">
        <v>12641</v>
      </c>
    </row>
    <row r="5222" spans="1:7" hidden="1" x14ac:dyDescent="0.25">
      <c r="A5222" t="s">
        <v>4</v>
      </c>
      <c r="B5222" t="s">
        <v>17901</v>
      </c>
      <c r="F5222" t="s">
        <v>17613</v>
      </c>
      <c r="G5222" t="s">
        <v>12641</v>
      </c>
    </row>
    <row r="5223" spans="1:7" hidden="1" x14ac:dyDescent="0.25">
      <c r="A5223" t="s">
        <v>1607</v>
      </c>
      <c r="B5223" t="s">
        <v>6157</v>
      </c>
      <c r="F5223" t="s">
        <v>17616</v>
      </c>
      <c r="G5223" t="s">
        <v>12641</v>
      </c>
    </row>
    <row r="5224" spans="1:7" hidden="1" x14ac:dyDescent="0.25">
      <c r="A5224" t="s">
        <v>1607</v>
      </c>
      <c r="B5224" t="s">
        <v>6157</v>
      </c>
      <c r="F5224" t="s">
        <v>17619</v>
      </c>
      <c r="G5224" t="s">
        <v>12641</v>
      </c>
    </row>
    <row r="5225" spans="1:7" hidden="1" x14ac:dyDescent="0.25">
      <c r="A5225" t="s">
        <v>4</v>
      </c>
      <c r="B5225" t="s">
        <v>9</v>
      </c>
      <c r="F5225" t="s">
        <v>17622</v>
      </c>
      <c r="G5225" t="s">
        <v>12642</v>
      </c>
    </row>
    <row r="5226" spans="1:7" hidden="1" x14ac:dyDescent="0.25">
      <c r="A5226" t="s">
        <v>1607</v>
      </c>
      <c r="B5226" t="s">
        <v>9</v>
      </c>
      <c r="F5226" t="s">
        <v>17625</v>
      </c>
      <c r="G5226" t="s">
        <v>12642</v>
      </c>
    </row>
    <row r="5227" spans="1:7" hidden="1" x14ac:dyDescent="0.25">
      <c r="A5227" t="s">
        <v>1607</v>
      </c>
      <c r="B5227" t="s">
        <v>9</v>
      </c>
      <c r="F5227" t="s">
        <v>17628</v>
      </c>
      <c r="G5227" t="s">
        <v>12642</v>
      </c>
    </row>
    <row r="5228" spans="1:7" hidden="1" x14ac:dyDescent="0.25">
      <c r="A5228" t="s">
        <v>4</v>
      </c>
      <c r="B5228" t="s">
        <v>8</v>
      </c>
      <c r="F5228" t="s">
        <v>17631</v>
      </c>
      <c r="G5228" t="s">
        <v>12643</v>
      </c>
    </row>
    <row r="5229" spans="1:7" hidden="1" x14ac:dyDescent="0.25">
      <c r="A5229" t="s">
        <v>16677</v>
      </c>
      <c r="B5229" t="s">
        <v>1274</v>
      </c>
      <c r="F5229" t="s">
        <v>17634</v>
      </c>
      <c r="G5229" t="s">
        <v>12643</v>
      </c>
    </row>
    <row r="5230" spans="1:7" hidden="1" x14ac:dyDescent="0.25">
      <c r="A5230" t="s">
        <v>1273</v>
      </c>
      <c r="B5230" t="s">
        <v>70</v>
      </c>
      <c r="E5230" t="s">
        <v>17907</v>
      </c>
      <c r="F5230" t="s">
        <v>17637</v>
      </c>
      <c r="G5230" t="s">
        <v>12643</v>
      </c>
    </row>
    <row r="5231" spans="1:7" hidden="1" x14ac:dyDescent="0.25">
      <c r="A5231" t="s">
        <v>10572</v>
      </c>
      <c r="B5231" t="s">
        <v>70</v>
      </c>
      <c r="F5231" t="s">
        <v>17640</v>
      </c>
      <c r="G5231" t="s">
        <v>12643</v>
      </c>
    </row>
    <row r="5232" spans="1:7" hidden="1" x14ac:dyDescent="0.25">
      <c r="A5232" t="s">
        <v>4</v>
      </c>
      <c r="B5232" t="s">
        <v>70</v>
      </c>
      <c r="E5232" t="s">
        <v>17908</v>
      </c>
      <c r="F5232" t="s">
        <v>17643</v>
      </c>
      <c r="G5232" t="s">
        <v>12643</v>
      </c>
    </row>
    <row r="5233" spans="1:7" hidden="1" x14ac:dyDescent="0.25">
      <c r="A5233" t="s">
        <v>10572</v>
      </c>
      <c r="B5233" t="s">
        <v>70</v>
      </c>
      <c r="F5233" t="s">
        <v>17646</v>
      </c>
      <c r="G5233" t="s">
        <v>12643</v>
      </c>
    </row>
    <row r="5234" spans="1:7" hidden="1" x14ac:dyDescent="0.25">
      <c r="A5234" t="s">
        <v>4</v>
      </c>
      <c r="B5234" t="s">
        <v>70</v>
      </c>
      <c r="E5234" t="s">
        <v>17908</v>
      </c>
      <c r="F5234" t="s">
        <v>17649</v>
      </c>
      <c r="G5234" t="s">
        <v>12643</v>
      </c>
    </row>
    <row r="5235" spans="1:7" hidden="1" x14ac:dyDescent="0.25">
      <c r="A5235" t="s">
        <v>4</v>
      </c>
      <c r="B5235" t="s">
        <v>7068</v>
      </c>
      <c r="F5235" t="s">
        <v>17652</v>
      </c>
      <c r="G5235" t="s">
        <v>12643</v>
      </c>
    </row>
    <row r="5236" spans="1:7" hidden="1" x14ac:dyDescent="0.25">
      <c r="A5236" t="s">
        <v>17910</v>
      </c>
      <c r="F5236" t="s">
        <v>17655</v>
      </c>
      <c r="G5236" t="s">
        <v>12643</v>
      </c>
    </row>
    <row r="5237" spans="1:7" hidden="1" x14ac:dyDescent="0.25">
      <c r="A5237" t="s">
        <v>4</v>
      </c>
      <c r="B5237" t="s">
        <v>8</v>
      </c>
      <c r="F5237" t="s">
        <v>17658</v>
      </c>
      <c r="G5237" t="s">
        <v>12643</v>
      </c>
    </row>
    <row r="5238" spans="1:7" hidden="1" x14ac:dyDescent="0.25">
      <c r="A5238" t="s">
        <v>4</v>
      </c>
      <c r="B5238" t="s">
        <v>8</v>
      </c>
      <c r="F5238" t="s">
        <v>17661</v>
      </c>
      <c r="G5238" t="s">
        <v>12644</v>
      </c>
    </row>
    <row r="5239" spans="1:7" hidden="1" x14ac:dyDescent="0.25">
      <c r="A5239" t="s">
        <v>226</v>
      </c>
      <c r="B5239" t="s">
        <v>70</v>
      </c>
      <c r="C5239" t="s">
        <v>2345</v>
      </c>
      <c r="F5239" t="s">
        <v>17664</v>
      </c>
      <c r="G5239" t="s">
        <v>12644</v>
      </c>
    </row>
    <row r="5240" spans="1:7" hidden="1" x14ac:dyDescent="0.25">
      <c r="A5240" t="s">
        <v>226</v>
      </c>
      <c r="B5240" t="s">
        <v>70</v>
      </c>
      <c r="C5240" t="s">
        <v>2345</v>
      </c>
      <c r="E5240" t="s">
        <v>2352</v>
      </c>
      <c r="F5240" t="s">
        <v>17667</v>
      </c>
      <c r="G5240" t="s">
        <v>12644</v>
      </c>
    </row>
    <row r="5241" spans="1:7" hidden="1" x14ac:dyDescent="0.25">
      <c r="A5241" t="s">
        <v>226</v>
      </c>
      <c r="B5241" t="s">
        <v>70</v>
      </c>
      <c r="C5241" t="s">
        <v>2345</v>
      </c>
      <c r="E5241" t="s">
        <v>2352</v>
      </c>
      <c r="F5241" t="s">
        <v>17670</v>
      </c>
      <c r="G5241" t="s">
        <v>12644</v>
      </c>
    </row>
    <row r="5242" spans="1:7" hidden="1" x14ac:dyDescent="0.25">
      <c r="A5242" t="s">
        <v>226</v>
      </c>
      <c r="B5242" t="s">
        <v>70</v>
      </c>
      <c r="C5242" t="s">
        <v>2345</v>
      </c>
      <c r="E5242" t="s">
        <v>2352</v>
      </c>
      <c r="F5242" t="s">
        <v>17673</v>
      </c>
      <c r="G5242" t="s">
        <v>12644</v>
      </c>
    </row>
    <row r="5243" spans="1:7" hidden="1" x14ac:dyDescent="0.25">
      <c r="A5243" t="s">
        <v>226</v>
      </c>
      <c r="B5243" t="s">
        <v>70</v>
      </c>
      <c r="C5243" t="s">
        <v>2345</v>
      </c>
      <c r="E5243" t="s">
        <v>2352</v>
      </c>
      <c r="F5243" t="s">
        <v>17676</v>
      </c>
      <c r="G5243" t="s">
        <v>12644</v>
      </c>
    </row>
    <row r="5244" spans="1:7" hidden="1" x14ac:dyDescent="0.25">
      <c r="A5244" t="s">
        <v>226</v>
      </c>
      <c r="B5244" t="s">
        <v>70</v>
      </c>
      <c r="C5244" t="s">
        <v>2345</v>
      </c>
      <c r="E5244" t="s">
        <v>2352</v>
      </c>
      <c r="F5244" t="s">
        <v>17679</v>
      </c>
      <c r="G5244" t="s">
        <v>12644</v>
      </c>
    </row>
    <row r="5245" spans="1:7" hidden="1" x14ac:dyDescent="0.25">
      <c r="A5245" t="s">
        <v>226</v>
      </c>
      <c r="B5245" t="s">
        <v>70</v>
      </c>
      <c r="C5245" t="s">
        <v>2345</v>
      </c>
      <c r="E5245" t="s">
        <v>2352</v>
      </c>
      <c r="F5245" t="s">
        <v>17682</v>
      </c>
      <c r="G5245" t="s">
        <v>12644</v>
      </c>
    </row>
    <row r="5246" spans="1:7" hidden="1" x14ac:dyDescent="0.25">
      <c r="A5246" t="s">
        <v>226</v>
      </c>
      <c r="B5246" t="s">
        <v>70</v>
      </c>
      <c r="C5246" t="s">
        <v>2345</v>
      </c>
      <c r="E5246" t="s">
        <v>2352</v>
      </c>
      <c r="F5246" t="s">
        <v>17685</v>
      </c>
      <c r="G5246" t="s">
        <v>12644</v>
      </c>
    </row>
    <row r="5247" spans="1:7" hidden="1" x14ac:dyDescent="0.25">
      <c r="A5247" t="s">
        <v>226</v>
      </c>
      <c r="B5247" t="s">
        <v>70</v>
      </c>
      <c r="C5247" t="s">
        <v>2345</v>
      </c>
      <c r="E5247" t="s">
        <v>2352</v>
      </c>
      <c r="F5247" t="s">
        <v>17688</v>
      </c>
      <c r="G5247" t="s">
        <v>12644</v>
      </c>
    </row>
    <row r="5248" spans="1:7" hidden="1" x14ac:dyDescent="0.25">
      <c r="A5248" t="s">
        <v>3397</v>
      </c>
      <c r="B5248" t="s">
        <v>70</v>
      </c>
      <c r="F5248" t="s">
        <v>17691</v>
      </c>
      <c r="G5248" t="s">
        <v>12644</v>
      </c>
    </row>
    <row r="5249" spans="1:7" hidden="1" x14ac:dyDescent="0.25">
      <c r="A5249" t="s">
        <v>587</v>
      </c>
      <c r="B5249" t="s">
        <v>70</v>
      </c>
      <c r="F5249" t="s">
        <v>17694</v>
      </c>
      <c r="G5249" t="s">
        <v>12644</v>
      </c>
    </row>
    <row r="5250" spans="1:7" hidden="1" x14ac:dyDescent="0.25">
      <c r="A5250" t="s">
        <v>588</v>
      </c>
      <c r="B5250" t="s">
        <v>86</v>
      </c>
      <c r="F5250" t="s">
        <v>17697</v>
      </c>
      <c r="G5250" t="s">
        <v>12644</v>
      </c>
    </row>
    <row r="5251" spans="1:7" hidden="1" x14ac:dyDescent="0.25">
      <c r="A5251" t="s">
        <v>4</v>
      </c>
      <c r="B5251" t="s">
        <v>8</v>
      </c>
      <c r="F5251" t="s">
        <v>17700</v>
      </c>
      <c r="G5251" t="s">
        <v>12644</v>
      </c>
    </row>
    <row r="5252" spans="1:7" hidden="1" x14ac:dyDescent="0.25">
      <c r="A5252" t="s">
        <v>4</v>
      </c>
      <c r="B5252" t="s">
        <v>8</v>
      </c>
      <c r="F5252" t="s">
        <v>17703</v>
      </c>
      <c r="G5252" t="s">
        <v>1537</v>
      </c>
    </row>
    <row r="5253" spans="1:7" hidden="1" x14ac:dyDescent="0.25">
      <c r="A5253" t="s">
        <v>1539</v>
      </c>
      <c r="F5253" t="s">
        <v>17706</v>
      </c>
      <c r="G5253" t="s">
        <v>1537</v>
      </c>
    </row>
    <row r="5254" spans="1:7" hidden="1" x14ac:dyDescent="0.25">
      <c r="A5254" t="s">
        <v>4</v>
      </c>
      <c r="B5254" t="s">
        <v>8</v>
      </c>
      <c r="F5254" t="s">
        <v>17709</v>
      </c>
      <c r="G5254" t="s">
        <v>1537</v>
      </c>
    </row>
    <row r="5255" spans="1:7" hidden="1" x14ac:dyDescent="0.25">
      <c r="A5255" t="s">
        <v>4</v>
      </c>
      <c r="B5255" t="s">
        <v>17911</v>
      </c>
      <c r="F5255" t="s">
        <v>17712</v>
      </c>
      <c r="G5255" t="s">
        <v>1537</v>
      </c>
    </row>
    <row r="5256" spans="1:7" hidden="1" x14ac:dyDescent="0.25">
      <c r="A5256" t="s">
        <v>4</v>
      </c>
      <c r="B5256" t="s">
        <v>17911</v>
      </c>
      <c r="F5256" t="s">
        <v>17715</v>
      </c>
      <c r="G5256" t="s">
        <v>1537</v>
      </c>
    </row>
    <row r="5257" spans="1:7" hidden="1" x14ac:dyDescent="0.25">
      <c r="A5257" t="s">
        <v>4</v>
      </c>
      <c r="B5257" t="s">
        <v>17911</v>
      </c>
      <c r="F5257" t="s">
        <v>17718</v>
      </c>
      <c r="G5257" t="s">
        <v>1537</v>
      </c>
    </row>
    <row r="5258" spans="1:7" hidden="1" x14ac:dyDescent="0.25">
      <c r="A5258" t="s">
        <v>4</v>
      </c>
      <c r="B5258" t="s">
        <v>17911</v>
      </c>
      <c r="F5258" t="s">
        <v>17721</v>
      </c>
      <c r="G5258" t="s">
        <v>1537</v>
      </c>
    </row>
    <row r="5259" spans="1:7" hidden="1" x14ac:dyDescent="0.25">
      <c r="A5259" t="s">
        <v>4</v>
      </c>
      <c r="B5259" t="s">
        <v>17911</v>
      </c>
      <c r="F5259" t="s">
        <v>17724</v>
      </c>
      <c r="G5259" t="s">
        <v>1537</v>
      </c>
    </row>
    <row r="5260" spans="1:7" hidden="1" x14ac:dyDescent="0.25">
      <c r="A5260" t="s">
        <v>4</v>
      </c>
      <c r="B5260" t="s">
        <v>8</v>
      </c>
      <c r="F5260" t="s">
        <v>17727</v>
      </c>
      <c r="G5260" t="s">
        <v>1600</v>
      </c>
    </row>
    <row r="5261" spans="1:7" hidden="1" x14ac:dyDescent="0.25">
      <c r="A5261" t="s">
        <v>1607</v>
      </c>
      <c r="B5261" t="s">
        <v>8</v>
      </c>
      <c r="F5261" t="s">
        <v>17730</v>
      </c>
      <c r="G5261" t="s">
        <v>1600</v>
      </c>
    </row>
    <row r="5262" spans="1:7" hidden="1" x14ac:dyDescent="0.25">
      <c r="A5262" t="s">
        <v>4</v>
      </c>
      <c r="B5262" t="s">
        <v>8</v>
      </c>
      <c r="F5262" t="s">
        <v>17733</v>
      </c>
      <c r="G5262" t="s">
        <v>10022</v>
      </c>
    </row>
    <row r="5263" spans="1:7" hidden="1" x14ac:dyDescent="0.25">
      <c r="A5263" t="s">
        <v>91</v>
      </c>
      <c r="B5263" t="s">
        <v>17898</v>
      </c>
      <c r="F5263" t="s">
        <v>17736</v>
      </c>
      <c r="G5263" t="s">
        <v>10022</v>
      </c>
    </row>
    <row r="5264" spans="1:7" hidden="1" x14ac:dyDescent="0.25">
      <c r="A5264" t="s">
        <v>1607</v>
      </c>
      <c r="B5264" t="s">
        <v>8</v>
      </c>
      <c r="F5264" t="s">
        <v>17739</v>
      </c>
      <c r="G5264" t="s">
        <v>10022</v>
      </c>
    </row>
    <row r="5265" spans="1:7" hidden="1" x14ac:dyDescent="0.25">
      <c r="A5265" t="s">
        <v>17912</v>
      </c>
      <c r="B5265" t="s">
        <v>468</v>
      </c>
      <c r="F5265" t="s">
        <v>17742</v>
      </c>
      <c r="G5265" t="s">
        <v>11078</v>
      </c>
    </row>
    <row r="5266" spans="1:7" hidden="1" x14ac:dyDescent="0.25">
      <c r="A5266" t="s">
        <v>17912</v>
      </c>
      <c r="B5266" t="s">
        <v>468</v>
      </c>
      <c r="F5266" t="s">
        <v>17745</v>
      </c>
      <c r="G5266" t="s">
        <v>11078</v>
      </c>
    </row>
    <row r="5267" spans="1:7" hidden="1" x14ac:dyDescent="0.25">
      <c r="A5267" t="s">
        <v>17912</v>
      </c>
      <c r="B5267" t="s">
        <v>468</v>
      </c>
      <c r="F5267" t="s">
        <v>17748</v>
      </c>
      <c r="G5267" t="s">
        <v>11078</v>
      </c>
    </row>
    <row r="5268" spans="1:7" hidden="1" x14ac:dyDescent="0.25">
      <c r="A5268" t="s">
        <v>17912</v>
      </c>
      <c r="B5268" t="s">
        <v>468</v>
      </c>
      <c r="F5268" t="s">
        <v>17751</v>
      </c>
      <c r="G5268" t="s">
        <v>11078</v>
      </c>
    </row>
    <row r="5269" spans="1:7" hidden="1" x14ac:dyDescent="0.25">
      <c r="A5269" t="s">
        <v>226</v>
      </c>
      <c r="B5269" t="s">
        <v>70</v>
      </c>
      <c r="C5269" t="s">
        <v>2377</v>
      </c>
      <c r="F5269" t="s">
        <v>17754</v>
      </c>
      <c r="G5269" t="s">
        <v>11078</v>
      </c>
    </row>
    <row r="5270" spans="1:7" hidden="1" x14ac:dyDescent="0.25">
      <c r="A5270" t="s">
        <v>226</v>
      </c>
      <c r="B5270" t="s">
        <v>70</v>
      </c>
      <c r="C5270" t="s">
        <v>2377</v>
      </c>
      <c r="E5270" t="s">
        <v>2352</v>
      </c>
      <c r="F5270" t="s">
        <v>17757</v>
      </c>
      <c r="G5270" t="s">
        <v>11078</v>
      </c>
    </row>
    <row r="5271" spans="1:7" hidden="1" x14ac:dyDescent="0.25">
      <c r="A5271" t="s">
        <v>226</v>
      </c>
      <c r="B5271" t="s">
        <v>70</v>
      </c>
      <c r="C5271" t="s">
        <v>2377</v>
      </c>
      <c r="E5271" t="s">
        <v>2352</v>
      </c>
      <c r="F5271" t="s">
        <v>17760</v>
      </c>
      <c r="G5271" t="s">
        <v>11078</v>
      </c>
    </row>
    <row r="5272" spans="1:7" hidden="1" x14ac:dyDescent="0.25">
      <c r="A5272" t="s">
        <v>226</v>
      </c>
      <c r="B5272" t="s">
        <v>70</v>
      </c>
      <c r="C5272" t="s">
        <v>2377</v>
      </c>
      <c r="E5272" t="s">
        <v>2352</v>
      </c>
      <c r="F5272" t="s">
        <v>17763</v>
      </c>
      <c r="G5272" t="s">
        <v>11078</v>
      </c>
    </row>
    <row r="5273" spans="1:7" hidden="1" x14ac:dyDescent="0.25">
      <c r="A5273" t="s">
        <v>226</v>
      </c>
      <c r="B5273" t="s">
        <v>70</v>
      </c>
      <c r="C5273" t="s">
        <v>2377</v>
      </c>
      <c r="E5273" t="s">
        <v>2352</v>
      </c>
      <c r="F5273" t="s">
        <v>17766</v>
      </c>
      <c r="G5273" t="s">
        <v>11078</v>
      </c>
    </row>
    <row r="5274" spans="1:7" hidden="1" x14ac:dyDescent="0.25">
      <c r="A5274" t="s">
        <v>226</v>
      </c>
      <c r="B5274" t="s">
        <v>70</v>
      </c>
      <c r="C5274" t="s">
        <v>2377</v>
      </c>
      <c r="E5274" t="s">
        <v>2352</v>
      </c>
      <c r="F5274" t="s">
        <v>17769</v>
      </c>
      <c r="G5274" t="s">
        <v>11078</v>
      </c>
    </row>
    <row r="5275" spans="1:7" hidden="1" x14ac:dyDescent="0.25">
      <c r="A5275" t="s">
        <v>226</v>
      </c>
      <c r="B5275" t="s">
        <v>70</v>
      </c>
      <c r="C5275" t="s">
        <v>2377</v>
      </c>
      <c r="E5275" t="s">
        <v>2352</v>
      </c>
      <c r="F5275" t="s">
        <v>17772</v>
      </c>
      <c r="G5275" t="s">
        <v>11078</v>
      </c>
    </row>
    <row r="5276" spans="1:7" hidden="1" x14ac:dyDescent="0.25">
      <c r="A5276" t="s">
        <v>226</v>
      </c>
      <c r="B5276" t="s">
        <v>70</v>
      </c>
      <c r="C5276" t="s">
        <v>2377</v>
      </c>
      <c r="E5276" t="s">
        <v>2352</v>
      </c>
      <c r="F5276" t="s">
        <v>17775</v>
      </c>
      <c r="G5276" t="s">
        <v>11078</v>
      </c>
    </row>
    <row r="5277" spans="1:7" hidden="1" x14ac:dyDescent="0.25">
      <c r="A5277" t="s">
        <v>226</v>
      </c>
      <c r="B5277" t="s">
        <v>70</v>
      </c>
      <c r="C5277" t="s">
        <v>2377</v>
      </c>
      <c r="E5277" t="s">
        <v>2352</v>
      </c>
      <c r="F5277" t="s">
        <v>17778</v>
      </c>
      <c r="G5277" t="s">
        <v>11078</v>
      </c>
    </row>
    <row r="5278" spans="1:7" hidden="1" x14ac:dyDescent="0.25">
      <c r="A5278" t="s">
        <v>226</v>
      </c>
      <c r="B5278" t="s">
        <v>70</v>
      </c>
      <c r="C5278" t="s">
        <v>2377</v>
      </c>
      <c r="E5278" t="s">
        <v>2352</v>
      </c>
      <c r="F5278" t="s">
        <v>17781</v>
      </c>
      <c r="G5278" t="s">
        <v>11078</v>
      </c>
    </row>
    <row r="5279" spans="1:7" hidden="1" x14ac:dyDescent="0.25">
      <c r="A5279" t="s">
        <v>3397</v>
      </c>
      <c r="B5279" t="s">
        <v>70</v>
      </c>
      <c r="F5279" t="s">
        <v>17784</v>
      </c>
      <c r="G5279" t="s">
        <v>11078</v>
      </c>
    </row>
    <row r="5280" spans="1:7" hidden="1" x14ac:dyDescent="0.25">
      <c r="A5280" t="s">
        <v>587</v>
      </c>
      <c r="B5280" t="s">
        <v>70</v>
      </c>
      <c r="F5280" t="s">
        <v>17787</v>
      </c>
      <c r="G5280" t="s">
        <v>11078</v>
      </c>
    </row>
    <row r="5281" spans="1:7" hidden="1" x14ac:dyDescent="0.25">
      <c r="A5281" t="s">
        <v>17909</v>
      </c>
      <c r="B5281" t="s">
        <v>1274</v>
      </c>
      <c r="F5281" t="s">
        <v>17790</v>
      </c>
      <c r="G5281" t="s">
        <v>11078</v>
      </c>
    </row>
    <row r="5282" spans="1:7" hidden="1" x14ac:dyDescent="0.25">
      <c r="A5282" t="s">
        <v>17909</v>
      </c>
      <c r="B5282" t="s">
        <v>1274</v>
      </c>
      <c r="F5282" t="s">
        <v>17793</v>
      </c>
      <c r="G5282" t="s">
        <v>11078</v>
      </c>
    </row>
    <row r="5283" spans="1:7" hidden="1" x14ac:dyDescent="0.25">
      <c r="A5283" t="s">
        <v>17909</v>
      </c>
      <c r="B5283" t="s">
        <v>1274</v>
      </c>
      <c r="F5283" t="s">
        <v>17796</v>
      </c>
      <c r="G5283" t="s">
        <v>11078</v>
      </c>
    </row>
    <row r="5284" spans="1:7" hidden="1" x14ac:dyDescent="0.25">
      <c r="A5284" t="s">
        <v>4</v>
      </c>
      <c r="B5284" t="s">
        <v>11080</v>
      </c>
      <c r="F5284" t="s">
        <v>17799</v>
      </c>
      <c r="G5284" t="s">
        <v>11079</v>
      </c>
    </row>
    <row r="5285" spans="1:7" hidden="1" x14ac:dyDescent="0.25">
      <c r="A5285" t="s">
        <v>4</v>
      </c>
      <c r="B5285" t="s">
        <v>1274</v>
      </c>
      <c r="F5285" t="s">
        <v>17802</v>
      </c>
      <c r="G5285" t="s">
        <v>11079</v>
      </c>
    </row>
    <row r="5286" spans="1:7" hidden="1" x14ac:dyDescent="0.25">
      <c r="A5286" t="s">
        <v>4</v>
      </c>
      <c r="B5286" t="s">
        <v>468</v>
      </c>
      <c r="F5286" t="s">
        <v>17805</v>
      </c>
      <c r="G5286" t="s">
        <v>11079</v>
      </c>
    </row>
    <row r="5287" spans="1:7" hidden="1" x14ac:dyDescent="0.25">
      <c r="A5287" t="s">
        <v>17913</v>
      </c>
      <c r="F5287" t="s">
        <v>17808</v>
      </c>
      <c r="G5287" t="s">
        <v>11079</v>
      </c>
    </row>
    <row r="5288" spans="1:7" hidden="1" x14ac:dyDescent="0.25">
      <c r="A5288" t="s">
        <v>17913</v>
      </c>
      <c r="F5288" t="s">
        <v>17811</v>
      </c>
      <c r="G5288" t="s">
        <v>11079</v>
      </c>
    </row>
    <row r="5289" spans="1:7" hidden="1" x14ac:dyDescent="0.25">
      <c r="A5289" t="s">
        <v>4</v>
      </c>
      <c r="B5289" t="s">
        <v>11080</v>
      </c>
      <c r="F5289" t="s">
        <v>17814</v>
      </c>
      <c r="G5289" t="s">
        <v>11079</v>
      </c>
    </row>
    <row r="5290" spans="1:7" hidden="1" x14ac:dyDescent="0.25">
      <c r="A5290" t="s">
        <v>16689</v>
      </c>
      <c r="B5290" t="s">
        <v>1274</v>
      </c>
      <c r="F5290" t="s">
        <v>17817</v>
      </c>
      <c r="G5290" t="s">
        <v>11079</v>
      </c>
    </row>
    <row r="5291" spans="1:7" hidden="1" x14ac:dyDescent="0.25">
      <c r="A5291" t="s">
        <v>16689</v>
      </c>
      <c r="B5291" t="s">
        <v>1274</v>
      </c>
      <c r="F5291" t="s">
        <v>17820</v>
      </c>
      <c r="G5291" t="s">
        <v>11079</v>
      </c>
    </row>
    <row r="5292" spans="1:7" hidden="1" x14ac:dyDescent="0.25">
      <c r="A5292" t="s">
        <v>16689</v>
      </c>
      <c r="B5292" t="s">
        <v>1274</v>
      </c>
      <c r="F5292" t="s">
        <v>17822</v>
      </c>
      <c r="G5292" t="s">
        <v>11079</v>
      </c>
    </row>
    <row r="5293" spans="1:7" hidden="1" x14ac:dyDescent="0.25">
      <c r="A5293" t="s">
        <v>16689</v>
      </c>
      <c r="B5293" t="s">
        <v>1274</v>
      </c>
      <c r="F5293" t="s">
        <v>17825</v>
      </c>
      <c r="G5293" t="s">
        <v>11079</v>
      </c>
    </row>
    <row r="5294" spans="1:7" hidden="1" x14ac:dyDescent="0.25">
      <c r="A5294" t="s">
        <v>16689</v>
      </c>
      <c r="B5294" t="s">
        <v>1274</v>
      </c>
      <c r="F5294" t="s">
        <v>17828</v>
      </c>
      <c r="G5294" t="s">
        <v>11079</v>
      </c>
    </row>
    <row r="5295" spans="1:7" hidden="1" x14ac:dyDescent="0.25">
      <c r="A5295" t="s">
        <v>16689</v>
      </c>
      <c r="B5295" t="s">
        <v>1274</v>
      </c>
      <c r="F5295" t="s">
        <v>17831</v>
      </c>
      <c r="G5295" t="s">
        <v>11079</v>
      </c>
    </row>
    <row r="5296" spans="1:7" hidden="1" x14ac:dyDescent="0.25">
      <c r="A5296" t="s">
        <v>4</v>
      </c>
      <c r="B5296" t="s">
        <v>17914</v>
      </c>
      <c r="F5296" t="s">
        <v>17834</v>
      </c>
      <c r="G5296" t="s">
        <v>11079</v>
      </c>
    </row>
    <row r="5297" spans="1:7" x14ac:dyDescent="0.25">
      <c r="A5297" t="s">
        <v>4</v>
      </c>
      <c r="B5297" t="s">
        <v>8</v>
      </c>
      <c r="F5297" t="s">
        <v>17837</v>
      </c>
      <c r="G5297" t="s">
        <v>11082</v>
      </c>
    </row>
    <row r="5298" spans="1:7" x14ac:dyDescent="0.25">
      <c r="A5298" t="s">
        <v>588</v>
      </c>
      <c r="B5298" t="s">
        <v>86</v>
      </c>
      <c r="F5298" t="s">
        <v>17840</v>
      </c>
      <c r="G5298" t="s">
        <v>11082</v>
      </c>
    </row>
    <row r="5299" spans="1:7" x14ac:dyDescent="0.25">
      <c r="A5299" t="s">
        <v>4921</v>
      </c>
      <c r="B5299" t="s">
        <v>11066</v>
      </c>
      <c r="F5299" t="s">
        <v>17843</v>
      </c>
      <c r="G5299" t="s">
        <v>11082</v>
      </c>
    </row>
    <row r="5300" spans="1:7" x14ac:dyDescent="0.25">
      <c r="A5300" t="s">
        <v>4</v>
      </c>
      <c r="B5300" t="s">
        <v>17915</v>
      </c>
      <c r="F5300" t="s">
        <v>17846</v>
      </c>
      <c r="G5300" t="s">
        <v>11082</v>
      </c>
    </row>
    <row r="5301" spans="1:7" x14ac:dyDescent="0.25">
      <c r="A5301" t="s">
        <v>4</v>
      </c>
      <c r="B5301" t="s">
        <v>17915</v>
      </c>
      <c r="F5301" t="s">
        <v>17849</v>
      </c>
      <c r="G5301" t="s">
        <v>11082</v>
      </c>
    </row>
    <row r="5302" spans="1:7" x14ac:dyDescent="0.25">
      <c r="A5302" t="s">
        <v>17489</v>
      </c>
      <c r="B5302" t="s">
        <v>11066</v>
      </c>
      <c r="F5302" t="s">
        <v>17852</v>
      </c>
      <c r="G5302" t="s">
        <v>11082</v>
      </c>
    </row>
    <row r="5303" spans="1:7" x14ac:dyDescent="0.25">
      <c r="A5303" t="s">
        <v>587</v>
      </c>
      <c r="B5303" t="s">
        <v>70</v>
      </c>
      <c r="C5303" t="s">
        <v>17900</v>
      </c>
      <c r="F5303" t="s">
        <v>17855</v>
      </c>
      <c r="G5303" t="s">
        <v>11082</v>
      </c>
    </row>
    <row r="5304" spans="1:7" x14ac:dyDescent="0.25">
      <c r="A5304" t="s">
        <v>4</v>
      </c>
      <c r="B5304" t="s">
        <v>17916</v>
      </c>
      <c r="F5304" t="s">
        <v>17858</v>
      </c>
      <c r="G5304" t="s">
        <v>11082</v>
      </c>
    </row>
    <row r="5305" spans="1:7" x14ac:dyDescent="0.25">
      <c r="A5305" t="s">
        <v>137</v>
      </c>
      <c r="B5305" t="s">
        <v>17898</v>
      </c>
      <c r="F5305" t="s">
        <v>17861</v>
      </c>
      <c r="G5305" t="s">
        <v>11082</v>
      </c>
    </row>
    <row r="5306" spans="1:7" x14ac:dyDescent="0.25">
      <c r="A5306" t="s">
        <v>588</v>
      </c>
      <c r="B5306" t="s">
        <v>86</v>
      </c>
      <c r="F5306" t="s">
        <v>17864</v>
      </c>
      <c r="G5306" t="s">
        <v>11082</v>
      </c>
    </row>
    <row r="5307" spans="1:7" x14ac:dyDescent="0.25">
      <c r="A5307" t="s">
        <v>588</v>
      </c>
      <c r="B5307" t="s">
        <v>86</v>
      </c>
      <c r="F5307" t="s">
        <v>17867</v>
      </c>
      <c r="G5307" t="s">
        <v>11082</v>
      </c>
    </row>
    <row r="5308" spans="1:7" x14ac:dyDescent="0.25">
      <c r="A5308" t="s">
        <v>588</v>
      </c>
      <c r="B5308" t="s">
        <v>86</v>
      </c>
      <c r="F5308" t="s">
        <v>17870</v>
      </c>
      <c r="G5308" t="s">
        <v>11082</v>
      </c>
    </row>
    <row r="5309" spans="1:7" x14ac:dyDescent="0.25">
      <c r="A5309" t="s">
        <v>588</v>
      </c>
      <c r="B5309" t="s">
        <v>86</v>
      </c>
      <c r="F5309" t="s">
        <v>17873</v>
      </c>
      <c r="G5309" t="s">
        <v>11082</v>
      </c>
    </row>
    <row r="5310" spans="1:7" x14ac:dyDescent="0.25">
      <c r="A5310" t="s">
        <v>588</v>
      </c>
      <c r="B5310" t="s">
        <v>86</v>
      </c>
      <c r="F5310" t="s">
        <v>17876</v>
      </c>
      <c r="G5310" t="s">
        <v>11082</v>
      </c>
    </row>
    <row r="5311" spans="1:7" x14ac:dyDescent="0.25">
      <c r="A5311" t="s">
        <v>587</v>
      </c>
      <c r="B5311" t="s">
        <v>11066</v>
      </c>
      <c r="F5311" t="s">
        <v>17879</v>
      </c>
      <c r="G5311" t="s">
        <v>11082</v>
      </c>
    </row>
    <row r="5312" spans="1:7" x14ac:dyDescent="0.25">
      <c r="A5312" t="s">
        <v>4</v>
      </c>
      <c r="B5312" t="s">
        <v>8</v>
      </c>
      <c r="F5312" t="s">
        <v>17882</v>
      </c>
      <c r="G5312" t="s">
        <v>11082</v>
      </c>
    </row>
    <row r="5313" spans="1:7" x14ac:dyDescent="0.25">
      <c r="A5313" t="s">
        <v>588</v>
      </c>
      <c r="B5313" t="s">
        <v>86</v>
      </c>
      <c r="F5313" t="s">
        <v>17885</v>
      </c>
      <c r="G5313" t="s">
        <v>11082</v>
      </c>
    </row>
    <row r="5314" spans="1:7" x14ac:dyDescent="0.25">
      <c r="A5314" t="s">
        <v>588</v>
      </c>
      <c r="B5314" t="s">
        <v>86</v>
      </c>
      <c r="F5314" t="s">
        <v>17888</v>
      </c>
      <c r="G5314" t="s">
        <v>11082</v>
      </c>
    </row>
    <row r="5315" spans="1:7" x14ac:dyDescent="0.25">
      <c r="A5315" t="s">
        <v>4</v>
      </c>
      <c r="B5315" t="s">
        <v>8</v>
      </c>
      <c r="F5315" t="s">
        <v>17891</v>
      </c>
      <c r="G5315" t="s">
        <v>11082</v>
      </c>
    </row>
    <row r="5316" spans="1:7" hidden="1" x14ac:dyDescent="0.25">
      <c r="A5316" t="s">
        <v>1607</v>
      </c>
      <c r="B5316" t="s">
        <v>8</v>
      </c>
      <c r="F5316" t="s">
        <v>17938</v>
      </c>
      <c r="G5316" t="s">
        <v>91</v>
      </c>
    </row>
    <row r="5317" spans="1:7" hidden="1" x14ac:dyDescent="0.25">
      <c r="A5317" t="s">
        <v>17896</v>
      </c>
      <c r="B5317" t="s">
        <v>86</v>
      </c>
      <c r="F5317" t="s">
        <v>17917</v>
      </c>
      <c r="G5317" t="s">
        <v>12640</v>
      </c>
    </row>
    <row r="5318" spans="1:7" hidden="1" x14ac:dyDescent="0.25">
      <c r="A5318" t="s">
        <v>4</v>
      </c>
      <c r="B5318" t="s">
        <v>8</v>
      </c>
      <c r="F5318" t="s">
        <v>17920</v>
      </c>
      <c r="G5318" t="s">
        <v>12640</v>
      </c>
    </row>
    <row r="5319" spans="1:7" hidden="1" x14ac:dyDescent="0.25">
      <c r="A5319" t="s">
        <v>4</v>
      </c>
      <c r="B5319" t="s">
        <v>7045</v>
      </c>
      <c r="F5319" t="s">
        <v>17941</v>
      </c>
      <c r="G5319" t="s">
        <v>11071</v>
      </c>
    </row>
    <row r="5320" spans="1:7" hidden="1" x14ac:dyDescent="0.25">
      <c r="A5320" t="s">
        <v>4</v>
      </c>
      <c r="B5320" t="s">
        <v>7045</v>
      </c>
      <c r="F5320" t="s">
        <v>17944</v>
      </c>
      <c r="G5320" t="s">
        <v>11071</v>
      </c>
    </row>
    <row r="5321" spans="1:7" hidden="1" x14ac:dyDescent="0.25">
      <c r="A5321" t="s">
        <v>4</v>
      </c>
      <c r="B5321" t="s">
        <v>8</v>
      </c>
      <c r="F5321" t="s">
        <v>17947</v>
      </c>
      <c r="G5321" t="s">
        <v>11071</v>
      </c>
    </row>
    <row r="5322" spans="1:7" hidden="1" x14ac:dyDescent="0.25">
      <c r="A5322" t="s">
        <v>4</v>
      </c>
      <c r="B5322" t="s">
        <v>8</v>
      </c>
      <c r="F5322" t="s">
        <v>17950</v>
      </c>
      <c r="G5322" t="s">
        <v>894</v>
      </c>
    </row>
    <row r="5323" spans="1:7" hidden="1" x14ac:dyDescent="0.25">
      <c r="A5323" t="s">
        <v>4</v>
      </c>
      <c r="B5323" t="s">
        <v>8</v>
      </c>
      <c r="F5323" t="s">
        <v>17953</v>
      </c>
      <c r="G5323" t="s">
        <v>894</v>
      </c>
    </row>
    <row r="5324" spans="1:7" hidden="1" x14ac:dyDescent="0.25">
      <c r="A5324" t="s">
        <v>4</v>
      </c>
      <c r="B5324" t="s">
        <v>8</v>
      </c>
      <c r="F5324" t="s">
        <v>17923</v>
      </c>
      <c r="G5324" t="s">
        <v>895</v>
      </c>
    </row>
    <row r="5325" spans="1:7" hidden="1" x14ac:dyDescent="0.25">
      <c r="A5325" t="s">
        <v>226</v>
      </c>
      <c r="B5325" t="s">
        <v>3356</v>
      </c>
      <c r="C5325" t="s">
        <v>53</v>
      </c>
      <c r="F5325" t="s">
        <v>17926</v>
      </c>
      <c r="G5325" t="s">
        <v>895</v>
      </c>
    </row>
    <row r="5326" spans="1:7" hidden="1" x14ac:dyDescent="0.25">
      <c r="A5326" t="s">
        <v>226</v>
      </c>
      <c r="B5326" t="s">
        <v>3356</v>
      </c>
      <c r="C5326" t="s">
        <v>53</v>
      </c>
      <c r="F5326" t="s">
        <v>17929</v>
      </c>
      <c r="G5326" t="s">
        <v>895</v>
      </c>
    </row>
    <row r="5327" spans="1:7" hidden="1" x14ac:dyDescent="0.25">
      <c r="A5327" t="s">
        <v>226</v>
      </c>
      <c r="B5327" t="s">
        <v>3356</v>
      </c>
      <c r="C5327" t="s">
        <v>53</v>
      </c>
      <c r="F5327" t="s">
        <v>17932</v>
      </c>
      <c r="G5327" t="s">
        <v>895</v>
      </c>
    </row>
    <row r="5328" spans="1:7" hidden="1" x14ac:dyDescent="0.25">
      <c r="A5328" t="s">
        <v>587</v>
      </c>
      <c r="B5328" t="s">
        <v>3356</v>
      </c>
      <c r="C5328" t="s">
        <v>53</v>
      </c>
      <c r="D5328">
        <v>5</v>
      </c>
      <c r="F5328" t="s">
        <v>17935</v>
      </c>
      <c r="G5328" t="s">
        <v>895</v>
      </c>
    </row>
    <row r="5329" spans="1:7" hidden="1" x14ac:dyDescent="0.25">
      <c r="A5329" t="s">
        <v>4</v>
      </c>
      <c r="B5329" t="s">
        <v>8</v>
      </c>
      <c r="F5329" t="s">
        <v>17956</v>
      </c>
      <c r="G5329" t="s">
        <v>896</v>
      </c>
    </row>
    <row r="5330" spans="1:7" hidden="1" x14ac:dyDescent="0.25">
      <c r="A5330" t="s">
        <v>588</v>
      </c>
      <c r="B5330" t="s">
        <v>86</v>
      </c>
      <c r="F5330" t="s">
        <v>17959</v>
      </c>
      <c r="G5330" t="s">
        <v>896</v>
      </c>
    </row>
    <row r="5331" spans="1:7" hidden="1" x14ac:dyDescent="0.25">
      <c r="A5331" t="s">
        <v>588</v>
      </c>
      <c r="B5331" t="s">
        <v>86</v>
      </c>
      <c r="F5331" t="s">
        <v>17962</v>
      </c>
      <c r="G5331" t="s">
        <v>896</v>
      </c>
    </row>
    <row r="5332" spans="1:7" hidden="1" x14ac:dyDescent="0.25">
      <c r="A5332" t="s">
        <v>16677</v>
      </c>
      <c r="B5332" t="s">
        <v>86</v>
      </c>
      <c r="F5332" t="s">
        <v>17965</v>
      </c>
      <c r="G5332" t="s">
        <v>896</v>
      </c>
    </row>
    <row r="5333" spans="1:7" hidden="1" x14ac:dyDescent="0.25">
      <c r="A5333" t="s">
        <v>16677</v>
      </c>
      <c r="B5333" t="s">
        <v>86</v>
      </c>
      <c r="F5333" t="s">
        <v>17968</v>
      </c>
      <c r="G5333" t="s">
        <v>896</v>
      </c>
    </row>
    <row r="5334" spans="1:7" hidden="1" x14ac:dyDescent="0.25">
      <c r="A5334" t="s">
        <v>4</v>
      </c>
      <c r="B5334" t="s">
        <v>8</v>
      </c>
      <c r="F5334" t="s">
        <v>17971</v>
      </c>
      <c r="G5334" t="s">
        <v>896</v>
      </c>
    </row>
    <row r="5335" spans="1:7" hidden="1" x14ac:dyDescent="0.25">
      <c r="A5335" t="s">
        <v>4</v>
      </c>
      <c r="B5335" t="s">
        <v>8</v>
      </c>
      <c r="F5335" t="s">
        <v>17974</v>
      </c>
      <c r="G5335" t="s">
        <v>897</v>
      </c>
    </row>
    <row r="5336" spans="1:7" hidden="1" x14ac:dyDescent="0.25">
      <c r="A5336" t="s">
        <v>1607</v>
      </c>
      <c r="B5336" t="s">
        <v>8</v>
      </c>
      <c r="F5336" t="s">
        <v>17977</v>
      </c>
      <c r="G5336" t="s">
        <v>897</v>
      </c>
    </row>
    <row r="5337" spans="1:7" hidden="1" x14ac:dyDescent="0.25">
      <c r="A5337" t="s">
        <v>4</v>
      </c>
      <c r="B5337" t="s">
        <v>6157</v>
      </c>
      <c r="F5337" t="s">
        <v>17980</v>
      </c>
      <c r="G5337" t="s">
        <v>12641</v>
      </c>
    </row>
    <row r="5338" spans="1:7" hidden="1" x14ac:dyDescent="0.25">
      <c r="A5338" t="s">
        <v>18346</v>
      </c>
      <c r="F5338" t="s">
        <v>17983</v>
      </c>
      <c r="G5338" t="s">
        <v>12641</v>
      </c>
    </row>
    <row r="5339" spans="1:7" hidden="1" x14ac:dyDescent="0.25">
      <c r="A5339" t="s">
        <v>18346</v>
      </c>
      <c r="E5339" t="s">
        <v>2352</v>
      </c>
      <c r="F5339" t="s">
        <v>17986</v>
      </c>
      <c r="G5339" t="s">
        <v>12641</v>
      </c>
    </row>
    <row r="5340" spans="1:7" hidden="1" x14ac:dyDescent="0.25">
      <c r="A5340" t="s">
        <v>4</v>
      </c>
      <c r="B5340" t="s">
        <v>1274</v>
      </c>
      <c r="F5340" t="s">
        <v>17989</v>
      </c>
      <c r="G5340" t="s">
        <v>12641</v>
      </c>
    </row>
    <row r="5341" spans="1:7" hidden="1" x14ac:dyDescent="0.25">
      <c r="A5341" t="s">
        <v>4</v>
      </c>
      <c r="B5341" t="s">
        <v>17906</v>
      </c>
      <c r="F5341" t="s">
        <v>17992</v>
      </c>
      <c r="G5341" t="s">
        <v>12641</v>
      </c>
    </row>
    <row r="5342" spans="1:7" hidden="1" x14ac:dyDescent="0.25">
      <c r="A5342" t="s">
        <v>7354</v>
      </c>
      <c r="B5342" t="s">
        <v>468</v>
      </c>
      <c r="F5342" t="s">
        <v>17995</v>
      </c>
      <c r="G5342" t="s">
        <v>12641</v>
      </c>
    </row>
    <row r="5343" spans="1:7" hidden="1" x14ac:dyDescent="0.25">
      <c r="A5343" t="s">
        <v>7354</v>
      </c>
      <c r="B5343" t="s">
        <v>468</v>
      </c>
      <c r="F5343" t="s">
        <v>17998</v>
      </c>
      <c r="G5343" t="s">
        <v>12641</v>
      </c>
    </row>
    <row r="5344" spans="1:7" hidden="1" x14ac:dyDescent="0.25">
      <c r="A5344" t="s">
        <v>18347</v>
      </c>
      <c r="B5344" t="s">
        <v>1274</v>
      </c>
      <c r="F5344" t="s">
        <v>18001</v>
      </c>
      <c r="G5344" t="s">
        <v>12641</v>
      </c>
    </row>
    <row r="5345" spans="1:7" hidden="1" x14ac:dyDescent="0.25">
      <c r="A5345" t="s">
        <v>18347</v>
      </c>
      <c r="B5345" t="s">
        <v>468</v>
      </c>
      <c r="F5345" t="s">
        <v>18004</v>
      </c>
      <c r="G5345" t="s">
        <v>12641</v>
      </c>
    </row>
    <row r="5346" spans="1:7" hidden="1" x14ac:dyDescent="0.25">
      <c r="A5346" t="s">
        <v>1627</v>
      </c>
      <c r="B5346" t="s">
        <v>1058</v>
      </c>
      <c r="F5346" t="s">
        <v>18007</v>
      </c>
      <c r="G5346" t="s">
        <v>12641</v>
      </c>
    </row>
    <row r="5347" spans="1:7" hidden="1" x14ac:dyDescent="0.25">
      <c r="A5347" t="s">
        <v>1627</v>
      </c>
      <c r="B5347" t="s">
        <v>1058</v>
      </c>
      <c r="F5347" t="s">
        <v>18010</v>
      </c>
      <c r="G5347" t="s">
        <v>12641</v>
      </c>
    </row>
    <row r="5348" spans="1:7" hidden="1" x14ac:dyDescent="0.25">
      <c r="A5348" t="s">
        <v>1627</v>
      </c>
      <c r="B5348" t="s">
        <v>1058</v>
      </c>
      <c r="F5348" t="s">
        <v>18013</v>
      </c>
      <c r="G5348" t="s">
        <v>12641</v>
      </c>
    </row>
    <row r="5349" spans="1:7" hidden="1" x14ac:dyDescent="0.25">
      <c r="A5349" t="s">
        <v>7354</v>
      </c>
      <c r="B5349" t="s">
        <v>468</v>
      </c>
      <c r="F5349" t="s">
        <v>18016</v>
      </c>
      <c r="G5349" t="s">
        <v>12641</v>
      </c>
    </row>
    <row r="5350" spans="1:7" hidden="1" x14ac:dyDescent="0.25">
      <c r="A5350" t="s">
        <v>7354</v>
      </c>
      <c r="B5350" t="s">
        <v>468</v>
      </c>
      <c r="F5350" t="s">
        <v>18019</v>
      </c>
      <c r="G5350" t="s">
        <v>12641</v>
      </c>
    </row>
    <row r="5351" spans="1:7" hidden="1" x14ac:dyDescent="0.25">
      <c r="A5351" t="s">
        <v>4</v>
      </c>
      <c r="B5351" t="s">
        <v>17901</v>
      </c>
      <c r="F5351" t="s">
        <v>18022</v>
      </c>
      <c r="G5351" t="s">
        <v>12641</v>
      </c>
    </row>
    <row r="5352" spans="1:7" hidden="1" x14ac:dyDescent="0.25">
      <c r="A5352" t="s">
        <v>4</v>
      </c>
      <c r="B5352" t="s">
        <v>17906</v>
      </c>
      <c r="F5352" t="s">
        <v>18025</v>
      </c>
      <c r="G5352" t="s">
        <v>12641</v>
      </c>
    </row>
    <row r="5353" spans="1:7" hidden="1" x14ac:dyDescent="0.25">
      <c r="A5353" t="s">
        <v>4</v>
      </c>
      <c r="B5353" t="s">
        <v>468</v>
      </c>
      <c r="F5353" t="s">
        <v>18028</v>
      </c>
      <c r="G5353" t="s">
        <v>12641</v>
      </c>
    </row>
    <row r="5354" spans="1:7" hidden="1" x14ac:dyDescent="0.25">
      <c r="A5354" t="s">
        <v>7354</v>
      </c>
      <c r="B5354" t="s">
        <v>468</v>
      </c>
      <c r="F5354" t="s">
        <v>18031</v>
      </c>
      <c r="G5354" t="s">
        <v>12641</v>
      </c>
    </row>
    <row r="5355" spans="1:7" hidden="1" x14ac:dyDescent="0.25">
      <c r="A5355" t="s">
        <v>7354</v>
      </c>
      <c r="B5355" t="s">
        <v>468</v>
      </c>
      <c r="F5355" t="s">
        <v>18034</v>
      </c>
      <c r="G5355" t="s">
        <v>12641</v>
      </c>
    </row>
    <row r="5356" spans="1:7" hidden="1" x14ac:dyDescent="0.25">
      <c r="A5356" t="s">
        <v>7354</v>
      </c>
      <c r="B5356" t="s">
        <v>468</v>
      </c>
      <c r="F5356" t="s">
        <v>18037</v>
      </c>
      <c r="G5356" t="s">
        <v>12641</v>
      </c>
    </row>
    <row r="5357" spans="1:7" hidden="1" x14ac:dyDescent="0.25">
      <c r="A5357" t="s">
        <v>7354</v>
      </c>
      <c r="B5357" t="s">
        <v>468</v>
      </c>
      <c r="F5357" t="s">
        <v>18040</v>
      </c>
      <c r="G5357" t="s">
        <v>12641</v>
      </c>
    </row>
    <row r="5358" spans="1:7" hidden="1" x14ac:dyDescent="0.25">
      <c r="A5358" t="s">
        <v>4</v>
      </c>
      <c r="B5358" t="s">
        <v>468</v>
      </c>
      <c r="F5358" t="s">
        <v>18043</v>
      </c>
      <c r="G5358" t="s">
        <v>12641</v>
      </c>
    </row>
    <row r="5359" spans="1:7" hidden="1" x14ac:dyDescent="0.25">
      <c r="A5359" t="s">
        <v>4</v>
      </c>
      <c r="B5359" t="s">
        <v>468</v>
      </c>
      <c r="F5359" t="s">
        <v>18046</v>
      </c>
      <c r="G5359" t="s">
        <v>12641</v>
      </c>
    </row>
    <row r="5360" spans="1:7" hidden="1" x14ac:dyDescent="0.25">
      <c r="A5360" t="s">
        <v>1627</v>
      </c>
      <c r="B5360" t="s">
        <v>1058</v>
      </c>
      <c r="F5360" t="s">
        <v>18049</v>
      </c>
      <c r="G5360" t="s">
        <v>12641</v>
      </c>
    </row>
    <row r="5361" spans="1:7" hidden="1" x14ac:dyDescent="0.25">
      <c r="A5361" t="s">
        <v>7354</v>
      </c>
      <c r="B5361" t="s">
        <v>468</v>
      </c>
      <c r="F5361" t="s">
        <v>18052</v>
      </c>
      <c r="G5361" t="s">
        <v>12641</v>
      </c>
    </row>
    <row r="5362" spans="1:7" hidden="1" x14ac:dyDescent="0.25">
      <c r="A5362" t="s">
        <v>7354</v>
      </c>
      <c r="B5362" t="s">
        <v>468</v>
      </c>
      <c r="F5362" t="s">
        <v>18055</v>
      </c>
      <c r="G5362" t="s">
        <v>12641</v>
      </c>
    </row>
    <row r="5363" spans="1:7" hidden="1" x14ac:dyDescent="0.25">
      <c r="A5363" t="s">
        <v>18347</v>
      </c>
      <c r="B5363" t="s">
        <v>1274</v>
      </c>
      <c r="F5363" t="s">
        <v>18058</v>
      </c>
      <c r="G5363" t="s">
        <v>12641</v>
      </c>
    </row>
    <row r="5364" spans="1:7" hidden="1" x14ac:dyDescent="0.25">
      <c r="A5364" t="s">
        <v>1627</v>
      </c>
      <c r="B5364" t="s">
        <v>1058</v>
      </c>
      <c r="F5364" t="s">
        <v>18061</v>
      </c>
      <c r="G5364" t="s">
        <v>12641</v>
      </c>
    </row>
    <row r="5365" spans="1:7" hidden="1" x14ac:dyDescent="0.25">
      <c r="A5365" t="s">
        <v>7354</v>
      </c>
      <c r="B5365" t="s">
        <v>468</v>
      </c>
      <c r="F5365" t="s">
        <v>18064</v>
      </c>
      <c r="G5365" t="s">
        <v>12641</v>
      </c>
    </row>
    <row r="5366" spans="1:7" hidden="1" x14ac:dyDescent="0.25">
      <c r="A5366" t="s">
        <v>1627</v>
      </c>
      <c r="B5366" t="s">
        <v>1058</v>
      </c>
      <c r="F5366" t="s">
        <v>18067</v>
      </c>
      <c r="G5366" t="s">
        <v>12641</v>
      </c>
    </row>
    <row r="5367" spans="1:7" hidden="1" x14ac:dyDescent="0.25">
      <c r="A5367" t="s">
        <v>18348</v>
      </c>
      <c r="B5367" t="s">
        <v>1058</v>
      </c>
      <c r="F5367" t="s">
        <v>18070</v>
      </c>
      <c r="G5367" t="s">
        <v>12641</v>
      </c>
    </row>
    <row r="5368" spans="1:7" hidden="1" x14ac:dyDescent="0.25">
      <c r="A5368" t="s">
        <v>18348</v>
      </c>
      <c r="B5368" t="s">
        <v>1058</v>
      </c>
      <c r="F5368" t="s">
        <v>18073</v>
      </c>
      <c r="G5368" t="s">
        <v>12641</v>
      </c>
    </row>
    <row r="5369" spans="1:7" hidden="1" x14ac:dyDescent="0.25">
      <c r="A5369" t="s">
        <v>18348</v>
      </c>
      <c r="B5369" t="s">
        <v>1058</v>
      </c>
      <c r="F5369" t="s">
        <v>18076</v>
      </c>
      <c r="G5369" t="s">
        <v>12641</v>
      </c>
    </row>
    <row r="5370" spans="1:7" hidden="1" x14ac:dyDescent="0.25">
      <c r="A5370" t="s">
        <v>4</v>
      </c>
      <c r="B5370" t="s">
        <v>468</v>
      </c>
      <c r="F5370" t="s">
        <v>18079</v>
      </c>
      <c r="G5370" t="s">
        <v>12641</v>
      </c>
    </row>
    <row r="5371" spans="1:7" hidden="1" x14ac:dyDescent="0.25">
      <c r="A5371" t="s">
        <v>4</v>
      </c>
      <c r="B5371" t="s">
        <v>468</v>
      </c>
      <c r="F5371" t="s">
        <v>18082</v>
      </c>
      <c r="G5371" t="s">
        <v>12641</v>
      </c>
    </row>
    <row r="5372" spans="1:7" hidden="1" x14ac:dyDescent="0.25">
      <c r="A5372" t="s">
        <v>4</v>
      </c>
      <c r="B5372" t="s">
        <v>468</v>
      </c>
      <c r="F5372" t="s">
        <v>18085</v>
      </c>
      <c r="G5372" t="s">
        <v>12641</v>
      </c>
    </row>
    <row r="5373" spans="1:7" hidden="1" x14ac:dyDescent="0.25">
      <c r="A5373" t="s">
        <v>4</v>
      </c>
      <c r="B5373" t="s">
        <v>468</v>
      </c>
      <c r="F5373" t="s">
        <v>18088</v>
      </c>
      <c r="G5373" t="s">
        <v>12641</v>
      </c>
    </row>
    <row r="5374" spans="1:7" hidden="1" x14ac:dyDescent="0.25">
      <c r="A5374" t="s">
        <v>4</v>
      </c>
      <c r="B5374" t="s">
        <v>468</v>
      </c>
      <c r="F5374" t="s">
        <v>18091</v>
      </c>
      <c r="G5374" t="s">
        <v>12641</v>
      </c>
    </row>
    <row r="5375" spans="1:7" hidden="1" x14ac:dyDescent="0.25">
      <c r="A5375" t="s">
        <v>4</v>
      </c>
      <c r="B5375" t="s">
        <v>468</v>
      </c>
      <c r="F5375" t="s">
        <v>18094</v>
      </c>
      <c r="G5375" t="s">
        <v>12641</v>
      </c>
    </row>
    <row r="5376" spans="1:7" hidden="1" x14ac:dyDescent="0.25">
      <c r="A5376" t="s">
        <v>4</v>
      </c>
      <c r="B5376" t="s">
        <v>468</v>
      </c>
      <c r="F5376" t="s">
        <v>18097</v>
      </c>
      <c r="G5376" t="s">
        <v>12641</v>
      </c>
    </row>
    <row r="5377" spans="1:7" hidden="1" x14ac:dyDescent="0.25">
      <c r="A5377" t="s">
        <v>4</v>
      </c>
      <c r="B5377" t="s">
        <v>1274</v>
      </c>
      <c r="F5377" t="s">
        <v>18100</v>
      </c>
      <c r="G5377" t="s">
        <v>12641</v>
      </c>
    </row>
    <row r="5378" spans="1:7" hidden="1" x14ac:dyDescent="0.25">
      <c r="A5378" t="s">
        <v>7354</v>
      </c>
      <c r="B5378" t="s">
        <v>1274</v>
      </c>
      <c r="F5378" t="s">
        <v>18103</v>
      </c>
      <c r="G5378" t="s">
        <v>12641</v>
      </c>
    </row>
    <row r="5379" spans="1:7" hidden="1" x14ac:dyDescent="0.25">
      <c r="A5379" t="s">
        <v>7354</v>
      </c>
      <c r="B5379" t="s">
        <v>1274</v>
      </c>
      <c r="F5379" t="s">
        <v>18106</v>
      </c>
      <c r="G5379" t="s">
        <v>12641</v>
      </c>
    </row>
    <row r="5380" spans="1:7" hidden="1" x14ac:dyDescent="0.25">
      <c r="A5380" t="s">
        <v>7354</v>
      </c>
      <c r="B5380" t="s">
        <v>1274</v>
      </c>
      <c r="F5380" t="s">
        <v>18109</v>
      </c>
      <c r="G5380" t="s">
        <v>12641</v>
      </c>
    </row>
    <row r="5381" spans="1:7" hidden="1" x14ac:dyDescent="0.25">
      <c r="A5381" t="s">
        <v>18347</v>
      </c>
      <c r="B5381" t="s">
        <v>1274</v>
      </c>
      <c r="F5381" t="s">
        <v>18112</v>
      </c>
      <c r="G5381" t="s">
        <v>12641</v>
      </c>
    </row>
    <row r="5382" spans="1:7" hidden="1" x14ac:dyDescent="0.25">
      <c r="A5382" t="s">
        <v>18347</v>
      </c>
      <c r="B5382" t="s">
        <v>468</v>
      </c>
      <c r="F5382" t="s">
        <v>18115</v>
      </c>
      <c r="G5382" t="s">
        <v>12641</v>
      </c>
    </row>
    <row r="5383" spans="1:7" hidden="1" x14ac:dyDescent="0.25">
      <c r="A5383" t="s">
        <v>4</v>
      </c>
      <c r="B5383" t="s">
        <v>468</v>
      </c>
      <c r="F5383" t="s">
        <v>18118</v>
      </c>
      <c r="G5383" t="s">
        <v>12641</v>
      </c>
    </row>
    <row r="5384" spans="1:7" hidden="1" x14ac:dyDescent="0.25">
      <c r="A5384" t="s">
        <v>4</v>
      </c>
      <c r="B5384" t="s">
        <v>468</v>
      </c>
      <c r="F5384" t="s">
        <v>18121</v>
      </c>
      <c r="G5384" t="s">
        <v>12641</v>
      </c>
    </row>
    <row r="5385" spans="1:7" hidden="1" x14ac:dyDescent="0.25">
      <c r="A5385" t="s">
        <v>18348</v>
      </c>
      <c r="B5385" t="s">
        <v>1058</v>
      </c>
      <c r="F5385" t="s">
        <v>18124</v>
      </c>
      <c r="G5385" t="s">
        <v>12641</v>
      </c>
    </row>
    <row r="5386" spans="1:7" hidden="1" x14ac:dyDescent="0.25">
      <c r="A5386" t="s">
        <v>4</v>
      </c>
      <c r="B5386" t="s">
        <v>468</v>
      </c>
      <c r="F5386" t="s">
        <v>18127</v>
      </c>
      <c r="G5386" t="s">
        <v>12641</v>
      </c>
    </row>
    <row r="5387" spans="1:7" hidden="1" x14ac:dyDescent="0.25">
      <c r="A5387" t="s">
        <v>4</v>
      </c>
      <c r="B5387" t="s">
        <v>468</v>
      </c>
      <c r="F5387" t="s">
        <v>18130</v>
      </c>
      <c r="G5387" t="s">
        <v>12641</v>
      </c>
    </row>
    <row r="5388" spans="1:7" hidden="1" x14ac:dyDescent="0.25">
      <c r="A5388" t="s">
        <v>4</v>
      </c>
      <c r="B5388" t="s">
        <v>17901</v>
      </c>
      <c r="F5388" t="s">
        <v>18133</v>
      </c>
      <c r="G5388" t="s">
        <v>12641</v>
      </c>
    </row>
    <row r="5389" spans="1:7" hidden="1" x14ac:dyDescent="0.25">
      <c r="A5389" t="s">
        <v>4</v>
      </c>
      <c r="B5389" t="s">
        <v>6157</v>
      </c>
      <c r="F5389" t="s">
        <v>18136</v>
      </c>
      <c r="G5389" t="s">
        <v>12641</v>
      </c>
    </row>
    <row r="5390" spans="1:7" hidden="1" x14ac:dyDescent="0.25">
      <c r="A5390" t="s">
        <v>1607</v>
      </c>
      <c r="B5390" t="s">
        <v>9</v>
      </c>
      <c r="F5390" t="s">
        <v>18139</v>
      </c>
      <c r="G5390" t="s">
        <v>12642</v>
      </c>
    </row>
    <row r="5391" spans="1:7" hidden="1" x14ac:dyDescent="0.25">
      <c r="A5391" t="s">
        <v>7354</v>
      </c>
      <c r="B5391" t="s">
        <v>4131</v>
      </c>
      <c r="F5391" t="s">
        <v>18142</v>
      </c>
      <c r="G5391" t="s">
        <v>12642</v>
      </c>
    </row>
    <row r="5392" spans="1:7" hidden="1" x14ac:dyDescent="0.25">
      <c r="A5392" t="s">
        <v>7354</v>
      </c>
      <c r="B5392" t="s">
        <v>4131</v>
      </c>
      <c r="F5392" t="s">
        <v>18145</v>
      </c>
      <c r="G5392" t="s">
        <v>12642</v>
      </c>
    </row>
    <row r="5393" spans="1:7" hidden="1" x14ac:dyDescent="0.25">
      <c r="A5393" t="s">
        <v>7354</v>
      </c>
      <c r="B5393" t="s">
        <v>4131</v>
      </c>
      <c r="F5393" t="s">
        <v>18148</v>
      </c>
      <c r="G5393" t="s">
        <v>12642</v>
      </c>
    </row>
    <row r="5394" spans="1:7" hidden="1" x14ac:dyDescent="0.25">
      <c r="A5394" t="s">
        <v>7354</v>
      </c>
      <c r="B5394" t="s">
        <v>4131</v>
      </c>
      <c r="F5394" t="s">
        <v>18151</v>
      </c>
      <c r="G5394" t="s">
        <v>12642</v>
      </c>
    </row>
    <row r="5395" spans="1:7" hidden="1" x14ac:dyDescent="0.25">
      <c r="A5395" t="s">
        <v>4</v>
      </c>
      <c r="B5395" t="s">
        <v>9</v>
      </c>
      <c r="F5395" t="s">
        <v>18154</v>
      </c>
      <c r="G5395" t="s">
        <v>12642</v>
      </c>
    </row>
    <row r="5396" spans="1:7" hidden="1" x14ac:dyDescent="0.25">
      <c r="A5396" t="s">
        <v>4</v>
      </c>
      <c r="B5396" t="s">
        <v>18349</v>
      </c>
      <c r="F5396" t="s">
        <v>18157</v>
      </c>
      <c r="G5396" t="s">
        <v>12643</v>
      </c>
    </row>
    <row r="5397" spans="1:7" hidden="1" x14ac:dyDescent="0.25">
      <c r="A5397" t="s">
        <v>4</v>
      </c>
      <c r="B5397" t="s">
        <v>18350</v>
      </c>
      <c r="F5397" t="s">
        <v>18160</v>
      </c>
      <c r="G5397" t="s">
        <v>12643</v>
      </c>
    </row>
    <row r="5398" spans="1:7" hidden="1" x14ac:dyDescent="0.25">
      <c r="A5398" t="s">
        <v>4</v>
      </c>
      <c r="B5398" t="s">
        <v>18350</v>
      </c>
      <c r="F5398" t="s">
        <v>18163</v>
      </c>
      <c r="G5398" t="s">
        <v>12643</v>
      </c>
    </row>
    <row r="5399" spans="1:7" hidden="1" x14ac:dyDescent="0.25">
      <c r="A5399" t="s">
        <v>7354</v>
      </c>
      <c r="B5399" t="s">
        <v>468</v>
      </c>
      <c r="F5399" t="s">
        <v>18166</v>
      </c>
      <c r="G5399" t="s">
        <v>12643</v>
      </c>
    </row>
    <row r="5400" spans="1:7" hidden="1" x14ac:dyDescent="0.25">
      <c r="A5400" t="s">
        <v>7354</v>
      </c>
      <c r="B5400" t="s">
        <v>468</v>
      </c>
      <c r="F5400" t="s">
        <v>18169</v>
      </c>
      <c r="G5400" t="s">
        <v>12643</v>
      </c>
    </row>
    <row r="5401" spans="1:7" hidden="1" x14ac:dyDescent="0.25">
      <c r="A5401" t="s">
        <v>7354</v>
      </c>
      <c r="B5401" t="s">
        <v>468</v>
      </c>
      <c r="F5401" t="s">
        <v>18172</v>
      </c>
      <c r="G5401" t="s">
        <v>12643</v>
      </c>
    </row>
    <row r="5402" spans="1:7" hidden="1" x14ac:dyDescent="0.25">
      <c r="A5402" t="s">
        <v>7354</v>
      </c>
      <c r="B5402" t="s">
        <v>468</v>
      </c>
      <c r="F5402" t="s">
        <v>18175</v>
      </c>
      <c r="G5402" t="s">
        <v>12643</v>
      </c>
    </row>
    <row r="5403" spans="1:7" hidden="1" x14ac:dyDescent="0.25">
      <c r="A5403" t="s">
        <v>7354</v>
      </c>
      <c r="B5403" t="s">
        <v>468</v>
      </c>
      <c r="F5403" t="s">
        <v>18178</v>
      </c>
      <c r="G5403" t="s">
        <v>12643</v>
      </c>
    </row>
    <row r="5404" spans="1:7" hidden="1" x14ac:dyDescent="0.25">
      <c r="A5404" t="s">
        <v>7354</v>
      </c>
      <c r="B5404" t="s">
        <v>468</v>
      </c>
      <c r="F5404" t="s">
        <v>18181</v>
      </c>
      <c r="G5404" t="s">
        <v>12643</v>
      </c>
    </row>
    <row r="5405" spans="1:7" hidden="1" x14ac:dyDescent="0.25">
      <c r="A5405" t="s">
        <v>7354</v>
      </c>
      <c r="B5405" t="s">
        <v>468</v>
      </c>
      <c r="F5405" t="s">
        <v>18184</v>
      </c>
      <c r="G5405" t="s">
        <v>12643</v>
      </c>
    </row>
    <row r="5406" spans="1:7" hidden="1" x14ac:dyDescent="0.25">
      <c r="A5406" t="s">
        <v>7354</v>
      </c>
      <c r="B5406" t="s">
        <v>468</v>
      </c>
      <c r="F5406" t="s">
        <v>18187</v>
      </c>
      <c r="G5406" t="s">
        <v>12643</v>
      </c>
    </row>
    <row r="5407" spans="1:7" hidden="1" x14ac:dyDescent="0.25">
      <c r="A5407" t="s">
        <v>7354</v>
      </c>
      <c r="B5407" t="s">
        <v>468</v>
      </c>
      <c r="F5407" t="s">
        <v>18190</v>
      </c>
      <c r="G5407" t="s">
        <v>12643</v>
      </c>
    </row>
    <row r="5408" spans="1:7" hidden="1" x14ac:dyDescent="0.25">
      <c r="A5408" t="s">
        <v>7354</v>
      </c>
      <c r="B5408" t="s">
        <v>468</v>
      </c>
      <c r="F5408" t="s">
        <v>18193</v>
      </c>
      <c r="G5408" t="s">
        <v>12643</v>
      </c>
    </row>
    <row r="5409" spans="1:7" hidden="1" x14ac:dyDescent="0.25">
      <c r="A5409" t="s">
        <v>4</v>
      </c>
      <c r="B5409" t="s">
        <v>8</v>
      </c>
      <c r="F5409" t="s">
        <v>18196</v>
      </c>
      <c r="G5409" t="s">
        <v>12643</v>
      </c>
    </row>
    <row r="5410" spans="1:7" hidden="1" x14ac:dyDescent="0.25">
      <c r="A5410" t="s">
        <v>7354</v>
      </c>
      <c r="B5410" t="s">
        <v>468</v>
      </c>
      <c r="F5410" t="s">
        <v>18199</v>
      </c>
      <c r="G5410" t="s">
        <v>12643</v>
      </c>
    </row>
    <row r="5411" spans="1:7" hidden="1" x14ac:dyDescent="0.25">
      <c r="A5411" t="s">
        <v>7354</v>
      </c>
      <c r="B5411" t="s">
        <v>468</v>
      </c>
      <c r="F5411" t="s">
        <v>18202</v>
      </c>
      <c r="G5411" t="s">
        <v>12643</v>
      </c>
    </row>
    <row r="5412" spans="1:7" hidden="1" x14ac:dyDescent="0.25">
      <c r="A5412" t="s">
        <v>7354</v>
      </c>
      <c r="B5412" t="s">
        <v>468</v>
      </c>
      <c r="F5412" t="s">
        <v>18205</v>
      </c>
      <c r="G5412" t="s">
        <v>12643</v>
      </c>
    </row>
    <row r="5413" spans="1:7" hidden="1" x14ac:dyDescent="0.25">
      <c r="A5413" t="s">
        <v>7354</v>
      </c>
      <c r="B5413" t="s">
        <v>468</v>
      </c>
      <c r="F5413" t="s">
        <v>18208</v>
      </c>
      <c r="G5413" t="s">
        <v>12643</v>
      </c>
    </row>
    <row r="5414" spans="1:7" hidden="1" x14ac:dyDescent="0.25">
      <c r="A5414" t="s">
        <v>4</v>
      </c>
      <c r="B5414" t="s">
        <v>8</v>
      </c>
      <c r="F5414" t="s">
        <v>18211</v>
      </c>
      <c r="G5414" t="s">
        <v>12643</v>
      </c>
    </row>
    <row r="5415" spans="1:7" hidden="1" x14ac:dyDescent="0.25">
      <c r="A5415" t="s">
        <v>4</v>
      </c>
      <c r="B5415" t="s">
        <v>8</v>
      </c>
      <c r="F5415" t="s">
        <v>18214</v>
      </c>
      <c r="G5415" t="s">
        <v>12644</v>
      </c>
    </row>
    <row r="5416" spans="1:7" hidden="1" x14ac:dyDescent="0.25">
      <c r="A5416" t="s">
        <v>588</v>
      </c>
      <c r="B5416" t="s">
        <v>86</v>
      </c>
      <c r="F5416" t="s">
        <v>18217</v>
      </c>
      <c r="G5416" t="s">
        <v>12644</v>
      </c>
    </row>
    <row r="5417" spans="1:7" hidden="1" x14ac:dyDescent="0.25">
      <c r="A5417" t="s">
        <v>588</v>
      </c>
      <c r="B5417" t="s">
        <v>86</v>
      </c>
      <c r="F5417" t="s">
        <v>18220</v>
      </c>
      <c r="G5417" t="s">
        <v>12644</v>
      </c>
    </row>
    <row r="5418" spans="1:7" hidden="1" x14ac:dyDescent="0.25">
      <c r="A5418" t="s">
        <v>588</v>
      </c>
      <c r="B5418" t="s">
        <v>86</v>
      </c>
      <c r="F5418" t="s">
        <v>18223</v>
      </c>
      <c r="G5418" t="s">
        <v>12644</v>
      </c>
    </row>
    <row r="5419" spans="1:7" hidden="1" x14ac:dyDescent="0.25">
      <c r="A5419" t="s">
        <v>4</v>
      </c>
      <c r="B5419" t="s">
        <v>8</v>
      </c>
      <c r="F5419" t="s">
        <v>18226</v>
      </c>
      <c r="G5419" t="s">
        <v>12644</v>
      </c>
    </row>
    <row r="5420" spans="1:7" hidden="1" x14ac:dyDescent="0.25">
      <c r="A5420" t="s">
        <v>18351</v>
      </c>
      <c r="B5420" t="s">
        <v>86</v>
      </c>
      <c r="F5420" t="s">
        <v>18229</v>
      </c>
      <c r="G5420" t="s">
        <v>12644</v>
      </c>
    </row>
    <row r="5421" spans="1:7" hidden="1" x14ac:dyDescent="0.25">
      <c r="A5421" t="s">
        <v>18352</v>
      </c>
      <c r="B5421" t="s">
        <v>86</v>
      </c>
      <c r="F5421" t="s">
        <v>18232</v>
      </c>
      <c r="G5421" t="s">
        <v>12644</v>
      </c>
    </row>
    <row r="5422" spans="1:7" hidden="1" x14ac:dyDescent="0.25">
      <c r="A5422" t="s">
        <v>4</v>
      </c>
      <c r="B5422" t="s">
        <v>8</v>
      </c>
      <c r="F5422" t="s">
        <v>18235</v>
      </c>
      <c r="G5422" t="s">
        <v>12644</v>
      </c>
    </row>
    <row r="5423" spans="1:7" hidden="1" x14ac:dyDescent="0.25">
      <c r="A5423" t="s">
        <v>4</v>
      </c>
      <c r="B5423" t="s">
        <v>17911</v>
      </c>
      <c r="F5423" t="s">
        <v>18238</v>
      </c>
      <c r="G5423" t="s">
        <v>1537</v>
      </c>
    </row>
    <row r="5424" spans="1:7" hidden="1" x14ac:dyDescent="0.25">
      <c r="A5424" t="s">
        <v>7</v>
      </c>
      <c r="F5424" t="s">
        <v>18241</v>
      </c>
      <c r="G5424" t="s">
        <v>1537</v>
      </c>
    </row>
    <row r="5425" spans="1:7" hidden="1" x14ac:dyDescent="0.25">
      <c r="A5425" t="s">
        <v>7</v>
      </c>
      <c r="F5425" t="s">
        <v>18244</v>
      </c>
      <c r="G5425" t="s">
        <v>1537</v>
      </c>
    </row>
    <row r="5426" spans="1:7" hidden="1" x14ac:dyDescent="0.25">
      <c r="A5426" t="s">
        <v>7</v>
      </c>
      <c r="F5426" t="s">
        <v>18247</v>
      </c>
      <c r="G5426" t="s">
        <v>1537</v>
      </c>
    </row>
    <row r="5427" spans="1:7" hidden="1" x14ac:dyDescent="0.25">
      <c r="A5427" t="s">
        <v>7</v>
      </c>
      <c r="F5427" t="s">
        <v>18250</v>
      </c>
      <c r="G5427" t="s">
        <v>1537</v>
      </c>
    </row>
    <row r="5428" spans="1:7" hidden="1" x14ac:dyDescent="0.25">
      <c r="A5428" t="s">
        <v>1539</v>
      </c>
      <c r="B5428" t="s">
        <v>1274</v>
      </c>
      <c r="F5428" t="s">
        <v>18253</v>
      </c>
      <c r="G5428" t="s">
        <v>1537</v>
      </c>
    </row>
    <row r="5429" spans="1:7" hidden="1" x14ac:dyDescent="0.25">
      <c r="A5429" t="s">
        <v>1539</v>
      </c>
      <c r="B5429" t="s">
        <v>1274</v>
      </c>
      <c r="F5429" t="s">
        <v>18256</v>
      </c>
      <c r="G5429" t="s">
        <v>1537</v>
      </c>
    </row>
    <row r="5430" spans="1:7" hidden="1" x14ac:dyDescent="0.25">
      <c r="A5430" t="s">
        <v>1539</v>
      </c>
      <c r="B5430" t="s">
        <v>1274</v>
      </c>
      <c r="F5430" t="s">
        <v>18259</v>
      </c>
      <c r="G5430" t="s">
        <v>1537</v>
      </c>
    </row>
    <row r="5431" spans="1:7" hidden="1" x14ac:dyDescent="0.25">
      <c r="A5431" t="s">
        <v>1607</v>
      </c>
      <c r="B5431" t="s">
        <v>8</v>
      </c>
      <c r="F5431" t="s">
        <v>18262</v>
      </c>
      <c r="G5431" t="s">
        <v>1600</v>
      </c>
    </row>
    <row r="5432" spans="1:7" hidden="1" x14ac:dyDescent="0.25">
      <c r="A5432" t="s">
        <v>4</v>
      </c>
      <c r="B5432" t="s">
        <v>8</v>
      </c>
      <c r="F5432" t="s">
        <v>18265</v>
      </c>
      <c r="G5432" t="s">
        <v>10022</v>
      </c>
    </row>
    <row r="5433" spans="1:7" hidden="1" x14ac:dyDescent="0.25">
      <c r="A5433" t="s">
        <v>1607</v>
      </c>
      <c r="B5433" t="s">
        <v>8</v>
      </c>
      <c r="F5433" t="s">
        <v>18268</v>
      </c>
      <c r="G5433" t="s">
        <v>10022</v>
      </c>
    </row>
    <row r="5434" spans="1:7" hidden="1" x14ac:dyDescent="0.25">
      <c r="A5434" t="s">
        <v>1607</v>
      </c>
      <c r="B5434" t="s">
        <v>8</v>
      </c>
      <c r="F5434" t="s">
        <v>18271</v>
      </c>
      <c r="G5434" t="s">
        <v>10022</v>
      </c>
    </row>
    <row r="5435" spans="1:7" hidden="1" x14ac:dyDescent="0.25">
      <c r="A5435" t="s">
        <v>4</v>
      </c>
      <c r="B5435" t="s">
        <v>8</v>
      </c>
      <c r="F5435" t="s">
        <v>18274</v>
      </c>
      <c r="G5435" t="s">
        <v>11078</v>
      </c>
    </row>
    <row r="5436" spans="1:7" hidden="1" x14ac:dyDescent="0.25">
      <c r="A5436" t="s">
        <v>4</v>
      </c>
      <c r="B5436" t="s">
        <v>8</v>
      </c>
      <c r="F5436" t="s">
        <v>18277</v>
      </c>
      <c r="G5436" t="s">
        <v>11078</v>
      </c>
    </row>
    <row r="5437" spans="1:7" hidden="1" x14ac:dyDescent="0.25">
      <c r="A5437" t="s">
        <v>4</v>
      </c>
      <c r="B5437" t="s">
        <v>8</v>
      </c>
      <c r="F5437" t="s">
        <v>18280</v>
      </c>
      <c r="G5437" t="s">
        <v>11078</v>
      </c>
    </row>
    <row r="5438" spans="1:7" hidden="1" x14ac:dyDescent="0.25">
      <c r="A5438" t="s">
        <v>4</v>
      </c>
      <c r="B5438" t="s">
        <v>8</v>
      </c>
      <c r="F5438" t="s">
        <v>18283</v>
      </c>
      <c r="G5438" t="s">
        <v>11078</v>
      </c>
    </row>
    <row r="5439" spans="1:7" hidden="1" x14ac:dyDescent="0.25">
      <c r="A5439" t="s">
        <v>4</v>
      </c>
      <c r="B5439" t="s">
        <v>1274</v>
      </c>
      <c r="F5439" t="s">
        <v>18286</v>
      </c>
      <c r="G5439" t="s">
        <v>11079</v>
      </c>
    </row>
    <row r="5440" spans="1:7" hidden="1" x14ac:dyDescent="0.25">
      <c r="A5440" t="s">
        <v>4</v>
      </c>
      <c r="B5440" t="s">
        <v>11080</v>
      </c>
      <c r="F5440" t="s">
        <v>18289</v>
      </c>
      <c r="G5440" t="s">
        <v>11079</v>
      </c>
    </row>
    <row r="5441" spans="1:7" hidden="1" x14ac:dyDescent="0.25">
      <c r="A5441" t="s">
        <v>4</v>
      </c>
      <c r="B5441" t="s">
        <v>468</v>
      </c>
      <c r="F5441" t="s">
        <v>18292</v>
      </c>
      <c r="G5441" t="s">
        <v>11079</v>
      </c>
    </row>
    <row r="5442" spans="1:7" hidden="1" x14ac:dyDescent="0.25">
      <c r="A5442" t="s">
        <v>4</v>
      </c>
      <c r="B5442" t="s">
        <v>468</v>
      </c>
      <c r="F5442" t="s">
        <v>18295</v>
      </c>
      <c r="G5442" t="s">
        <v>11079</v>
      </c>
    </row>
    <row r="5443" spans="1:7" hidden="1" x14ac:dyDescent="0.25">
      <c r="A5443" t="s">
        <v>4</v>
      </c>
      <c r="B5443" t="s">
        <v>468</v>
      </c>
      <c r="F5443" t="s">
        <v>18298</v>
      </c>
      <c r="G5443" t="s">
        <v>11079</v>
      </c>
    </row>
    <row r="5444" spans="1:7" hidden="1" x14ac:dyDescent="0.25">
      <c r="A5444" t="s">
        <v>4</v>
      </c>
      <c r="B5444" t="s">
        <v>468</v>
      </c>
      <c r="F5444" t="s">
        <v>18301</v>
      </c>
      <c r="G5444" t="s">
        <v>11079</v>
      </c>
    </row>
    <row r="5445" spans="1:7" hidden="1" x14ac:dyDescent="0.25">
      <c r="A5445" t="s">
        <v>4</v>
      </c>
      <c r="B5445" t="s">
        <v>1274</v>
      </c>
      <c r="F5445" t="s">
        <v>18304</v>
      </c>
      <c r="G5445" t="s">
        <v>11079</v>
      </c>
    </row>
    <row r="5446" spans="1:7" hidden="1" x14ac:dyDescent="0.25">
      <c r="A5446" t="s">
        <v>16689</v>
      </c>
      <c r="B5446" t="s">
        <v>1274</v>
      </c>
      <c r="F5446" t="s">
        <v>18307</v>
      </c>
      <c r="G5446" t="s">
        <v>11079</v>
      </c>
    </row>
    <row r="5447" spans="1:7" hidden="1" x14ac:dyDescent="0.25">
      <c r="A5447" t="s">
        <v>16689</v>
      </c>
      <c r="B5447" t="s">
        <v>1274</v>
      </c>
      <c r="F5447" t="s">
        <v>18310</v>
      </c>
      <c r="G5447" t="s">
        <v>11079</v>
      </c>
    </row>
    <row r="5448" spans="1:7" hidden="1" x14ac:dyDescent="0.25">
      <c r="A5448" t="s">
        <v>4</v>
      </c>
      <c r="B5448" t="s">
        <v>17914</v>
      </c>
      <c r="F5448" t="s">
        <v>18313</v>
      </c>
      <c r="G5448" t="s">
        <v>11079</v>
      </c>
    </row>
    <row r="5449" spans="1:7" x14ac:dyDescent="0.25">
      <c r="A5449" t="s">
        <v>4</v>
      </c>
      <c r="B5449" t="s">
        <v>8</v>
      </c>
      <c r="F5449" t="s">
        <v>18316</v>
      </c>
      <c r="G5449" t="s">
        <v>11082</v>
      </c>
    </row>
    <row r="5450" spans="1:7" x14ac:dyDescent="0.25">
      <c r="A5450" t="s">
        <v>588</v>
      </c>
      <c r="B5450" t="s">
        <v>86</v>
      </c>
      <c r="F5450" t="s">
        <v>18319</v>
      </c>
      <c r="G5450" t="s">
        <v>11082</v>
      </c>
    </row>
    <row r="5451" spans="1:7" x14ac:dyDescent="0.25">
      <c r="A5451" t="s">
        <v>588</v>
      </c>
      <c r="B5451" t="s">
        <v>86</v>
      </c>
      <c r="F5451" t="s">
        <v>18322</v>
      </c>
      <c r="G5451" t="s">
        <v>11082</v>
      </c>
    </row>
    <row r="5452" spans="1:7" x14ac:dyDescent="0.25">
      <c r="A5452" t="s">
        <v>588</v>
      </c>
      <c r="B5452" t="s">
        <v>86</v>
      </c>
      <c r="F5452" t="s">
        <v>18325</v>
      </c>
      <c r="G5452" t="s">
        <v>11082</v>
      </c>
    </row>
    <row r="5453" spans="1:7" x14ac:dyDescent="0.25">
      <c r="A5453" t="s">
        <v>588</v>
      </c>
      <c r="B5453" t="s">
        <v>86</v>
      </c>
      <c r="F5453" t="s">
        <v>18328</v>
      </c>
      <c r="G5453" t="s">
        <v>11082</v>
      </c>
    </row>
    <row r="5454" spans="1:7" x14ac:dyDescent="0.25">
      <c r="A5454" t="s">
        <v>588</v>
      </c>
      <c r="B5454" t="s">
        <v>86</v>
      </c>
      <c r="F5454" t="s">
        <v>18331</v>
      </c>
      <c r="G5454" t="s">
        <v>11082</v>
      </c>
    </row>
    <row r="5455" spans="1:7" x14ac:dyDescent="0.25">
      <c r="A5455" t="s">
        <v>18353</v>
      </c>
      <c r="B5455" t="s">
        <v>86</v>
      </c>
      <c r="F5455" t="s">
        <v>18334</v>
      </c>
      <c r="G5455" t="s">
        <v>11082</v>
      </c>
    </row>
    <row r="5456" spans="1:7" x14ac:dyDescent="0.25">
      <c r="A5456" t="s">
        <v>4</v>
      </c>
      <c r="B5456" t="s">
        <v>7361</v>
      </c>
      <c r="F5456" t="s">
        <v>18337</v>
      </c>
      <c r="G5456" t="s">
        <v>11082</v>
      </c>
    </row>
    <row r="5457" spans="1:7" x14ac:dyDescent="0.25">
      <c r="A5457" t="s">
        <v>4</v>
      </c>
      <c r="B5457" t="s">
        <v>8</v>
      </c>
      <c r="F5457" t="s">
        <v>18343</v>
      </c>
      <c r="G5457" t="s">
        <v>11082</v>
      </c>
    </row>
    <row r="5458" spans="1:7" hidden="1" x14ac:dyDescent="0.25">
      <c r="A5458" t="s">
        <v>62</v>
      </c>
      <c r="B5458" t="s">
        <v>4940</v>
      </c>
      <c r="C5458" t="s">
        <v>51</v>
      </c>
      <c r="F5458" t="s">
        <v>18372</v>
      </c>
      <c r="G5458" t="s">
        <v>91</v>
      </c>
    </row>
    <row r="5459" spans="1:7" hidden="1" x14ac:dyDescent="0.25">
      <c r="A5459" t="s">
        <v>91</v>
      </c>
      <c r="B5459" t="s">
        <v>11066</v>
      </c>
      <c r="F5459" t="s">
        <v>18375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13844</v>
      </c>
      <c r="F5460" t="s">
        <v>18378</v>
      </c>
      <c r="G5460" t="s">
        <v>91</v>
      </c>
    </row>
    <row r="5461" spans="1:7" hidden="1" x14ac:dyDescent="0.25">
      <c r="A5461" t="s">
        <v>91</v>
      </c>
      <c r="B5461" t="s">
        <v>18867</v>
      </c>
      <c r="E5461" t="s">
        <v>13844</v>
      </c>
      <c r="F5461" t="s">
        <v>18381</v>
      </c>
      <c r="G5461" t="s">
        <v>91</v>
      </c>
    </row>
    <row r="5462" spans="1:7" hidden="1" x14ac:dyDescent="0.25">
      <c r="A5462" t="s">
        <v>91</v>
      </c>
      <c r="B5462" t="s">
        <v>4940</v>
      </c>
      <c r="C5462" t="s">
        <v>51</v>
      </c>
      <c r="F5462" t="s">
        <v>18384</v>
      </c>
      <c r="G5462" t="s">
        <v>91</v>
      </c>
    </row>
    <row r="5463" spans="1:7" hidden="1" x14ac:dyDescent="0.25">
      <c r="A5463" t="s">
        <v>62</v>
      </c>
      <c r="B5463" t="s">
        <v>11066</v>
      </c>
      <c r="F5463" t="s">
        <v>18387</v>
      </c>
      <c r="G5463" t="s">
        <v>91</v>
      </c>
    </row>
    <row r="5464" spans="1:7" hidden="1" x14ac:dyDescent="0.25">
      <c r="A5464" t="s">
        <v>4</v>
      </c>
      <c r="B5464" t="s">
        <v>16651</v>
      </c>
      <c r="F5464" t="s">
        <v>18354</v>
      </c>
      <c r="G5464" t="s">
        <v>12640</v>
      </c>
    </row>
    <row r="5465" spans="1:7" hidden="1" x14ac:dyDescent="0.25">
      <c r="A5465" t="s">
        <v>1607</v>
      </c>
      <c r="B5465" t="s">
        <v>8</v>
      </c>
      <c r="F5465" t="s">
        <v>18357</v>
      </c>
      <c r="G5465" t="s">
        <v>12640</v>
      </c>
    </row>
    <row r="5466" spans="1:7" hidden="1" x14ac:dyDescent="0.25">
      <c r="A5466" t="s">
        <v>4</v>
      </c>
      <c r="B5466" t="s">
        <v>7045</v>
      </c>
      <c r="F5466" t="s">
        <v>18396</v>
      </c>
      <c r="G5466" t="s">
        <v>11071</v>
      </c>
    </row>
    <row r="5467" spans="1:7" hidden="1" x14ac:dyDescent="0.25">
      <c r="A5467" t="s">
        <v>4</v>
      </c>
      <c r="B5467" t="s">
        <v>7045</v>
      </c>
      <c r="F5467" t="s">
        <v>18399</v>
      </c>
      <c r="G5467" t="s">
        <v>11071</v>
      </c>
    </row>
    <row r="5468" spans="1:7" hidden="1" x14ac:dyDescent="0.25">
      <c r="A5468" t="s">
        <v>4</v>
      </c>
      <c r="B5468" t="s">
        <v>7045</v>
      </c>
      <c r="F5468" t="s">
        <v>18402</v>
      </c>
      <c r="G5468" t="s">
        <v>11071</v>
      </c>
    </row>
    <row r="5469" spans="1:7" hidden="1" x14ac:dyDescent="0.25">
      <c r="A5469" t="s">
        <v>588</v>
      </c>
      <c r="B5469" t="s">
        <v>86</v>
      </c>
      <c r="F5469" t="s">
        <v>18405</v>
      </c>
      <c r="G5469" t="s">
        <v>894</v>
      </c>
    </row>
    <row r="5470" spans="1:7" hidden="1" x14ac:dyDescent="0.25">
      <c r="A5470" t="s">
        <v>4</v>
      </c>
      <c r="B5470" t="s">
        <v>8</v>
      </c>
      <c r="F5470" t="s">
        <v>18408</v>
      </c>
      <c r="G5470" t="s">
        <v>894</v>
      </c>
    </row>
    <row r="5471" spans="1:7" hidden="1" x14ac:dyDescent="0.25">
      <c r="A5471" t="s">
        <v>588</v>
      </c>
      <c r="B5471" t="s">
        <v>86</v>
      </c>
      <c r="F5471" t="s">
        <v>18360</v>
      </c>
      <c r="G5471" t="s">
        <v>895</v>
      </c>
    </row>
    <row r="5472" spans="1:7" hidden="1" x14ac:dyDescent="0.25">
      <c r="A5472" t="s">
        <v>4</v>
      </c>
      <c r="B5472" t="s">
        <v>8</v>
      </c>
      <c r="F5472" t="s">
        <v>18363</v>
      </c>
      <c r="G5472" t="s">
        <v>895</v>
      </c>
    </row>
    <row r="5473" spans="1:7" hidden="1" x14ac:dyDescent="0.25">
      <c r="A5473" t="s">
        <v>4</v>
      </c>
      <c r="B5473" t="s">
        <v>468</v>
      </c>
      <c r="F5473" t="s">
        <v>18366</v>
      </c>
      <c r="G5473" t="s">
        <v>895</v>
      </c>
    </row>
    <row r="5474" spans="1:7" hidden="1" x14ac:dyDescent="0.25">
      <c r="A5474" t="s">
        <v>4</v>
      </c>
      <c r="B5474" t="s">
        <v>8</v>
      </c>
      <c r="F5474" t="s">
        <v>18369</v>
      </c>
      <c r="G5474" t="s">
        <v>895</v>
      </c>
    </row>
    <row r="5475" spans="1:7" hidden="1" x14ac:dyDescent="0.25">
      <c r="A5475" t="s">
        <v>4</v>
      </c>
      <c r="B5475" t="s">
        <v>8</v>
      </c>
      <c r="F5475" t="s">
        <v>18411</v>
      </c>
      <c r="G5475" t="s">
        <v>896</v>
      </c>
    </row>
    <row r="5476" spans="1:7" hidden="1" x14ac:dyDescent="0.25">
      <c r="A5476" t="s">
        <v>7354</v>
      </c>
      <c r="B5476" t="s">
        <v>1274</v>
      </c>
      <c r="F5476" t="s">
        <v>18414</v>
      </c>
      <c r="G5476" t="s">
        <v>896</v>
      </c>
    </row>
    <row r="5477" spans="1:7" hidden="1" x14ac:dyDescent="0.25">
      <c r="A5477" t="s">
        <v>4</v>
      </c>
      <c r="B5477" t="s">
        <v>8</v>
      </c>
      <c r="F5477" t="s">
        <v>18417</v>
      </c>
      <c r="G5477" t="s">
        <v>896</v>
      </c>
    </row>
    <row r="5478" spans="1:7" hidden="1" x14ac:dyDescent="0.25">
      <c r="A5478" t="s">
        <v>4</v>
      </c>
      <c r="B5478" t="s">
        <v>8</v>
      </c>
      <c r="F5478" t="s">
        <v>18420</v>
      </c>
      <c r="G5478" t="s">
        <v>897</v>
      </c>
    </row>
    <row r="5479" spans="1:7" hidden="1" x14ac:dyDescent="0.25">
      <c r="A5479" t="s">
        <v>1607</v>
      </c>
      <c r="B5479" t="s">
        <v>8</v>
      </c>
      <c r="F5479" t="s">
        <v>18423</v>
      </c>
      <c r="G5479" t="s">
        <v>897</v>
      </c>
    </row>
    <row r="5480" spans="1:7" hidden="1" x14ac:dyDescent="0.25">
      <c r="A5480" t="s">
        <v>4</v>
      </c>
      <c r="B5480" t="s">
        <v>6157</v>
      </c>
      <c r="F5480" t="s">
        <v>18426</v>
      </c>
      <c r="G5480" t="s">
        <v>12641</v>
      </c>
    </row>
    <row r="5481" spans="1:7" hidden="1" x14ac:dyDescent="0.25">
      <c r="A5481" t="s">
        <v>4</v>
      </c>
      <c r="B5481" t="s">
        <v>17906</v>
      </c>
      <c r="F5481" t="s">
        <v>18429</v>
      </c>
      <c r="G5481" t="s">
        <v>12641</v>
      </c>
    </row>
    <row r="5482" spans="1:7" hidden="1" x14ac:dyDescent="0.25">
      <c r="A5482" t="s">
        <v>4</v>
      </c>
      <c r="B5482" t="s">
        <v>17901</v>
      </c>
      <c r="F5482" t="s">
        <v>18432</v>
      </c>
      <c r="G5482" t="s">
        <v>12641</v>
      </c>
    </row>
    <row r="5483" spans="1:7" hidden="1" x14ac:dyDescent="0.25">
      <c r="A5483" t="s">
        <v>18874</v>
      </c>
      <c r="F5483" t="s">
        <v>18435</v>
      </c>
      <c r="G5483" t="s">
        <v>12641</v>
      </c>
    </row>
    <row r="5484" spans="1:7" hidden="1" x14ac:dyDescent="0.25">
      <c r="A5484" t="s">
        <v>18346</v>
      </c>
      <c r="F5484" t="s">
        <v>18438</v>
      </c>
      <c r="G5484" t="s">
        <v>12641</v>
      </c>
    </row>
    <row r="5485" spans="1:7" hidden="1" x14ac:dyDescent="0.25">
      <c r="A5485" t="s">
        <v>18346</v>
      </c>
      <c r="F5485" t="s">
        <v>18441</v>
      </c>
      <c r="G5485" t="s">
        <v>12641</v>
      </c>
    </row>
    <row r="5486" spans="1:7" hidden="1" x14ac:dyDescent="0.25">
      <c r="A5486" t="s">
        <v>7354</v>
      </c>
      <c r="B5486" t="s">
        <v>1274</v>
      </c>
      <c r="F5486" t="s">
        <v>18444</v>
      </c>
      <c r="G5486" t="s">
        <v>12641</v>
      </c>
    </row>
    <row r="5487" spans="1:7" hidden="1" x14ac:dyDescent="0.25">
      <c r="A5487" t="s">
        <v>18875</v>
      </c>
      <c r="F5487" t="s">
        <v>18447</v>
      </c>
      <c r="G5487" t="s">
        <v>12641</v>
      </c>
    </row>
    <row r="5488" spans="1:7" hidden="1" x14ac:dyDescent="0.25">
      <c r="A5488" t="s">
        <v>18346</v>
      </c>
      <c r="F5488" t="s">
        <v>18450</v>
      </c>
      <c r="G5488" t="s">
        <v>12641</v>
      </c>
    </row>
    <row r="5489" spans="1:7" hidden="1" x14ac:dyDescent="0.25">
      <c r="A5489" t="s">
        <v>18346</v>
      </c>
      <c r="F5489" t="s">
        <v>18453</v>
      </c>
      <c r="G5489" t="s">
        <v>12641</v>
      </c>
    </row>
    <row r="5490" spans="1:7" hidden="1" x14ac:dyDescent="0.25">
      <c r="A5490" t="s">
        <v>4</v>
      </c>
      <c r="B5490" t="s">
        <v>6157</v>
      </c>
      <c r="F5490" t="s">
        <v>18456</v>
      </c>
      <c r="G5490" t="s">
        <v>12641</v>
      </c>
    </row>
    <row r="5491" spans="1:7" hidden="1" x14ac:dyDescent="0.25">
      <c r="A5491" t="s">
        <v>7354</v>
      </c>
      <c r="B5491" t="s">
        <v>468</v>
      </c>
      <c r="F5491" t="s">
        <v>18459</v>
      </c>
      <c r="G5491" t="s">
        <v>12641</v>
      </c>
    </row>
    <row r="5492" spans="1:7" hidden="1" x14ac:dyDescent="0.25">
      <c r="A5492" t="s">
        <v>7354</v>
      </c>
      <c r="B5492" t="s">
        <v>468</v>
      </c>
      <c r="F5492" t="s">
        <v>18462</v>
      </c>
      <c r="G5492" t="s">
        <v>12641</v>
      </c>
    </row>
    <row r="5493" spans="1:7" hidden="1" x14ac:dyDescent="0.25">
      <c r="A5493" t="s">
        <v>7354</v>
      </c>
      <c r="B5493" t="s">
        <v>468</v>
      </c>
      <c r="F5493" t="s">
        <v>18465</v>
      </c>
      <c r="G5493" t="s">
        <v>12641</v>
      </c>
    </row>
    <row r="5494" spans="1:7" hidden="1" x14ac:dyDescent="0.25">
      <c r="A5494" t="s">
        <v>4</v>
      </c>
      <c r="B5494" t="s">
        <v>17901</v>
      </c>
      <c r="F5494" t="s">
        <v>18468</v>
      </c>
      <c r="G5494" t="s">
        <v>12641</v>
      </c>
    </row>
    <row r="5495" spans="1:7" hidden="1" x14ac:dyDescent="0.25">
      <c r="A5495" t="s">
        <v>4</v>
      </c>
      <c r="B5495" t="s">
        <v>6157</v>
      </c>
      <c r="F5495" t="s">
        <v>18471</v>
      </c>
      <c r="G5495" t="s">
        <v>12641</v>
      </c>
    </row>
    <row r="5496" spans="1:7" hidden="1" x14ac:dyDescent="0.25">
      <c r="A5496" t="s">
        <v>4</v>
      </c>
      <c r="B5496" t="s">
        <v>18876</v>
      </c>
      <c r="E5496" t="s">
        <v>18877</v>
      </c>
      <c r="F5496" t="s">
        <v>18474</v>
      </c>
      <c r="G5496" t="s">
        <v>12641</v>
      </c>
    </row>
    <row r="5497" spans="1:7" hidden="1" x14ac:dyDescent="0.25">
      <c r="A5497" t="s">
        <v>4</v>
      </c>
      <c r="B5497" t="s">
        <v>18878</v>
      </c>
      <c r="F5497" t="s">
        <v>18477</v>
      </c>
      <c r="G5497" t="s">
        <v>12641</v>
      </c>
    </row>
    <row r="5498" spans="1:7" hidden="1" x14ac:dyDescent="0.25">
      <c r="A5498" t="s">
        <v>4</v>
      </c>
      <c r="B5498" t="s">
        <v>9</v>
      </c>
      <c r="F5498" t="s">
        <v>18480</v>
      </c>
      <c r="G5498" t="s">
        <v>12642</v>
      </c>
    </row>
    <row r="5499" spans="1:7" hidden="1" x14ac:dyDescent="0.25">
      <c r="A5499" t="s">
        <v>16674</v>
      </c>
      <c r="F5499" t="s">
        <v>18483</v>
      </c>
      <c r="G5499" t="s">
        <v>12642</v>
      </c>
    </row>
    <row r="5500" spans="1:7" hidden="1" x14ac:dyDescent="0.25">
      <c r="A5500" t="s">
        <v>16669</v>
      </c>
      <c r="F5500" t="s">
        <v>18486</v>
      </c>
      <c r="G5500" t="s">
        <v>12642</v>
      </c>
    </row>
    <row r="5501" spans="1:7" hidden="1" x14ac:dyDescent="0.25">
      <c r="A5501" t="s">
        <v>7354</v>
      </c>
      <c r="B5501" t="s">
        <v>7355</v>
      </c>
      <c r="F5501" t="s">
        <v>18489</v>
      </c>
      <c r="G5501" t="s">
        <v>12642</v>
      </c>
    </row>
    <row r="5502" spans="1:7" hidden="1" x14ac:dyDescent="0.25">
      <c r="A5502" t="s">
        <v>18879</v>
      </c>
      <c r="B5502" t="s">
        <v>468</v>
      </c>
      <c r="F5502" t="s">
        <v>18492</v>
      </c>
      <c r="G5502" t="s">
        <v>12642</v>
      </c>
    </row>
    <row r="5503" spans="1:7" hidden="1" x14ac:dyDescent="0.25">
      <c r="A5503" t="s">
        <v>18879</v>
      </c>
      <c r="B5503" t="s">
        <v>468</v>
      </c>
      <c r="E5503" t="s">
        <v>2352</v>
      </c>
      <c r="F5503" t="s">
        <v>18495</v>
      </c>
      <c r="G5503" t="s">
        <v>12642</v>
      </c>
    </row>
    <row r="5504" spans="1:7" hidden="1" x14ac:dyDescent="0.25">
      <c r="A5504" t="s">
        <v>1627</v>
      </c>
      <c r="B5504" t="s">
        <v>687</v>
      </c>
      <c r="F5504" t="s">
        <v>18498</v>
      </c>
      <c r="G5504" t="s">
        <v>12642</v>
      </c>
    </row>
    <row r="5505" spans="1:7" hidden="1" x14ac:dyDescent="0.25">
      <c r="A5505" t="s">
        <v>1627</v>
      </c>
      <c r="B5505" t="s">
        <v>687</v>
      </c>
      <c r="F5505" t="s">
        <v>18501</v>
      </c>
      <c r="G5505" t="s">
        <v>12642</v>
      </c>
    </row>
    <row r="5506" spans="1:7" hidden="1" x14ac:dyDescent="0.25">
      <c r="A5506" t="s">
        <v>7354</v>
      </c>
      <c r="B5506" t="s">
        <v>7355</v>
      </c>
      <c r="F5506" t="s">
        <v>18504</v>
      </c>
      <c r="G5506" t="s">
        <v>12642</v>
      </c>
    </row>
    <row r="5507" spans="1:7" hidden="1" x14ac:dyDescent="0.25">
      <c r="A5507" t="s">
        <v>16674</v>
      </c>
      <c r="F5507" t="s">
        <v>18507</v>
      </c>
      <c r="G5507" t="s">
        <v>12642</v>
      </c>
    </row>
    <row r="5508" spans="1:7" hidden="1" x14ac:dyDescent="0.25">
      <c r="A5508" t="s">
        <v>16674</v>
      </c>
      <c r="F5508" t="s">
        <v>18510</v>
      </c>
      <c r="G5508" t="s">
        <v>12642</v>
      </c>
    </row>
    <row r="5509" spans="1:7" hidden="1" x14ac:dyDescent="0.25">
      <c r="A5509" t="s">
        <v>16674</v>
      </c>
      <c r="F5509" t="s">
        <v>18513</v>
      </c>
      <c r="G5509" t="s">
        <v>12642</v>
      </c>
    </row>
    <row r="5510" spans="1:7" hidden="1" x14ac:dyDescent="0.25">
      <c r="A5510" t="s">
        <v>16669</v>
      </c>
      <c r="F5510" t="s">
        <v>18516</v>
      </c>
      <c r="G5510" t="s">
        <v>12642</v>
      </c>
    </row>
    <row r="5511" spans="1:7" hidden="1" x14ac:dyDescent="0.25">
      <c r="A5511" t="s">
        <v>4</v>
      </c>
      <c r="B5511" t="s">
        <v>9</v>
      </c>
      <c r="F5511" t="s">
        <v>18519</v>
      </c>
      <c r="G5511" t="s">
        <v>12642</v>
      </c>
    </row>
    <row r="5512" spans="1:7" hidden="1" x14ac:dyDescent="0.25">
      <c r="A5512" t="s">
        <v>4</v>
      </c>
      <c r="B5512" t="s">
        <v>8</v>
      </c>
      <c r="F5512" t="s">
        <v>18522</v>
      </c>
      <c r="G5512" t="s">
        <v>12643</v>
      </c>
    </row>
    <row r="5513" spans="1:7" hidden="1" x14ac:dyDescent="0.25">
      <c r="A5513" t="s">
        <v>7354</v>
      </c>
      <c r="B5513" t="s">
        <v>468</v>
      </c>
      <c r="F5513" t="s">
        <v>18525</v>
      </c>
      <c r="G5513" t="s">
        <v>12643</v>
      </c>
    </row>
    <row r="5514" spans="1:7" hidden="1" x14ac:dyDescent="0.25">
      <c r="A5514" t="s">
        <v>7354</v>
      </c>
      <c r="B5514" t="s">
        <v>468</v>
      </c>
      <c r="F5514" t="s">
        <v>18528</v>
      </c>
      <c r="G5514" t="s">
        <v>12643</v>
      </c>
    </row>
    <row r="5515" spans="1:7" hidden="1" x14ac:dyDescent="0.25">
      <c r="A5515" t="s">
        <v>7354</v>
      </c>
      <c r="B5515" t="s">
        <v>468</v>
      </c>
      <c r="F5515" t="s">
        <v>18531</v>
      </c>
      <c r="G5515" t="s">
        <v>12643</v>
      </c>
    </row>
    <row r="5516" spans="1:7" hidden="1" x14ac:dyDescent="0.25">
      <c r="A5516" t="s">
        <v>4</v>
      </c>
      <c r="B5516" t="s">
        <v>468</v>
      </c>
      <c r="F5516" t="s">
        <v>18534</v>
      </c>
      <c r="G5516" t="s">
        <v>12643</v>
      </c>
    </row>
    <row r="5517" spans="1:7" hidden="1" x14ac:dyDescent="0.25">
      <c r="A5517" t="s">
        <v>7354</v>
      </c>
      <c r="B5517" t="s">
        <v>468</v>
      </c>
      <c r="F5517" t="s">
        <v>18537</v>
      </c>
      <c r="G5517" t="s">
        <v>12643</v>
      </c>
    </row>
    <row r="5518" spans="1:7" hidden="1" x14ac:dyDescent="0.25">
      <c r="A5518" t="s">
        <v>18880</v>
      </c>
      <c r="B5518" t="s">
        <v>468</v>
      </c>
      <c r="F5518" t="s">
        <v>18540</v>
      </c>
      <c r="G5518" t="s">
        <v>12643</v>
      </c>
    </row>
    <row r="5519" spans="1:7" hidden="1" x14ac:dyDescent="0.25">
      <c r="A5519" t="s">
        <v>18881</v>
      </c>
      <c r="B5519" t="s">
        <v>468</v>
      </c>
      <c r="F5519" t="s">
        <v>18543</v>
      </c>
      <c r="G5519" t="s">
        <v>12643</v>
      </c>
    </row>
    <row r="5520" spans="1:7" hidden="1" x14ac:dyDescent="0.25">
      <c r="A5520" t="s">
        <v>226</v>
      </c>
      <c r="B5520" t="s">
        <v>18882</v>
      </c>
      <c r="C5520" t="s">
        <v>53</v>
      </c>
      <c r="D5520">
        <v>1</v>
      </c>
      <c r="F5520" t="s">
        <v>18546</v>
      </c>
      <c r="G5520" t="s">
        <v>12643</v>
      </c>
    </row>
    <row r="5521" spans="1:7" hidden="1" x14ac:dyDescent="0.25">
      <c r="A5521" t="s">
        <v>226</v>
      </c>
      <c r="B5521" t="s">
        <v>18882</v>
      </c>
      <c r="C5521" t="s">
        <v>53</v>
      </c>
      <c r="D5521">
        <v>1</v>
      </c>
      <c r="F5521" t="s">
        <v>18549</v>
      </c>
      <c r="G5521" t="s">
        <v>12643</v>
      </c>
    </row>
    <row r="5522" spans="1:7" hidden="1" x14ac:dyDescent="0.25">
      <c r="A5522" t="s">
        <v>226</v>
      </c>
      <c r="B5522" t="s">
        <v>18882</v>
      </c>
      <c r="C5522" t="s">
        <v>53</v>
      </c>
      <c r="D5522">
        <v>1</v>
      </c>
      <c r="F5522" t="s">
        <v>18552</v>
      </c>
      <c r="G5522" t="s">
        <v>12643</v>
      </c>
    </row>
    <row r="5523" spans="1:7" hidden="1" x14ac:dyDescent="0.25">
      <c r="A5523" t="s">
        <v>226</v>
      </c>
      <c r="B5523" t="s">
        <v>18882</v>
      </c>
      <c r="C5523" t="s">
        <v>53</v>
      </c>
      <c r="D5523">
        <v>1</v>
      </c>
      <c r="F5523" t="s">
        <v>18555</v>
      </c>
      <c r="G5523" t="s">
        <v>12643</v>
      </c>
    </row>
    <row r="5524" spans="1:7" hidden="1" x14ac:dyDescent="0.25">
      <c r="A5524" t="s">
        <v>587</v>
      </c>
      <c r="B5524" t="s">
        <v>18882</v>
      </c>
      <c r="C5524" t="s">
        <v>53</v>
      </c>
      <c r="D5524">
        <v>4</v>
      </c>
      <c r="F5524" t="s">
        <v>18558</v>
      </c>
      <c r="G5524" t="s">
        <v>12643</v>
      </c>
    </row>
    <row r="5525" spans="1:7" hidden="1" x14ac:dyDescent="0.25">
      <c r="A5525" t="s">
        <v>1273</v>
      </c>
      <c r="B5525" t="s">
        <v>3356</v>
      </c>
      <c r="F5525" t="s">
        <v>18561</v>
      </c>
      <c r="G5525" t="s">
        <v>12643</v>
      </c>
    </row>
    <row r="5526" spans="1:7" hidden="1" x14ac:dyDescent="0.25">
      <c r="A5526" t="s">
        <v>226</v>
      </c>
      <c r="B5526" t="s">
        <v>3356</v>
      </c>
      <c r="C5526" t="s">
        <v>53</v>
      </c>
      <c r="F5526" t="s">
        <v>18564</v>
      </c>
      <c r="G5526" t="s">
        <v>12643</v>
      </c>
    </row>
    <row r="5527" spans="1:7" hidden="1" x14ac:dyDescent="0.25">
      <c r="A5527" t="s">
        <v>226</v>
      </c>
      <c r="B5527" t="s">
        <v>3356</v>
      </c>
      <c r="C5527" t="s">
        <v>53</v>
      </c>
      <c r="F5527" t="s">
        <v>18567</v>
      </c>
      <c r="G5527" t="s">
        <v>12643</v>
      </c>
    </row>
    <row r="5528" spans="1:7" hidden="1" x14ac:dyDescent="0.25">
      <c r="A5528" t="s">
        <v>226</v>
      </c>
      <c r="B5528" t="s">
        <v>3356</v>
      </c>
      <c r="C5528" t="s">
        <v>53</v>
      </c>
      <c r="F5528" t="s">
        <v>18570</v>
      </c>
      <c r="G5528" t="s">
        <v>12643</v>
      </c>
    </row>
    <row r="5529" spans="1:7" hidden="1" x14ac:dyDescent="0.25">
      <c r="A5529" t="s">
        <v>226</v>
      </c>
      <c r="B5529" t="s">
        <v>3356</v>
      </c>
      <c r="C5529" t="s">
        <v>53</v>
      </c>
      <c r="F5529" t="s">
        <v>18573</v>
      </c>
      <c r="G5529" t="s">
        <v>12643</v>
      </c>
    </row>
    <row r="5530" spans="1:7" hidden="1" x14ac:dyDescent="0.25">
      <c r="A5530" t="s">
        <v>226</v>
      </c>
      <c r="B5530" t="s">
        <v>3356</v>
      </c>
      <c r="C5530" t="s">
        <v>53</v>
      </c>
      <c r="F5530" t="s">
        <v>18576</v>
      </c>
      <c r="G5530" t="s">
        <v>12643</v>
      </c>
    </row>
    <row r="5531" spans="1:7" hidden="1" x14ac:dyDescent="0.25">
      <c r="A5531" t="s">
        <v>226</v>
      </c>
      <c r="B5531" t="s">
        <v>3356</v>
      </c>
      <c r="C5531" t="s">
        <v>53</v>
      </c>
      <c r="F5531" t="s">
        <v>18579</v>
      </c>
      <c r="G5531" t="s">
        <v>12643</v>
      </c>
    </row>
    <row r="5532" spans="1:7" hidden="1" x14ac:dyDescent="0.25">
      <c r="A5532" t="s">
        <v>226</v>
      </c>
      <c r="B5532" t="s">
        <v>3356</v>
      </c>
      <c r="C5532" t="s">
        <v>53</v>
      </c>
      <c r="F5532" t="s">
        <v>18582</v>
      </c>
      <c r="G5532" t="s">
        <v>12643</v>
      </c>
    </row>
    <row r="5533" spans="1:7" hidden="1" x14ac:dyDescent="0.25">
      <c r="A5533" t="s">
        <v>226</v>
      </c>
      <c r="B5533" t="s">
        <v>3356</v>
      </c>
      <c r="C5533" t="s">
        <v>53</v>
      </c>
      <c r="F5533" t="s">
        <v>18585</v>
      </c>
      <c r="G5533" t="s">
        <v>12643</v>
      </c>
    </row>
    <row r="5534" spans="1:7" hidden="1" x14ac:dyDescent="0.25">
      <c r="A5534" t="s">
        <v>226</v>
      </c>
      <c r="B5534" t="s">
        <v>3356</v>
      </c>
      <c r="C5534" t="s">
        <v>53</v>
      </c>
      <c r="F5534" t="s">
        <v>18588</v>
      </c>
      <c r="G5534" t="s">
        <v>12643</v>
      </c>
    </row>
    <row r="5535" spans="1:7" hidden="1" x14ac:dyDescent="0.25">
      <c r="A5535" t="s">
        <v>587</v>
      </c>
      <c r="B5535" t="s">
        <v>3356</v>
      </c>
      <c r="C5535" t="s">
        <v>53</v>
      </c>
      <c r="D5535">
        <v>16</v>
      </c>
      <c r="F5535" t="s">
        <v>18591</v>
      </c>
      <c r="G5535" t="s">
        <v>12643</v>
      </c>
    </row>
    <row r="5536" spans="1:7" hidden="1" x14ac:dyDescent="0.25">
      <c r="A5536" t="s">
        <v>4</v>
      </c>
      <c r="B5536" t="s">
        <v>468</v>
      </c>
      <c r="F5536" t="s">
        <v>18594</v>
      </c>
      <c r="G5536" t="s">
        <v>12643</v>
      </c>
    </row>
    <row r="5537" spans="1:7" hidden="1" x14ac:dyDescent="0.25">
      <c r="A5537" t="s">
        <v>4</v>
      </c>
      <c r="B5537" t="s">
        <v>468</v>
      </c>
      <c r="F5537" t="s">
        <v>18597</v>
      </c>
      <c r="G5537" t="s">
        <v>12643</v>
      </c>
    </row>
    <row r="5538" spans="1:7" hidden="1" x14ac:dyDescent="0.25">
      <c r="A5538" t="s">
        <v>7354</v>
      </c>
      <c r="B5538" t="s">
        <v>468</v>
      </c>
      <c r="F5538" t="s">
        <v>18600</v>
      </c>
      <c r="G5538" t="s">
        <v>12643</v>
      </c>
    </row>
    <row r="5539" spans="1:7" hidden="1" x14ac:dyDescent="0.25">
      <c r="A5539" t="s">
        <v>7354</v>
      </c>
      <c r="B5539" t="s">
        <v>468</v>
      </c>
      <c r="F5539" t="s">
        <v>18603</v>
      </c>
      <c r="G5539" t="s">
        <v>12643</v>
      </c>
    </row>
    <row r="5540" spans="1:7" hidden="1" x14ac:dyDescent="0.25">
      <c r="A5540" t="s">
        <v>7354</v>
      </c>
      <c r="B5540" t="s">
        <v>468</v>
      </c>
      <c r="F5540" t="s">
        <v>18606</v>
      </c>
      <c r="G5540" t="s">
        <v>12643</v>
      </c>
    </row>
    <row r="5541" spans="1:7" hidden="1" x14ac:dyDescent="0.25">
      <c r="A5541" t="s">
        <v>4</v>
      </c>
      <c r="B5541" t="s">
        <v>468</v>
      </c>
      <c r="F5541" t="s">
        <v>18609</v>
      </c>
      <c r="G5541" t="s">
        <v>12643</v>
      </c>
    </row>
    <row r="5542" spans="1:7" hidden="1" x14ac:dyDescent="0.25">
      <c r="A5542" t="s">
        <v>7354</v>
      </c>
      <c r="B5542" t="s">
        <v>468</v>
      </c>
      <c r="F5542" t="s">
        <v>18612</v>
      </c>
      <c r="G5542" t="s">
        <v>12643</v>
      </c>
    </row>
    <row r="5543" spans="1:7" hidden="1" x14ac:dyDescent="0.25">
      <c r="A5543" t="s">
        <v>7354</v>
      </c>
      <c r="B5543" t="s">
        <v>468</v>
      </c>
      <c r="F5543" t="s">
        <v>18615</v>
      </c>
      <c r="G5543" t="s">
        <v>12643</v>
      </c>
    </row>
    <row r="5544" spans="1:7" hidden="1" x14ac:dyDescent="0.25">
      <c r="A5544" t="s">
        <v>7354</v>
      </c>
      <c r="B5544" t="s">
        <v>468</v>
      </c>
      <c r="F5544" t="s">
        <v>18618</v>
      </c>
      <c r="G5544" t="s">
        <v>12643</v>
      </c>
    </row>
    <row r="5545" spans="1:7" hidden="1" x14ac:dyDescent="0.25">
      <c r="A5545" t="s">
        <v>4</v>
      </c>
      <c r="B5545" t="s">
        <v>8</v>
      </c>
      <c r="F5545" t="s">
        <v>18621</v>
      </c>
      <c r="G5545" t="s">
        <v>12643</v>
      </c>
    </row>
    <row r="5546" spans="1:7" hidden="1" x14ac:dyDescent="0.25">
      <c r="A5546" t="s">
        <v>1607</v>
      </c>
      <c r="B5546" t="s">
        <v>8</v>
      </c>
      <c r="F5546" t="s">
        <v>18624</v>
      </c>
      <c r="G5546" t="s">
        <v>12643</v>
      </c>
    </row>
    <row r="5547" spans="1:7" hidden="1" x14ac:dyDescent="0.25">
      <c r="A5547" t="s">
        <v>1607</v>
      </c>
      <c r="B5547" t="s">
        <v>8</v>
      </c>
      <c r="F5547" t="s">
        <v>18627</v>
      </c>
      <c r="G5547" t="s">
        <v>12643</v>
      </c>
    </row>
    <row r="5548" spans="1:7" hidden="1" x14ac:dyDescent="0.25">
      <c r="A5548" t="s">
        <v>4</v>
      </c>
      <c r="B5548" t="s">
        <v>8</v>
      </c>
      <c r="F5548" t="s">
        <v>18630</v>
      </c>
      <c r="G5548" t="s">
        <v>12644</v>
      </c>
    </row>
    <row r="5549" spans="1:7" hidden="1" x14ac:dyDescent="0.25">
      <c r="A5549" t="s">
        <v>1607</v>
      </c>
      <c r="B5549" t="s">
        <v>8</v>
      </c>
      <c r="F5549" t="s">
        <v>18633</v>
      </c>
      <c r="G5549" t="s">
        <v>12644</v>
      </c>
    </row>
    <row r="5550" spans="1:7" hidden="1" x14ac:dyDescent="0.25">
      <c r="A5550" t="s">
        <v>588</v>
      </c>
      <c r="B5550" t="s">
        <v>86</v>
      </c>
      <c r="F5550" t="s">
        <v>18636</v>
      </c>
      <c r="G5550" t="s">
        <v>12644</v>
      </c>
    </row>
    <row r="5551" spans="1:7" hidden="1" x14ac:dyDescent="0.25">
      <c r="A5551" t="s">
        <v>4</v>
      </c>
      <c r="B5551" t="s">
        <v>8</v>
      </c>
      <c r="F5551" t="s">
        <v>18639</v>
      </c>
      <c r="G5551" t="s">
        <v>12644</v>
      </c>
    </row>
    <row r="5552" spans="1:7" hidden="1" x14ac:dyDescent="0.25">
      <c r="A5552" t="s">
        <v>4</v>
      </c>
      <c r="B5552" t="s">
        <v>8</v>
      </c>
      <c r="F5552" t="s">
        <v>18642</v>
      </c>
      <c r="G5552" t="s">
        <v>1537</v>
      </c>
    </row>
    <row r="5553" spans="1:7" hidden="1" x14ac:dyDescent="0.25">
      <c r="A5553" t="s">
        <v>10020</v>
      </c>
      <c r="F5553" t="s">
        <v>18645</v>
      </c>
      <c r="G5553" t="s">
        <v>1537</v>
      </c>
    </row>
    <row r="5554" spans="1:7" hidden="1" x14ac:dyDescent="0.25">
      <c r="A5554" t="s">
        <v>10020</v>
      </c>
      <c r="F5554" t="s">
        <v>18648</v>
      </c>
      <c r="G5554" t="s">
        <v>1537</v>
      </c>
    </row>
    <row r="5555" spans="1:7" hidden="1" x14ac:dyDescent="0.25">
      <c r="A5555" t="s">
        <v>10020</v>
      </c>
      <c r="F5555" t="s">
        <v>18651</v>
      </c>
      <c r="G5555" t="s">
        <v>1537</v>
      </c>
    </row>
    <row r="5556" spans="1:7" hidden="1" x14ac:dyDescent="0.25">
      <c r="A5556" t="s">
        <v>4</v>
      </c>
      <c r="B5556" t="s">
        <v>8</v>
      </c>
      <c r="F5556" t="s">
        <v>18654</v>
      </c>
      <c r="G5556" t="s">
        <v>1537</v>
      </c>
    </row>
    <row r="5557" spans="1:7" hidden="1" x14ac:dyDescent="0.25">
      <c r="A5557" t="s">
        <v>588</v>
      </c>
      <c r="B5557" t="s">
        <v>86</v>
      </c>
      <c r="F5557" t="s">
        <v>18657</v>
      </c>
      <c r="G5557" t="s">
        <v>1600</v>
      </c>
    </row>
    <row r="5558" spans="1:7" hidden="1" x14ac:dyDescent="0.25">
      <c r="A5558" t="s">
        <v>4</v>
      </c>
      <c r="B5558" t="s">
        <v>8</v>
      </c>
      <c r="F5558" t="s">
        <v>18660</v>
      </c>
      <c r="G5558" t="s">
        <v>1600</v>
      </c>
    </row>
    <row r="5559" spans="1:7" hidden="1" x14ac:dyDescent="0.25">
      <c r="A5559" t="s">
        <v>4</v>
      </c>
      <c r="B5559" t="s">
        <v>8</v>
      </c>
      <c r="F5559" t="s">
        <v>18663</v>
      </c>
      <c r="G5559" t="s">
        <v>10022</v>
      </c>
    </row>
    <row r="5560" spans="1:7" hidden="1" x14ac:dyDescent="0.25">
      <c r="A5560" t="s">
        <v>1273</v>
      </c>
      <c r="B5560" t="s">
        <v>70</v>
      </c>
      <c r="F5560" t="s">
        <v>18666</v>
      </c>
      <c r="G5560" t="s">
        <v>10022</v>
      </c>
    </row>
    <row r="5561" spans="1:7" hidden="1" x14ac:dyDescent="0.25">
      <c r="A5561" t="s">
        <v>227</v>
      </c>
      <c r="B5561" t="s">
        <v>70</v>
      </c>
      <c r="C5561" t="s">
        <v>18883</v>
      </c>
      <c r="F5561" t="s">
        <v>18669</v>
      </c>
      <c r="G5561" t="s">
        <v>10022</v>
      </c>
    </row>
    <row r="5562" spans="1:7" hidden="1" x14ac:dyDescent="0.25">
      <c r="A5562" t="s">
        <v>227</v>
      </c>
      <c r="B5562" t="s">
        <v>70</v>
      </c>
      <c r="C5562" t="s">
        <v>18883</v>
      </c>
      <c r="F5562" t="s">
        <v>18672</v>
      </c>
      <c r="G5562" t="s">
        <v>10022</v>
      </c>
    </row>
    <row r="5563" spans="1:7" hidden="1" x14ac:dyDescent="0.25">
      <c r="A5563" t="s">
        <v>227</v>
      </c>
      <c r="B5563" t="s">
        <v>70</v>
      </c>
      <c r="C5563" t="s">
        <v>18883</v>
      </c>
      <c r="F5563" t="s">
        <v>18675</v>
      </c>
      <c r="G5563" t="s">
        <v>10022</v>
      </c>
    </row>
    <row r="5564" spans="1:7" hidden="1" x14ac:dyDescent="0.25">
      <c r="A5564" t="s">
        <v>227</v>
      </c>
      <c r="B5564" t="s">
        <v>70</v>
      </c>
      <c r="C5564" t="s">
        <v>18883</v>
      </c>
      <c r="F5564" t="s">
        <v>18678</v>
      </c>
      <c r="G5564" t="s">
        <v>10022</v>
      </c>
    </row>
    <row r="5565" spans="1:7" hidden="1" x14ac:dyDescent="0.25">
      <c r="A5565" t="s">
        <v>227</v>
      </c>
      <c r="B5565" t="s">
        <v>70</v>
      </c>
      <c r="C5565" t="s">
        <v>18883</v>
      </c>
      <c r="F5565" t="s">
        <v>18681</v>
      </c>
      <c r="G5565" t="s">
        <v>10022</v>
      </c>
    </row>
    <row r="5566" spans="1:7" hidden="1" x14ac:dyDescent="0.25">
      <c r="A5566" t="s">
        <v>227</v>
      </c>
      <c r="B5566" t="s">
        <v>70</v>
      </c>
      <c r="C5566" t="s">
        <v>18883</v>
      </c>
      <c r="F5566" t="s">
        <v>18684</v>
      </c>
      <c r="G5566" t="s">
        <v>10022</v>
      </c>
    </row>
    <row r="5567" spans="1:7" hidden="1" x14ac:dyDescent="0.25">
      <c r="A5567" t="s">
        <v>227</v>
      </c>
      <c r="B5567" t="s">
        <v>70</v>
      </c>
      <c r="C5567" t="s">
        <v>18883</v>
      </c>
      <c r="F5567" t="s">
        <v>18687</v>
      </c>
      <c r="G5567" t="s">
        <v>10022</v>
      </c>
    </row>
    <row r="5568" spans="1:7" hidden="1" x14ac:dyDescent="0.25">
      <c r="A5568" t="s">
        <v>227</v>
      </c>
      <c r="B5568" t="s">
        <v>70</v>
      </c>
      <c r="C5568" t="s">
        <v>18883</v>
      </c>
      <c r="F5568" t="s">
        <v>18690</v>
      </c>
      <c r="G5568" t="s">
        <v>10022</v>
      </c>
    </row>
    <row r="5569" spans="1:7" hidden="1" x14ac:dyDescent="0.25">
      <c r="A5569" t="s">
        <v>227</v>
      </c>
      <c r="B5569" t="s">
        <v>70</v>
      </c>
      <c r="C5569" t="s">
        <v>18883</v>
      </c>
      <c r="F5569" t="s">
        <v>18693</v>
      </c>
      <c r="G5569" t="s">
        <v>10022</v>
      </c>
    </row>
    <row r="5570" spans="1:7" hidden="1" x14ac:dyDescent="0.25">
      <c r="A5570" t="s">
        <v>227</v>
      </c>
      <c r="B5570" t="s">
        <v>70</v>
      </c>
      <c r="C5570" t="s">
        <v>18883</v>
      </c>
      <c r="F5570" t="s">
        <v>18696</v>
      </c>
      <c r="G5570" t="s">
        <v>10022</v>
      </c>
    </row>
    <row r="5571" spans="1:7" hidden="1" x14ac:dyDescent="0.25">
      <c r="A5571" t="s">
        <v>227</v>
      </c>
      <c r="B5571" t="s">
        <v>70</v>
      </c>
      <c r="C5571" t="s">
        <v>18883</v>
      </c>
      <c r="F5571" t="s">
        <v>18699</v>
      </c>
      <c r="G5571" t="s">
        <v>10022</v>
      </c>
    </row>
    <row r="5572" spans="1:7" hidden="1" x14ac:dyDescent="0.25">
      <c r="A5572" t="s">
        <v>227</v>
      </c>
      <c r="B5572" t="s">
        <v>70</v>
      </c>
      <c r="C5572" t="s">
        <v>18883</v>
      </c>
      <c r="F5572" t="s">
        <v>18702</v>
      </c>
      <c r="G5572" t="s">
        <v>10022</v>
      </c>
    </row>
    <row r="5573" spans="1:7" hidden="1" x14ac:dyDescent="0.25">
      <c r="A5573" t="s">
        <v>4099</v>
      </c>
      <c r="F5573" t="s">
        <v>18705</v>
      </c>
      <c r="G5573" t="s">
        <v>10022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18708</v>
      </c>
      <c r="G5574" t="s">
        <v>10022</v>
      </c>
    </row>
    <row r="5575" spans="1:7" hidden="1" x14ac:dyDescent="0.25">
      <c r="A5575" t="s">
        <v>227</v>
      </c>
      <c r="B5575" t="s">
        <v>18867</v>
      </c>
      <c r="C5575" t="s">
        <v>18883</v>
      </c>
      <c r="F5575" t="s">
        <v>18711</v>
      </c>
      <c r="G5575" t="s">
        <v>10022</v>
      </c>
    </row>
    <row r="5576" spans="1:7" hidden="1" x14ac:dyDescent="0.25">
      <c r="A5576" t="s">
        <v>227</v>
      </c>
      <c r="B5576" t="s">
        <v>18867</v>
      </c>
      <c r="C5576" t="s">
        <v>18883</v>
      </c>
      <c r="F5576" t="s">
        <v>18714</v>
      </c>
      <c r="G5576" t="s">
        <v>10022</v>
      </c>
    </row>
    <row r="5577" spans="1:7" hidden="1" x14ac:dyDescent="0.25">
      <c r="A5577" t="s">
        <v>227</v>
      </c>
      <c r="B5577" t="s">
        <v>18867</v>
      </c>
      <c r="C5577" t="s">
        <v>18883</v>
      </c>
      <c r="F5577" t="s">
        <v>18717</v>
      </c>
      <c r="G5577" t="s">
        <v>10022</v>
      </c>
    </row>
    <row r="5578" spans="1:7" hidden="1" x14ac:dyDescent="0.25">
      <c r="A5578" t="s">
        <v>227</v>
      </c>
      <c r="B5578" t="s">
        <v>18867</v>
      </c>
      <c r="C5578" t="s">
        <v>18883</v>
      </c>
      <c r="F5578" t="s">
        <v>18720</v>
      </c>
      <c r="G5578" t="s">
        <v>10022</v>
      </c>
    </row>
    <row r="5579" spans="1:7" hidden="1" x14ac:dyDescent="0.25">
      <c r="A5579" t="s">
        <v>227</v>
      </c>
      <c r="B5579" t="s">
        <v>18867</v>
      </c>
      <c r="C5579" t="s">
        <v>18883</v>
      </c>
      <c r="F5579" t="s">
        <v>18723</v>
      </c>
      <c r="G5579" t="s">
        <v>10022</v>
      </c>
    </row>
    <row r="5580" spans="1:7" hidden="1" x14ac:dyDescent="0.25">
      <c r="A5580" t="s">
        <v>227</v>
      </c>
      <c r="B5580" t="s">
        <v>18867</v>
      </c>
      <c r="C5580" t="s">
        <v>18883</v>
      </c>
      <c r="F5580" t="s">
        <v>18726</v>
      </c>
      <c r="G5580" t="s">
        <v>10022</v>
      </c>
    </row>
    <row r="5581" spans="1:7" hidden="1" x14ac:dyDescent="0.25">
      <c r="A5581" t="s">
        <v>227</v>
      </c>
      <c r="B5581" t="s">
        <v>18867</v>
      </c>
      <c r="C5581" t="s">
        <v>18883</v>
      </c>
      <c r="F5581" t="s">
        <v>18729</v>
      </c>
      <c r="G5581" t="s">
        <v>10022</v>
      </c>
    </row>
    <row r="5582" spans="1:7" hidden="1" x14ac:dyDescent="0.25">
      <c r="A5582" t="s">
        <v>227</v>
      </c>
      <c r="B5582" t="s">
        <v>18867</v>
      </c>
      <c r="C5582" t="s">
        <v>18883</v>
      </c>
      <c r="F5582" t="s">
        <v>18732</v>
      </c>
      <c r="G5582" t="s">
        <v>10022</v>
      </c>
    </row>
    <row r="5583" spans="1:7" hidden="1" x14ac:dyDescent="0.25">
      <c r="A5583" t="s">
        <v>227</v>
      </c>
      <c r="B5583" t="s">
        <v>18867</v>
      </c>
      <c r="C5583" t="s">
        <v>18883</v>
      </c>
      <c r="F5583" t="s">
        <v>18735</v>
      </c>
      <c r="G5583" t="s">
        <v>10022</v>
      </c>
    </row>
    <row r="5584" spans="1:7" hidden="1" x14ac:dyDescent="0.25">
      <c r="A5584" t="s">
        <v>227</v>
      </c>
      <c r="B5584" t="s">
        <v>18867</v>
      </c>
      <c r="C5584" t="s">
        <v>18883</v>
      </c>
      <c r="F5584" t="s">
        <v>18738</v>
      </c>
      <c r="G5584" t="s">
        <v>10022</v>
      </c>
    </row>
    <row r="5585" spans="1:7" hidden="1" x14ac:dyDescent="0.25">
      <c r="A5585" t="s">
        <v>227</v>
      </c>
      <c r="B5585" t="s">
        <v>18867</v>
      </c>
      <c r="C5585" t="s">
        <v>18883</v>
      </c>
      <c r="F5585" t="s">
        <v>18741</v>
      </c>
      <c r="G5585" t="s">
        <v>10022</v>
      </c>
    </row>
    <row r="5586" spans="1:7" hidden="1" x14ac:dyDescent="0.25">
      <c r="A5586" t="s">
        <v>227</v>
      </c>
      <c r="B5586" t="s">
        <v>18867</v>
      </c>
      <c r="C5586" t="s">
        <v>18883</v>
      </c>
      <c r="F5586" t="s">
        <v>18744</v>
      </c>
      <c r="G5586" t="s">
        <v>10022</v>
      </c>
    </row>
    <row r="5587" spans="1:7" hidden="1" x14ac:dyDescent="0.25">
      <c r="A5587" t="s">
        <v>227</v>
      </c>
      <c r="B5587" t="s">
        <v>18867</v>
      </c>
      <c r="C5587" t="s">
        <v>18883</v>
      </c>
      <c r="F5587" t="s">
        <v>18747</v>
      </c>
      <c r="G5587" t="s">
        <v>10022</v>
      </c>
    </row>
    <row r="5588" spans="1:7" hidden="1" x14ac:dyDescent="0.25">
      <c r="A5588" t="s">
        <v>62</v>
      </c>
      <c r="B5588" t="s">
        <v>18867</v>
      </c>
      <c r="C5588" t="s">
        <v>51</v>
      </c>
      <c r="F5588" t="s">
        <v>18750</v>
      </c>
      <c r="G5588" t="s">
        <v>10022</v>
      </c>
    </row>
    <row r="5589" spans="1:7" hidden="1" x14ac:dyDescent="0.25">
      <c r="A5589" t="s">
        <v>7</v>
      </c>
      <c r="F5589" t="s">
        <v>18753</v>
      </c>
      <c r="G5589" t="s">
        <v>10022</v>
      </c>
    </row>
    <row r="5590" spans="1:7" hidden="1" x14ac:dyDescent="0.25">
      <c r="A5590" t="s">
        <v>4</v>
      </c>
      <c r="B5590" t="s">
        <v>8</v>
      </c>
      <c r="F5590" t="s">
        <v>18756</v>
      </c>
      <c r="G5590" t="s">
        <v>10022</v>
      </c>
    </row>
    <row r="5591" spans="1:7" hidden="1" x14ac:dyDescent="0.25">
      <c r="A5591" t="s">
        <v>4</v>
      </c>
      <c r="B5591" t="s">
        <v>8</v>
      </c>
      <c r="F5591" t="s">
        <v>18759</v>
      </c>
      <c r="G5591" t="s">
        <v>11078</v>
      </c>
    </row>
    <row r="5592" spans="1:7" hidden="1" x14ac:dyDescent="0.25">
      <c r="A5592" t="s">
        <v>4</v>
      </c>
      <c r="B5592" t="s">
        <v>468</v>
      </c>
      <c r="F5592" t="s">
        <v>18762</v>
      </c>
      <c r="G5592" t="s">
        <v>11078</v>
      </c>
    </row>
    <row r="5593" spans="1:7" hidden="1" x14ac:dyDescent="0.25">
      <c r="A5593" t="s">
        <v>4</v>
      </c>
      <c r="B5593" t="s">
        <v>468</v>
      </c>
      <c r="F5593" t="s">
        <v>18765</v>
      </c>
      <c r="G5593" t="s">
        <v>11078</v>
      </c>
    </row>
    <row r="5594" spans="1:7" hidden="1" x14ac:dyDescent="0.25">
      <c r="A5594" t="s">
        <v>4</v>
      </c>
      <c r="B5594" t="s">
        <v>468</v>
      </c>
      <c r="F5594" t="s">
        <v>18768</v>
      </c>
      <c r="G5594" t="s">
        <v>11078</v>
      </c>
    </row>
    <row r="5595" spans="1:7" hidden="1" x14ac:dyDescent="0.25">
      <c r="A5595" t="s">
        <v>4</v>
      </c>
      <c r="B5595" t="s">
        <v>11066</v>
      </c>
      <c r="F5595" t="s">
        <v>18771</v>
      </c>
      <c r="G5595" t="s">
        <v>11078</v>
      </c>
    </row>
    <row r="5596" spans="1:7" hidden="1" x14ac:dyDescent="0.25">
      <c r="A5596" t="s">
        <v>4</v>
      </c>
      <c r="B5596" t="s">
        <v>18884</v>
      </c>
      <c r="F5596" t="s">
        <v>18774</v>
      </c>
      <c r="G5596" t="s">
        <v>11078</v>
      </c>
    </row>
    <row r="5597" spans="1:7" hidden="1" x14ac:dyDescent="0.25">
      <c r="A5597" t="s">
        <v>4</v>
      </c>
      <c r="B5597" t="s">
        <v>1274</v>
      </c>
      <c r="F5597" t="s">
        <v>18777</v>
      </c>
      <c r="G5597" t="s">
        <v>11079</v>
      </c>
    </row>
    <row r="5598" spans="1:7" hidden="1" x14ac:dyDescent="0.25">
      <c r="A5598" t="s">
        <v>4</v>
      </c>
      <c r="B5598" t="s">
        <v>1274</v>
      </c>
      <c r="F5598" t="s">
        <v>18780</v>
      </c>
      <c r="G5598" t="s">
        <v>11079</v>
      </c>
    </row>
    <row r="5599" spans="1:7" hidden="1" x14ac:dyDescent="0.25">
      <c r="A5599" t="s">
        <v>4</v>
      </c>
      <c r="B5599" t="s">
        <v>468</v>
      </c>
      <c r="F5599" t="s">
        <v>18783</v>
      </c>
      <c r="G5599" t="s">
        <v>11079</v>
      </c>
    </row>
    <row r="5600" spans="1:7" hidden="1" x14ac:dyDescent="0.25">
      <c r="A5600" t="s">
        <v>16689</v>
      </c>
      <c r="B5600" t="s">
        <v>1274</v>
      </c>
      <c r="F5600" t="s">
        <v>18786</v>
      </c>
      <c r="G5600" t="s">
        <v>11079</v>
      </c>
    </row>
    <row r="5601" spans="1:7" hidden="1" x14ac:dyDescent="0.25">
      <c r="A5601" t="s">
        <v>16689</v>
      </c>
      <c r="B5601" t="s">
        <v>1274</v>
      </c>
      <c r="F5601" t="s">
        <v>18789</v>
      </c>
      <c r="G5601" t="s">
        <v>11079</v>
      </c>
    </row>
    <row r="5602" spans="1:7" hidden="1" x14ac:dyDescent="0.25">
      <c r="A5602" t="s">
        <v>16689</v>
      </c>
      <c r="B5602" t="s">
        <v>1274</v>
      </c>
      <c r="F5602" t="s">
        <v>18792</v>
      </c>
      <c r="G5602" t="s">
        <v>11079</v>
      </c>
    </row>
    <row r="5603" spans="1:7" hidden="1" x14ac:dyDescent="0.25">
      <c r="A5603" t="s">
        <v>16689</v>
      </c>
      <c r="B5603" t="s">
        <v>1274</v>
      </c>
      <c r="F5603" t="s">
        <v>18795</v>
      </c>
      <c r="G5603" t="s">
        <v>11079</v>
      </c>
    </row>
    <row r="5604" spans="1:7" hidden="1" x14ac:dyDescent="0.25">
      <c r="A5604" t="s">
        <v>16689</v>
      </c>
      <c r="B5604" t="s">
        <v>468</v>
      </c>
      <c r="F5604" t="s">
        <v>18798</v>
      </c>
      <c r="G5604" t="s">
        <v>11079</v>
      </c>
    </row>
    <row r="5605" spans="1:7" hidden="1" x14ac:dyDescent="0.25">
      <c r="A5605" t="s">
        <v>4</v>
      </c>
      <c r="B5605" t="s">
        <v>468</v>
      </c>
      <c r="F5605" t="s">
        <v>18801</v>
      </c>
      <c r="G5605" t="s">
        <v>11079</v>
      </c>
    </row>
    <row r="5606" spans="1:7" hidden="1" x14ac:dyDescent="0.25">
      <c r="A5606" t="s">
        <v>4</v>
      </c>
      <c r="B5606" t="s">
        <v>468</v>
      </c>
      <c r="F5606" t="s">
        <v>18804</v>
      </c>
      <c r="G5606" t="s">
        <v>11079</v>
      </c>
    </row>
    <row r="5607" spans="1:7" hidden="1" x14ac:dyDescent="0.25">
      <c r="A5607" t="s">
        <v>4</v>
      </c>
      <c r="B5607" t="s">
        <v>468</v>
      </c>
      <c r="F5607" t="s">
        <v>18807</v>
      </c>
      <c r="G5607" t="s">
        <v>11079</v>
      </c>
    </row>
    <row r="5608" spans="1:7" hidden="1" x14ac:dyDescent="0.25">
      <c r="A5608" t="s">
        <v>4</v>
      </c>
      <c r="B5608" t="s">
        <v>468</v>
      </c>
      <c r="F5608" t="s">
        <v>18810</v>
      </c>
      <c r="G5608" t="s">
        <v>11079</v>
      </c>
    </row>
    <row r="5609" spans="1:7" hidden="1" x14ac:dyDescent="0.25">
      <c r="A5609" t="s">
        <v>4</v>
      </c>
      <c r="B5609" t="s">
        <v>1274</v>
      </c>
      <c r="F5609" t="s">
        <v>18813</v>
      </c>
      <c r="G5609" t="s">
        <v>11079</v>
      </c>
    </row>
    <row r="5610" spans="1:7" hidden="1" x14ac:dyDescent="0.25">
      <c r="A5610" t="s">
        <v>4</v>
      </c>
      <c r="B5610" t="s">
        <v>468</v>
      </c>
      <c r="F5610" t="s">
        <v>18816</v>
      </c>
      <c r="G5610" t="s">
        <v>11079</v>
      </c>
    </row>
    <row r="5611" spans="1:7" hidden="1" x14ac:dyDescent="0.25">
      <c r="A5611" t="s">
        <v>4</v>
      </c>
      <c r="B5611" t="s">
        <v>468</v>
      </c>
      <c r="F5611" t="s">
        <v>18819</v>
      </c>
      <c r="G5611" t="s">
        <v>11079</v>
      </c>
    </row>
    <row r="5612" spans="1:7" hidden="1" x14ac:dyDescent="0.25">
      <c r="A5612" t="s">
        <v>4</v>
      </c>
      <c r="B5612" t="s">
        <v>468</v>
      </c>
      <c r="F5612" t="s">
        <v>18822</v>
      </c>
      <c r="G5612" t="s">
        <v>11079</v>
      </c>
    </row>
    <row r="5613" spans="1:7" hidden="1" x14ac:dyDescent="0.25">
      <c r="A5613" t="s">
        <v>4</v>
      </c>
      <c r="B5613" t="s">
        <v>468</v>
      </c>
      <c r="F5613" t="s">
        <v>18825</v>
      </c>
      <c r="G5613" t="s">
        <v>11079</v>
      </c>
    </row>
    <row r="5614" spans="1:7" hidden="1" x14ac:dyDescent="0.25">
      <c r="A5614" t="s">
        <v>1607</v>
      </c>
      <c r="B5614" t="s">
        <v>11080</v>
      </c>
      <c r="F5614" t="s">
        <v>18828</v>
      </c>
      <c r="G5614" t="s">
        <v>11079</v>
      </c>
    </row>
    <row r="5615" spans="1:7" x14ac:dyDescent="0.25">
      <c r="A5615" t="s">
        <v>4</v>
      </c>
      <c r="B5615" t="s">
        <v>8</v>
      </c>
      <c r="F5615" t="s">
        <v>18831</v>
      </c>
      <c r="G5615" t="s">
        <v>11082</v>
      </c>
    </row>
    <row r="5616" spans="1:7" x14ac:dyDescent="0.25">
      <c r="A5616" t="s">
        <v>17489</v>
      </c>
      <c r="B5616" t="s">
        <v>11066</v>
      </c>
      <c r="F5616" t="s">
        <v>18834</v>
      </c>
      <c r="G5616" t="s">
        <v>11082</v>
      </c>
    </row>
    <row r="5617" spans="1:7" x14ac:dyDescent="0.25">
      <c r="A5617" t="s">
        <v>137</v>
      </c>
      <c r="B5617" t="s">
        <v>18882</v>
      </c>
      <c r="F5617" t="s">
        <v>18837</v>
      </c>
      <c r="G5617" t="s">
        <v>11082</v>
      </c>
    </row>
    <row r="5618" spans="1:7" x14ac:dyDescent="0.25">
      <c r="A5618" t="s">
        <v>137</v>
      </c>
      <c r="B5618" t="s">
        <v>70</v>
      </c>
      <c r="F5618" t="s">
        <v>18840</v>
      </c>
      <c r="G5618" t="s">
        <v>11082</v>
      </c>
    </row>
    <row r="5619" spans="1:7" x14ac:dyDescent="0.25">
      <c r="A5619" t="s">
        <v>4</v>
      </c>
      <c r="B5619" t="s">
        <v>8</v>
      </c>
      <c r="F5619" t="s">
        <v>18843</v>
      </c>
      <c r="G5619" t="s">
        <v>11082</v>
      </c>
    </row>
    <row r="5620" spans="1:7" x14ac:dyDescent="0.25">
      <c r="A5620" t="s">
        <v>137</v>
      </c>
      <c r="B5620" t="s">
        <v>18867</v>
      </c>
      <c r="F5620" t="s">
        <v>18846</v>
      </c>
      <c r="G5620" t="s">
        <v>11082</v>
      </c>
    </row>
    <row r="5621" spans="1:7" x14ac:dyDescent="0.25">
      <c r="A5621" t="s">
        <v>4</v>
      </c>
      <c r="B5621" t="s">
        <v>8</v>
      </c>
      <c r="F5621" t="s">
        <v>18849</v>
      </c>
      <c r="G5621" t="s">
        <v>11082</v>
      </c>
    </row>
    <row r="5622" spans="1:7" x14ac:dyDescent="0.25">
      <c r="A5622" t="s">
        <v>18885</v>
      </c>
      <c r="B5622" t="s">
        <v>11066</v>
      </c>
      <c r="C5622" t="s">
        <v>17897</v>
      </c>
      <c r="F5622" t="s">
        <v>18852</v>
      </c>
      <c r="G5622" t="s">
        <v>11082</v>
      </c>
    </row>
    <row r="5623" spans="1:7" x14ac:dyDescent="0.25">
      <c r="A5623" t="s">
        <v>4921</v>
      </c>
      <c r="B5623" t="s">
        <v>11066</v>
      </c>
      <c r="F5623" t="s">
        <v>18855</v>
      </c>
      <c r="G5623" t="s">
        <v>11082</v>
      </c>
    </row>
    <row r="5624" spans="1:7" x14ac:dyDescent="0.25">
      <c r="A5624" t="s">
        <v>4921</v>
      </c>
      <c r="B5624" t="s">
        <v>11066</v>
      </c>
      <c r="F5624" t="s">
        <v>18858</v>
      </c>
      <c r="G5624" t="s">
        <v>11082</v>
      </c>
    </row>
    <row r="5625" spans="1:7" x14ac:dyDescent="0.25">
      <c r="A5625" t="s">
        <v>588</v>
      </c>
      <c r="B5625" t="s">
        <v>86</v>
      </c>
      <c r="F5625" t="s">
        <v>18861</v>
      </c>
      <c r="G5625" t="s">
        <v>11082</v>
      </c>
    </row>
    <row r="5626" spans="1:7" x14ac:dyDescent="0.25">
      <c r="A5626" t="s">
        <v>4</v>
      </c>
      <c r="B5626" t="s">
        <v>8</v>
      </c>
      <c r="F5626" t="s">
        <v>18864</v>
      </c>
      <c r="G5626" t="s">
        <v>11082</v>
      </c>
    </row>
    <row r="5627" spans="1:7" hidden="1" x14ac:dyDescent="0.25">
      <c r="A5627" t="s">
        <v>19390</v>
      </c>
      <c r="B5627" t="s">
        <v>19391</v>
      </c>
      <c r="F5627" s="8" t="s">
        <v>18390</v>
      </c>
      <c r="G5627" t="s">
        <v>91</v>
      </c>
    </row>
    <row r="5628" spans="1:7" hidden="1" x14ac:dyDescent="0.25">
      <c r="A5628" t="s">
        <v>4</v>
      </c>
      <c r="B5628" t="s">
        <v>19391</v>
      </c>
      <c r="F5628" s="8" t="s">
        <v>18393</v>
      </c>
      <c r="G5628" t="s">
        <v>91</v>
      </c>
    </row>
    <row r="5629" spans="1:7" hidden="1" x14ac:dyDescent="0.25">
      <c r="A5629" t="s">
        <v>91</v>
      </c>
      <c r="B5629" t="s">
        <v>19391</v>
      </c>
      <c r="C5629" t="s">
        <v>60</v>
      </c>
      <c r="F5629" s="8" t="s">
        <v>18868</v>
      </c>
      <c r="G5629" t="s">
        <v>91</v>
      </c>
    </row>
    <row r="5630" spans="1:7" hidden="1" x14ac:dyDescent="0.25">
      <c r="A5630" t="s">
        <v>91</v>
      </c>
      <c r="B5630" t="s">
        <v>19391</v>
      </c>
      <c r="C5630" t="s">
        <v>60</v>
      </c>
      <c r="E5630" t="s">
        <v>2352</v>
      </c>
      <c r="F5630" s="8" t="s">
        <v>18871</v>
      </c>
      <c r="G5630" t="s">
        <v>91</v>
      </c>
    </row>
    <row r="5631" spans="1:7" hidden="1" x14ac:dyDescent="0.25">
      <c r="A5631" t="s">
        <v>91</v>
      </c>
      <c r="B5631" t="s">
        <v>19392</v>
      </c>
      <c r="F5631" s="8" t="s">
        <v>18886</v>
      </c>
      <c r="G5631" t="s">
        <v>91</v>
      </c>
    </row>
    <row r="5632" spans="1:7" hidden="1" x14ac:dyDescent="0.25">
      <c r="A5632" t="s">
        <v>62</v>
      </c>
      <c r="B5632" t="s">
        <v>19392</v>
      </c>
      <c r="F5632" s="8" t="s">
        <v>18889</v>
      </c>
      <c r="G5632" t="s">
        <v>91</v>
      </c>
    </row>
    <row r="5633" spans="1:7" hidden="1" x14ac:dyDescent="0.25">
      <c r="A5633" t="s">
        <v>62</v>
      </c>
      <c r="B5633" t="s">
        <v>4940</v>
      </c>
      <c r="C5633" t="s">
        <v>51</v>
      </c>
      <c r="F5633" s="8" t="s">
        <v>18919</v>
      </c>
      <c r="G5633" t="s">
        <v>91</v>
      </c>
    </row>
    <row r="5634" spans="1:7" hidden="1" x14ac:dyDescent="0.25">
      <c r="A5634" t="s">
        <v>19393</v>
      </c>
      <c r="B5634" t="s">
        <v>86</v>
      </c>
      <c r="F5634" s="8" t="s">
        <v>18922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18883</v>
      </c>
      <c r="F5635" s="8" t="s">
        <v>18925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s="8" t="s">
        <v>18928</v>
      </c>
      <c r="G5636" t="s">
        <v>91</v>
      </c>
    </row>
    <row r="5637" spans="1:7" hidden="1" x14ac:dyDescent="0.25">
      <c r="A5637" t="s">
        <v>91</v>
      </c>
      <c r="B5637" t="s">
        <v>4940</v>
      </c>
      <c r="C5637" t="s">
        <v>51</v>
      </c>
      <c r="F5637" s="8" t="s">
        <v>18931</v>
      </c>
      <c r="G5637" t="s">
        <v>91</v>
      </c>
    </row>
    <row r="5638" spans="1:7" hidden="1" x14ac:dyDescent="0.25">
      <c r="A5638" t="s">
        <v>91</v>
      </c>
      <c r="B5638" t="s">
        <v>19394</v>
      </c>
      <c r="C5638" t="s">
        <v>51</v>
      </c>
      <c r="F5638" s="8" t="s">
        <v>18934</v>
      </c>
      <c r="G5638" t="s">
        <v>91</v>
      </c>
    </row>
    <row r="5639" spans="1:7" hidden="1" x14ac:dyDescent="0.25">
      <c r="A5639" t="s">
        <v>62</v>
      </c>
      <c r="B5639" t="s">
        <v>19394</v>
      </c>
      <c r="C5639" t="s">
        <v>4233</v>
      </c>
      <c r="F5639" s="8" t="s">
        <v>18937</v>
      </c>
      <c r="G5639" t="s">
        <v>91</v>
      </c>
    </row>
    <row r="5640" spans="1:7" hidden="1" x14ac:dyDescent="0.25">
      <c r="A5640" t="s">
        <v>4</v>
      </c>
      <c r="B5640" t="s">
        <v>8</v>
      </c>
      <c r="F5640" s="8" t="s">
        <v>18892</v>
      </c>
      <c r="G5640" t="s">
        <v>12640</v>
      </c>
    </row>
    <row r="5641" spans="1:7" hidden="1" x14ac:dyDescent="0.25">
      <c r="A5641" t="s">
        <v>1607</v>
      </c>
      <c r="B5641" t="s">
        <v>8</v>
      </c>
      <c r="F5641" s="8" t="s">
        <v>18895</v>
      </c>
      <c r="G5641" t="s">
        <v>12640</v>
      </c>
    </row>
    <row r="5642" spans="1:7" hidden="1" x14ac:dyDescent="0.25">
      <c r="A5642" t="s">
        <v>4</v>
      </c>
      <c r="B5642" t="s">
        <v>7045</v>
      </c>
      <c r="F5642" s="8" t="s">
        <v>18907</v>
      </c>
      <c r="G5642" t="s">
        <v>11071</v>
      </c>
    </row>
    <row r="5643" spans="1:7" hidden="1" x14ac:dyDescent="0.25">
      <c r="A5643" t="s">
        <v>4</v>
      </c>
      <c r="B5643" t="s">
        <v>7045</v>
      </c>
      <c r="F5643" s="8" t="s">
        <v>18910</v>
      </c>
      <c r="G5643" t="s">
        <v>11071</v>
      </c>
    </row>
    <row r="5644" spans="1:7" hidden="1" x14ac:dyDescent="0.25">
      <c r="A5644" t="s">
        <v>4</v>
      </c>
      <c r="B5644" t="s">
        <v>7045</v>
      </c>
      <c r="F5644" s="8" t="s">
        <v>18913</v>
      </c>
      <c r="G5644" t="s">
        <v>11071</v>
      </c>
    </row>
    <row r="5645" spans="1:7" hidden="1" x14ac:dyDescent="0.25">
      <c r="A5645" t="s">
        <v>4</v>
      </c>
      <c r="B5645" t="s">
        <v>8</v>
      </c>
      <c r="F5645" s="8" t="s">
        <v>18916</v>
      </c>
      <c r="G5645" t="s">
        <v>11071</v>
      </c>
    </row>
    <row r="5646" spans="1:7" hidden="1" x14ac:dyDescent="0.25">
      <c r="A5646" t="s">
        <v>4</v>
      </c>
      <c r="B5646" t="s">
        <v>7045</v>
      </c>
      <c r="F5646" s="8" t="s">
        <v>18898</v>
      </c>
      <c r="G5646" t="s">
        <v>894</v>
      </c>
    </row>
    <row r="5647" spans="1:7" hidden="1" x14ac:dyDescent="0.25">
      <c r="A5647" t="s">
        <v>4</v>
      </c>
      <c r="B5647" t="s">
        <v>7045</v>
      </c>
      <c r="F5647" s="8" t="s">
        <v>18901</v>
      </c>
      <c r="G5647" t="s">
        <v>894</v>
      </c>
    </row>
    <row r="5648" spans="1:7" hidden="1" x14ac:dyDescent="0.25">
      <c r="A5648" t="s">
        <v>4</v>
      </c>
      <c r="B5648" t="s">
        <v>7045</v>
      </c>
      <c r="F5648" s="8" t="s">
        <v>18904</v>
      </c>
      <c r="G5648" t="s">
        <v>894</v>
      </c>
    </row>
    <row r="5649" spans="1:7" hidden="1" x14ac:dyDescent="0.25">
      <c r="A5649" t="s">
        <v>4</v>
      </c>
      <c r="B5649" t="s">
        <v>8</v>
      </c>
      <c r="F5649" s="8" t="s">
        <v>19132</v>
      </c>
      <c r="G5649" t="s">
        <v>895</v>
      </c>
    </row>
    <row r="5650" spans="1:7" hidden="1" x14ac:dyDescent="0.25">
      <c r="A5650" t="s">
        <v>4</v>
      </c>
      <c r="B5650" t="s">
        <v>8</v>
      </c>
      <c r="F5650" s="8" t="s">
        <v>19135</v>
      </c>
      <c r="G5650" t="s">
        <v>895</v>
      </c>
    </row>
    <row r="5651" spans="1:7" hidden="1" x14ac:dyDescent="0.25">
      <c r="A5651" t="s">
        <v>4</v>
      </c>
      <c r="B5651" t="s">
        <v>8</v>
      </c>
      <c r="F5651" s="8" t="s">
        <v>19138</v>
      </c>
      <c r="G5651" t="s">
        <v>895</v>
      </c>
    </row>
    <row r="5652" spans="1:7" hidden="1" x14ac:dyDescent="0.25">
      <c r="A5652" t="s">
        <v>4</v>
      </c>
      <c r="B5652" t="s">
        <v>8</v>
      </c>
      <c r="F5652" s="8" t="s">
        <v>19141</v>
      </c>
      <c r="G5652" t="s">
        <v>895</v>
      </c>
    </row>
    <row r="5653" spans="1:7" hidden="1" x14ac:dyDescent="0.25">
      <c r="A5653" t="s">
        <v>4</v>
      </c>
      <c r="B5653" t="s">
        <v>8</v>
      </c>
      <c r="F5653" s="8" t="s">
        <v>18940</v>
      </c>
      <c r="G5653" t="s">
        <v>896</v>
      </c>
    </row>
    <row r="5654" spans="1:7" hidden="1" x14ac:dyDescent="0.25">
      <c r="A5654" t="s">
        <v>1273</v>
      </c>
      <c r="B5654" t="s">
        <v>19391</v>
      </c>
      <c r="F5654" s="8" t="s">
        <v>18943</v>
      </c>
      <c r="G5654" t="s">
        <v>896</v>
      </c>
    </row>
    <row r="5655" spans="1:7" hidden="1" x14ac:dyDescent="0.25">
      <c r="A5655" t="s">
        <v>227</v>
      </c>
      <c r="B5655" t="s">
        <v>19391</v>
      </c>
      <c r="C5655" t="s">
        <v>60</v>
      </c>
      <c r="F5655" s="8" t="s">
        <v>18946</v>
      </c>
      <c r="G5655" t="s">
        <v>896</v>
      </c>
    </row>
    <row r="5656" spans="1:7" hidden="1" x14ac:dyDescent="0.25">
      <c r="A5656" t="s">
        <v>227</v>
      </c>
      <c r="B5656" t="s">
        <v>19391</v>
      </c>
      <c r="C5656" t="s">
        <v>60</v>
      </c>
      <c r="E5656" t="s">
        <v>2352</v>
      </c>
      <c r="F5656" s="8" t="s">
        <v>18949</v>
      </c>
      <c r="G5656" t="s">
        <v>896</v>
      </c>
    </row>
    <row r="5657" spans="1:7" hidden="1" x14ac:dyDescent="0.25">
      <c r="A5657" t="s">
        <v>227</v>
      </c>
      <c r="B5657" t="s">
        <v>19391</v>
      </c>
      <c r="C5657" t="s">
        <v>60</v>
      </c>
      <c r="E5657" t="s">
        <v>2352</v>
      </c>
      <c r="F5657" s="8" t="s">
        <v>18952</v>
      </c>
      <c r="G5657" t="s">
        <v>896</v>
      </c>
    </row>
    <row r="5658" spans="1:7" hidden="1" x14ac:dyDescent="0.25">
      <c r="A5658" t="s">
        <v>227</v>
      </c>
      <c r="B5658" t="s">
        <v>19391</v>
      </c>
      <c r="C5658" t="s">
        <v>60</v>
      </c>
      <c r="E5658" t="s">
        <v>2352</v>
      </c>
      <c r="F5658" s="8" t="s">
        <v>18955</v>
      </c>
      <c r="G5658" t="s">
        <v>896</v>
      </c>
    </row>
    <row r="5659" spans="1:7" hidden="1" x14ac:dyDescent="0.25">
      <c r="A5659" t="s">
        <v>227</v>
      </c>
      <c r="B5659" t="s">
        <v>19391</v>
      </c>
      <c r="C5659" t="s">
        <v>60</v>
      </c>
      <c r="E5659" t="s">
        <v>2352</v>
      </c>
      <c r="F5659" s="8" t="s">
        <v>18958</v>
      </c>
      <c r="G5659" t="s">
        <v>896</v>
      </c>
    </row>
    <row r="5660" spans="1:7" hidden="1" x14ac:dyDescent="0.25">
      <c r="A5660" t="s">
        <v>227</v>
      </c>
      <c r="B5660" t="s">
        <v>19391</v>
      </c>
      <c r="C5660" t="s">
        <v>60</v>
      </c>
      <c r="E5660" t="s">
        <v>2352</v>
      </c>
      <c r="F5660" s="8" t="s">
        <v>18961</v>
      </c>
      <c r="G5660" t="s">
        <v>896</v>
      </c>
    </row>
    <row r="5661" spans="1:7" hidden="1" x14ac:dyDescent="0.25">
      <c r="A5661" t="s">
        <v>227</v>
      </c>
      <c r="B5661" t="s">
        <v>19391</v>
      </c>
      <c r="C5661" t="s">
        <v>60</v>
      </c>
      <c r="E5661" t="s">
        <v>2352</v>
      </c>
      <c r="F5661" s="8" t="s">
        <v>18964</v>
      </c>
      <c r="G5661" t="s">
        <v>896</v>
      </c>
    </row>
    <row r="5662" spans="1:7" hidden="1" x14ac:dyDescent="0.25">
      <c r="A5662" t="s">
        <v>227</v>
      </c>
      <c r="B5662" t="s">
        <v>19391</v>
      </c>
      <c r="C5662" t="s">
        <v>60</v>
      </c>
      <c r="E5662" t="s">
        <v>2352</v>
      </c>
      <c r="F5662" s="8" t="s">
        <v>18967</v>
      </c>
      <c r="G5662" t="s">
        <v>896</v>
      </c>
    </row>
    <row r="5663" spans="1:7" hidden="1" x14ac:dyDescent="0.25">
      <c r="A5663" t="s">
        <v>227</v>
      </c>
      <c r="B5663" t="s">
        <v>19391</v>
      </c>
      <c r="C5663" t="s">
        <v>60</v>
      </c>
      <c r="E5663" t="s">
        <v>2352</v>
      </c>
      <c r="F5663" s="8" t="s">
        <v>18970</v>
      </c>
      <c r="G5663" t="s">
        <v>896</v>
      </c>
    </row>
    <row r="5664" spans="1:7" hidden="1" x14ac:dyDescent="0.25">
      <c r="A5664" t="s">
        <v>227</v>
      </c>
      <c r="B5664" t="s">
        <v>19391</v>
      </c>
      <c r="C5664" t="s">
        <v>60</v>
      </c>
      <c r="E5664" t="s">
        <v>2352</v>
      </c>
      <c r="F5664" s="8" t="s">
        <v>18973</v>
      </c>
      <c r="G5664" t="s">
        <v>896</v>
      </c>
    </row>
    <row r="5665" spans="1:7" hidden="1" x14ac:dyDescent="0.25">
      <c r="A5665" t="s">
        <v>227</v>
      </c>
      <c r="B5665" t="s">
        <v>19391</v>
      </c>
      <c r="C5665" t="s">
        <v>60</v>
      </c>
      <c r="E5665" t="s">
        <v>2352</v>
      </c>
      <c r="F5665" s="8" t="s">
        <v>18976</v>
      </c>
      <c r="G5665" t="s">
        <v>896</v>
      </c>
    </row>
    <row r="5666" spans="1:7" hidden="1" x14ac:dyDescent="0.25">
      <c r="A5666" t="s">
        <v>227</v>
      </c>
      <c r="B5666" t="s">
        <v>19391</v>
      </c>
      <c r="C5666" t="s">
        <v>60</v>
      </c>
      <c r="E5666" t="s">
        <v>2352</v>
      </c>
      <c r="F5666" s="8" t="s">
        <v>18979</v>
      </c>
      <c r="G5666" t="s">
        <v>896</v>
      </c>
    </row>
    <row r="5667" spans="1:7" hidden="1" x14ac:dyDescent="0.25">
      <c r="A5667" t="s">
        <v>227</v>
      </c>
      <c r="B5667" t="s">
        <v>19391</v>
      </c>
      <c r="C5667" t="s">
        <v>60</v>
      </c>
      <c r="E5667" t="s">
        <v>2352</v>
      </c>
      <c r="F5667" s="8" t="s">
        <v>18982</v>
      </c>
      <c r="G5667" t="s">
        <v>896</v>
      </c>
    </row>
    <row r="5668" spans="1:7" hidden="1" x14ac:dyDescent="0.25">
      <c r="A5668" t="s">
        <v>227</v>
      </c>
      <c r="B5668" t="s">
        <v>19391</v>
      </c>
      <c r="C5668" t="s">
        <v>60</v>
      </c>
      <c r="E5668" t="s">
        <v>2352</v>
      </c>
      <c r="F5668" s="8" t="s">
        <v>18985</v>
      </c>
      <c r="G5668" t="s">
        <v>896</v>
      </c>
    </row>
    <row r="5669" spans="1:7" hidden="1" x14ac:dyDescent="0.25">
      <c r="A5669" t="s">
        <v>227</v>
      </c>
      <c r="B5669" t="s">
        <v>19391</v>
      </c>
      <c r="C5669" t="s">
        <v>60</v>
      </c>
      <c r="E5669" t="s">
        <v>2352</v>
      </c>
      <c r="F5669" s="8" t="s">
        <v>18988</v>
      </c>
      <c r="G5669" t="s">
        <v>896</v>
      </c>
    </row>
    <row r="5670" spans="1:7" hidden="1" x14ac:dyDescent="0.25">
      <c r="A5670" t="s">
        <v>227</v>
      </c>
      <c r="B5670" t="s">
        <v>19391</v>
      </c>
      <c r="C5670" t="s">
        <v>60</v>
      </c>
      <c r="E5670" t="s">
        <v>2352</v>
      </c>
      <c r="F5670" s="8" t="s">
        <v>18991</v>
      </c>
      <c r="G5670" t="s">
        <v>896</v>
      </c>
    </row>
    <row r="5671" spans="1:7" hidden="1" x14ac:dyDescent="0.25">
      <c r="A5671" t="s">
        <v>227</v>
      </c>
      <c r="B5671" t="s">
        <v>19391</v>
      </c>
      <c r="C5671" t="s">
        <v>60</v>
      </c>
      <c r="E5671" t="s">
        <v>2352</v>
      </c>
      <c r="F5671" s="8" t="s">
        <v>18994</v>
      </c>
      <c r="G5671" t="s">
        <v>896</v>
      </c>
    </row>
    <row r="5672" spans="1:7" hidden="1" x14ac:dyDescent="0.25">
      <c r="A5672" t="s">
        <v>227</v>
      </c>
      <c r="B5672" t="s">
        <v>19391</v>
      </c>
      <c r="C5672" t="s">
        <v>60</v>
      </c>
      <c r="E5672" t="s">
        <v>2352</v>
      </c>
      <c r="F5672" s="8" t="s">
        <v>18997</v>
      </c>
      <c r="G5672" t="s">
        <v>896</v>
      </c>
    </row>
    <row r="5673" spans="1:7" hidden="1" x14ac:dyDescent="0.25">
      <c r="A5673" t="s">
        <v>227</v>
      </c>
      <c r="B5673" t="s">
        <v>19391</v>
      </c>
      <c r="C5673" t="s">
        <v>60</v>
      </c>
      <c r="E5673" t="s">
        <v>2352</v>
      </c>
      <c r="F5673" s="8" t="s">
        <v>19000</v>
      </c>
      <c r="G5673" t="s">
        <v>896</v>
      </c>
    </row>
    <row r="5674" spans="1:7" hidden="1" x14ac:dyDescent="0.25">
      <c r="A5674" t="s">
        <v>227</v>
      </c>
      <c r="B5674" t="s">
        <v>19391</v>
      </c>
      <c r="C5674" t="s">
        <v>60</v>
      </c>
      <c r="E5674" t="s">
        <v>2352</v>
      </c>
      <c r="F5674" s="8" t="s">
        <v>19003</v>
      </c>
      <c r="G5674" t="s">
        <v>896</v>
      </c>
    </row>
    <row r="5675" spans="1:7" hidden="1" x14ac:dyDescent="0.25">
      <c r="A5675" t="s">
        <v>227</v>
      </c>
      <c r="B5675" t="s">
        <v>19391</v>
      </c>
      <c r="C5675" t="s">
        <v>60</v>
      </c>
      <c r="E5675" t="s">
        <v>2352</v>
      </c>
      <c r="F5675" s="8" t="s">
        <v>19006</v>
      </c>
      <c r="G5675" t="s">
        <v>896</v>
      </c>
    </row>
    <row r="5676" spans="1:7" hidden="1" x14ac:dyDescent="0.25">
      <c r="A5676" t="s">
        <v>227</v>
      </c>
      <c r="B5676" t="s">
        <v>19391</v>
      </c>
      <c r="C5676" t="s">
        <v>60</v>
      </c>
      <c r="E5676" t="s">
        <v>2352</v>
      </c>
      <c r="F5676" s="8" t="s">
        <v>19009</v>
      </c>
      <c r="G5676" t="s">
        <v>896</v>
      </c>
    </row>
    <row r="5677" spans="1:7" hidden="1" x14ac:dyDescent="0.25">
      <c r="A5677" t="s">
        <v>227</v>
      </c>
      <c r="B5677" t="s">
        <v>19391</v>
      </c>
      <c r="C5677" t="s">
        <v>60</v>
      </c>
      <c r="E5677" t="s">
        <v>2352</v>
      </c>
      <c r="F5677" s="8" t="s">
        <v>19012</v>
      </c>
      <c r="G5677" t="s">
        <v>896</v>
      </c>
    </row>
    <row r="5678" spans="1:7" hidden="1" x14ac:dyDescent="0.25">
      <c r="A5678" t="s">
        <v>227</v>
      </c>
      <c r="B5678" t="s">
        <v>19391</v>
      </c>
      <c r="C5678" t="s">
        <v>60</v>
      </c>
      <c r="E5678" t="s">
        <v>2352</v>
      </c>
      <c r="F5678" s="8" t="s">
        <v>19015</v>
      </c>
      <c r="G5678" t="s">
        <v>896</v>
      </c>
    </row>
    <row r="5679" spans="1:7" hidden="1" x14ac:dyDescent="0.25">
      <c r="A5679" t="s">
        <v>19395</v>
      </c>
      <c r="B5679" t="s">
        <v>86</v>
      </c>
      <c r="F5679" s="8" t="s">
        <v>19018</v>
      </c>
      <c r="G5679" t="s">
        <v>896</v>
      </c>
    </row>
    <row r="5680" spans="1:7" hidden="1" x14ac:dyDescent="0.25">
      <c r="A5680" t="s">
        <v>19395</v>
      </c>
      <c r="B5680" t="s">
        <v>86</v>
      </c>
      <c r="F5680" s="8" t="s">
        <v>19021</v>
      </c>
      <c r="G5680" t="s">
        <v>896</v>
      </c>
    </row>
    <row r="5681" spans="1:7" hidden="1" x14ac:dyDescent="0.25">
      <c r="A5681" t="s">
        <v>19395</v>
      </c>
      <c r="B5681" t="s">
        <v>86</v>
      </c>
      <c r="F5681" s="8" t="s">
        <v>19024</v>
      </c>
      <c r="G5681" t="s">
        <v>896</v>
      </c>
    </row>
    <row r="5682" spans="1:7" hidden="1" x14ac:dyDescent="0.25">
      <c r="A5682" t="s">
        <v>4</v>
      </c>
      <c r="B5682" t="s">
        <v>8</v>
      </c>
      <c r="F5682" s="8" t="s">
        <v>19027</v>
      </c>
      <c r="G5682" t="s">
        <v>896</v>
      </c>
    </row>
    <row r="5683" spans="1:7" hidden="1" x14ac:dyDescent="0.25">
      <c r="A5683" t="s">
        <v>7365</v>
      </c>
      <c r="B5683" t="s">
        <v>86</v>
      </c>
      <c r="F5683" s="8" t="s">
        <v>19030</v>
      </c>
      <c r="G5683" t="s">
        <v>896</v>
      </c>
    </row>
    <row r="5684" spans="1:7" hidden="1" x14ac:dyDescent="0.25">
      <c r="A5684" t="s">
        <v>19396</v>
      </c>
      <c r="B5684" t="s">
        <v>19391</v>
      </c>
      <c r="F5684" s="8" t="s">
        <v>19033</v>
      </c>
      <c r="G5684" t="s">
        <v>896</v>
      </c>
    </row>
    <row r="5685" spans="1:7" hidden="1" x14ac:dyDescent="0.25">
      <c r="A5685" t="s">
        <v>7365</v>
      </c>
      <c r="B5685" t="s">
        <v>86</v>
      </c>
      <c r="F5685" s="8" t="s">
        <v>19036</v>
      </c>
      <c r="G5685" t="s">
        <v>896</v>
      </c>
    </row>
    <row r="5686" spans="1:7" hidden="1" x14ac:dyDescent="0.25">
      <c r="A5686" t="s">
        <v>19396</v>
      </c>
      <c r="B5686" t="s">
        <v>19391</v>
      </c>
      <c r="F5686" s="8" t="s">
        <v>19039</v>
      </c>
      <c r="G5686" t="s">
        <v>896</v>
      </c>
    </row>
    <row r="5687" spans="1:7" hidden="1" x14ac:dyDescent="0.25">
      <c r="A5687" t="s">
        <v>7365</v>
      </c>
      <c r="B5687" t="s">
        <v>86</v>
      </c>
      <c r="F5687" s="8" t="s">
        <v>19042</v>
      </c>
      <c r="G5687" t="s">
        <v>896</v>
      </c>
    </row>
    <row r="5688" spans="1:7" hidden="1" x14ac:dyDescent="0.25">
      <c r="A5688" t="s">
        <v>19396</v>
      </c>
      <c r="B5688" t="s">
        <v>19391</v>
      </c>
      <c r="F5688" s="8" t="s">
        <v>19045</v>
      </c>
      <c r="G5688" t="s">
        <v>896</v>
      </c>
    </row>
    <row r="5689" spans="1:7" hidden="1" x14ac:dyDescent="0.25">
      <c r="A5689" t="s">
        <v>7365</v>
      </c>
      <c r="B5689" t="s">
        <v>86</v>
      </c>
      <c r="F5689" s="8" t="s">
        <v>19048</v>
      </c>
      <c r="G5689" t="s">
        <v>896</v>
      </c>
    </row>
    <row r="5690" spans="1:7" hidden="1" x14ac:dyDescent="0.25">
      <c r="A5690" t="s">
        <v>19396</v>
      </c>
      <c r="B5690" t="s">
        <v>19391</v>
      </c>
      <c r="F5690" s="8" t="s">
        <v>19051</v>
      </c>
      <c r="G5690" t="s">
        <v>896</v>
      </c>
    </row>
    <row r="5691" spans="1:7" hidden="1" x14ac:dyDescent="0.25">
      <c r="A5691" t="s">
        <v>3397</v>
      </c>
      <c r="F5691" s="8" t="s">
        <v>19054</v>
      </c>
      <c r="G5691" t="s">
        <v>896</v>
      </c>
    </row>
    <row r="5692" spans="1:7" hidden="1" x14ac:dyDescent="0.25">
      <c r="A5692" t="s">
        <v>587</v>
      </c>
      <c r="B5692" t="s">
        <v>19391</v>
      </c>
      <c r="F5692" s="8" t="s">
        <v>19057</v>
      </c>
      <c r="G5692" t="s">
        <v>896</v>
      </c>
    </row>
    <row r="5693" spans="1:7" hidden="1" x14ac:dyDescent="0.25">
      <c r="A5693" t="s">
        <v>588</v>
      </c>
      <c r="B5693" t="s">
        <v>19397</v>
      </c>
      <c r="F5693" s="8" t="s">
        <v>19060</v>
      </c>
      <c r="G5693" t="s">
        <v>896</v>
      </c>
    </row>
    <row r="5694" spans="1:7" hidden="1" x14ac:dyDescent="0.25">
      <c r="A5694" t="s">
        <v>588</v>
      </c>
      <c r="B5694" t="s">
        <v>19397</v>
      </c>
      <c r="F5694" s="8" t="s">
        <v>19063</v>
      </c>
      <c r="G5694" t="s">
        <v>896</v>
      </c>
    </row>
    <row r="5695" spans="1:7" hidden="1" x14ac:dyDescent="0.25">
      <c r="A5695" t="s">
        <v>588</v>
      </c>
      <c r="B5695" t="s">
        <v>19397</v>
      </c>
      <c r="F5695" s="8" t="s">
        <v>19066</v>
      </c>
      <c r="G5695" t="s">
        <v>896</v>
      </c>
    </row>
    <row r="5696" spans="1:7" hidden="1" x14ac:dyDescent="0.25">
      <c r="A5696" t="s">
        <v>1539</v>
      </c>
      <c r="F5696" s="8" t="s">
        <v>19069</v>
      </c>
      <c r="G5696" t="s">
        <v>896</v>
      </c>
    </row>
    <row r="5697" spans="1:7" hidden="1" x14ac:dyDescent="0.25">
      <c r="A5697" t="s">
        <v>1539</v>
      </c>
      <c r="F5697" s="8" t="s">
        <v>19072</v>
      </c>
      <c r="G5697" t="s">
        <v>896</v>
      </c>
    </row>
    <row r="5698" spans="1:7" hidden="1" x14ac:dyDescent="0.25">
      <c r="A5698" t="s">
        <v>4</v>
      </c>
      <c r="B5698" t="s">
        <v>8</v>
      </c>
      <c r="F5698" s="8" t="s">
        <v>19075</v>
      </c>
      <c r="G5698" t="s">
        <v>896</v>
      </c>
    </row>
    <row r="5699" spans="1:7" hidden="1" x14ac:dyDescent="0.25">
      <c r="A5699" t="s">
        <v>4</v>
      </c>
      <c r="B5699" t="s">
        <v>8</v>
      </c>
      <c r="F5699" s="8" t="s">
        <v>19078</v>
      </c>
      <c r="G5699" t="s">
        <v>897</v>
      </c>
    </row>
    <row r="5700" spans="1:7" hidden="1" x14ac:dyDescent="0.25">
      <c r="A5700" t="s">
        <v>4</v>
      </c>
      <c r="B5700" t="s">
        <v>8</v>
      </c>
      <c r="F5700" s="8" t="s">
        <v>19081</v>
      </c>
      <c r="G5700" t="s">
        <v>897</v>
      </c>
    </row>
    <row r="5701" spans="1:7" hidden="1" x14ac:dyDescent="0.25">
      <c r="A5701" t="s">
        <v>1607</v>
      </c>
      <c r="B5701" t="s">
        <v>8</v>
      </c>
      <c r="F5701" s="8" t="s">
        <v>19084</v>
      </c>
      <c r="G5701" t="s">
        <v>897</v>
      </c>
    </row>
    <row r="5702" spans="1:7" hidden="1" x14ac:dyDescent="0.25">
      <c r="A5702" t="s">
        <v>4</v>
      </c>
      <c r="B5702" t="s">
        <v>17906</v>
      </c>
      <c r="F5702" s="8" t="s">
        <v>19087</v>
      </c>
      <c r="G5702" t="s">
        <v>12641</v>
      </c>
    </row>
    <row r="5703" spans="1:7" hidden="1" x14ac:dyDescent="0.25">
      <c r="A5703" t="s">
        <v>4</v>
      </c>
      <c r="B5703" t="s">
        <v>17901</v>
      </c>
      <c r="F5703" s="8" t="s">
        <v>19090</v>
      </c>
      <c r="G5703" t="s">
        <v>12641</v>
      </c>
    </row>
    <row r="5704" spans="1:7" hidden="1" x14ac:dyDescent="0.25">
      <c r="A5704" t="s">
        <v>4</v>
      </c>
      <c r="B5704" t="s">
        <v>17906</v>
      </c>
      <c r="F5704" s="8" t="s">
        <v>19093</v>
      </c>
      <c r="G5704" t="s">
        <v>12641</v>
      </c>
    </row>
    <row r="5705" spans="1:7" hidden="1" x14ac:dyDescent="0.25">
      <c r="A5705" t="s">
        <v>4</v>
      </c>
      <c r="B5705" t="s">
        <v>19398</v>
      </c>
      <c r="F5705" s="8" t="s">
        <v>19096</v>
      </c>
      <c r="G5705" t="s">
        <v>12641</v>
      </c>
    </row>
    <row r="5706" spans="1:7" hidden="1" x14ac:dyDescent="0.25">
      <c r="A5706" t="s">
        <v>4</v>
      </c>
      <c r="B5706" t="s">
        <v>17901</v>
      </c>
      <c r="F5706" s="8" t="s">
        <v>19099</v>
      </c>
      <c r="G5706" t="s">
        <v>12641</v>
      </c>
    </row>
    <row r="5707" spans="1:7" hidden="1" x14ac:dyDescent="0.25">
      <c r="A5707" t="s">
        <v>4</v>
      </c>
      <c r="B5707" t="s">
        <v>17906</v>
      </c>
      <c r="F5707" s="8" t="s">
        <v>19102</v>
      </c>
      <c r="G5707" t="s">
        <v>12641</v>
      </c>
    </row>
    <row r="5708" spans="1:7" hidden="1" x14ac:dyDescent="0.25">
      <c r="A5708" t="s">
        <v>4</v>
      </c>
      <c r="B5708" t="s">
        <v>17901</v>
      </c>
      <c r="F5708" s="8" t="s">
        <v>19105</v>
      </c>
      <c r="G5708" t="s">
        <v>12641</v>
      </c>
    </row>
    <row r="5709" spans="1:7" hidden="1" x14ac:dyDescent="0.25">
      <c r="A5709" t="s">
        <v>19399</v>
      </c>
      <c r="B5709" t="s">
        <v>16656</v>
      </c>
      <c r="E5709" t="s">
        <v>4390</v>
      </c>
      <c r="F5709" s="8" t="s">
        <v>19108</v>
      </c>
      <c r="G5709" t="s">
        <v>12641</v>
      </c>
    </row>
    <row r="5710" spans="1:7" hidden="1" x14ac:dyDescent="0.25">
      <c r="A5710" t="s">
        <v>19399</v>
      </c>
      <c r="B5710" t="s">
        <v>16656</v>
      </c>
      <c r="F5710" s="8" t="s">
        <v>19111</v>
      </c>
      <c r="G5710" t="s">
        <v>12641</v>
      </c>
    </row>
    <row r="5711" spans="1:7" hidden="1" x14ac:dyDescent="0.25">
      <c r="A5711" t="s">
        <v>19399</v>
      </c>
      <c r="B5711" t="s">
        <v>16656</v>
      </c>
      <c r="F5711" s="8" t="s">
        <v>19114</v>
      </c>
      <c r="G5711" t="s">
        <v>12641</v>
      </c>
    </row>
    <row r="5712" spans="1:7" hidden="1" x14ac:dyDescent="0.25">
      <c r="A5712" t="s">
        <v>19399</v>
      </c>
      <c r="B5712" t="s">
        <v>16656</v>
      </c>
      <c r="C5712" t="s">
        <v>19400</v>
      </c>
      <c r="E5712" t="s">
        <v>19401</v>
      </c>
      <c r="F5712" s="8" t="s">
        <v>19117</v>
      </c>
      <c r="G5712" t="s">
        <v>12641</v>
      </c>
    </row>
    <row r="5713" spans="1:7" hidden="1" x14ac:dyDescent="0.25">
      <c r="A5713" t="s">
        <v>19399</v>
      </c>
      <c r="B5713" t="s">
        <v>16656</v>
      </c>
      <c r="F5713" s="8" t="s">
        <v>19120</v>
      </c>
      <c r="G5713" t="s">
        <v>12641</v>
      </c>
    </row>
    <row r="5714" spans="1:7" hidden="1" x14ac:dyDescent="0.25">
      <c r="A5714" t="s">
        <v>4</v>
      </c>
      <c r="B5714" t="s">
        <v>468</v>
      </c>
      <c r="F5714" s="8" t="s">
        <v>19123</v>
      </c>
      <c r="G5714" t="s">
        <v>12641</v>
      </c>
    </row>
    <row r="5715" spans="1:7" hidden="1" x14ac:dyDescent="0.25">
      <c r="A5715" t="s">
        <v>4</v>
      </c>
      <c r="B5715" t="s">
        <v>468</v>
      </c>
      <c r="F5715" s="8" t="s">
        <v>19126</v>
      </c>
      <c r="G5715" t="s">
        <v>12641</v>
      </c>
    </row>
    <row r="5716" spans="1:7" hidden="1" x14ac:dyDescent="0.25">
      <c r="A5716" t="s">
        <v>4</v>
      </c>
      <c r="B5716" t="s">
        <v>6157</v>
      </c>
      <c r="F5716" s="8" t="s">
        <v>19129</v>
      </c>
      <c r="G5716" t="s">
        <v>12641</v>
      </c>
    </row>
    <row r="5717" spans="1:7" hidden="1" x14ac:dyDescent="0.25">
      <c r="A5717" t="s">
        <v>4</v>
      </c>
      <c r="B5717" t="s">
        <v>9</v>
      </c>
      <c r="F5717" s="8" t="s">
        <v>19300</v>
      </c>
      <c r="G5717" t="s">
        <v>12642</v>
      </c>
    </row>
    <row r="5718" spans="1:7" hidden="1" x14ac:dyDescent="0.25">
      <c r="A5718" t="s">
        <v>4</v>
      </c>
      <c r="B5718" t="s">
        <v>9</v>
      </c>
      <c r="F5718" s="8" t="s">
        <v>19303</v>
      </c>
      <c r="G5718" t="s">
        <v>12642</v>
      </c>
    </row>
    <row r="5719" spans="1:7" hidden="1" x14ac:dyDescent="0.25">
      <c r="A5719" t="s">
        <v>1607</v>
      </c>
      <c r="B5719" t="s">
        <v>9</v>
      </c>
      <c r="F5719" s="8" t="s">
        <v>19306</v>
      </c>
      <c r="G5719" t="s">
        <v>12642</v>
      </c>
    </row>
    <row r="5720" spans="1:7" hidden="1" x14ac:dyDescent="0.25">
      <c r="A5720" t="s">
        <v>4</v>
      </c>
      <c r="B5720" t="s">
        <v>8</v>
      </c>
      <c r="F5720" s="8" t="s">
        <v>19189</v>
      </c>
      <c r="G5720" t="s">
        <v>12643</v>
      </c>
    </row>
    <row r="5721" spans="1:7" hidden="1" x14ac:dyDescent="0.25">
      <c r="A5721" t="s">
        <v>1273</v>
      </c>
      <c r="B5721" t="s">
        <v>70</v>
      </c>
      <c r="F5721" s="8" t="s">
        <v>19192</v>
      </c>
      <c r="G5721" t="s">
        <v>12643</v>
      </c>
    </row>
    <row r="5722" spans="1:7" hidden="1" x14ac:dyDescent="0.25">
      <c r="A5722" t="s">
        <v>227</v>
      </c>
      <c r="B5722" t="s">
        <v>70</v>
      </c>
      <c r="C5722" t="s">
        <v>18883</v>
      </c>
      <c r="F5722" s="8" t="s">
        <v>19195</v>
      </c>
      <c r="G5722" t="s">
        <v>12643</v>
      </c>
    </row>
    <row r="5723" spans="1:7" hidden="1" x14ac:dyDescent="0.25">
      <c r="A5723" t="s">
        <v>227</v>
      </c>
      <c r="B5723" t="s">
        <v>70</v>
      </c>
      <c r="C5723" t="s">
        <v>18883</v>
      </c>
      <c r="E5723" t="s">
        <v>2352</v>
      </c>
      <c r="F5723" s="8" t="s">
        <v>19198</v>
      </c>
      <c r="G5723" t="s">
        <v>12643</v>
      </c>
    </row>
    <row r="5724" spans="1:7" hidden="1" x14ac:dyDescent="0.25">
      <c r="A5724" t="s">
        <v>227</v>
      </c>
      <c r="B5724" t="s">
        <v>70</v>
      </c>
      <c r="C5724" t="s">
        <v>18883</v>
      </c>
      <c r="E5724" t="s">
        <v>2352</v>
      </c>
      <c r="F5724" s="8" t="s">
        <v>19201</v>
      </c>
      <c r="G5724" t="s">
        <v>12643</v>
      </c>
    </row>
    <row r="5725" spans="1:7" hidden="1" x14ac:dyDescent="0.25">
      <c r="A5725" t="s">
        <v>227</v>
      </c>
      <c r="B5725" t="s">
        <v>70</v>
      </c>
      <c r="C5725" t="s">
        <v>18883</v>
      </c>
      <c r="E5725" t="s">
        <v>2352</v>
      </c>
      <c r="F5725" s="8" t="s">
        <v>19204</v>
      </c>
      <c r="G5725" t="s">
        <v>12643</v>
      </c>
    </row>
    <row r="5726" spans="1:7" hidden="1" x14ac:dyDescent="0.25">
      <c r="A5726" t="s">
        <v>587</v>
      </c>
      <c r="B5726" t="s">
        <v>70</v>
      </c>
      <c r="F5726" s="8" t="s">
        <v>19207</v>
      </c>
      <c r="G5726" t="s">
        <v>12643</v>
      </c>
    </row>
    <row r="5727" spans="1:7" hidden="1" x14ac:dyDescent="0.25">
      <c r="A5727" t="s">
        <v>226</v>
      </c>
      <c r="B5727" t="s">
        <v>16656</v>
      </c>
      <c r="E5727" t="s">
        <v>4390</v>
      </c>
      <c r="F5727" s="8" t="s">
        <v>19210</v>
      </c>
      <c r="G5727" t="s">
        <v>12643</v>
      </c>
    </row>
    <row r="5728" spans="1:7" hidden="1" x14ac:dyDescent="0.25">
      <c r="A5728" t="s">
        <v>587</v>
      </c>
      <c r="B5728" t="s">
        <v>16656</v>
      </c>
      <c r="C5728" t="s">
        <v>19400</v>
      </c>
      <c r="F5728" s="8" t="s">
        <v>19213</v>
      </c>
      <c r="G5728" t="s">
        <v>12643</v>
      </c>
    </row>
    <row r="5729" spans="1:7" hidden="1" x14ac:dyDescent="0.25">
      <c r="A5729" t="s">
        <v>1273</v>
      </c>
      <c r="B5729" t="s">
        <v>19394</v>
      </c>
      <c r="F5729" s="8" t="s">
        <v>19216</v>
      </c>
      <c r="G5729" t="s">
        <v>12643</v>
      </c>
    </row>
    <row r="5730" spans="1:7" hidden="1" x14ac:dyDescent="0.25">
      <c r="A5730" t="s">
        <v>226</v>
      </c>
      <c r="B5730" t="s">
        <v>19394</v>
      </c>
      <c r="C5730" t="s">
        <v>4233</v>
      </c>
      <c r="F5730" s="8" t="s">
        <v>19219</v>
      </c>
      <c r="G5730" t="s">
        <v>12643</v>
      </c>
    </row>
    <row r="5731" spans="1:7" hidden="1" x14ac:dyDescent="0.25">
      <c r="A5731" t="s">
        <v>587</v>
      </c>
      <c r="B5731" t="s">
        <v>19394</v>
      </c>
      <c r="F5731" s="8" t="s">
        <v>19222</v>
      </c>
      <c r="G5731" t="s">
        <v>12643</v>
      </c>
    </row>
    <row r="5732" spans="1:7" hidden="1" x14ac:dyDescent="0.25">
      <c r="A5732" t="s">
        <v>4</v>
      </c>
      <c r="B5732" t="s">
        <v>8</v>
      </c>
      <c r="F5732" s="8" t="s">
        <v>19144</v>
      </c>
      <c r="G5732" t="s">
        <v>12644</v>
      </c>
    </row>
    <row r="5733" spans="1:7" hidden="1" x14ac:dyDescent="0.25">
      <c r="A5733" t="s">
        <v>4</v>
      </c>
      <c r="B5733" t="s">
        <v>8</v>
      </c>
      <c r="F5733" s="8" t="s">
        <v>19147</v>
      </c>
      <c r="G5733" t="s">
        <v>12644</v>
      </c>
    </row>
    <row r="5734" spans="1:7" hidden="1" x14ac:dyDescent="0.25">
      <c r="A5734" t="s">
        <v>588</v>
      </c>
      <c r="B5734" t="s">
        <v>86</v>
      </c>
      <c r="F5734" s="8" t="s">
        <v>19150</v>
      </c>
      <c r="G5734" t="s">
        <v>12644</v>
      </c>
    </row>
    <row r="5735" spans="1:7" hidden="1" x14ac:dyDescent="0.25">
      <c r="A5735" t="s">
        <v>4</v>
      </c>
      <c r="B5735" t="s">
        <v>8</v>
      </c>
      <c r="F5735" s="8" t="s">
        <v>19153</v>
      </c>
      <c r="G5735" t="s">
        <v>12644</v>
      </c>
    </row>
    <row r="5736" spans="1:7" hidden="1" x14ac:dyDescent="0.25">
      <c r="A5736" t="s">
        <v>4</v>
      </c>
      <c r="B5736" t="s">
        <v>8</v>
      </c>
      <c r="F5736" s="8" t="s">
        <v>19156</v>
      </c>
      <c r="G5736" t="s">
        <v>12644</v>
      </c>
    </row>
    <row r="5737" spans="1:7" hidden="1" x14ac:dyDescent="0.25">
      <c r="A5737" t="s">
        <v>3381</v>
      </c>
      <c r="B5737" t="s">
        <v>19394</v>
      </c>
      <c r="F5737" s="8" t="s">
        <v>19159</v>
      </c>
      <c r="G5737" t="s">
        <v>12644</v>
      </c>
    </row>
    <row r="5738" spans="1:7" hidden="1" x14ac:dyDescent="0.25">
      <c r="A5738" t="s">
        <v>226</v>
      </c>
      <c r="B5738" t="s">
        <v>19394</v>
      </c>
      <c r="C5738" t="s">
        <v>58</v>
      </c>
      <c r="F5738" s="8" t="s">
        <v>19162</v>
      </c>
      <c r="G5738" t="s">
        <v>12644</v>
      </c>
    </row>
    <row r="5739" spans="1:7" hidden="1" x14ac:dyDescent="0.25">
      <c r="A5739" t="s">
        <v>226</v>
      </c>
      <c r="B5739" t="s">
        <v>19394</v>
      </c>
      <c r="C5739" t="s">
        <v>58</v>
      </c>
      <c r="F5739" s="8" t="s">
        <v>19165</v>
      </c>
      <c r="G5739" t="s">
        <v>12644</v>
      </c>
    </row>
    <row r="5740" spans="1:7" hidden="1" x14ac:dyDescent="0.25">
      <c r="A5740" t="s">
        <v>226</v>
      </c>
      <c r="B5740" t="s">
        <v>19394</v>
      </c>
      <c r="C5740" t="s">
        <v>18883</v>
      </c>
      <c r="F5740" s="8" t="s">
        <v>19168</v>
      </c>
      <c r="G5740" t="s">
        <v>12644</v>
      </c>
    </row>
    <row r="5741" spans="1:7" hidden="1" x14ac:dyDescent="0.25">
      <c r="A5741" t="s">
        <v>226</v>
      </c>
      <c r="B5741" t="s">
        <v>19394</v>
      </c>
      <c r="C5741" t="s">
        <v>18883</v>
      </c>
      <c r="F5741" s="8" t="s">
        <v>19171</v>
      </c>
      <c r="G5741" t="s">
        <v>12644</v>
      </c>
    </row>
    <row r="5742" spans="1:7" hidden="1" x14ac:dyDescent="0.25">
      <c r="A5742" t="s">
        <v>226</v>
      </c>
      <c r="B5742" t="s">
        <v>19394</v>
      </c>
      <c r="C5742" t="s">
        <v>18883</v>
      </c>
      <c r="F5742" s="8" t="s">
        <v>19174</v>
      </c>
      <c r="G5742" t="s">
        <v>12644</v>
      </c>
    </row>
    <row r="5743" spans="1:7" hidden="1" x14ac:dyDescent="0.25">
      <c r="A5743" t="s">
        <v>226</v>
      </c>
      <c r="B5743" t="s">
        <v>19394</v>
      </c>
      <c r="C5743" t="s">
        <v>18883</v>
      </c>
      <c r="F5743" s="8" t="s">
        <v>19177</v>
      </c>
      <c r="G5743" t="s">
        <v>12644</v>
      </c>
    </row>
    <row r="5744" spans="1:7" hidden="1" x14ac:dyDescent="0.25">
      <c r="A5744" t="s">
        <v>226</v>
      </c>
      <c r="B5744" t="s">
        <v>19394</v>
      </c>
      <c r="C5744" t="s">
        <v>18883</v>
      </c>
      <c r="F5744" s="8" t="s">
        <v>19180</v>
      </c>
      <c r="G5744" t="s">
        <v>12644</v>
      </c>
    </row>
    <row r="5745" spans="1:7" hidden="1" x14ac:dyDescent="0.25">
      <c r="A5745" t="s">
        <v>3397</v>
      </c>
      <c r="F5745" s="8" t="s">
        <v>19183</v>
      </c>
      <c r="G5745" t="s">
        <v>12644</v>
      </c>
    </row>
    <row r="5746" spans="1:7" hidden="1" x14ac:dyDescent="0.25">
      <c r="A5746" t="s">
        <v>587</v>
      </c>
      <c r="B5746" t="s">
        <v>19394</v>
      </c>
      <c r="C5746" t="s">
        <v>4233</v>
      </c>
      <c r="F5746" s="8" t="s">
        <v>19186</v>
      </c>
      <c r="G5746" t="s">
        <v>12644</v>
      </c>
    </row>
    <row r="5747" spans="1:7" hidden="1" x14ac:dyDescent="0.25">
      <c r="A5747" t="s">
        <v>4</v>
      </c>
      <c r="B5747" t="s">
        <v>8</v>
      </c>
      <c r="F5747" s="8" t="s">
        <v>19225</v>
      </c>
      <c r="G5747" t="s">
        <v>1537</v>
      </c>
    </row>
    <row r="5748" spans="1:7" hidden="1" x14ac:dyDescent="0.25">
      <c r="A5748" t="s">
        <v>10020</v>
      </c>
      <c r="F5748" s="8" t="s">
        <v>19228</v>
      </c>
      <c r="G5748" t="s">
        <v>1537</v>
      </c>
    </row>
    <row r="5749" spans="1:7" hidden="1" x14ac:dyDescent="0.25">
      <c r="A5749" t="s">
        <v>10020</v>
      </c>
      <c r="F5749" s="8" t="s">
        <v>19231</v>
      </c>
      <c r="G5749" t="s">
        <v>1537</v>
      </c>
    </row>
    <row r="5750" spans="1:7" hidden="1" x14ac:dyDescent="0.25">
      <c r="A5750" t="s">
        <v>10020</v>
      </c>
      <c r="F5750" s="8" t="s">
        <v>19234</v>
      </c>
      <c r="G5750" t="s">
        <v>1537</v>
      </c>
    </row>
    <row r="5751" spans="1:7" hidden="1" x14ac:dyDescent="0.25">
      <c r="A5751" t="s">
        <v>10020</v>
      </c>
      <c r="F5751" s="8" t="s">
        <v>19237</v>
      </c>
      <c r="G5751" t="s">
        <v>1537</v>
      </c>
    </row>
    <row r="5752" spans="1:7" hidden="1" x14ac:dyDescent="0.25">
      <c r="A5752" t="s">
        <v>4</v>
      </c>
      <c r="B5752" t="s">
        <v>8</v>
      </c>
      <c r="F5752" s="8" t="s">
        <v>19240</v>
      </c>
      <c r="G5752" t="s">
        <v>1537</v>
      </c>
    </row>
    <row r="5753" spans="1:7" hidden="1" x14ac:dyDescent="0.25">
      <c r="A5753" t="s">
        <v>4</v>
      </c>
      <c r="B5753" t="s">
        <v>8</v>
      </c>
      <c r="F5753" s="8" t="s">
        <v>19381</v>
      </c>
      <c r="G5753" t="s">
        <v>1600</v>
      </c>
    </row>
    <row r="5754" spans="1:7" hidden="1" x14ac:dyDescent="0.25">
      <c r="A5754" t="s">
        <v>4</v>
      </c>
      <c r="B5754" t="s">
        <v>8</v>
      </c>
      <c r="F5754" s="8" t="s">
        <v>19384</v>
      </c>
      <c r="G5754" t="s">
        <v>1600</v>
      </c>
    </row>
    <row r="5755" spans="1:7" hidden="1" x14ac:dyDescent="0.25">
      <c r="A5755" t="s">
        <v>137</v>
      </c>
      <c r="B5755" t="s">
        <v>19394</v>
      </c>
      <c r="F5755" s="8" t="s">
        <v>19387</v>
      </c>
      <c r="G5755" t="s">
        <v>1600</v>
      </c>
    </row>
    <row r="5756" spans="1:7" hidden="1" x14ac:dyDescent="0.25">
      <c r="A5756" t="s">
        <v>4</v>
      </c>
      <c r="B5756" t="s">
        <v>8</v>
      </c>
      <c r="F5756" s="8" t="s">
        <v>19243</v>
      </c>
      <c r="G5756" t="s">
        <v>10022</v>
      </c>
    </row>
    <row r="5757" spans="1:7" hidden="1" x14ac:dyDescent="0.25">
      <c r="A5757" t="s">
        <v>10020</v>
      </c>
      <c r="F5757" s="8" t="s">
        <v>19246</v>
      </c>
      <c r="G5757" t="s">
        <v>10022</v>
      </c>
    </row>
    <row r="5758" spans="1:7" hidden="1" x14ac:dyDescent="0.25">
      <c r="A5758" t="s">
        <v>10020</v>
      </c>
      <c r="F5758" s="8" t="s">
        <v>19249</v>
      </c>
      <c r="G5758" t="s">
        <v>10022</v>
      </c>
    </row>
    <row r="5759" spans="1:7" hidden="1" x14ac:dyDescent="0.25">
      <c r="A5759" t="s">
        <v>62</v>
      </c>
      <c r="B5759" t="s">
        <v>19391</v>
      </c>
      <c r="C5759" t="s">
        <v>60</v>
      </c>
      <c r="F5759" s="8" t="s">
        <v>19252</v>
      </c>
      <c r="G5759" t="s">
        <v>10022</v>
      </c>
    </row>
    <row r="5760" spans="1:7" hidden="1" x14ac:dyDescent="0.25">
      <c r="A5760" t="s">
        <v>4</v>
      </c>
      <c r="B5760" t="s">
        <v>8</v>
      </c>
      <c r="F5760" s="8" t="s">
        <v>19255</v>
      </c>
      <c r="G5760" t="s">
        <v>10022</v>
      </c>
    </row>
    <row r="5761" spans="1:7" hidden="1" x14ac:dyDescent="0.25">
      <c r="A5761" t="s">
        <v>10020</v>
      </c>
      <c r="F5761" s="8" t="s">
        <v>19258</v>
      </c>
      <c r="G5761" t="s">
        <v>10022</v>
      </c>
    </row>
    <row r="5762" spans="1:7" hidden="1" x14ac:dyDescent="0.25">
      <c r="A5762" t="s">
        <v>10020</v>
      </c>
      <c r="F5762" s="8" t="s">
        <v>19261</v>
      </c>
      <c r="G5762" t="s">
        <v>10022</v>
      </c>
    </row>
    <row r="5763" spans="1:7" hidden="1" x14ac:dyDescent="0.25">
      <c r="A5763" t="s">
        <v>10020</v>
      </c>
      <c r="F5763" s="8" t="s">
        <v>19264</v>
      </c>
      <c r="G5763" t="s">
        <v>10022</v>
      </c>
    </row>
    <row r="5764" spans="1:7" hidden="1" x14ac:dyDescent="0.25">
      <c r="A5764" t="s">
        <v>4</v>
      </c>
      <c r="B5764" t="s">
        <v>8</v>
      </c>
      <c r="F5764" s="8" t="s">
        <v>19267</v>
      </c>
      <c r="G5764" t="s">
        <v>11078</v>
      </c>
    </row>
    <row r="5765" spans="1:7" hidden="1" x14ac:dyDescent="0.25">
      <c r="A5765" t="s">
        <v>4</v>
      </c>
      <c r="B5765" t="s">
        <v>468</v>
      </c>
      <c r="F5765" s="8" t="s">
        <v>19270</v>
      </c>
      <c r="G5765" t="s">
        <v>11078</v>
      </c>
    </row>
    <row r="5766" spans="1:7" hidden="1" x14ac:dyDescent="0.25">
      <c r="A5766" t="s">
        <v>4</v>
      </c>
      <c r="B5766" t="s">
        <v>468</v>
      </c>
      <c r="F5766" s="8" t="s">
        <v>19273</v>
      </c>
      <c r="G5766" t="s">
        <v>11078</v>
      </c>
    </row>
    <row r="5767" spans="1:7" hidden="1" x14ac:dyDescent="0.25">
      <c r="A5767" t="s">
        <v>4</v>
      </c>
      <c r="B5767" t="s">
        <v>468</v>
      </c>
      <c r="F5767" s="8" t="s">
        <v>19276</v>
      </c>
      <c r="G5767" t="s">
        <v>11078</v>
      </c>
    </row>
    <row r="5768" spans="1:7" hidden="1" x14ac:dyDescent="0.25">
      <c r="A5768" t="s">
        <v>4</v>
      </c>
      <c r="B5768" t="s">
        <v>17904</v>
      </c>
      <c r="F5768" s="8" t="s">
        <v>19279</v>
      </c>
      <c r="G5768" t="s">
        <v>11078</v>
      </c>
    </row>
    <row r="5769" spans="1:7" hidden="1" x14ac:dyDescent="0.25">
      <c r="A5769" t="s">
        <v>4</v>
      </c>
      <c r="B5769" t="s">
        <v>8</v>
      </c>
      <c r="F5769" s="8" t="s">
        <v>19282</v>
      </c>
      <c r="G5769" t="s">
        <v>11078</v>
      </c>
    </row>
    <row r="5770" spans="1:7" hidden="1" x14ac:dyDescent="0.25">
      <c r="A5770" t="s">
        <v>4</v>
      </c>
      <c r="B5770" t="s">
        <v>11080</v>
      </c>
      <c r="F5770" s="8" t="s">
        <v>19285</v>
      </c>
      <c r="G5770" t="s">
        <v>11079</v>
      </c>
    </row>
    <row r="5771" spans="1:7" hidden="1" x14ac:dyDescent="0.25">
      <c r="A5771" t="s">
        <v>4</v>
      </c>
      <c r="B5771" t="s">
        <v>1274</v>
      </c>
      <c r="F5771" s="8" t="s">
        <v>19288</v>
      </c>
      <c r="G5771" t="s">
        <v>11079</v>
      </c>
    </row>
    <row r="5772" spans="1:7" hidden="1" x14ac:dyDescent="0.25">
      <c r="A5772" t="s">
        <v>4</v>
      </c>
      <c r="B5772" t="s">
        <v>19402</v>
      </c>
      <c r="F5772" s="8" t="s">
        <v>19291</v>
      </c>
      <c r="G5772" t="s">
        <v>11079</v>
      </c>
    </row>
    <row r="5773" spans="1:7" hidden="1" x14ac:dyDescent="0.25">
      <c r="A5773" t="s">
        <v>4</v>
      </c>
      <c r="B5773" t="s">
        <v>468</v>
      </c>
      <c r="F5773" s="8" t="s">
        <v>19294</v>
      </c>
      <c r="G5773" t="s">
        <v>11079</v>
      </c>
    </row>
    <row r="5774" spans="1:7" hidden="1" x14ac:dyDescent="0.25">
      <c r="A5774" t="s">
        <v>1607</v>
      </c>
      <c r="B5774" t="s">
        <v>11080</v>
      </c>
      <c r="F5774" s="8" t="s">
        <v>19297</v>
      </c>
      <c r="G5774" t="s">
        <v>11079</v>
      </c>
    </row>
    <row r="5775" spans="1:7" x14ac:dyDescent="0.25">
      <c r="A5775" t="s">
        <v>4</v>
      </c>
      <c r="B5775" t="s">
        <v>8</v>
      </c>
      <c r="F5775" s="8" t="s">
        <v>19309</v>
      </c>
      <c r="G5775" t="s">
        <v>11082</v>
      </c>
    </row>
    <row r="5776" spans="1:7" x14ac:dyDescent="0.25">
      <c r="A5776" t="s">
        <v>6436</v>
      </c>
      <c r="B5776" t="s">
        <v>19391</v>
      </c>
      <c r="F5776" s="8" t="s">
        <v>19312</v>
      </c>
      <c r="G5776" t="s">
        <v>11082</v>
      </c>
    </row>
    <row r="5777" spans="1:7" x14ac:dyDescent="0.25">
      <c r="A5777" t="s">
        <v>6436</v>
      </c>
      <c r="B5777" t="s">
        <v>19391</v>
      </c>
      <c r="E5777" t="s">
        <v>2352</v>
      </c>
      <c r="F5777" s="8" t="s">
        <v>19315</v>
      </c>
      <c r="G5777" t="s">
        <v>11082</v>
      </c>
    </row>
    <row r="5778" spans="1:7" x14ac:dyDescent="0.25">
      <c r="A5778" t="s">
        <v>4921</v>
      </c>
      <c r="B5778" t="s">
        <v>19392</v>
      </c>
      <c r="F5778" s="8" t="s">
        <v>19318</v>
      </c>
      <c r="G5778" t="s">
        <v>11082</v>
      </c>
    </row>
    <row r="5779" spans="1:7" x14ac:dyDescent="0.25">
      <c r="A5779" t="s">
        <v>587</v>
      </c>
      <c r="B5779" t="s">
        <v>19392</v>
      </c>
      <c r="F5779" s="8" t="s">
        <v>19321</v>
      </c>
      <c r="G5779" t="s">
        <v>11082</v>
      </c>
    </row>
    <row r="5780" spans="1:7" x14ac:dyDescent="0.25">
      <c r="A5780" t="s">
        <v>4</v>
      </c>
      <c r="B5780" t="s">
        <v>8</v>
      </c>
      <c r="F5780" s="8" t="s">
        <v>19324</v>
      </c>
      <c r="G5780" t="s">
        <v>11082</v>
      </c>
    </row>
    <row r="5781" spans="1:7" x14ac:dyDescent="0.25">
      <c r="A5781" t="s">
        <v>4</v>
      </c>
      <c r="B5781" t="s">
        <v>8</v>
      </c>
      <c r="F5781" s="8" t="s">
        <v>19327</v>
      </c>
      <c r="G5781" t="s">
        <v>11082</v>
      </c>
    </row>
    <row r="5782" spans="1:7" x14ac:dyDescent="0.25">
      <c r="A5782" t="s">
        <v>4</v>
      </c>
      <c r="B5782" t="s">
        <v>8</v>
      </c>
      <c r="F5782" s="8" t="s">
        <v>19330</v>
      </c>
      <c r="G5782" t="s">
        <v>11082</v>
      </c>
    </row>
    <row r="5783" spans="1:7" x14ac:dyDescent="0.25">
      <c r="A5783" t="s">
        <v>588</v>
      </c>
      <c r="B5783" t="s">
        <v>86</v>
      </c>
      <c r="F5783" s="8" t="s">
        <v>19333</v>
      </c>
      <c r="G5783" t="s">
        <v>11082</v>
      </c>
    </row>
    <row r="5784" spans="1:7" x14ac:dyDescent="0.25">
      <c r="A5784" t="s">
        <v>588</v>
      </c>
      <c r="B5784" t="s">
        <v>86</v>
      </c>
      <c r="F5784" s="8" t="s">
        <v>19336</v>
      </c>
      <c r="G5784" t="s">
        <v>11082</v>
      </c>
    </row>
    <row r="5785" spans="1:7" x14ac:dyDescent="0.25">
      <c r="A5785" t="s">
        <v>588</v>
      </c>
      <c r="B5785" t="s">
        <v>86</v>
      </c>
      <c r="F5785" s="8" t="s">
        <v>19339</v>
      </c>
      <c r="G5785" t="s">
        <v>11082</v>
      </c>
    </row>
    <row r="5786" spans="1:7" x14ac:dyDescent="0.25">
      <c r="A5786" t="s">
        <v>137</v>
      </c>
      <c r="B5786" t="s">
        <v>70</v>
      </c>
      <c r="F5786" s="8" t="s">
        <v>19342</v>
      </c>
      <c r="G5786" t="s">
        <v>11082</v>
      </c>
    </row>
    <row r="5787" spans="1:7" x14ac:dyDescent="0.25">
      <c r="A5787" t="s">
        <v>588</v>
      </c>
      <c r="B5787" t="s">
        <v>86</v>
      </c>
      <c r="F5787" s="8" t="s">
        <v>19345</v>
      </c>
      <c r="G5787" t="s">
        <v>11082</v>
      </c>
    </row>
    <row r="5788" spans="1:7" x14ac:dyDescent="0.25">
      <c r="A5788" t="s">
        <v>4</v>
      </c>
      <c r="B5788" t="s">
        <v>8</v>
      </c>
      <c r="F5788" s="8" t="s">
        <v>19348</v>
      </c>
      <c r="G5788" t="s">
        <v>11082</v>
      </c>
    </row>
    <row r="5789" spans="1:7" x14ac:dyDescent="0.25">
      <c r="A5789" t="s">
        <v>137</v>
      </c>
      <c r="B5789" t="s">
        <v>16656</v>
      </c>
      <c r="E5789" t="s">
        <v>19403</v>
      </c>
      <c r="F5789" s="8" t="s">
        <v>19351</v>
      </c>
      <c r="G5789" t="s">
        <v>11082</v>
      </c>
    </row>
    <row r="5790" spans="1:7" x14ac:dyDescent="0.25">
      <c r="A5790" t="s">
        <v>4</v>
      </c>
      <c r="B5790" t="s">
        <v>8</v>
      </c>
      <c r="F5790" s="8" t="s">
        <v>19354</v>
      </c>
      <c r="G5790" t="s">
        <v>11082</v>
      </c>
    </row>
    <row r="5791" spans="1:7" x14ac:dyDescent="0.25">
      <c r="A5791" t="s">
        <v>4</v>
      </c>
      <c r="B5791" t="s">
        <v>8</v>
      </c>
      <c r="F5791" s="8" t="s">
        <v>19357</v>
      </c>
      <c r="G5791" t="s">
        <v>11082</v>
      </c>
    </row>
    <row r="5792" spans="1:7" x14ac:dyDescent="0.25">
      <c r="A5792" t="s">
        <v>137</v>
      </c>
      <c r="B5792" t="s">
        <v>19394</v>
      </c>
      <c r="F5792" s="8" t="s">
        <v>19360</v>
      </c>
      <c r="G5792" t="s">
        <v>11082</v>
      </c>
    </row>
    <row r="5793" spans="1:7" x14ac:dyDescent="0.25">
      <c r="A5793" t="s">
        <v>226</v>
      </c>
      <c r="B5793" t="s">
        <v>19394</v>
      </c>
      <c r="C5793" t="s">
        <v>58</v>
      </c>
      <c r="F5793" s="8" t="s">
        <v>19363</v>
      </c>
      <c r="G5793" t="s">
        <v>11082</v>
      </c>
    </row>
    <row r="5794" spans="1:7" x14ac:dyDescent="0.25">
      <c r="A5794" t="s">
        <v>226</v>
      </c>
      <c r="B5794" t="s">
        <v>19394</v>
      </c>
      <c r="C5794" t="s">
        <v>18883</v>
      </c>
      <c r="F5794" s="8" t="s">
        <v>19366</v>
      </c>
      <c r="G5794" t="s">
        <v>11082</v>
      </c>
    </row>
    <row r="5795" spans="1:7" x14ac:dyDescent="0.25">
      <c r="A5795" t="s">
        <v>226</v>
      </c>
      <c r="B5795" t="s">
        <v>19394</v>
      </c>
      <c r="C5795" t="s">
        <v>18883</v>
      </c>
      <c r="F5795" s="8" t="s">
        <v>19369</v>
      </c>
      <c r="G5795" t="s">
        <v>11082</v>
      </c>
    </row>
    <row r="5796" spans="1:7" x14ac:dyDescent="0.25">
      <c r="A5796" t="s">
        <v>226</v>
      </c>
      <c r="B5796" t="s">
        <v>19394</v>
      </c>
      <c r="C5796" t="s">
        <v>18883</v>
      </c>
      <c r="F5796" s="8" t="s">
        <v>19372</v>
      </c>
      <c r="G5796" t="s">
        <v>11082</v>
      </c>
    </row>
    <row r="5797" spans="1:7" x14ac:dyDescent="0.25">
      <c r="A5797" t="s">
        <v>3397</v>
      </c>
      <c r="B5797" t="s">
        <v>19394</v>
      </c>
      <c r="F5797" s="8" t="s">
        <v>19375</v>
      </c>
      <c r="G5797" t="s">
        <v>11082</v>
      </c>
    </row>
    <row r="5798" spans="1:7" x14ac:dyDescent="0.25">
      <c r="A5798" t="s">
        <v>16681</v>
      </c>
      <c r="B5798" t="s">
        <v>19394</v>
      </c>
      <c r="C5798" t="s">
        <v>4233</v>
      </c>
      <c r="F5798" s="8" t="s">
        <v>19378</v>
      </c>
      <c r="G5798" t="s">
        <v>11082</v>
      </c>
    </row>
  </sheetData>
  <phoneticPr fontId="2" type="noConversion"/>
  <conditionalFormatting sqref="C2:C11 C14 C16:C18 C23:C24">
    <cfRule type="notContainsText" dxfId="636" priority="635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635" priority="634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634" priority="633" operator="notContains" text="порожний">
      <formula>ISERROR(SEARCH("порожний",C12))</formula>
    </cfRule>
  </conditionalFormatting>
  <conditionalFormatting sqref="B12:B14">
    <cfRule type="containsText" dxfId="633" priority="632" operator="containsText" text="Выезд с территории">
      <formula>NOT(ISERROR(SEARCH("Выезд с территории",B12)))</formula>
    </cfRule>
  </conditionalFormatting>
  <conditionalFormatting sqref="C15">
    <cfRule type="notContainsText" dxfId="632" priority="631" operator="notContains" text="порожний">
      <formula>ISERROR(SEARCH("порожний",C15))</formula>
    </cfRule>
  </conditionalFormatting>
  <conditionalFormatting sqref="C19:C22">
    <cfRule type="notContainsText" dxfId="631" priority="630" operator="notContains" text="порожний">
      <formula>ISERROR(SEARCH("порожний",C19))</formula>
    </cfRule>
  </conditionalFormatting>
  <conditionalFormatting sqref="C25">
    <cfRule type="notContainsText" dxfId="630" priority="629" operator="notContains" text="порожний">
      <formula>ISERROR(SEARCH("порожний",C25))</formula>
    </cfRule>
  </conditionalFormatting>
  <conditionalFormatting sqref="C26:C27">
    <cfRule type="notContainsText" dxfId="629" priority="628" operator="notContains" text="порожний">
      <formula>ISERROR(SEARCH("порожний",C26))</formula>
    </cfRule>
  </conditionalFormatting>
  <conditionalFormatting sqref="C29">
    <cfRule type="notContainsText" dxfId="628" priority="627" operator="notContains" text="порожний">
      <formula>ISERROR(SEARCH("порожний",C29))</formula>
    </cfRule>
  </conditionalFormatting>
  <conditionalFormatting sqref="C39">
    <cfRule type="notContainsText" dxfId="627" priority="622" operator="notContains" text="порожний">
      <formula>ISERROR(SEARCH("порожний",C39))</formula>
    </cfRule>
  </conditionalFormatting>
  <conditionalFormatting sqref="C32">
    <cfRule type="notContainsText" dxfId="626" priority="626" operator="notContains" text="порожний">
      <formula>ISERROR(SEARCH("порожний",C32))</formula>
    </cfRule>
  </conditionalFormatting>
  <conditionalFormatting sqref="C34">
    <cfRule type="notContainsText" dxfId="625" priority="625" operator="notContains" text="порожний">
      <formula>ISERROR(SEARCH("порожний",C34))</formula>
    </cfRule>
  </conditionalFormatting>
  <conditionalFormatting sqref="C36">
    <cfRule type="notContainsText" dxfId="624" priority="624" operator="notContains" text="порожний">
      <formula>ISERROR(SEARCH("порожний",C36))</formula>
    </cfRule>
  </conditionalFormatting>
  <conditionalFormatting sqref="C38">
    <cfRule type="notContainsText" dxfId="623" priority="623" operator="notContains" text="порожний">
      <formula>ISERROR(SEARCH("порожний",C38))</formula>
    </cfRule>
  </conditionalFormatting>
  <conditionalFormatting sqref="E147">
    <cfRule type="containsText" dxfId="622" priority="621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21" priority="620" operator="notContains" text="порожний">
      <formula>ISERROR(SEARCH("порожний",C581))</formula>
    </cfRule>
  </conditionalFormatting>
  <conditionalFormatting sqref="C586">
    <cfRule type="notContainsText" dxfId="620" priority="619" operator="notContains" text="порожний">
      <formula>ISERROR(SEARCH("порожний",C586))</formula>
    </cfRule>
  </conditionalFormatting>
  <conditionalFormatting sqref="B609">
    <cfRule type="containsText" dxfId="619" priority="618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618" priority="616" operator="containsText" text="Газель базы">
      <formula>NOT(ISERROR(SEARCH("Газель базы",B609)))</formula>
    </cfRule>
    <cfRule type="containsText" dxfId="617" priority="617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616" priority="615" operator="containsText" text="Трактор базы">
      <formula>NOT(ISERROR(SEARCH("Трактор базы",B609)))</formula>
    </cfRule>
  </conditionalFormatting>
  <conditionalFormatting sqref="B614">
    <cfRule type="containsText" dxfId="615" priority="611" operator="containsText" text="Трактор базы">
      <formula>NOT(ISERROR(SEARCH("Трактор базы",B614)))</formula>
    </cfRule>
  </conditionalFormatting>
  <conditionalFormatting sqref="B614">
    <cfRule type="containsText" dxfId="614" priority="614" operator="containsText" text="Выезд с территории">
      <formula>NOT(ISERROR(SEARCH("Выезд с территории",B614)))</formula>
    </cfRule>
  </conditionalFormatting>
  <conditionalFormatting sqref="B614">
    <cfRule type="containsText" dxfId="613" priority="612" operator="containsText" text="Газель базы">
      <formula>NOT(ISERROR(SEARCH("Газель базы",B614)))</formula>
    </cfRule>
    <cfRule type="containsText" dxfId="612" priority="613" operator="containsText" text="Погрузчик базы">
      <formula>NOT(ISERROR(SEARCH("Погрузчик базы",B614)))</formula>
    </cfRule>
  </conditionalFormatting>
  <conditionalFormatting sqref="C649">
    <cfRule type="notContainsText" dxfId="611" priority="610" operator="notContains" text="порожний">
      <formula>ISERROR(SEARCH("порожний",C649))</formula>
    </cfRule>
  </conditionalFormatting>
  <conditionalFormatting sqref="C655">
    <cfRule type="notContainsText" dxfId="610" priority="607" operator="notContains" text="порожний">
      <formula>ISERROR(SEARCH("порожний",C655))</formula>
    </cfRule>
  </conditionalFormatting>
  <conditionalFormatting sqref="C650">
    <cfRule type="notContainsText" dxfId="609" priority="609" operator="notContains" text="порожний">
      <formula>ISERROR(SEARCH("порожний",C650))</formula>
    </cfRule>
  </conditionalFormatting>
  <conditionalFormatting sqref="C654">
    <cfRule type="notContainsText" dxfId="608" priority="608" operator="notContains" text="порожний">
      <formula>ISERROR(SEARCH("порожний",C654))</formula>
    </cfRule>
  </conditionalFormatting>
  <conditionalFormatting sqref="A663:A666 A668:A670 A695 A697:A701 A825 A3437">
    <cfRule type="containsText" dxfId="607" priority="604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06" priority="606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05" priority="605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04" priority="601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03" priority="603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02" priority="602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01" priority="591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00" priority="600" operator="containsText" text="Выезд с территории">
      <formula>NOT(ISERROR(SEARCH("Выезд с территории",A681)))</formula>
    </cfRule>
  </conditionalFormatting>
  <conditionalFormatting sqref="A681">
    <cfRule type="containsText" dxfId="599" priority="599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598" priority="598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597" priority="594" operator="containsText" text="Трактор базы">
      <formula>NOT(ISERROR(SEARCH("Трактор базы",B682)))</formula>
    </cfRule>
  </conditionalFormatting>
  <conditionalFormatting sqref="B682">
    <cfRule type="containsText" dxfId="596" priority="597" operator="containsText" text="Выезд с территории">
      <formula>NOT(ISERROR(SEARCH("Выезд с территории",B682)))</formula>
    </cfRule>
  </conditionalFormatting>
  <conditionalFormatting sqref="B682">
    <cfRule type="containsText" dxfId="595" priority="595" operator="containsText" text="Газель базы">
      <formula>NOT(ISERROR(SEARCH("Газель базы",B682)))</formula>
    </cfRule>
    <cfRule type="containsText" dxfId="594" priority="596" operator="containsText" text="Погрузчик базы">
      <formula>NOT(ISERROR(SEARCH("Погрузчик базы",B682)))</formula>
    </cfRule>
  </conditionalFormatting>
  <conditionalFormatting sqref="A684:A687">
    <cfRule type="containsText" dxfId="593" priority="593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592" priority="592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591" priority="582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590" priority="584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589" priority="583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588" priority="579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587" priority="581" operator="containsText" text="Выезд с территории">
      <formula>NOT(ISERROR(SEARCH("Выезд с территории",A824)))</formula>
    </cfRule>
  </conditionalFormatting>
  <conditionalFormatting sqref="A824">
    <cfRule type="containsText" dxfId="586" priority="580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585" priority="575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584" priority="573" operator="containsText" text="Газель базы">
      <formula>NOT(ISERROR(SEARCH("Газель базы",B846)))</formula>
    </cfRule>
    <cfRule type="containsText" dxfId="583" priority="574" operator="containsText" text="Погрузчик базы">
      <formula>NOT(ISERROR(SEARCH("Погрузчик базы",B846)))</formula>
    </cfRule>
  </conditionalFormatting>
  <conditionalFormatting sqref="B846:B850">
    <cfRule type="containsText" dxfId="582" priority="572" operator="containsText" text="Трактор базы">
      <formula>NOT(ISERROR(SEARCH("Трактор базы",B846)))</formula>
    </cfRule>
  </conditionalFormatting>
  <conditionalFormatting sqref="A916:A917">
    <cfRule type="containsText" dxfId="581" priority="566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580" priority="571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579" priority="569" operator="containsText" text="Газель базы">
      <formula>NOT(ISERROR(SEARCH("Газель базы",B916)))</formula>
    </cfRule>
    <cfRule type="containsText" dxfId="578" priority="570" operator="containsText" text="Погрузчик базы">
      <formula>NOT(ISERROR(SEARCH("Погрузчик базы",B916)))</formula>
    </cfRule>
  </conditionalFormatting>
  <conditionalFormatting sqref="B916:B917">
    <cfRule type="containsText" dxfId="577" priority="568" operator="containsText" text="Трактор базы">
      <formula>NOT(ISERROR(SEARCH("Трактор базы",B916)))</formula>
    </cfRule>
  </conditionalFormatting>
  <conditionalFormatting sqref="A916:A917">
    <cfRule type="containsText" dxfId="576" priority="567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575" priority="565" operator="containsText" text="Выезд с территории">
      <formula>NOT(ISERROR(SEARCH("Выезд с территории",E916)))</formula>
    </cfRule>
  </conditionalFormatting>
  <conditionalFormatting sqref="A932">
    <cfRule type="containsText" dxfId="574" priority="542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573" priority="564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572" priority="562" operator="containsText" text="Газель базы">
      <formula>NOT(ISERROR(SEARCH("Газель базы",B918)))</formula>
    </cfRule>
    <cfRule type="containsText" dxfId="571" priority="563" operator="containsText" text="Погрузчик базы">
      <formula>NOT(ISERROR(SEARCH("Погрузчик базы",B918)))</formula>
    </cfRule>
  </conditionalFormatting>
  <conditionalFormatting sqref="B918:B924">
    <cfRule type="containsText" dxfId="570" priority="561" operator="containsText" text="Трактор базы">
      <formula>NOT(ISERROR(SEARCH("Трактор базы",B918)))</formula>
    </cfRule>
  </conditionalFormatting>
  <conditionalFormatting sqref="A918">
    <cfRule type="containsText" dxfId="569" priority="560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568" priority="559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567" priority="553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566" priority="558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65" priority="556" operator="containsText" text="Газель базы">
      <formula>NOT(ISERROR(SEARCH("Газель базы",B926)))</formula>
    </cfRule>
    <cfRule type="containsText" dxfId="564" priority="557" operator="containsText" text="Погрузчик базы">
      <formula>NOT(ISERROR(SEARCH("Погрузчик базы",B926)))</formula>
    </cfRule>
  </conditionalFormatting>
  <conditionalFormatting sqref="B926:B928">
    <cfRule type="containsText" dxfId="563" priority="555" operator="containsText" text="Трактор базы">
      <formula>NOT(ISERROR(SEARCH("Трактор базы",B926)))</formula>
    </cfRule>
  </conditionalFormatting>
  <conditionalFormatting sqref="A926:A928">
    <cfRule type="containsText" dxfId="562" priority="554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61" priority="552" operator="containsText" text="Выезд с территории">
      <formula>NOT(ISERROR(SEARCH("Выезд с территории",E926)))</formula>
    </cfRule>
  </conditionalFormatting>
  <conditionalFormatting sqref="A930">
    <cfRule type="containsText" dxfId="560" priority="546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559" priority="551" operator="containsText" text="Выезд с территории">
      <formula>NOT(ISERROR(SEARCH("Выезд с территории",A930)))</formula>
    </cfRule>
  </conditionalFormatting>
  <conditionalFormatting sqref="B930">
    <cfRule type="containsText" dxfId="558" priority="549" operator="containsText" text="Газель базы">
      <formula>NOT(ISERROR(SEARCH("Газель базы",B930)))</formula>
    </cfRule>
    <cfRule type="containsText" dxfId="557" priority="550" operator="containsText" text="Погрузчик базы">
      <formula>NOT(ISERROR(SEARCH("Погрузчик базы",B930)))</formula>
    </cfRule>
  </conditionalFormatting>
  <conditionalFormatting sqref="B930">
    <cfRule type="containsText" dxfId="556" priority="548" operator="containsText" text="Трактор базы">
      <formula>NOT(ISERROR(SEARCH("Трактор базы",B930)))</formula>
    </cfRule>
  </conditionalFormatting>
  <conditionalFormatting sqref="A930">
    <cfRule type="containsText" dxfId="555" priority="547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554" priority="545" operator="containsText" text="Выезд с территории">
      <formula>NOT(ISERROR(SEARCH("Выезд с территории",E930)))</formula>
    </cfRule>
  </conditionalFormatting>
  <conditionalFormatting sqref="A932">
    <cfRule type="containsText" dxfId="553" priority="544" operator="containsText" text="Выезд с территории">
      <formula>NOT(ISERROR(SEARCH("Выезд с территории",A932)))</formula>
    </cfRule>
  </conditionalFormatting>
  <conditionalFormatting sqref="A932">
    <cfRule type="containsText" dxfId="552" priority="543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551" priority="539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550" priority="541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549" priority="540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548" priority="538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547" priority="537" operator="notContains" text="порожний">
      <formula>ISERROR(SEARCH("порожний",C954))</formula>
    </cfRule>
  </conditionalFormatting>
  <conditionalFormatting sqref="B954:B956">
    <cfRule type="containsText" dxfId="546" priority="535" operator="containsText" text="Газель базы">
      <formula>NOT(ISERROR(SEARCH("Газель базы",B954)))</formula>
    </cfRule>
    <cfRule type="containsText" dxfId="545" priority="536" operator="containsText" text="Погрузчик базы">
      <formula>NOT(ISERROR(SEARCH("Погрузчик базы",B954)))</formula>
    </cfRule>
  </conditionalFormatting>
  <conditionalFormatting sqref="B954:B956">
    <cfRule type="containsText" dxfId="544" priority="534" operator="containsText" text="Трактор базы">
      <formula>NOT(ISERROR(SEARCH("Трактор базы",B954)))</formula>
    </cfRule>
  </conditionalFormatting>
  <conditionalFormatting sqref="A954:A956">
    <cfRule type="containsText" dxfId="543" priority="533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542" priority="532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541" priority="530" operator="notContains" text="порожний">
      <formula>ISERROR(SEARCH("порожний",C995))</formula>
    </cfRule>
  </conditionalFormatting>
  <conditionalFormatting sqref="C987">
    <cfRule type="notContainsText" dxfId="540" priority="531" operator="notContains" text="порожний">
      <formula>ISERROR(SEARCH("порожний",C987))</formula>
    </cfRule>
  </conditionalFormatting>
  <conditionalFormatting sqref="B999">
    <cfRule type="containsText" dxfId="539" priority="529" operator="containsText" text="Выезд с территории">
      <formula>NOT(ISERROR(SEARCH("Выезд с территории",B999)))</formula>
    </cfRule>
  </conditionalFormatting>
  <conditionalFormatting sqref="B999">
    <cfRule type="containsText" dxfId="538" priority="527" operator="containsText" text="Газель базы">
      <formula>NOT(ISERROR(SEARCH("Газель базы",B999)))</formula>
    </cfRule>
    <cfRule type="containsText" dxfId="537" priority="528" operator="containsText" text="Погрузчик базы">
      <formula>NOT(ISERROR(SEARCH("Погрузчик базы",B999)))</formula>
    </cfRule>
  </conditionalFormatting>
  <conditionalFormatting sqref="B999">
    <cfRule type="containsText" dxfId="536" priority="526" operator="containsText" text="Трактор базы">
      <formula>NOT(ISERROR(SEARCH("Трактор базы",B999)))</formula>
    </cfRule>
  </conditionalFormatting>
  <conditionalFormatting sqref="B1019:B1022">
    <cfRule type="containsText" dxfId="535" priority="522" operator="containsText" text="Трактор базы">
      <formula>NOT(ISERROR(SEARCH("Трактор базы",B1019)))</formula>
    </cfRule>
  </conditionalFormatting>
  <conditionalFormatting sqref="B1019:B1022">
    <cfRule type="containsText" dxfId="534" priority="525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533" priority="523" operator="containsText" text="Газель базы">
      <formula>NOT(ISERROR(SEARCH("Газель базы",B1019)))</formula>
    </cfRule>
    <cfRule type="containsText" dxfId="532" priority="524" operator="containsText" text="Погрузчик базы">
      <formula>NOT(ISERROR(SEARCH("Погрузчик базы",B1019)))</formula>
    </cfRule>
  </conditionalFormatting>
  <conditionalFormatting sqref="C966">
    <cfRule type="notContainsText" dxfId="531" priority="521" operator="notContains" text="порожний">
      <formula>ISERROR(SEARCH("порожний",C966))</formula>
    </cfRule>
  </conditionalFormatting>
  <conditionalFormatting sqref="A1029">
    <cfRule type="containsText" dxfId="530" priority="518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529" priority="520" operator="containsText" text="Выезд с территории">
      <formula>NOT(ISERROR(SEARCH("Выезд с территории",A1029)))</formula>
    </cfRule>
  </conditionalFormatting>
  <conditionalFormatting sqref="A1029">
    <cfRule type="containsText" dxfId="528" priority="519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527" priority="517" operator="containsText" text="Выезд с территории">
      <formula>NOT(ISERROR(SEARCH("Выезд с территории",B1030)))</formula>
    </cfRule>
  </conditionalFormatting>
  <conditionalFormatting sqref="B1030">
    <cfRule type="containsText" dxfId="526" priority="515" operator="containsText" text="Газель базы">
      <formula>NOT(ISERROR(SEARCH("Газель базы",B1030)))</formula>
    </cfRule>
    <cfRule type="containsText" dxfId="525" priority="516" operator="containsText" text="Погрузчик базы">
      <formula>NOT(ISERROR(SEARCH("Погрузчик базы",B1030)))</formula>
    </cfRule>
  </conditionalFormatting>
  <conditionalFormatting sqref="B1030">
    <cfRule type="containsText" dxfId="524" priority="514" operator="containsText" text="Трактор базы">
      <formula>NOT(ISERROR(SEARCH("Трактор базы",B1030)))</formula>
    </cfRule>
  </conditionalFormatting>
  <conditionalFormatting sqref="A1035">
    <cfRule type="containsText" dxfId="523" priority="508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22" priority="511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21" priority="513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20" priority="512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19" priority="510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18" priority="509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17" priority="507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16" priority="505" operator="containsText" text="Газель базы">
      <formula>NOT(ISERROR(SEARCH("Газель базы",B1138)))</formula>
    </cfRule>
    <cfRule type="containsText" dxfId="515" priority="506" operator="containsText" text="Погрузчик базы">
      <formula>NOT(ISERROR(SEARCH("Погрузчик базы",B1138)))</formula>
    </cfRule>
  </conditionalFormatting>
  <conditionalFormatting sqref="B1138:B1161">
    <cfRule type="containsText" dxfId="514" priority="504" operator="containsText" text="Трактор базы">
      <formula>NOT(ISERROR(SEARCH("Трактор базы",B1138)))</formula>
    </cfRule>
  </conditionalFormatting>
  <conditionalFormatting sqref="B1258:B1262">
    <cfRule type="containsText" dxfId="513" priority="488" operator="containsText" text="Трактор базы">
      <formula>NOT(ISERROR(SEARCH("Трактор базы",B1258)))</formula>
    </cfRule>
  </conditionalFormatting>
  <conditionalFormatting sqref="B1244:B1252">
    <cfRule type="containsText" dxfId="512" priority="503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11" priority="501" operator="containsText" text="Газель базы">
      <formula>NOT(ISERROR(SEARCH("Газель базы",B1244)))</formula>
    </cfRule>
    <cfRule type="containsText" dxfId="510" priority="502" operator="containsText" text="Погрузчик базы">
      <formula>NOT(ISERROR(SEARCH("Погрузчик базы",B1244)))</formula>
    </cfRule>
  </conditionalFormatting>
  <conditionalFormatting sqref="B1244:B1252">
    <cfRule type="containsText" dxfId="509" priority="500" operator="containsText" text="Трактор базы">
      <formula>NOT(ISERROR(SEARCH("Трактор базы",B1244)))</formula>
    </cfRule>
  </conditionalFormatting>
  <conditionalFormatting sqref="B1253:B1256">
    <cfRule type="containsText" dxfId="508" priority="499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07" priority="497" operator="containsText" text="Газель базы">
      <formula>NOT(ISERROR(SEARCH("Газель базы",B1253)))</formula>
    </cfRule>
    <cfRule type="containsText" dxfId="506" priority="498" operator="containsText" text="Погрузчик базы">
      <formula>NOT(ISERROR(SEARCH("Погрузчик базы",B1253)))</formula>
    </cfRule>
  </conditionalFormatting>
  <conditionalFormatting sqref="B1253:B1256">
    <cfRule type="containsText" dxfId="505" priority="496" operator="containsText" text="Трактор базы">
      <formula>NOT(ISERROR(SEARCH("Трактор базы",B1253)))</formula>
    </cfRule>
  </conditionalFormatting>
  <conditionalFormatting sqref="B1257">
    <cfRule type="containsText" dxfId="504" priority="495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03" priority="493" operator="containsText" text="Газель базы">
      <formula>NOT(ISERROR(SEARCH("Газель базы",B1257)))</formula>
    </cfRule>
    <cfRule type="containsText" dxfId="502" priority="494" operator="containsText" text="Погрузчик базы">
      <formula>NOT(ISERROR(SEARCH("Погрузчик базы",B1257)))</formula>
    </cfRule>
  </conditionalFormatting>
  <conditionalFormatting sqref="B1257">
    <cfRule type="containsText" dxfId="501" priority="492" operator="containsText" text="Трактор базы">
      <formula>NOT(ISERROR(SEARCH("Трактор базы",B1257)))</formula>
    </cfRule>
  </conditionalFormatting>
  <conditionalFormatting sqref="B1258:B1262">
    <cfRule type="containsText" dxfId="500" priority="491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499" priority="489" operator="containsText" text="Газель базы">
      <formula>NOT(ISERROR(SEARCH("Газель базы",B1258)))</formula>
    </cfRule>
    <cfRule type="containsText" dxfId="498" priority="490" operator="containsText" text="Погрузчик базы">
      <formula>NOT(ISERROR(SEARCH("Погрузчик базы",B1258)))</formula>
    </cfRule>
  </conditionalFormatting>
  <conditionalFormatting sqref="B1281:B1287">
    <cfRule type="containsText" dxfId="497" priority="487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496" priority="485" operator="containsText" text="Газель базы">
      <formula>NOT(ISERROR(SEARCH("Газель базы",B1281)))</formula>
    </cfRule>
    <cfRule type="containsText" dxfId="495" priority="486" operator="containsText" text="Погрузчик базы">
      <formula>NOT(ISERROR(SEARCH("Погрузчик базы",B1281)))</formula>
    </cfRule>
  </conditionalFormatting>
  <conditionalFormatting sqref="B1281:B1287">
    <cfRule type="containsText" dxfId="494" priority="484" operator="containsText" text="Трактор базы">
      <formula>NOT(ISERROR(SEARCH("Трактор базы",B1281)))</formula>
    </cfRule>
  </conditionalFormatting>
  <conditionalFormatting sqref="B1296">
    <cfRule type="containsText" dxfId="493" priority="480" operator="containsText" text="Трактор базы">
      <formula>NOT(ISERROR(SEARCH("Трактор базы",B1296)))</formula>
    </cfRule>
  </conditionalFormatting>
  <conditionalFormatting sqref="B1296">
    <cfRule type="containsText" dxfId="492" priority="483" operator="containsText" text="Выезд с территории">
      <formula>NOT(ISERROR(SEARCH("Выезд с территории",B1296)))</formula>
    </cfRule>
  </conditionalFormatting>
  <conditionalFormatting sqref="B1296">
    <cfRule type="containsText" dxfId="491" priority="481" operator="containsText" text="Газель базы">
      <formula>NOT(ISERROR(SEARCH("Газель базы",B1296)))</formula>
    </cfRule>
    <cfRule type="containsText" dxfId="490" priority="482" operator="containsText" text="Погрузчик базы">
      <formula>NOT(ISERROR(SEARCH("Погрузчик базы",B1296)))</formula>
    </cfRule>
  </conditionalFormatting>
  <conditionalFormatting sqref="C1320:C1321">
    <cfRule type="notContainsText" dxfId="489" priority="478" operator="notContains" text="порожний">
      <formula>ISERROR(SEARCH("порожний",C1320))</formula>
    </cfRule>
  </conditionalFormatting>
  <conditionalFormatting sqref="A1323">
    <cfRule type="containsText" dxfId="488" priority="472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487" priority="475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486" priority="477" operator="containsText" text="Выезд с территории">
      <formula>NOT(ISERROR(SEARCH("Выезд с территории",A1322)))</formula>
    </cfRule>
  </conditionalFormatting>
  <conditionalFormatting sqref="A1322">
    <cfRule type="containsText" dxfId="485" priority="476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484" priority="474" operator="containsText" text="Выезд с территории">
      <formula>NOT(ISERROR(SEARCH("Выезд с территории",A1323)))</formula>
    </cfRule>
  </conditionalFormatting>
  <conditionalFormatting sqref="A1323">
    <cfRule type="containsText" dxfId="483" priority="473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482" priority="471" operator="notContains" text="порожний">
      <formula>ISERROR(SEARCH("порожний",C1336))</formula>
    </cfRule>
  </conditionalFormatting>
  <conditionalFormatting sqref="C1346">
    <cfRule type="notContainsText" dxfId="481" priority="470" operator="notContains" text="порожний">
      <formula>ISERROR(SEARCH("порожний",C1346))</formula>
    </cfRule>
  </conditionalFormatting>
  <conditionalFormatting sqref="A1391">
    <cfRule type="containsText" dxfId="480" priority="464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479" priority="466" operator="containsText" text="Выезд с территории">
      <formula>NOT(ISERROR(SEARCH("Выезд с территории",A1391)))</formula>
    </cfRule>
  </conditionalFormatting>
  <conditionalFormatting sqref="A1391">
    <cfRule type="containsText" dxfId="478" priority="465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477" priority="461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476" priority="463" operator="containsText" text="Выезд с территории">
      <formula>NOT(ISERROR(SEARCH("Выезд с территории",A1398)))</formula>
    </cfRule>
  </conditionalFormatting>
  <conditionalFormatting sqref="A1398">
    <cfRule type="containsText" dxfId="475" priority="462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474" priority="460" operator="notContains" text="порожний">
      <formula>ISERROR(SEARCH("порожний",C1606))</formula>
    </cfRule>
  </conditionalFormatting>
  <conditionalFormatting sqref="B1633:B1636">
    <cfRule type="containsText" dxfId="473" priority="459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472" priority="457" operator="containsText" text="Газель базы">
      <formula>NOT(ISERROR(SEARCH("Газель базы",B1633)))</formula>
    </cfRule>
    <cfRule type="containsText" dxfId="471" priority="458" operator="containsText" text="Погрузчик базы">
      <formula>NOT(ISERROR(SEARCH("Погрузчик базы",B1633)))</formula>
    </cfRule>
  </conditionalFormatting>
  <conditionalFormatting sqref="B1633:B1636">
    <cfRule type="containsText" dxfId="470" priority="456" operator="containsText" text="Трактор базы">
      <formula>NOT(ISERROR(SEARCH("Трактор базы",B1633)))</formula>
    </cfRule>
  </conditionalFormatting>
  <conditionalFormatting sqref="B1637:B1642">
    <cfRule type="containsText" dxfId="469" priority="455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468" priority="453" operator="containsText" text="Газель базы">
      <formula>NOT(ISERROR(SEARCH("Газель базы",B1637)))</formula>
    </cfRule>
    <cfRule type="containsText" dxfId="467" priority="454" operator="containsText" text="Погрузчик базы">
      <formula>NOT(ISERROR(SEARCH("Погрузчик базы",B1637)))</formula>
    </cfRule>
  </conditionalFormatting>
  <conditionalFormatting sqref="B1637:B1642">
    <cfRule type="containsText" dxfId="466" priority="452" operator="containsText" text="Трактор базы">
      <formula>NOT(ISERROR(SEARCH("Трактор базы",B1637)))</formula>
    </cfRule>
  </conditionalFormatting>
  <conditionalFormatting sqref="B1671:B1672">
    <cfRule type="containsText" dxfId="465" priority="448" operator="containsText" text="Трактор базы">
      <formula>NOT(ISERROR(SEARCH("Трактор базы",B1671)))</formula>
    </cfRule>
  </conditionalFormatting>
  <conditionalFormatting sqref="B1671:B1672">
    <cfRule type="containsText" dxfId="464" priority="451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63" priority="449" operator="containsText" text="Газель базы">
      <formula>NOT(ISERROR(SEARCH("Газель базы",B1671)))</formula>
    </cfRule>
    <cfRule type="containsText" dxfId="462" priority="450" operator="containsText" text="Погрузчик базы">
      <formula>NOT(ISERROR(SEARCH("Погрузчик базы",B1671)))</formula>
    </cfRule>
  </conditionalFormatting>
  <conditionalFormatting sqref="B1675">
    <cfRule type="containsText" dxfId="461" priority="444" operator="containsText" text="Трактор базы">
      <formula>NOT(ISERROR(SEARCH("Трактор базы",B1675)))</formula>
    </cfRule>
  </conditionalFormatting>
  <conditionalFormatting sqref="B1675">
    <cfRule type="containsText" dxfId="460" priority="447" operator="containsText" text="Выезд с территории">
      <formula>NOT(ISERROR(SEARCH("Выезд с территории",B1675)))</formula>
    </cfRule>
  </conditionalFormatting>
  <conditionalFormatting sqref="B1675">
    <cfRule type="containsText" dxfId="459" priority="445" operator="containsText" text="Газель базы">
      <formula>NOT(ISERROR(SEARCH("Газель базы",B1675)))</formula>
    </cfRule>
    <cfRule type="containsText" dxfId="458" priority="446" operator="containsText" text="Погрузчик базы">
      <formula>NOT(ISERROR(SEARCH("Погрузчик базы",B1675)))</formula>
    </cfRule>
  </conditionalFormatting>
  <conditionalFormatting sqref="A1678">
    <cfRule type="containsText" dxfId="457" priority="441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456" priority="443" operator="containsText" text="Выезд с территории">
      <formula>NOT(ISERROR(SEARCH("Выезд с территории",A1678)))</formula>
    </cfRule>
  </conditionalFormatting>
  <conditionalFormatting sqref="A1678">
    <cfRule type="containsText" dxfId="455" priority="442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454" priority="440" operator="notContains" text="порожний">
      <formula>ISERROR(SEARCH("порожний",C1723))</formula>
    </cfRule>
  </conditionalFormatting>
  <conditionalFormatting sqref="C1725:C1726">
    <cfRule type="notContainsText" dxfId="453" priority="439" operator="notContains" text="порожний">
      <formula>ISERROR(SEARCH("порожний",C1725))</formula>
    </cfRule>
  </conditionalFormatting>
  <conditionalFormatting sqref="C1727">
    <cfRule type="notContainsText" dxfId="452" priority="438" operator="notContains" text="порожний">
      <formula>ISERROR(SEARCH("порожний",C1727))</formula>
    </cfRule>
  </conditionalFormatting>
  <conditionalFormatting sqref="C1728">
    <cfRule type="notContainsText" dxfId="451" priority="437" operator="notContains" text="порожний">
      <formula>ISERROR(SEARCH("порожний",C1728))</formula>
    </cfRule>
  </conditionalFormatting>
  <conditionalFormatting sqref="B1732:B1733">
    <cfRule type="containsText" dxfId="450" priority="436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449" priority="434" operator="containsText" text="Газель базы">
      <formula>NOT(ISERROR(SEARCH("Газель базы",B1732)))</formula>
    </cfRule>
    <cfRule type="containsText" dxfId="448" priority="435" operator="containsText" text="Погрузчик базы">
      <formula>NOT(ISERROR(SEARCH("Погрузчик базы",B1732)))</formula>
    </cfRule>
  </conditionalFormatting>
  <conditionalFormatting sqref="B1732:B1733">
    <cfRule type="containsText" dxfId="447" priority="433" operator="containsText" text="Трактор базы">
      <formula>NOT(ISERROR(SEARCH("Трактор базы",B1732)))</formula>
    </cfRule>
  </conditionalFormatting>
  <conditionalFormatting sqref="B1734:B1735">
    <cfRule type="containsText" dxfId="446" priority="432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445" priority="430" operator="containsText" text="Газель базы">
      <formula>NOT(ISERROR(SEARCH("Газель базы",B1734)))</formula>
    </cfRule>
    <cfRule type="containsText" dxfId="444" priority="431" operator="containsText" text="Погрузчик базы">
      <formula>NOT(ISERROR(SEARCH("Погрузчик базы",B1734)))</formula>
    </cfRule>
  </conditionalFormatting>
  <conditionalFormatting sqref="B1734:B1735">
    <cfRule type="containsText" dxfId="443" priority="429" operator="containsText" text="Трактор базы">
      <formula>NOT(ISERROR(SEARCH("Трактор базы",B1734)))</formula>
    </cfRule>
  </conditionalFormatting>
  <conditionalFormatting sqref="B1762:B1764">
    <cfRule type="containsText" dxfId="442" priority="415" operator="containsText" text="Трактор базы">
      <formula>NOT(ISERROR(SEARCH("Трактор базы",B1762)))</formula>
    </cfRule>
  </conditionalFormatting>
  <conditionalFormatting sqref="B1740:B1741">
    <cfRule type="containsText" dxfId="441" priority="428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440" priority="426" operator="containsText" text="Газель базы">
      <formula>NOT(ISERROR(SEARCH("Газель базы",B1740)))</formula>
    </cfRule>
    <cfRule type="containsText" dxfId="439" priority="427" operator="containsText" text="Погрузчик базы">
      <formula>NOT(ISERROR(SEARCH("Погрузчик базы",B1740)))</formula>
    </cfRule>
  </conditionalFormatting>
  <conditionalFormatting sqref="B1740:B1741">
    <cfRule type="containsText" dxfId="438" priority="425" operator="containsText" text="Трактор базы">
      <formula>NOT(ISERROR(SEARCH("Трактор базы",B1740)))</formula>
    </cfRule>
  </conditionalFormatting>
  <conditionalFormatting sqref="A1755">
    <cfRule type="containsText" dxfId="437" priority="422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436" priority="424" operator="containsText" text="Выезд с территории">
      <formula>NOT(ISERROR(SEARCH("Выезд с территории",A1755)))</formula>
    </cfRule>
  </conditionalFormatting>
  <conditionalFormatting sqref="A1755">
    <cfRule type="containsText" dxfId="435" priority="423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434" priority="419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433" priority="421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432" priority="420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431" priority="406" operator="containsText" text="Трактор базы">
      <formula>NOT(ISERROR(SEARCH("Трактор базы",B1773)))</formula>
    </cfRule>
  </conditionalFormatting>
  <conditionalFormatting sqref="B1762:B1764">
    <cfRule type="containsText" dxfId="430" priority="418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429" priority="416" operator="containsText" text="Газель базы">
      <formula>NOT(ISERROR(SEARCH("Газель базы",B1762)))</formula>
    </cfRule>
    <cfRule type="containsText" dxfId="428" priority="417" operator="containsText" text="Погрузчик базы">
      <formula>NOT(ISERROR(SEARCH("Погрузчик базы",B1762)))</formula>
    </cfRule>
  </conditionalFormatting>
  <conditionalFormatting sqref="B1776:B1777">
    <cfRule type="containsText" dxfId="427" priority="397" operator="containsText" text="Трактор базы">
      <formula>NOT(ISERROR(SEARCH("Трактор базы",B1776)))</formula>
    </cfRule>
  </conditionalFormatting>
  <conditionalFormatting sqref="B1770:B1771">
    <cfRule type="containsText" dxfId="426" priority="414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25" priority="412" operator="containsText" text="Газель базы">
      <formula>NOT(ISERROR(SEARCH("Газель базы",B1770)))</formula>
    </cfRule>
    <cfRule type="containsText" dxfId="424" priority="413" operator="containsText" text="Погрузчик базы">
      <formula>NOT(ISERROR(SEARCH("Погрузчик базы",B1770)))</formula>
    </cfRule>
  </conditionalFormatting>
  <conditionalFormatting sqref="B1770:B1771">
    <cfRule type="containsText" dxfId="423" priority="411" operator="containsText" text="Трактор базы">
      <formula>NOT(ISERROR(SEARCH("Трактор базы",B1770)))</formula>
    </cfRule>
  </conditionalFormatting>
  <conditionalFormatting sqref="B1773">
    <cfRule type="containsText" dxfId="422" priority="410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21" priority="409" operator="notContains" text="порожний">
      <formula>ISERROR(SEARCH("порожний",C1773))</formula>
    </cfRule>
  </conditionalFormatting>
  <conditionalFormatting sqref="B1773">
    <cfRule type="containsText" dxfId="420" priority="407" operator="containsText" text="Газель базы">
      <formula>NOT(ISERROR(SEARCH("Газель базы",B1773)))</formula>
    </cfRule>
    <cfRule type="containsText" dxfId="419" priority="408" operator="containsText" text="Погрузчик базы">
      <formula>NOT(ISERROR(SEARCH("Погрузчик базы",B1773)))</formula>
    </cfRule>
  </conditionalFormatting>
  <conditionalFormatting sqref="B1775">
    <cfRule type="containsText" dxfId="418" priority="401" operator="containsText" text="Трактор базы">
      <formula>NOT(ISERROR(SEARCH("Трактор базы",B1775)))</formula>
    </cfRule>
  </conditionalFormatting>
  <conditionalFormatting sqref="B1775">
    <cfRule type="containsText" dxfId="417" priority="405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16" priority="404" operator="notContains" text="порожний">
      <formula>ISERROR(SEARCH("порожний",C1775))</formula>
    </cfRule>
  </conditionalFormatting>
  <conditionalFormatting sqref="B1775">
    <cfRule type="containsText" dxfId="415" priority="402" operator="containsText" text="Газель базы">
      <formula>NOT(ISERROR(SEARCH("Газель базы",B1775)))</formula>
    </cfRule>
    <cfRule type="containsText" dxfId="414" priority="403" operator="containsText" text="Погрузчик базы">
      <formula>NOT(ISERROR(SEARCH("Погрузчик базы",B1775)))</formula>
    </cfRule>
  </conditionalFormatting>
  <conditionalFormatting sqref="B1776:B1777">
    <cfRule type="containsText" dxfId="413" priority="400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12" priority="398" operator="containsText" text="Газель базы">
      <formula>NOT(ISERROR(SEARCH("Газель базы",B1776)))</formula>
    </cfRule>
    <cfRule type="containsText" dxfId="411" priority="399" operator="containsText" text="Погрузчик базы">
      <formula>NOT(ISERROR(SEARCH("Погрузчик базы",B1776)))</formula>
    </cfRule>
  </conditionalFormatting>
  <conditionalFormatting sqref="B1891">
    <cfRule type="containsText" dxfId="410" priority="389" operator="containsText" text="Трактор базы">
      <formula>NOT(ISERROR(SEARCH("Трактор базы",B1891)))</formula>
    </cfRule>
  </conditionalFormatting>
  <conditionalFormatting sqref="B1889">
    <cfRule type="containsText" dxfId="409" priority="396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08" priority="394" operator="containsText" text="Газель базы">
      <formula>NOT(ISERROR(SEARCH("Газель базы",B1889)))</formula>
    </cfRule>
    <cfRule type="containsText" dxfId="407" priority="395" operator="containsText" text="Погрузчик базы">
      <formula>NOT(ISERROR(SEARCH("Погрузчик базы",B1889)))</formula>
    </cfRule>
  </conditionalFormatting>
  <conditionalFormatting sqref="B1889">
    <cfRule type="containsText" dxfId="406" priority="393" operator="containsText" text="Трактор базы">
      <formula>NOT(ISERROR(SEARCH("Трактор базы",B1889)))</formula>
    </cfRule>
  </conditionalFormatting>
  <conditionalFormatting sqref="B1891">
    <cfRule type="containsText" dxfId="405" priority="392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04" priority="390" operator="containsText" text="Газель базы">
      <formula>NOT(ISERROR(SEARCH("Газель базы",B1891)))</formula>
    </cfRule>
    <cfRule type="containsText" dxfId="403" priority="391" operator="containsText" text="Погрузчик базы">
      <formula>NOT(ISERROR(SEARCH("Погрузчик базы",B1891)))</formula>
    </cfRule>
  </conditionalFormatting>
  <conditionalFormatting sqref="B1920">
    <cfRule type="containsText" dxfId="402" priority="377" operator="containsText" text="Трактор базы">
      <formula>NOT(ISERROR(SEARCH("Трактор базы",B1920)))</formula>
    </cfRule>
  </conditionalFormatting>
  <conditionalFormatting sqref="B1904:B1914">
    <cfRule type="containsText" dxfId="401" priority="388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00" priority="386" operator="containsText" text="Газель базы">
      <formula>NOT(ISERROR(SEARCH("Газель базы",B1904)))</formula>
    </cfRule>
    <cfRule type="containsText" dxfId="399" priority="387" operator="containsText" text="Погрузчик базы">
      <formula>NOT(ISERROR(SEARCH("Погрузчик базы",B1904)))</formula>
    </cfRule>
  </conditionalFormatting>
  <conditionalFormatting sqref="B1904:B1914">
    <cfRule type="containsText" dxfId="398" priority="385" operator="containsText" text="Трактор базы">
      <formula>NOT(ISERROR(SEARCH("Трактор базы",B1904)))</formula>
    </cfRule>
  </conditionalFormatting>
  <conditionalFormatting sqref="B1915:B1919">
    <cfRule type="containsText" dxfId="397" priority="384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396" priority="382" operator="containsText" text="Газель базы">
      <formula>NOT(ISERROR(SEARCH("Газель базы",B1915)))</formula>
    </cfRule>
    <cfRule type="containsText" dxfId="395" priority="383" operator="containsText" text="Погрузчик базы">
      <formula>NOT(ISERROR(SEARCH("Погрузчик базы",B1915)))</formula>
    </cfRule>
  </conditionalFormatting>
  <conditionalFormatting sqref="B1915:B1919">
    <cfRule type="containsText" dxfId="394" priority="381" operator="containsText" text="Трактор базы">
      <formula>NOT(ISERROR(SEARCH("Трактор базы",B1915)))</formula>
    </cfRule>
  </conditionalFormatting>
  <conditionalFormatting sqref="B1920">
    <cfRule type="containsText" dxfId="393" priority="380" operator="containsText" text="Выезд с территории">
      <formula>NOT(ISERROR(SEARCH("Выезд с территории",B1920)))</formula>
    </cfRule>
  </conditionalFormatting>
  <conditionalFormatting sqref="B1920">
    <cfRule type="containsText" dxfId="392" priority="378" operator="containsText" text="Газель базы">
      <formula>NOT(ISERROR(SEARCH("Газель базы",B1920)))</formula>
    </cfRule>
    <cfRule type="containsText" dxfId="391" priority="379" operator="containsText" text="Погрузчик базы">
      <formula>NOT(ISERROR(SEARCH("Погрузчик базы",B1920)))</formula>
    </cfRule>
  </conditionalFormatting>
  <conditionalFormatting sqref="B1939">
    <cfRule type="containsText" dxfId="390" priority="373" operator="containsText" text="Трактор базы">
      <formula>NOT(ISERROR(SEARCH("Трактор базы",B1939)))</formula>
    </cfRule>
  </conditionalFormatting>
  <conditionalFormatting sqref="B1939">
    <cfRule type="containsText" dxfId="389" priority="376" operator="containsText" text="Выезд с территории">
      <formula>NOT(ISERROR(SEARCH("Выезд с территории",B1939)))</formula>
    </cfRule>
  </conditionalFormatting>
  <conditionalFormatting sqref="B1939">
    <cfRule type="containsText" dxfId="388" priority="374" operator="containsText" text="Газель базы">
      <formula>NOT(ISERROR(SEARCH("Газель базы",B1939)))</formula>
    </cfRule>
    <cfRule type="containsText" dxfId="387" priority="375" operator="containsText" text="Погрузчик базы">
      <formula>NOT(ISERROR(SEARCH("Погрузчик базы",B1939)))</formula>
    </cfRule>
  </conditionalFormatting>
  <conditionalFormatting sqref="A1943">
    <cfRule type="containsText" dxfId="386" priority="370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385" priority="372" operator="containsText" text="Выезд с территории">
      <formula>NOT(ISERROR(SEARCH("Выезд с территории",A1943)))</formula>
    </cfRule>
  </conditionalFormatting>
  <conditionalFormatting sqref="A1943">
    <cfRule type="containsText" dxfId="384" priority="371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383" priority="354" operator="containsText" text="Трактор базы">
      <formula>NOT(ISERROR(SEARCH("Трактор базы",B1977)))</formula>
    </cfRule>
  </conditionalFormatting>
  <conditionalFormatting sqref="B1974">
    <cfRule type="containsText" dxfId="382" priority="369" operator="containsText" text="Выезд с территории">
      <formula>NOT(ISERROR(SEARCH("Выезд с территории",B1974)))</formula>
    </cfRule>
  </conditionalFormatting>
  <conditionalFormatting sqref="B1974">
    <cfRule type="containsText" dxfId="381" priority="367" operator="containsText" text="Газель базы">
      <formula>NOT(ISERROR(SEARCH("Газель базы",B1974)))</formula>
    </cfRule>
    <cfRule type="containsText" dxfId="380" priority="368" operator="containsText" text="Погрузчик базы">
      <formula>NOT(ISERROR(SEARCH("Погрузчик базы",B1974)))</formula>
    </cfRule>
  </conditionalFormatting>
  <conditionalFormatting sqref="B1974">
    <cfRule type="containsText" dxfId="379" priority="366" operator="containsText" text="Трактор базы">
      <formula>NOT(ISERROR(SEARCH("Трактор базы",B1974)))</formula>
    </cfRule>
  </conditionalFormatting>
  <conditionalFormatting sqref="B1975">
    <cfRule type="containsText" dxfId="378" priority="365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77" priority="363" operator="containsText" text="Газель базы">
      <formula>NOT(ISERROR(SEARCH("Газель базы",B1975)))</formula>
    </cfRule>
    <cfRule type="containsText" dxfId="376" priority="364" operator="containsText" text="Погрузчик базы">
      <formula>NOT(ISERROR(SEARCH("Погрузчик базы",B1975)))</formula>
    </cfRule>
  </conditionalFormatting>
  <conditionalFormatting sqref="B1975">
    <cfRule type="containsText" dxfId="375" priority="362" operator="containsText" text="Трактор базы">
      <formula>NOT(ISERROR(SEARCH("Трактор базы",B1975)))</formula>
    </cfRule>
  </conditionalFormatting>
  <conditionalFormatting sqref="B1976">
    <cfRule type="containsText" dxfId="374" priority="361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73" priority="359" operator="containsText" text="Газель базы">
      <formula>NOT(ISERROR(SEARCH("Газель базы",B1976)))</formula>
    </cfRule>
    <cfRule type="containsText" dxfId="372" priority="360" operator="containsText" text="Погрузчик базы">
      <formula>NOT(ISERROR(SEARCH("Погрузчик базы",B1976)))</formula>
    </cfRule>
  </conditionalFormatting>
  <conditionalFormatting sqref="B1976">
    <cfRule type="containsText" dxfId="371" priority="358" operator="containsText" text="Трактор базы">
      <formula>NOT(ISERROR(SEARCH("Трактор базы",B1976)))</formula>
    </cfRule>
  </conditionalFormatting>
  <conditionalFormatting sqref="B1977">
    <cfRule type="containsText" dxfId="370" priority="357" operator="containsText" text="Выезд с территории">
      <formula>NOT(ISERROR(SEARCH("Выезд с территории",B1977)))</formula>
    </cfRule>
  </conditionalFormatting>
  <conditionalFormatting sqref="B1977">
    <cfRule type="containsText" dxfId="369" priority="355" operator="containsText" text="Газель базы">
      <formula>NOT(ISERROR(SEARCH("Газель базы",B1977)))</formula>
    </cfRule>
    <cfRule type="containsText" dxfId="368" priority="356" operator="containsText" text="Погрузчик базы">
      <formula>NOT(ISERROR(SEARCH("Погрузчик базы",B1977)))</formula>
    </cfRule>
  </conditionalFormatting>
  <conditionalFormatting sqref="C1965">
    <cfRule type="notContainsText" dxfId="367" priority="353" operator="notContains" text="порожний">
      <formula>ISERROR(SEARCH("порожний",C1965))</formula>
    </cfRule>
  </conditionalFormatting>
  <conditionalFormatting sqref="B2042">
    <cfRule type="containsText" dxfId="366" priority="349" operator="containsText" text="Трактор базы">
      <formula>NOT(ISERROR(SEARCH("Трактор базы",B2042)))</formula>
    </cfRule>
  </conditionalFormatting>
  <conditionalFormatting sqref="B2042">
    <cfRule type="containsText" dxfId="365" priority="352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64" priority="350" operator="containsText" text="Газель базы">
      <formula>NOT(ISERROR(SEARCH("Газель базы",B2042)))</formula>
    </cfRule>
    <cfRule type="containsText" dxfId="363" priority="351" operator="containsText" text="Погрузчик базы">
      <formula>NOT(ISERROR(SEARCH("Погрузчик базы",B2042)))</formula>
    </cfRule>
  </conditionalFormatting>
  <conditionalFormatting sqref="C2050">
    <cfRule type="notContainsText" dxfId="362" priority="348" operator="notContains" text="порожний">
      <formula>ISERROR(SEARCH("порожний",C2050))</formula>
    </cfRule>
  </conditionalFormatting>
  <conditionalFormatting sqref="B2054">
    <cfRule type="containsText" dxfId="361" priority="347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60" priority="345" operator="containsText" text="Газель базы">
      <formula>NOT(ISERROR(SEARCH("Газель базы",B2054)))</formula>
    </cfRule>
    <cfRule type="containsText" dxfId="359" priority="346" operator="containsText" text="Погрузчик базы">
      <formula>NOT(ISERROR(SEARCH("Погрузчик базы",B2054)))</formula>
    </cfRule>
  </conditionalFormatting>
  <conditionalFormatting sqref="B2054">
    <cfRule type="containsText" dxfId="358" priority="344" operator="containsText" text="Трактор базы">
      <formula>NOT(ISERROR(SEARCH("Трактор базы",B2054)))</formula>
    </cfRule>
  </conditionalFormatting>
  <conditionalFormatting sqref="B2055">
    <cfRule type="containsText" dxfId="357" priority="340" operator="containsText" text="Трактор базы">
      <formula>NOT(ISERROR(SEARCH("Трактор базы",B2055)))</formula>
    </cfRule>
  </conditionalFormatting>
  <conditionalFormatting sqref="B2055">
    <cfRule type="containsText" dxfId="356" priority="343" operator="containsText" text="Выезд с территории">
      <formula>NOT(ISERROR(SEARCH("Выезд с территории",B2055)))</formula>
    </cfRule>
  </conditionalFormatting>
  <conditionalFormatting sqref="B2055">
    <cfRule type="containsText" dxfId="355" priority="341" operator="containsText" text="Газель базы">
      <formula>NOT(ISERROR(SEARCH("Газель базы",B2055)))</formula>
    </cfRule>
    <cfRule type="containsText" dxfId="354" priority="342" operator="containsText" text="Погрузчик базы">
      <formula>NOT(ISERROR(SEARCH("Погрузчик базы",B2055)))</formula>
    </cfRule>
  </conditionalFormatting>
  <conditionalFormatting sqref="A2087:A2089">
    <cfRule type="containsText" dxfId="353" priority="333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52" priority="339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51" priority="338" operator="notContains" text="порожний">
      <formula>ISERROR(SEARCH("порожний",C2087))</formula>
    </cfRule>
  </conditionalFormatting>
  <conditionalFormatting sqref="B2087:B2089">
    <cfRule type="containsText" dxfId="350" priority="336" operator="containsText" text="Газель базы">
      <formula>NOT(ISERROR(SEARCH("Газель базы",B2087)))</formula>
    </cfRule>
    <cfRule type="containsText" dxfId="349" priority="337" operator="containsText" text="Погрузчик базы">
      <formula>NOT(ISERROR(SEARCH("Погрузчик базы",B2087)))</formula>
    </cfRule>
  </conditionalFormatting>
  <conditionalFormatting sqref="B2087:B2089">
    <cfRule type="containsText" dxfId="348" priority="335" operator="containsText" text="Трактор базы">
      <formula>NOT(ISERROR(SEARCH("Трактор базы",B2087)))</formula>
    </cfRule>
  </conditionalFormatting>
  <conditionalFormatting sqref="A2087:A2089">
    <cfRule type="containsText" dxfId="347" priority="334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346" priority="332" operator="containsText" text="Выезд с территории">
      <formula>NOT(ISERROR(SEARCH("Выезд с территории",B2101)))</formula>
    </cfRule>
  </conditionalFormatting>
  <conditionalFormatting sqref="B2101">
    <cfRule type="containsText" dxfId="345" priority="330" operator="containsText" text="Газель базы">
      <formula>NOT(ISERROR(SEARCH("Газель базы",B2101)))</formula>
    </cfRule>
    <cfRule type="containsText" dxfId="344" priority="331" operator="containsText" text="Погрузчик базы">
      <formula>NOT(ISERROR(SEARCH("Погрузчик базы",B2101)))</formula>
    </cfRule>
  </conditionalFormatting>
  <conditionalFormatting sqref="B2101">
    <cfRule type="containsText" dxfId="343" priority="329" operator="containsText" text="Трактор базы">
      <formula>NOT(ISERROR(SEARCH("Трактор базы",B2101)))</formula>
    </cfRule>
  </conditionalFormatting>
  <conditionalFormatting sqref="B2102">
    <cfRule type="containsText" dxfId="342" priority="328" operator="containsText" text="Выезд с территории">
      <formula>NOT(ISERROR(SEARCH("Выезд с территории",B2102)))</formula>
    </cfRule>
  </conditionalFormatting>
  <conditionalFormatting sqref="B2102">
    <cfRule type="containsText" dxfId="341" priority="326" operator="containsText" text="Газель базы">
      <formula>NOT(ISERROR(SEARCH("Газель базы",B2102)))</formula>
    </cfRule>
    <cfRule type="containsText" dxfId="340" priority="327" operator="containsText" text="Погрузчик базы">
      <formula>NOT(ISERROR(SEARCH("Погрузчик базы",B2102)))</formula>
    </cfRule>
  </conditionalFormatting>
  <conditionalFormatting sqref="B2102">
    <cfRule type="containsText" dxfId="339" priority="325" operator="containsText" text="Трактор базы">
      <formula>NOT(ISERROR(SEARCH("Трактор базы",B2102)))</formula>
    </cfRule>
  </conditionalFormatting>
  <conditionalFormatting sqref="B2103">
    <cfRule type="containsText" dxfId="338" priority="321" operator="containsText" text="Трактор базы">
      <formula>NOT(ISERROR(SEARCH("Трактор базы",B2103)))</formula>
    </cfRule>
  </conditionalFormatting>
  <conditionalFormatting sqref="B2103">
    <cfRule type="containsText" dxfId="337" priority="324" operator="containsText" text="Выезд с территории">
      <formula>NOT(ISERROR(SEARCH("Выезд с территории",B2103)))</formula>
    </cfRule>
  </conditionalFormatting>
  <conditionalFormatting sqref="B2103">
    <cfRule type="containsText" dxfId="336" priority="322" operator="containsText" text="Газель базы">
      <formula>NOT(ISERROR(SEARCH("Газель базы",B2103)))</formula>
    </cfRule>
    <cfRule type="containsText" dxfId="335" priority="323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334" priority="318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333" priority="320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332" priority="319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331" priority="317" operator="containsText" text="Выезд с территории">
      <formula>NOT(ISERROR(SEARCH("Выезд с территории",B2276)))</formula>
    </cfRule>
  </conditionalFormatting>
  <conditionalFormatting sqref="B2276">
    <cfRule type="containsText" dxfId="330" priority="315" operator="containsText" text="Газель базы">
      <formula>NOT(ISERROR(SEARCH("Газель базы",B2276)))</formula>
    </cfRule>
    <cfRule type="containsText" dxfId="329" priority="316" operator="containsText" text="Погрузчик базы">
      <formula>NOT(ISERROR(SEARCH("Погрузчик базы",B2276)))</formula>
    </cfRule>
  </conditionalFormatting>
  <conditionalFormatting sqref="B2276">
    <cfRule type="containsText" dxfId="328" priority="314" operator="containsText" text="Трактор базы">
      <formula>NOT(ISERROR(SEARCH("Трактор базы",B2276)))</formula>
    </cfRule>
  </conditionalFormatting>
  <conditionalFormatting sqref="B2277">
    <cfRule type="containsText" dxfId="327" priority="310" operator="containsText" text="Трактор базы">
      <formula>NOT(ISERROR(SEARCH("Трактор базы",B2277)))</formula>
    </cfRule>
  </conditionalFormatting>
  <conditionalFormatting sqref="B2277">
    <cfRule type="containsText" dxfId="326" priority="313" operator="containsText" text="Выезд с территории">
      <formula>NOT(ISERROR(SEARCH("Выезд с территории",B2277)))</formula>
    </cfRule>
  </conditionalFormatting>
  <conditionalFormatting sqref="B2277">
    <cfRule type="containsText" dxfId="325" priority="311" operator="containsText" text="Газель базы">
      <formula>NOT(ISERROR(SEARCH("Газель базы",B2277)))</formula>
    </cfRule>
    <cfRule type="containsText" dxfId="324" priority="312" operator="containsText" text="Погрузчик базы">
      <formula>NOT(ISERROR(SEARCH("Погрузчик базы",B2277)))</formula>
    </cfRule>
  </conditionalFormatting>
  <conditionalFormatting sqref="A2279">
    <cfRule type="containsText" dxfId="323" priority="307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22" priority="309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21" priority="308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20" priority="304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19" priority="306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18" priority="305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17" priority="285" operator="containsText" text="Трактор базы">
      <formula>NOT(ISERROR(SEARCH("Трактор базы",B2382)))</formula>
    </cfRule>
  </conditionalFormatting>
  <conditionalFormatting sqref="B2348:B2349">
    <cfRule type="containsText" dxfId="316" priority="303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15" priority="301" operator="containsText" text="Газель базы">
      <formula>NOT(ISERROR(SEARCH("Газель базы",B2348)))</formula>
    </cfRule>
    <cfRule type="containsText" dxfId="314" priority="302" operator="containsText" text="Погрузчик базы">
      <formula>NOT(ISERROR(SEARCH("Погрузчик базы",B2348)))</formula>
    </cfRule>
  </conditionalFormatting>
  <conditionalFormatting sqref="B2348:B2349">
    <cfRule type="containsText" dxfId="313" priority="300" operator="containsText" text="Трактор базы">
      <formula>NOT(ISERROR(SEARCH("Трактор базы",B2348)))</formula>
    </cfRule>
  </conditionalFormatting>
  <conditionalFormatting sqref="A2350">
    <cfRule type="containsText" dxfId="312" priority="297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11" priority="299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10" priority="298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09" priority="296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08" priority="294" operator="containsText" text="Газель базы">
      <formula>NOT(ISERROR(SEARCH("Газель базы",B2352)))</formula>
    </cfRule>
    <cfRule type="containsText" dxfId="307" priority="295" operator="containsText" text="Погрузчик базы">
      <formula>NOT(ISERROR(SEARCH("Погрузчик базы",B2352)))</formula>
    </cfRule>
  </conditionalFormatting>
  <conditionalFormatting sqref="B2352:B2354">
    <cfRule type="containsText" dxfId="306" priority="293" operator="containsText" text="Трактор базы">
      <formula>NOT(ISERROR(SEARCH("Трактор базы",B2352)))</formula>
    </cfRule>
  </conditionalFormatting>
  <conditionalFormatting sqref="B2358">
    <cfRule type="containsText" dxfId="305" priority="292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04" priority="290" operator="containsText" text="Газель базы">
      <formula>NOT(ISERROR(SEARCH("Газель базы",B2358)))</formula>
    </cfRule>
    <cfRule type="containsText" dxfId="303" priority="291" operator="containsText" text="Погрузчик базы">
      <formula>NOT(ISERROR(SEARCH("Погрузчик базы",B2358)))</formula>
    </cfRule>
  </conditionalFormatting>
  <conditionalFormatting sqref="B2358">
    <cfRule type="containsText" dxfId="302" priority="289" operator="containsText" text="Трактор базы">
      <formula>NOT(ISERROR(SEARCH("Трактор базы",B2358)))</formula>
    </cfRule>
  </conditionalFormatting>
  <conditionalFormatting sqref="B2382">
    <cfRule type="containsText" dxfId="301" priority="288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00" priority="286" operator="containsText" text="Газель базы">
      <formula>NOT(ISERROR(SEARCH("Газель базы",B2382)))</formula>
    </cfRule>
    <cfRule type="containsText" dxfId="299" priority="287" operator="containsText" text="Погрузчик базы">
      <formula>NOT(ISERROR(SEARCH("Погрузчик базы",B2382)))</formula>
    </cfRule>
  </conditionalFormatting>
  <conditionalFormatting sqref="B2423:B2424">
    <cfRule type="containsText" dxfId="298" priority="284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297" priority="282" operator="containsText" text="Газель базы">
      <formula>NOT(ISERROR(SEARCH("Газель базы",B2423)))</formula>
    </cfRule>
    <cfRule type="containsText" dxfId="296" priority="283" operator="containsText" text="Погрузчик базы">
      <formula>NOT(ISERROR(SEARCH("Погрузчик базы",B2423)))</formula>
    </cfRule>
  </conditionalFormatting>
  <conditionalFormatting sqref="B2423:B2424">
    <cfRule type="containsText" dxfId="295" priority="281" operator="containsText" text="Трактор базы">
      <formula>NOT(ISERROR(SEARCH("Трактор базы",B2423)))</formula>
    </cfRule>
  </conditionalFormatting>
  <conditionalFormatting sqref="B2431">
    <cfRule type="containsText" dxfId="294" priority="280" operator="containsText" text="Выезд с территории">
      <formula>NOT(ISERROR(SEARCH("Выезд с территории",B2431)))</formula>
    </cfRule>
  </conditionalFormatting>
  <conditionalFormatting sqref="B2431">
    <cfRule type="containsText" dxfId="293" priority="278" operator="containsText" text="Газель базы">
      <formula>NOT(ISERROR(SEARCH("Газель базы",B2431)))</formula>
    </cfRule>
    <cfRule type="containsText" dxfId="292" priority="279" operator="containsText" text="Погрузчик базы">
      <formula>NOT(ISERROR(SEARCH("Погрузчик базы",B2431)))</formula>
    </cfRule>
  </conditionalFormatting>
  <conditionalFormatting sqref="B2431">
    <cfRule type="containsText" dxfId="291" priority="277" operator="containsText" text="Трактор базы">
      <formula>NOT(ISERROR(SEARCH("Трактор базы",B2431)))</formula>
    </cfRule>
  </conditionalFormatting>
  <conditionalFormatting sqref="B2478">
    <cfRule type="containsText" dxfId="290" priority="265" operator="containsText" text="Трактор базы">
      <formula>NOT(ISERROR(SEARCH("Трактор базы",B2478)))</formula>
    </cfRule>
  </conditionalFormatting>
  <conditionalFormatting sqref="B2462:B2463">
    <cfRule type="containsText" dxfId="289" priority="276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288" priority="274" operator="containsText" text="Газель базы">
      <formula>NOT(ISERROR(SEARCH("Газель базы",B2462)))</formula>
    </cfRule>
    <cfRule type="containsText" dxfId="287" priority="275" operator="containsText" text="Погрузчик базы">
      <formula>NOT(ISERROR(SEARCH("Погрузчик базы",B2462)))</formula>
    </cfRule>
  </conditionalFormatting>
  <conditionalFormatting sqref="B2462:B2463">
    <cfRule type="containsText" dxfId="286" priority="273" operator="containsText" text="Трактор базы">
      <formula>NOT(ISERROR(SEARCH("Трактор базы",B2462)))</formula>
    </cfRule>
  </conditionalFormatting>
  <conditionalFormatting sqref="B2467">
    <cfRule type="containsText" dxfId="285" priority="272" operator="containsText" text="Выезд с территории">
      <formula>NOT(ISERROR(SEARCH("Выезд с территории",B2467)))</formula>
    </cfRule>
  </conditionalFormatting>
  <conditionalFormatting sqref="B2467">
    <cfRule type="containsText" dxfId="284" priority="270" operator="containsText" text="Газель базы">
      <formula>NOT(ISERROR(SEARCH("Газель базы",B2467)))</formula>
    </cfRule>
    <cfRule type="containsText" dxfId="283" priority="271" operator="containsText" text="Погрузчик базы">
      <formula>NOT(ISERROR(SEARCH("Погрузчик базы",B2467)))</formula>
    </cfRule>
  </conditionalFormatting>
  <conditionalFormatting sqref="B2467">
    <cfRule type="containsText" dxfId="282" priority="269" operator="containsText" text="Трактор базы">
      <formula>NOT(ISERROR(SEARCH("Трактор базы",B2467)))</formula>
    </cfRule>
  </conditionalFormatting>
  <conditionalFormatting sqref="B2478">
    <cfRule type="containsText" dxfId="281" priority="268" operator="containsText" text="Выезд с территории">
      <formula>NOT(ISERROR(SEARCH("Выезд с территории",B2478)))</formula>
    </cfRule>
  </conditionalFormatting>
  <conditionalFormatting sqref="B2478">
    <cfRule type="containsText" dxfId="280" priority="266" operator="containsText" text="Газель базы">
      <formula>NOT(ISERROR(SEARCH("Газель базы",B2478)))</formula>
    </cfRule>
    <cfRule type="containsText" dxfId="279" priority="267" operator="containsText" text="Погрузчик базы">
      <formula>NOT(ISERROR(SEARCH("Погрузчик базы",B2478)))</formula>
    </cfRule>
  </conditionalFormatting>
  <conditionalFormatting sqref="B2499">
    <cfRule type="containsText" dxfId="278" priority="253" operator="containsText" text="Трактор базы">
      <formula>NOT(ISERROR(SEARCH("Трактор базы",B2499)))</formula>
    </cfRule>
  </conditionalFormatting>
  <conditionalFormatting sqref="B2497">
    <cfRule type="containsText" dxfId="277" priority="264" operator="containsText" text="Выезд с территории">
      <formula>NOT(ISERROR(SEARCH("Выезд с территории",B2497)))</formula>
    </cfRule>
  </conditionalFormatting>
  <conditionalFormatting sqref="B2497">
    <cfRule type="containsText" dxfId="276" priority="262" operator="containsText" text="Газель базы">
      <formula>NOT(ISERROR(SEARCH("Газель базы",B2497)))</formula>
    </cfRule>
    <cfRule type="containsText" dxfId="275" priority="263" operator="containsText" text="Погрузчик базы">
      <formula>NOT(ISERROR(SEARCH("Погрузчик базы",B2497)))</formula>
    </cfRule>
  </conditionalFormatting>
  <conditionalFormatting sqref="B2497">
    <cfRule type="containsText" dxfId="274" priority="261" operator="containsText" text="Трактор базы">
      <formula>NOT(ISERROR(SEARCH("Трактор базы",B2497)))</formula>
    </cfRule>
  </conditionalFormatting>
  <conditionalFormatting sqref="B2498">
    <cfRule type="containsText" dxfId="273" priority="260" operator="containsText" text="Выезд с территории">
      <formula>NOT(ISERROR(SEARCH("Выезд с территории",B2498)))</formula>
    </cfRule>
  </conditionalFormatting>
  <conditionalFormatting sqref="B2498">
    <cfRule type="containsText" dxfId="272" priority="258" operator="containsText" text="Газель базы">
      <formula>NOT(ISERROR(SEARCH("Газель базы",B2498)))</formula>
    </cfRule>
    <cfRule type="containsText" dxfId="271" priority="259" operator="containsText" text="Погрузчик базы">
      <formula>NOT(ISERROR(SEARCH("Погрузчик базы",B2498)))</formula>
    </cfRule>
  </conditionalFormatting>
  <conditionalFormatting sqref="B2498">
    <cfRule type="containsText" dxfId="270" priority="257" operator="containsText" text="Трактор базы">
      <formula>NOT(ISERROR(SEARCH("Трактор базы",B2498)))</formula>
    </cfRule>
  </conditionalFormatting>
  <conditionalFormatting sqref="B2499">
    <cfRule type="containsText" dxfId="269" priority="256" operator="containsText" text="Выезд с территории">
      <formula>NOT(ISERROR(SEARCH("Выезд с территории",B2499)))</formula>
    </cfRule>
  </conditionalFormatting>
  <conditionalFormatting sqref="B2499">
    <cfRule type="containsText" dxfId="268" priority="254" operator="containsText" text="Газель базы">
      <formula>NOT(ISERROR(SEARCH("Газель базы",B2499)))</formula>
    </cfRule>
    <cfRule type="containsText" dxfId="267" priority="255" operator="containsText" text="Погрузчик базы">
      <formula>NOT(ISERROR(SEARCH("Погрузчик базы",B2499)))</formula>
    </cfRule>
  </conditionalFormatting>
  <conditionalFormatting sqref="B2512:B2513">
    <cfRule type="containsText" dxfId="266" priority="227" operator="containsText" text="Трактор базы">
      <formula>NOT(ISERROR(SEARCH("Трактор базы",B2512)))</formula>
    </cfRule>
  </conditionalFormatting>
  <conditionalFormatting sqref="B2500">
    <cfRule type="containsText" dxfId="265" priority="252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64" priority="250" operator="containsText" text="Газель базы">
      <formula>NOT(ISERROR(SEARCH("Газель базы",B2500)))</formula>
    </cfRule>
    <cfRule type="containsText" dxfId="263" priority="251" operator="containsText" text="Погрузчик базы">
      <formula>NOT(ISERROR(SEARCH("Погрузчик базы",B2500)))</formula>
    </cfRule>
  </conditionalFormatting>
  <conditionalFormatting sqref="B2500">
    <cfRule type="containsText" dxfId="262" priority="249" operator="containsText" text="Трактор базы">
      <formula>NOT(ISERROR(SEARCH("Трактор базы",B2500)))</formula>
    </cfRule>
  </conditionalFormatting>
  <conditionalFormatting sqref="B2501">
    <cfRule type="containsText" dxfId="261" priority="248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60" priority="246" operator="containsText" text="Газель базы">
      <formula>NOT(ISERROR(SEARCH("Газель базы",B2501)))</formula>
    </cfRule>
    <cfRule type="containsText" dxfId="259" priority="247" operator="containsText" text="Погрузчик базы">
      <formula>NOT(ISERROR(SEARCH("Погрузчик базы",B2501)))</formula>
    </cfRule>
  </conditionalFormatting>
  <conditionalFormatting sqref="B2501">
    <cfRule type="containsText" dxfId="258" priority="245" operator="containsText" text="Трактор базы">
      <formula>NOT(ISERROR(SEARCH("Трактор базы",B2501)))</formula>
    </cfRule>
  </conditionalFormatting>
  <conditionalFormatting sqref="B2502">
    <cfRule type="containsText" dxfId="257" priority="241" operator="containsText" text="Трактор базы">
      <formula>NOT(ISERROR(SEARCH("Трактор базы",B2502)))</formula>
    </cfRule>
  </conditionalFormatting>
  <conditionalFormatting sqref="B2502">
    <cfRule type="containsText" dxfId="256" priority="244" operator="containsText" text="Выезд с территории">
      <formula>NOT(ISERROR(SEARCH("Выезд с территории",B2502)))</formula>
    </cfRule>
  </conditionalFormatting>
  <conditionalFormatting sqref="B2502">
    <cfRule type="containsText" dxfId="255" priority="242" operator="containsText" text="Газель базы">
      <formula>NOT(ISERROR(SEARCH("Газель базы",B2502)))</formula>
    </cfRule>
    <cfRule type="containsText" dxfId="254" priority="243" operator="containsText" text="Погрузчик базы">
      <formula>NOT(ISERROR(SEARCH("Погрузчик базы",B2502)))</formula>
    </cfRule>
  </conditionalFormatting>
  <conditionalFormatting sqref="A2503:A2504">
    <cfRule type="containsText" dxfId="253" priority="238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252" priority="240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251" priority="239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250" priority="235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249" priority="237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248" priority="236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247" priority="234" operator="containsText" text="Выезд с территории">
      <formula>NOT(ISERROR(SEARCH("Выезд с территории",B2509)))</formula>
    </cfRule>
  </conditionalFormatting>
  <conditionalFormatting sqref="B2509">
    <cfRule type="containsText" dxfId="246" priority="232" operator="containsText" text="Газель базы">
      <formula>NOT(ISERROR(SEARCH("Газель базы",B2509)))</formula>
    </cfRule>
    <cfRule type="containsText" dxfId="245" priority="233" operator="containsText" text="Погрузчик базы">
      <formula>NOT(ISERROR(SEARCH("Погрузчик базы",B2509)))</formula>
    </cfRule>
  </conditionalFormatting>
  <conditionalFormatting sqref="B2509">
    <cfRule type="containsText" dxfId="244" priority="231" operator="containsText" text="Трактор базы">
      <formula>NOT(ISERROR(SEARCH("Трактор базы",B2509)))</formula>
    </cfRule>
  </conditionalFormatting>
  <conditionalFormatting sqref="B2512:B2513">
    <cfRule type="containsText" dxfId="243" priority="230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242" priority="228" operator="containsText" text="Газель базы">
      <formula>NOT(ISERROR(SEARCH("Газель базы",B2512)))</formula>
    </cfRule>
    <cfRule type="containsText" dxfId="241" priority="229" operator="containsText" text="Погрузчик базы">
      <formula>NOT(ISERROR(SEARCH("Погрузчик базы",B2512)))</formula>
    </cfRule>
  </conditionalFormatting>
  <conditionalFormatting sqref="E2586">
    <cfRule type="containsText" dxfId="240" priority="226" operator="containsText" text="Выезд с территории">
      <formula>NOT(ISERROR(SEARCH("Выезд с территории",E2586)))</formula>
    </cfRule>
  </conditionalFormatting>
  <conditionalFormatting sqref="A2710">
    <cfRule type="containsText" dxfId="239" priority="223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238" priority="225" operator="containsText" text="Выезд с территории">
      <formula>NOT(ISERROR(SEARCH("Выезд с территории",A2710)))</formula>
    </cfRule>
  </conditionalFormatting>
  <conditionalFormatting sqref="A2710">
    <cfRule type="containsText" dxfId="237" priority="224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236" priority="222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235" priority="220" operator="containsText" text="Газель базы">
      <formula>NOT(ISERROR(SEARCH("Газель базы",B2810)))</formula>
    </cfRule>
    <cfRule type="containsText" dxfId="234" priority="221" operator="containsText" text="Погрузчик базы">
      <formula>NOT(ISERROR(SEARCH("Погрузчик базы",B2810)))</formula>
    </cfRule>
  </conditionalFormatting>
  <conditionalFormatting sqref="B2810:B2811">
    <cfRule type="containsText" dxfId="233" priority="219" operator="containsText" text="Трактор базы">
      <formula>NOT(ISERROR(SEARCH("Трактор базы",B2810)))</formula>
    </cfRule>
  </conditionalFormatting>
  <conditionalFormatting sqref="B2923:B2927">
    <cfRule type="containsText" dxfId="232" priority="215" operator="containsText" text="Трактор базы">
      <formula>NOT(ISERROR(SEARCH("Трактор базы",B2923)))</formula>
    </cfRule>
  </conditionalFormatting>
  <conditionalFormatting sqref="B2923:B2927">
    <cfRule type="containsText" dxfId="231" priority="218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230" priority="216" operator="containsText" text="Газель базы">
      <formula>NOT(ISERROR(SEARCH("Газель базы",B2923)))</formula>
    </cfRule>
    <cfRule type="containsText" dxfId="229" priority="217" operator="containsText" text="Погрузчик базы">
      <formula>NOT(ISERROR(SEARCH("Погрузчик базы",B2923)))</formula>
    </cfRule>
  </conditionalFormatting>
  <conditionalFormatting sqref="A2991">
    <cfRule type="containsText" dxfId="228" priority="214" operator="containsText" text="Выезд с территории">
      <formula>NOT(ISERROR(SEARCH("Выезд с территории",A2991)))</formula>
    </cfRule>
  </conditionalFormatting>
  <conditionalFormatting sqref="A2991">
    <cfRule type="containsText" dxfId="227" priority="213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226" priority="212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225" priority="211" operator="containsText" text="Выезд с территории">
      <formula>NOT(ISERROR(SEARCH("Выезд с территории",B2993)))</formula>
    </cfRule>
  </conditionalFormatting>
  <conditionalFormatting sqref="B2993">
    <cfRule type="containsText" dxfId="224" priority="209" operator="containsText" text="Газель базы">
      <formula>NOT(ISERROR(SEARCH("Газель базы",B2993)))</formula>
    </cfRule>
    <cfRule type="containsText" dxfId="223" priority="210" operator="containsText" text="Погрузчик базы">
      <formula>NOT(ISERROR(SEARCH("Погрузчик базы",B2993)))</formula>
    </cfRule>
  </conditionalFormatting>
  <conditionalFormatting sqref="B2993">
    <cfRule type="containsText" dxfId="222" priority="208" operator="containsText" text="Трактор базы">
      <formula>NOT(ISERROR(SEARCH("Трактор базы",B2993)))</formula>
    </cfRule>
  </conditionalFormatting>
  <conditionalFormatting sqref="B2995">
    <cfRule type="containsText" dxfId="221" priority="204" operator="containsText" text="Трактор базы">
      <formula>NOT(ISERROR(SEARCH("Трактор базы",B2995)))</formula>
    </cfRule>
  </conditionalFormatting>
  <conditionalFormatting sqref="B2995">
    <cfRule type="containsText" dxfId="220" priority="207" operator="containsText" text="Выезд с территории">
      <formula>NOT(ISERROR(SEARCH("Выезд с территории",B2995)))</formula>
    </cfRule>
  </conditionalFormatting>
  <conditionalFormatting sqref="B2995">
    <cfRule type="containsText" dxfId="219" priority="205" operator="containsText" text="Газель базы">
      <formula>NOT(ISERROR(SEARCH("Газель базы",B2995)))</formula>
    </cfRule>
    <cfRule type="containsText" dxfId="218" priority="206" operator="containsText" text="Погрузчик базы">
      <formula>NOT(ISERROR(SEARCH("Погрузчик базы",B2995)))</formula>
    </cfRule>
  </conditionalFormatting>
  <conditionalFormatting sqref="A3008">
    <cfRule type="containsText" dxfId="217" priority="201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16" priority="203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15" priority="202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14" priority="198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13" priority="200" operator="containsText" text="Выезд с территории">
      <formula>NOT(ISERROR(SEARCH("Выезд с территории",A3045)))</formula>
    </cfRule>
  </conditionalFormatting>
  <conditionalFormatting sqref="A3045">
    <cfRule type="containsText" dxfId="212" priority="199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211" priority="195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10" priority="197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09" priority="196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08" priority="191" operator="containsText" text="Трактор базы">
      <formula>NOT(ISERROR(SEARCH("Трактор базы",B3150)))</formula>
    </cfRule>
  </conditionalFormatting>
  <conditionalFormatting sqref="B3203">
    <cfRule type="containsText" dxfId="207" priority="183" operator="containsText" text="Трактор базы">
      <formula>NOT(ISERROR(SEARCH("Трактор базы",B3203)))</formula>
    </cfRule>
  </conditionalFormatting>
  <conditionalFormatting sqref="B3150:B3151">
    <cfRule type="containsText" dxfId="206" priority="194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05" priority="192" operator="containsText" text="Газель базы">
      <formula>NOT(ISERROR(SEARCH("Газель базы",B3150)))</formula>
    </cfRule>
    <cfRule type="containsText" dxfId="204" priority="193" operator="containsText" text="Погрузчик базы">
      <formula>NOT(ISERROR(SEARCH("Погрузчик базы",B3150)))</formula>
    </cfRule>
  </conditionalFormatting>
  <conditionalFormatting sqref="B3201">
    <cfRule type="containsText" dxfId="203" priority="187" operator="containsText" text="Трактор базы">
      <formula>NOT(ISERROR(SEARCH("Трактор базы",B3201)))</formula>
    </cfRule>
  </conditionalFormatting>
  <conditionalFormatting sqref="B3201">
    <cfRule type="containsText" dxfId="202" priority="190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01" priority="188" operator="containsText" text="Газель базы">
      <formula>NOT(ISERROR(SEARCH("Газель базы",B3201)))</formula>
    </cfRule>
    <cfRule type="containsText" dxfId="200" priority="189" operator="containsText" text="Погрузчик базы">
      <formula>NOT(ISERROR(SEARCH("Погрузчик базы",B3201)))</formula>
    </cfRule>
  </conditionalFormatting>
  <conditionalFormatting sqref="B3203">
    <cfRule type="containsText" dxfId="199" priority="186" operator="containsText" text="Выезд с территории">
      <formula>NOT(ISERROR(SEARCH("Выезд с территории",B3203)))</formula>
    </cfRule>
  </conditionalFormatting>
  <conditionalFormatting sqref="B3203">
    <cfRule type="containsText" dxfId="198" priority="184" operator="containsText" text="Газель базы">
      <formula>NOT(ISERROR(SEARCH("Газель базы",B3203)))</formula>
    </cfRule>
    <cfRule type="containsText" dxfId="197" priority="185" operator="containsText" text="Погрузчик базы">
      <formula>NOT(ISERROR(SEARCH("Погрузчик базы",B3203)))</formula>
    </cfRule>
  </conditionalFormatting>
  <conditionalFormatting sqref="B3227:B3229">
    <cfRule type="containsText" dxfId="196" priority="182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195" priority="180" operator="containsText" text="Газель базы">
      <formula>NOT(ISERROR(SEARCH("Газель базы",B3227)))</formula>
    </cfRule>
    <cfRule type="containsText" dxfId="194" priority="181" operator="containsText" text="Погрузчик базы">
      <formula>NOT(ISERROR(SEARCH("Погрузчик базы",B3227)))</formula>
    </cfRule>
  </conditionalFormatting>
  <conditionalFormatting sqref="B3227:B3229">
    <cfRule type="containsText" dxfId="193" priority="179" operator="containsText" text="Трактор базы">
      <formula>NOT(ISERROR(SEARCH("Трактор базы",B3227)))</formula>
    </cfRule>
  </conditionalFormatting>
  <conditionalFormatting sqref="B3259:B3261">
    <cfRule type="containsText" dxfId="192" priority="178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191" priority="176" operator="containsText" text="Газель базы">
      <formula>NOT(ISERROR(SEARCH("Газель базы",B3259)))</formula>
    </cfRule>
    <cfRule type="containsText" dxfId="190" priority="177" operator="containsText" text="Погрузчик базы">
      <formula>NOT(ISERROR(SEARCH("Погрузчик базы",B3259)))</formula>
    </cfRule>
  </conditionalFormatting>
  <conditionalFormatting sqref="B3259:B3261">
    <cfRule type="containsText" dxfId="189" priority="175" operator="containsText" text="Трактор базы">
      <formula>NOT(ISERROR(SEARCH("Трактор базы",B3259)))</formula>
    </cfRule>
  </conditionalFormatting>
  <conditionalFormatting sqref="A3335:A3336 A3373:A3374">
    <cfRule type="containsText" dxfId="188" priority="169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187" priority="171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186" priority="170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185" priority="166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184" priority="168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183" priority="167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182" priority="165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181" priority="163" operator="containsText" text="Газель базы">
      <formula>NOT(ISERROR(SEARCH("Газель базы",B3364)))</formula>
    </cfRule>
    <cfRule type="containsText" dxfId="180" priority="164" operator="containsText" text="Погрузчик базы">
      <formula>NOT(ISERROR(SEARCH("Погрузчик базы",B3364)))</formula>
    </cfRule>
  </conditionalFormatting>
  <conditionalFormatting sqref="B3364:B3365">
    <cfRule type="containsText" dxfId="179" priority="162" operator="containsText" text="Трактор базы">
      <formula>NOT(ISERROR(SEARCH("Трактор базы",B3364)))</formula>
    </cfRule>
  </conditionalFormatting>
  <conditionalFormatting sqref="A3364">
    <cfRule type="containsText" dxfId="178" priority="161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177" priority="160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176" priority="159" operator="containsText" text="Выезд с территории">
      <formula>NOT(ISERROR(SEARCH("Выезд с территории",A3366)))</formula>
    </cfRule>
  </conditionalFormatting>
  <conditionalFormatting sqref="B3366">
    <cfRule type="containsText" dxfId="175" priority="157" operator="containsText" text="Газель базы">
      <formula>NOT(ISERROR(SEARCH("Газель базы",B3366)))</formula>
    </cfRule>
    <cfRule type="containsText" dxfId="174" priority="158" operator="containsText" text="Погрузчик базы">
      <formula>NOT(ISERROR(SEARCH("Погрузчик базы",B3366)))</formula>
    </cfRule>
  </conditionalFormatting>
  <conditionalFormatting sqref="B3366">
    <cfRule type="containsText" dxfId="173" priority="156" operator="containsText" text="Трактор базы">
      <formula>NOT(ISERROR(SEARCH("Трактор базы",B3366)))</formula>
    </cfRule>
  </conditionalFormatting>
  <conditionalFormatting sqref="A3366">
    <cfRule type="containsText" dxfId="172" priority="155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171" priority="154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170" priority="153" operator="containsText" text="Выезд с территории">
      <formula>NOT(ISERROR(SEARCH("Выезд с территории",B3367)))</formula>
    </cfRule>
  </conditionalFormatting>
  <conditionalFormatting sqref="B3367">
    <cfRule type="containsText" dxfId="169" priority="151" operator="containsText" text="Газель базы">
      <formula>NOT(ISERROR(SEARCH("Газель базы",B3367)))</formula>
    </cfRule>
    <cfRule type="containsText" dxfId="168" priority="152" operator="containsText" text="Погрузчик базы">
      <formula>NOT(ISERROR(SEARCH("Погрузчик базы",B3367)))</formula>
    </cfRule>
  </conditionalFormatting>
  <conditionalFormatting sqref="B3367">
    <cfRule type="containsText" dxfId="167" priority="150" operator="containsText" text="Трактор базы">
      <formula>NOT(ISERROR(SEARCH("Трактор базы",B3367)))</formula>
    </cfRule>
  </conditionalFormatting>
  <conditionalFormatting sqref="A3430:B3430">
    <cfRule type="containsText" dxfId="166" priority="149" operator="containsText" text="Выезд с территории">
      <formula>NOT(ISERROR(SEARCH("Выезд с территории",A3430)))</formula>
    </cfRule>
  </conditionalFormatting>
  <conditionalFormatting sqref="B3430">
    <cfRule type="containsText" dxfId="165" priority="147" operator="containsText" text="Газель базы">
      <formula>NOT(ISERROR(SEARCH("Газель базы",B3430)))</formula>
    </cfRule>
    <cfRule type="containsText" dxfId="164" priority="148" operator="containsText" text="Погрузчик базы">
      <formula>NOT(ISERROR(SEARCH("Погрузчик базы",B3430)))</formula>
    </cfRule>
  </conditionalFormatting>
  <conditionalFormatting sqref="B3430">
    <cfRule type="containsText" dxfId="163" priority="146" operator="containsText" text="Трактор базы">
      <formula>NOT(ISERROR(SEARCH("Трактор базы",B3430)))</formula>
    </cfRule>
  </conditionalFormatting>
  <conditionalFormatting sqref="A3430">
    <cfRule type="containsText" dxfId="162" priority="145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161" priority="144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160" priority="135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159" priority="137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158" priority="136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157" priority="134" operator="containsText" text="Выезд с территории">
      <formula>NOT(ISERROR(SEARCH("Выезд с территории",A3480)))</formula>
    </cfRule>
  </conditionalFormatting>
  <conditionalFormatting sqref="B3480">
    <cfRule type="containsText" dxfId="156" priority="132" operator="containsText" text="Газель базы">
      <formula>NOT(ISERROR(SEARCH("Газель базы",B3480)))</formula>
    </cfRule>
    <cfRule type="containsText" dxfId="155" priority="133" operator="containsText" text="Погрузчик базы">
      <formula>NOT(ISERROR(SEARCH("Погрузчик базы",B3480)))</formula>
    </cfRule>
  </conditionalFormatting>
  <conditionalFormatting sqref="B3480">
    <cfRule type="containsText" dxfId="154" priority="131" operator="containsText" text="Трактор базы">
      <formula>NOT(ISERROR(SEARCH("Трактор базы",B3480)))</formula>
    </cfRule>
  </conditionalFormatting>
  <conditionalFormatting sqref="A3480">
    <cfRule type="containsText" dxfId="153" priority="129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152" priority="130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151" priority="126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150" priority="128" operator="containsText" text="Выезд с территории">
      <formula>NOT(ISERROR(SEARCH("Выезд с территории",A3506)))</formula>
    </cfRule>
  </conditionalFormatting>
  <conditionalFormatting sqref="A3506">
    <cfRule type="containsText" dxfId="149" priority="127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148" priority="123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147" priority="125" operator="containsText" text="Выезд с территории">
      <formula>NOT(ISERROR(SEARCH("Выезд с территории",A3587)))</formula>
    </cfRule>
  </conditionalFormatting>
  <conditionalFormatting sqref="A3587">
    <cfRule type="containsText" dxfId="146" priority="124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145" priority="115" operator="containsText" text="Трактор базы">
      <formula>NOT(ISERROR(SEARCH("Трактор базы",B3601)))</formula>
    </cfRule>
  </conditionalFormatting>
  <conditionalFormatting sqref="B3601:B3612">
    <cfRule type="containsText" dxfId="144" priority="118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143" priority="116" operator="containsText" text="Газель базы">
      <formula>NOT(ISERROR(SEARCH("Газель базы",B3601)))</formula>
    </cfRule>
    <cfRule type="containsText" dxfId="142" priority="117" operator="containsText" text="Погрузчик базы">
      <formula>NOT(ISERROR(SEARCH("Погрузчик базы",B3601)))</formula>
    </cfRule>
  </conditionalFormatting>
  <conditionalFormatting sqref="A3696">
    <cfRule type="containsText" dxfId="141" priority="112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140" priority="114" operator="containsText" text="Выезд с территории">
      <formula>NOT(ISERROR(SEARCH("Выезд с территории",A3696)))</formula>
    </cfRule>
  </conditionalFormatting>
  <conditionalFormatting sqref="A3696">
    <cfRule type="containsText" dxfId="139" priority="113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138" priority="109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137" priority="106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136" priority="111" operator="containsText" text="Выезд с территории">
      <formula>NOT(ISERROR(SEARCH("Выезд с территории",A3713)))</formula>
    </cfRule>
  </conditionalFormatting>
  <conditionalFormatting sqref="A3713">
    <cfRule type="containsText" dxfId="135" priority="110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134" priority="108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133" priority="107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132" priority="105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131" priority="103" operator="containsText" text="Газель базы">
      <formula>NOT(ISERROR(SEARCH("Газель базы",B3750)))</formula>
    </cfRule>
    <cfRule type="containsText" dxfId="130" priority="104" operator="containsText" text="Погрузчик базы">
      <formula>NOT(ISERROR(SEARCH("Погрузчик базы",B3750)))</formula>
    </cfRule>
  </conditionalFormatting>
  <conditionalFormatting sqref="B3750:B3751">
    <cfRule type="containsText" dxfId="129" priority="102" operator="containsText" text="Трактор базы">
      <formula>NOT(ISERROR(SEARCH("Трактор базы",B3750)))</formula>
    </cfRule>
  </conditionalFormatting>
  <conditionalFormatting sqref="B3761:B3762">
    <cfRule type="containsText" dxfId="128" priority="101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127" priority="99" operator="containsText" text="Газель базы">
      <formula>NOT(ISERROR(SEARCH("Газель базы",B3761)))</formula>
    </cfRule>
    <cfRule type="containsText" dxfId="126" priority="100" operator="containsText" text="Погрузчик базы">
      <formula>NOT(ISERROR(SEARCH("Погрузчик базы",B3761)))</formula>
    </cfRule>
  </conditionalFormatting>
  <conditionalFormatting sqref="B3761:B3762">
    <cfRule type="containsText" dxfId="125" priority="98" operator="containsText" text="Трактор базы">
      <formula>NOT(ISERROR(SEARCH("Трактор базы",B3761)))</formula>
    </cfRule>
  </conditionalFormatting>
  <conditionalFormatting sqref="A3778">
    <cfRule type="containsText" dxfId="124" priority="97" operator="containsText" text="Выезд с территории">
      <formula>NOT(ISERROR(SEARCH("Выезд с территории",A3778)))</formula>
    </cfRule>
  </conditionalFormatting>
  <conditionalFormatting sqref="A3778">
    <cfRule type="containsText" dxfId="123" priority="96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122" priority="95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121" priority="91" operator="containsText" text="Камера не работала">
      <formula>NOT(ISERROR(SEARCH("Камера не работала",A3790)))</formula>
    </cfRule>
  </conditionalFormatting>
  <conditionalFormatting sqref="A3790">
    <cfRule type="containsText" dxfId="120" priority="94" operator="containsText" text="Выезд с территории">
      <formula>NOT(ISERROR(SEARCH("Выезд с территории",A3790)))</formula>
    </cfRule>
  </conditionalFormatting>
  <conditionalFormatting sqref="A3790">
    <cfRule type="containsText" dxfId="119" priority="93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118" priority="92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117" priority="90" operator="containsText" text="Выезд с территории">
      <formula>NOT(ISERROR(SEARCH("Выезд с территории",B3797)))</formula>
    </cfRule>
  </conditionalFormatting>
  <conditionalFormatting sqref="B3797">
    <cfRule type="containsText" dxfId="116" priority="88" operator="containsText" text="Газель базы">
      <formula>NOT(ISERROR(SEARCH("Газель базы",B3797)))</formula>
    </cfRule>
    <cfRule type="containsText" dxfId="115" priority="89" operator="containsText" text="Погрузчик базы">
      <formula>NOT(ISERROR(SEARCH("Погрузчик базы",B3797)))</formula>
    </cfRule>
  </conditionalFormatting>
  <conditionalFormatting sqref="B3797">
    <cfRule type="containsText" dxfId="114" priority="87" operator="containsText" text="Трактор базы">
      <formula>NOT(ISERROR(SEARCH("Трактор базы",B3797)))</formula>
    </cfRule>
  </conditionalFormatting>
  <conditionalFormatting sqref="B3799:B3800">
    <cfRule type="containsText" dxfId="113" priority="86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112" priority="84" operator="containsText" text="Газель базы">
      <formula>NOT(ISERROR(SEARCH("Газель базы",B3799)))</formula>
    </cfRule>
    <cfRule type="containsText" dxfId="111" priority="85" operator="containsText" text="Погрузчик базы">
      <formula>NOT(ISERROR(SEARCH("Погрузчик базы",B3799)))</formula>
    </cfRule>
  </conditionalFormatting>
  <conditionalFormatting sqref="B3799:B3800">
    <cfRule type="containsText" dxfId="110" priority="83" operator="containsText" text="Трактор базы">
      <formula>NOT(ISERROR(SEARCH("Трактор базы",B3799)))</formula>
    </cfRule>
  </conditionalFormatting>
  <conditionalFormatting sqref="B3881">
    <cfRule type="containsText" dxfId="109" priority="82" operator="containsText" text="Выезд с территории">
      <formula>NOT(ISERROR(SEARCH("Выезд с территории",B3881)))</formula>
    </cfRule>
  </conditionalFormatting>
  <conditionalFormatting sqref="B3881">
    <cfRule type="containsText" dxfId="108" priority="80" operator="containsText" text="Газель базы">
      <formula>NOT(ISERROR(SEARCH("Газель базы",B3881)))</formula>
    </cfRule>
    <cfRule type="containsText" dxfId="107" priority="81" operator="containsText" text="Погрузчик базы">
      <formula>NOT(ISERROR(SEARCH("Погрузчик базы",B3881)))</formula>
    </cfRule>
  </conditionalFormatting>
  <conditionalFormatting sqref="B3881">
    <cfRule type="containsText" dxfId="106" priority="79" operator="containsText" text="Трактор базы">
      <formula>NOT(ISERROR(SEARCH("Трактор базы",B3881)))</formula>
    </cfRule>
  </conditionalFormatting>
  <conditionalFormatting sqref="B3884">
    <cfRule type="containsText" dxfId="105" priority="75" operator="containsText" text="Трактор базы">
      <formula>NOT(ISERROR(SEARCH("Трактор базы",B3884)))</formula>
    </cfRule>
  </conditionalFormatting>
  <conditionalFormatting sqref="B3884">
    <cfRule type="containsText" dxfId="104" priority="78" operator="containsText" text="Выезд с территории">
      <formula>NOT(ISERROR(SEARCH("Выезд с территории",B3884)))</formula>
    </cfRule>
  </conditionalFormatting>
  <conditionalFormatting sqref="B3884">
    <cfRule type="containsText" dxfId="103" priority="76" operator="containsText" text="Газель базы">
      <formula>NOT(ISERROR(SEARCH("Газель базы",B3884)))</formula>
    </cfRule>
    <cfRule type="containsText" dxfId="102" priority="77" operator="containsText" text="Погрузчик базы">
      <formula>NOT(ISERROR(SEARCH("Погрузчик базы",B3884)))</formula>
    </cfRule>
  </conditionalFormatting>
  <conditionalFormatting sqref="B3913">
    <cfRule type="containsText" dxfId="101" priority="71" operator="containsText" text="Трактор базы">
      <formula>NOT(ISERROR(SEARCH("Трактор базы",B3913)))</formula>
    </cfRule>
  </conditionalFormatting>
  <conditionalFormatting sqref="B3913">
    <cfRule type="containsText" dxfId="100" priority="74" operator="containsText" text="Выезд с территории">
      <formula>NOT(ISERROR(SEARCH("Выезд с территории",B3913)))</formula>
    </cfRule>
  </conditionalFormatting>
  <conditionalFormatting sqref="B3913">
    <cfRule type="containsText" dxfId="99" priority="72" operator="containsText" text="Газель базы">
      <formula>NOT(ISERROR(SEARCH("Газель базы",B3913)))</formula>
    </cfRule>
    <cfRule type="containsText" dxfId="98" priority="73" operator="containsText" text="Погрузчик базы">
      <formula>NOT(ISERROR(SEARCH("Погрузчик базы",B3913)))</formula>
    </cfRule>
  </conditionalFormatting>
  <conditionalFormatting sqref="A3935">
    <cfRule type="containsText" dxfId="97" priority="65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96" priority="70" operator="containsText" text="Выезд с территории">
      <formula>NOT(ISERROR(SEARCH("Выезд с территории",A3935)))</formula>
    </cfRule>
  </conditionalFormatting>
  <conditionalFormatting sqref="B3935">
    <cfRule type="containsText" dxfId="95" priority="68" operator="containsText" text="Газель базы">
      <formula>NOT(ISERROR(SEARCH("Газель базы",B3935)))</formula>
    </cfRule>
    <cfRule type="containsText" dxfId="94" priority="69" operator="containsText" text="Погрузчик базы">
      <formula>NOT(ISERROR(SEARCH("Погрузчик базы",B3935)))</formula>
    </cfRule>
  </conditionalFormatting>
  <conditionalFormatting sqref="B3935">
    <cfRule type="containsText" dxfId="93" priority="67" operator="containsText" text="Трактор базы">
      <formula>NOT(ISERROR(SEARCH("Трактор базы",B3935)))</formula>
    </cfRule>
  </conditionalFormatting>
  <conditionalFormatting sqref="A3935">
    <cfRule type="containsText" dxfId="92" priority="66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91" priority="61" operator="containsText" text="Трактор базы">
      <formula>NOT(ISERROR(SEARCH("Трактор базы",B3937)))</formula>
    </cfRule>
  </conditionalFormatting>
  <conditionalFormatting sqref="B3937">
    <cfRule type="containsText" dxfId="90" priority="64" operator="containsText" text="Выезд с территории">
      <formula>NOT(ISERROR(SEARCH("Выезд с территории",B3937)))</formula>
    </cfRule>
  </conditionalFormatting>
  <conditionalFormatting sqref="B3937">
    <cfRule type="containsText" dxfId="89" priority="62" operator="containsText" text="Газель базы">
      <formula>NOT(ISERROR(SEARCH("Газель базы",B3937)))</formula>
    </cfRule>
    <cfRule type="containsText" dxfId="88" priority="63" operator="containsText" text="Погрузчик базы">
      <formula>NOT(ISERROR(SEARCH("Погрузчик базы",B3937)))</formula>
    </cfRule>
  </conditionalFormatting>
  <conditionalFormatting sqref="B3946">
    <cfRule type="containsText" dxfId="87" priority="52" operator="containsText" text="Трактор базы">
      <formula>NOT(ISERROR(SEARCH("Трактор базы",B3946)))</formula>
    </cfRule>
  </conditionalFormatting>
  <conditionalFormatting sqref="B3945">
    <cfRule type="containsText" dxfId="86" priority="60" operator="containsText" text="Выезд с территории">
      <formula>NOT(ISERROR(SEARCH("Выезд с территории",B3945)))</formula>
    </cfRule>
  </conditionalFormatting>
  <conditionalFormatting sqref="B3945">
    <cfRule type="containsText" dxfId="85" priority="58" operator="containsText" text="Газель базы">
      <formula>NOT(ISERROR(SEARCH("Газель базы",B3945)))</formula>
    </cfRule>
    <cfRule type="containsText" dxfId="84" priority="59" operator="containsText" text="Погрузчик базы">
      <formula>NOT(ISERROR(SEARCH("Погрузчик базы",B3945)))</formula>
    </cfRule>
  </conditionalFormatting>
  <conditionalFormatting sqref="B3945">
    <cfRule type="containsText" dxfId="83" priority="57" operator="containsText" text="Трактор базы">
      <formula>NOT(ISERROR(SEARCH("Трактор базы",B3945)))</formula>
    </cfRule>
  </conditionalFormatting>
  <conditionalFormatting sqref="D3946:E3946 B3946">
    <cfRule type="containsText" dxfId="82" priority="56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81" priority="55" operator="notContains" text="порожний">
      <formula>ISERROR(SEARCH("порожний",C3946))</formula>
    </cfRule>
  </conditionalFormatting>
  <conditionalFormatting sqref="B3946">
    <cfRule type="containsText" dxfId="80" priority="53" operator="containsText" text="Газель базы">
      <formula>NOT(ISERROR(SEARCH("Газель базы",B3946)))</formula>
    </cfRule>
    <cfRule type="containsText" dxfId="79" priority="54" operator="containsText" text="Погрузчик базы">
      <formula>NOT(ISERROR(SEARCH("Погрузчик базы",B3946)))</formula>
    </cfRule>
  </conditionalFormatting>
  <conditionalFormatting sqref="B3966:B3967">
    <cfRule type="containsText" dxfId="78" priority="48" operator="containsText" text="Трактор базы">
      <formula>NOT(ISERROR(SEARCH("Трактор базы",B3966)))</formula>
    </cfRule>
  </conditionalFormatting>
  <conditionalFormatting sqref="B3966:B3967">
    <cfRule type="containsText" dxfId="77" priority="51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76" priority="49" operator="containsText" text="Газель базы">
      <formula>NOT(ISERROR(SEARCH("Газель базы",B3966)))</formula>
    </cfRule>
    <cfRule type="containsText" dxfId="75" priority="50" operator="containsText" text="Погрузчик базы">
      <formula>NOT(ISERROR(SEARCH("Погрузчик базы",B3966)))</formula>
    </cfRule>
  </conditionalFormatting>
  <conditionalFormatting sqref="B3976">
    <cfRule type="containsText" dxfId="74" priority="47" operator="containsText" text="Выезд с территории">
      <formula>NOT(ISERROR(SEARCH("Выезд с территории",B3976)))</formula>
    </cfRule>
  </conditionalFormatting>
  <conditionalFormatting sqref="B3976">
    <cfRule type="containsText" dxfId="73" priority="45" operator="containsText" text="Газель базы">
      <formula>NOT(ISERROR(SEARCH("Газель базы",B3976)))</formula>
    </cfRule>
    <cfRule type="containsText" dxfId="72" priority="46" operator="containsText" text="Погрузчик базы">
      <formula>NOT(ISERROR(SEARCH("Погрузчик базы",B3976)))</formula>
    </cfRule>
  </conditionalFormatting>
  <conditionalFormatting sqref="B3976">
    <cfRule type="containsText" dxfId="71" priority="44" operator="containsText" text="Трактор базы">
      <formula>NOT(ISERROR(SEARCH("Трактор базы",B3976)))</formula>
    </cfRule>
  </conditionalFormatting>
  <conditionalFormatting sqref="B3984">
    <cfRule type="containsText" dxfId="70" priority="43" operator="containsText" text="Выезд с территории">
      <formula>NOT(ISERROR(SEARCH("Выезд с территории",B3984)))</formula>
    </cfRule>
  </conditionalFormatting>
  <conditionalFormatting sqref="B3984">
    <cfRule type="containsText" dxfId="69" priority="41" operator="containsText" text="Газель базы">
      <formula>NOT(ISERROR(SEARCH("Газель базы",B3984)))</formula>
    </cfRule>
    <cfRule type="containsText" dxfId="68" priority="42" operator="containsText" text="Погрузчик базы">
      <formula>NOT(ISERROR(SEARCH("Погрузчик базы",B3984)))</formula>
    </cfRule>
  </conditionalFormatting>
  <conditionalFormatting sqref="B3984">
    <cfRule type="containsText" dxfId="67" priority="40" operator="containsText" text="Трактор базы">
      <formula>NOT(ISERROR(SEARCH("Трактор базы",B3984)))</formula>
    </cfRule>
  </conditionalFormatting>
  <conditionalFormatting sqref="B4007:B4008">
    <cfRule type="containsText" dxfId="66" priority="36" operator="containsText" text="Трактор базы">
      <formula>NOT(ISERROR(SEARCH("Трактор базы",B4007)))</formula>
    </cfRule>
  </conditionalFormatting>
  <conditionalFormatting sqref="B4007:B4008">
    <cfRule type="containsText" dxfId="65" priority="39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64" priority="37" operator="containsText" text="Газель базы">
      <formula>NOT(ISERROR(SEARCH("Газель базы",B4007)))</formula>
    </cfRule>
    <cfRule type="containsText" dxfId="63" priority="38" operator="containsText" text="Погрузчик базы">
      <formula>NOT(ISERROR(SEARCH("Погрузчик базы",B4007)))</formula>
    </cfRule>
  </conditionalFormatting>
  <conditionalFormatting sqref="B4096">
    <cfRule type="containsText" dxfId="62" priority="24" operator="containsText" text="Трактор базы">
      <formula>NOT(ISERROR(SEARCH("Трактор базы",B4096)))</formula>
    </cfRule>
  </conditionalFormatting>
  <conditionalFormatting sqref="B4080:B4082">
    <cfRule type="containsText" dxfId="61" priority="35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60" priority="33" operator="containsText" text="Газель базы">
      <formula>NOT(ISERROR(SEARCH("Газель базы",B4080)))</formula>
    </cfRule>
    <cfRule type="containsText" dxfId="59" priority="34" operator="containsText" text="Погрузчик базы">
      <formula>NOT(ISERROR(SEARCH("Погрузчик базы",B4080)))</formula>
    </cfRule>
  </conditionalFormatting>
  <conditionalFormatting sqref="B4080:B4082">
    <cfRule type="containsText" dxfId="58" priority="32" operator="containsText" text="Трактор базы">
      <formula>NOT(ISERROR(SEARCH("Трактор базы",B4080)))</formula>
    </cfRule>
  </conditionalFormatting>
  <conditionalFormatting sqref="B4088:B4094">
    <cfRule type="containsText" dxfId="57" priority="31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56" priority="29" operator="containsText" text="Газель базы">
      <formula>NOT(ISERROR(SEARCH("Газель базы",B4088)))</formula>
    </cfRule>
    <cfRule type="containsText" dxfId="55" priority="30" operator="containsText" text="Погрузчик базы">
      <formula>NOT(ISERROR(SEARCH("Погрузчик базы",B4088)))</formula>
    </cfRule>
  </conditionalFormatting>
  <conditionalFormatting sqref="B4088:B4094">
    <cfRule type="containsText" dxfId="54" priority="28" operator="containsText" text="Трактор базы">
      <formula>NOT(ISERROR(SEARCH("Трактор базы",B4088)))</formula>
    </cfRule>
  </conditionalFormatting>
  <conditionalFormatting sqref="B4096">
    <cfRule type="containsText" dxfId="53" priority="27" operator="containsText" text="Выезд с территории">
      <formula>NOT(ISERROR(SEARCH("Выезд с территории",B4096)))</formula>
    </cfRule>
  </conditionalFormatting>
  <conditionalFormatting sqref="B4096">
    <cfRule type="containsText" dxfId="52" priority="25" operator="containsText" text="Газель базы">
      <formula>NOT(ISERROR(SEARCH("Газель базы",B4096)))</formula>
    </cfRule>
    <cfRule type="containsText" dxfId="51" priority="26" operator="containsText" text="Погрузчик базы">
      <formula>NOT(ISERROR(SEARCH("Погрузчик базы",B4096)))</formula>
    </cfRule>
  </conditionalFormatting>
  <conditionalFormatting sqref="A4374:A4375">
    <cfRule type="containsText" dxfId="50" priority="17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49" priority="19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48" priority="18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47" priority="16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46" priority="14" operator="containsText" text="Газель базы">
      <formula>NOT(ISERROR(SEARCH("Газель базы",B4453)))</formula>
    </cfRule>
    <cfRule type="containsText" dxfId="45" priority="15" operator="containsText" text="Погрузчик базы">
      <formula>NOT(ISERROR(SEARCH("Погрузчик базы",B4453)))</formula>
    </cfRule>
  </conditionalFormatting>
  <conditionalFormatting sqref="B4453:B4456">
    <cfRule type="containsText" dxfId="44" priority="13" operator="containsText" text="Трактор базы">
      <formula>NOT(ISERROR(SEARCH("Трактор базы",B4453)))</formula>
    </cfRule>
  </conditionalFormatting>
  <conditionalFormatting sqref="B4465:B4467">
    <cfRule type="containsText" dxfId="43" priority="9" operator="containsText" text="Трактор базы">
      <formula>NOT(ISERROR(SEARCH("Трактор базы",B4465)))</formula>
    </cfRule>
  </conditionalFormatting>
  <conditionalFormatting sqref="B4465:B4467">
    <cfRule type="containsText" dxfId="42" priority="12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41" priority="10" operator="containsText" text="Газель базы">
      <formula>NOT(ISERROR(SEARCH("Газель базы",B4465)))</formula>
    </cfRule>
    <cfRule type="containsText" dxfId="40" priority="11" operator="containsText" text="Погрузчик базы">
      <formula>NOT(ISERROR(SEARCH("Погрузчик базы",B4465)))</formula>
    </cfRule>
  </conditionalFormatting>
  <conditionalFormatting sqref="B4488">
    <cfRule type="containsText" dxfId="39" priority="5" operator="containsText" text="Трактор базы">
      <formula>NOT(ISERROR(SEARCH("Трактор базы",B4488)))</formula>
    </cfRule>
  </conditionalFormatting>
  <conditionalFormatting sqref="B4488">
    <cfRule type="containsText" dxfId="38" priority="8" operator="containsText" text="Выезд с территории">
      <formula>NOT(ISERROR(SEARCH("Выезд с территории",B4488)))</formula>
    </cfRule>
  </conditionalFormatting>
  <conditionalFormatting sqref="B4488">
    <cfRule type="containsText" dxfId="37" priority="6" operator="containsText" text="Газель базы">
      <formula>NOT(ISERROR(SEARCH("Газель базы",B4488)))</formula>
    </cfRule>
    <cfRule type="containsText" dxfId="36" priority="7" operator="containsText" text="Погрузчик базы">
      <formula>NOT(ISERROR(SEARCH("Погрузчик базы",B4488)))</formula>
    </cfRule>
  </conditionalFormatting>
  <conditionalFormatting sqref="B5190">
    <cfRule type="containsText" dxfId="35" priority="4" operator="containsText" text="Выезд с территории">
      <formula>NOT(ISERROR(SEARCH("Выезд с территории",B5190)))</formula>
    </cfRule>
  </conditionalFormatting>
  <conditionalFormatting sqref="B5190">
    <cfRule type="containsText" dxfId="34" priority="2" operator="containsText" text="Газель базы">
      <formula>NOT(ISERROR(SEARCH("Газель базы",B5190)))</formula>
    </cfRule>
    <cfRule type="containsText" dxfId="33" priority="3" operator="containsText" text="Погрузчик базы">
      <formula>NOT(ISERROR(SEARCH("Погрузчик базы",B5190)))</formula>
    </cfRule>
  </conditionalFormatting>
  <conditionalFormatting sqref="B5190">
    <cfRule type="containsText" dxfId="32" priority="1" operator="containsText" text="Трактор базы">
      <formula>NOT(ISERROR(SEARCH("Трактор базы",B5190)))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17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9701</v>
      </c>
      <c r="K40" t="s">
        <v>15057</v>
      </c>
      <c r="L40" t="s">
        <v>15058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15059</v>
      </c>
      <c r="J41" t="s">
        <v>9701</v>
      </c>
      <c r="K41" t="s">
        <v>15060</v>
      </c>
      <c r="L41" t="s">
        <v>15061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15062</v>
      </c>
      <c r="J42" t="s">
        <v>9701</v>
      </c>
      <c r="K42" t="s">
        <v>15063</v>
      </c>
      <c r="L42" t="s">
        <v>15064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15065</v>
      </c>
      <c r="J43" t="s">
        <v>9701</v>
      </c>
      <c r="K43" t="s">
        <v>15066</v>
      </c>
      <c r="L43" t="s">
        <v>15067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15068</v>
      </c>
      <c r="J44" t="s">
        <v>9701</v>
      </c>
      <c r="K44" t="s">
        <v>15069</v>
      </c>
      <c r="L44" t="s">
        <v>15070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15071</v>
      </c>
      <c r="J45" t="s">
        <v>9701</v>
      </c>
      <c r="K45" t="s">
        <v>15072</v>
      </c>
      <c r="L45" t="s">
        <v>15073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15074</v>
      </c>
      <c r="J46" t="s">
        <v>9701</v>
      </c>
      <c r="K46" t="s">
        <v>15075</v>
      </c>
      <c r="L46" t="s">
        <v>15076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15077</v>
      </c>
      <c r="J47" t="s">
        <v>9701</v>
      </c>
      <c r="K47" t="s">
        <v>15078</v>
      </c>
      <c r="L47" t="s">
        <v>15079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15080</v>
      </c>
      <c r="J48" t="s">
        <v>9701</v>
      </c>
      <c r="K48" t="s">
        <v>15081</v>
      </c>
      <c r="L48" t="s">
        <v>15082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15083</v>
      </c>
      <c r="J49" t="s">
        <v>9701</v>
      </c>
      <c r="K49" t="s">
        <v>15084</v>
      </c>
      <c r="L49" t="s">
        <v>15085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15086</v>
      </c>
      <c r="J50" t="s">
        <v>9701</v>
      </c>
      <c r="K50" t="s">
        <v>15087</v>
      </c>
      <c r="L50" t="s">
        <v>15088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15089</v>
      </c>
      <c r="J51" t="s">
        <v>9701</v>
      </c>
      <c r="K51" t="s">
        <v>15090</v>
      </c>
      <c r="L51" t="s">
        <v>15091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15092</v>
      </c>
      <c r="J52" t="s">
        <v>9701</v>
      </c>
      <c r="K52" t="s">
        <v>15093</v>
      </c>
      <c r="L52" t="s">
        <v>15094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15095</v>
      </c>
      <c r="J53" t="s">
        <v>9701</v>
      </c>
      <c r="K53" t="s">
        <v>15096</v>
      </c>
      <c r="L53" t="s">
        <v>15097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15098</v>
      </c>
      <c r="J54" t="s">
        <v>9701</v>
      </c>
      <c r="K54" t="s">
        <v>15099</v>
      </c>
      <c r="L54" t="s">
        <v>15100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15101</v>
      </c>
      <c r="J55" t="s">
        <v>9701</v>
      </c>
      <c r="K55" t="s">
        <v>15102</v>
      </c>
      <c r="L55" t="s">
        <v>15103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15104</v>
      </c>
      <c r="J56" t="s">
        <v>9701</v>
      </c>
      <c r="K56" t="s">
        <v>15105</v>
      </c>
      <c r="L56" t="s">
        <v>15106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15107</v>
      </c>
      <c r="J57" t="s">
        <v>9701</v>
      </c>
      <c r="K57" t="s">
        <v>15108</v>
      </c>
      <c r="L57" t="s">
        <v>15109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15110</v>
      </c>
      <c r="J58" t="s">
        <v>9701</v>
      </c>
      <c r="K58" t="s">
        <v>15111</v>
      </c>
      <c r="L58" t="s">
        <v>15112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15113</v>
      </c>
      <c r="J59" t="s">
        <v>9701</v>
      </c>
      <c r="K59" t="s">
        <v>15114</v>
      </c>
      <c r="L59" t="s">
        <v>15115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15116</v>
      </c>
      <c r="J60" t="s">
        <v>9701</v>
      </c>
      <c r="K60" t="s">
        <v>15117</v>
      </c>
      <c r="L60" t="s">
        <v>15118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15119</v>
      </c>
      <c r="J61" t="s">
        <v>9701</v>
      </c>
      <c r="K61" t="s">
        <v>15120</v>
      </c>
      <c r="L61" t="s">
        <v>15121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15122</v>
      </c>
      <c r="J62" t="s">
        <v>9701</v>
      </c>
      <c r="K62" t="s">
        <v>15123</v>
      </c>
      <c r="L62" t="s">
        <v>15124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15125</v>
      </c>
      <c r="J63" t="s">
        <v>9701</v>
      </c>
      <c r="K63" t="s">
        <v>15126</v>
      </c>
      <c r="L63" t="s">
        <v>15127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15128</v>
      </c>
      <c r="J64" t="s">
        <v>9701</v>
      </c>
      <c r="K64" t="s">
        <v>15129</v>
      </c>
      <c r="L64" t="s">
        <v>15130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15131</v>
      </c>
      <c r="J65" t="s">
        <v>9701</v>
      </c>
      <c r="K65" t="s">
        <v>15132</v>
      </c>
      <c r="L65" t="s">
        <v>15133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15134</v>
      </c>
      <c r="J66" t="s">
        <v>9701</v>
      </c>
      <c r="K66" t="s">
        <v>15135</v>
      </c>
      <c r="L66" t="s">
        <v>15136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15137</v>
      </c>
      <c r="J67" t="s">
        <v>9701</v>
      </c>
      <c r="K67" t="s">
        <v>15138</v>
      </c>
      <c r="L67" t="s">
        <v>15139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15140</v>
      </c>
      <c r="J68" t="s">
        <v>9701</v>
      </c>
      <c r="K68" t="s">
        <v>15141</v>
      </c>
      <c r="L68" t="s">
        <v>15142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15143</v>
      </c>
      <c r="J69" t="s">
        <v>9701</v>
      </c>
      <c r="K69" t="s">
        <v>15144</v>
      </c>
      <c r="L69" t="s">
        <v>15145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15146</v>
      </c>
      <c r="J70" t="s">
        <v>9701</v>
      </c>
      <c r="K70" t="s">
        <v>15147</v>
      </c>
      <c r="L70" t="s">
        <v>15148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15149</v>
      </c>
      <c r="J71" t="s">
        <v>9701</v>
      </c>
      <c r="K71" t="s">
        <v>15150</v>
      </c>
      <c r="L71" t="s">
        <v>15151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15152</v>
      </c>
      <c r="J72" t="s">
        <v>9701</v>
      </c>
      <c r="K72" t="s">
        <v>15153</v>
      </c>
      <c r="L72" t="s">
        <v>15154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15155</v>
      </c>
      <c r="J73" t="s">
        <v>9701</v>
      </c>
      <c r="K73" t="s">
        <v>15156</v>
      </c>
      <c r="L73" t="s">
        <v>15157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15158</v>
      </c>
      <c r="J74" t="s">
        <v>9701</v>
      </c>
      <c r="K74" t="s">
        <v>15159</v>
      </c>
      <c r="L74" t="s">
        <v>15160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15161</v>
      </c>
      <c r="J75" t="s">
        <v>9701</v>
      </c>
      <c r="K75" t="s">
        <v>15162</v>
      </c>
      <c r="L75" t="s">
        <v>15163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15164</v>
      </c>
      <c r="J76" t="s">
        <v>9701</v>
      </c>
      <c r="K76" t="s">
        <v>15165</v>
      </c>
      <c r="L76" t="s">
        <v>15166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15167</v>
      </c>
      <c r="J77" t="s">
        <v>9701</v>
      </c>
      <c r="K77" t="s">
        <v>15168</v>
      </c>
      <c r="L77" t="s">
        <v>15169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15170</v>
      </c>
      <c r="J78" t="s">
        <v>9701</v>
      </c>
      <c r="K78" t="s">
        <v>15171</v>
      </c>
      <c r="L78" t="s">
        <v>15172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15173</v>
      </c>
      <c r="J79" t="s">
        <v>9701</v>
      </c>
      <c r="K79" t="s">
        <v>15174</v>
      </c>
      <c r="L79" t="s">
        <v>15175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15176</v>
      </c>
      <c r="J80" t="s">
        <v>9701</v>
      </c>
      <c r="K80" t="s">
        <v>15177</v>
      </c>
      <c r="L80" t="s">
        <v>15178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15179</v>
      </c>
      <c r="J81" t="s">
        <v>9701</v>
      </c>
      <c r="K81" t="s">
        <v>15180</v>
      </c>
      <c r="L81" t="s">
        <v>15181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15182</v>
      </c>
      <c r="J82" t="s">
        <v>9701</v>
      </c>
      <c r="K82" t="s">
        <v>15183</v>
      </c>
      <c r="L82" t="s">
        <v>15184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15185</v>
      </c>
      <c r="J83" t="s">
        <v>9701</v>
      </c>
      <c r="K83" t="s">
        <v>15186</v>
      </c>
      <c r="L83" t="s">
        <v>15187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15188</v>
      </c>
      <c r="J84" t="s">
        <v>9701</v>
      </c>
      <c r="K84" t="s">
        <v>15189</v>
      </c>
      <c r="L84" t="s">
        <v>15190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15191</v>
      </c>
      <c r="J85" t="s">
        <v>9701</v>
      </c>
      <c r="K85" t="s">
        <v>15192</v>
      </c>
      <c r="L85" t="s">
        <v>15193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15194</v>
      </c>
      <c r="J86" t="s">
        <v>9701</v>
      </c>
      <c r="K86" t="s">
        <v>15195</v>
      </c>
      <c r="L86" t="s">
        <v>15196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15197</v>
      </c>
      <c r="J87" t="s">
        <v>9701</v>
      </c>
      <c r="K87" t="s">
        <v>15198</v>
      </c>
      <c r="L87" t="s">
        <v>15199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15200</v>
      </c>
      <c r="J88" t="s">
        <v>9701</v>
      </c>
      <c r="K88" t="s">
        <v>15201</v>
      </c>
      <c r="L88" t="s">
        <v>15202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15203</v>
      </c>
      <c r="J89" t="s">
        <v>9701</v>
      </c>
      <c r="K89" t="s">
        <v>15204</v>
      </c>
      <c r="L89" t="s">
        <v>15205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15206</v>
      </c>
      <c r="J90" t="s">
        <v>9701</v>
      </c>
      <c r="K90" t="s">
        <v>15207</v>
      </c>
      <c r="L90" t="s">
        <v>15208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15209</v>
      </c>
      <c r="J91" t="s">
        <v>9701</v>
      </c>
      <c r="K91" t="s">
        <v>15210</v>
      </c>
      <c r="L91" t="s">
        <v>15211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15212</v>
      </c>
      <c r="J92" t="s">
        <v>9701</v>
      </c>
      <c r="K92" t="s">
        <v>15213</v>
      </c>
      <c r="L92" t="s">
        <v>15214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15215</v>
      </c>
      <c r="J93" t="s">
        <v>9701</v>
      </c>
      <c r="K93" t="s">
        <v>15216</v>
      </c>
      <c r="L93" t="s">
        <v>15217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15218</v>
      </c>
      <c r="J94" t="s">
        <v>9701</v>
      </c>
      <c r="K94" t="s">
        <v>15219</v>
      </c>
      <c r="L94" t="s">
        <v>15220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15221</v>
      </c>
      <c r="J95" t="s">
        <v>9701</v>
      </c>
      <c r="K95" t="s">
        <v>15222</v>
      </c>
      <c r="L95" t="s">
        <v>15223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15224</v>
      </c>
      <c r="J96" t="s">
        <v>9701</v>
      </c>
      <c r="K96" t="s">
        <v>15225</v>
      </c>
      <c r="L96" t="s">
        <v>15226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15227</v>
      </c>
      <c r="J97" t="s">
        <v>9701</v>
      </c>
      <c r="K97" t="s">
        <v>15228</v>
      </c>
      <c r="L97" t="s">
        <v>15229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15230</v>
      </c>
      <c r="J98" t="s">
        <v>9701</v>
      </c>
      <c r="K98" t="s">
        <v>15231</v>
      </c>
      <c r="L98" t="s">
        <v>15232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15233</v>
      </c>
      <c r="J99" t="s">
        <v>9701</v>
      </c>
      <c r="K99" t="s">
        <v>15234</v>
      </c>
      <c r="L99" t="s">
        <v>15235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15236</v>
      </c>
      <c r="J100" t="s">
        <v>9701</v>
      </c>
      <c r="K100" t="s">
        <v>15237</v>
      </c>
      <c r="L100" t="s">
        <v>15238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15239</v>
      </c>
      <c r="J101" t="s">
        <v>9701</v>
      </c>
      <c r="K101" t="s">
        <v>15240</v>
      </c>
      <c r="L101" t="s">
        <v>15241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15242</v>
      </c>
      <c r="J102" t="s">
        <v>9701</v>
      </c>
      <c r="K102" t="s">
        <v>15243</v>
      </c>
      <c r="L102" t="s">
        <v>15244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15245</v>
      </c>
      <c r="J103" t="s">
        <v>9701</v>
      </c>
      <c r="K103" t="s">
        <v>15246</v>
      </c>
      <c r="L103" t="s">
        <v>15247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15248</v>
      </c>
      <c r="J104" t="s">
        <v>9701</v>
      </c>
      <c r="K104" t="s">
        <v>15249</v>
      </c>
      <c r="L104" t="s">
        <v>15250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15251</v>
      </c>
      <c r="J105" t="s">
        <v>9701</v>
      </c>
      <c r="K105" t="s">
        <v>15252</v>
      </c>
      <c r="L105" t="s">
        <v>15253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15254</v>
      </c>
      <c r="J106" t="s">
        <v>9701</v>
      </c>
      <c r="K106" t="s">
        <v>15255</v>
      </c>
      <c r="L106" t="s">
        <v>15256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15259</v>
      </c>
      <c r="J107" t="s">
        <v>9701</v>
      </c>
      <c r="K107" t="s">
        <v>15260</v>
      </c>
      <c r="L107" t="s">
        <v>15261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15262</v>
      </c>
      <c r="J108" t="s">
        <v>9701</v>
      </c>
      <c r="K108" t="s">
        <v>15263</v>
      </c>
      <c r="L108" t="s">
        <v>15264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15265</v>
      </c>
      <c r="J109" t="s">
        <v>9701</v>
      </c>
      <c r="K109" t="s">
        <v>15266</v>
      </c>
      <c r="L109" t="s">
        <v>15267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15268</v>
      </c>
      <c r="J110" t="s">
        <v>9701</v>
      </c>
      <c r="K110" t="s">
        <v>15269</v>
      </c>
      <c r="L110" t="s">
        <v>15270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15271</v>
      </c>
      <c r="J111" t="s">
        <v>9701</v>
      </c>
      <c r="K111" t="s">
        <v>15272</v>
      </c>
      <c r="L111" t="s">
        <v>15273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15274</v>
      </c>
      <c r="J112" t="s">
        <v>9701</v>
      </c>
      <c r="K112" t="s">
        <v>15275</v>
      </c>
      <c r="L112" t="s">
        <v>15276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15277</v>
      </c>
      <c r="J113" t="s">
        <v>9701</v>
      </c>
      <c r="K113" t="s">
        <v>15278</v>
      </c>
      <c r="L113" t="s">
        <v>15279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15280</v>
      </c>
      <c r="J114" t="s">
        <v>9701</v>
      </c>
      <c r="K114" t="s">
        <v>15281</v>
      </c>
      <c r="L114" t="s">
        <v>15282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15283</v>
      </c>
      <c r="J115" t="s">
        <v>9701</v>
      </c>
      <c r="K115" t="s">
        <v>15284</v>
      </c>
      <c r="L115" t="s">
        <v>15285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15286</v>
      </c>
      <c r="J116" t="s">
        <v>9701</v>
      </c>
      <c r="K116" t="s">
        <v>15287</v>
      </c>
      <c r="L116" t="s">
        <v>15288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15289</v>
      </c>
      <c r="J117" t="s">
        <v>9701</v>
      </c>
      <c r="K117" t="s">
        <v>15290</v>
      </c>
      <c r="L117" t="s">
        <v>15291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15292</v>
      </c>
      <c r="J118" t="s">
        <v>9701</v>
      </c>
      <c r="K118" t="s">
        <v>15293</v>
      </c>
      <c r="L118" t="s">
        <v>15294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15295</v>
      </c>
      <c r="J119" t="s">
        <v>9701</v>
      </c>
      <c r="K119" t="s">
        <v>15296</v>
      </c>
      <c r="L119" t="s">
        <v>15297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15298</v>
      </c>
      <c r="J120" t="s">
        <v>9701</v>
      </c>
      <c r="K120" t="s">
        <v>15299</v>
      </c>
      <c r="L120" t="s">
        <v>15300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15301</v>
      </c>
      <c r="J121" t="s">
        <v>9701</v>
      </c>
      <c r="K121" t="s">
        <v>15302</v>
      </c>
      <c r="L121" t="s">
        <v>15303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15304</v>
      </c>
      <c r="J122" t="s">
        <v>9701</v>
      </c>
      <c r="K122" t="s">
        <v>15305</v>
      </c>
      <c r="L122" t="s">
        <v>15306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15307</v>
      </c>
      <c r="J123" t="s">
        <v>9701</v>
      </c>
      <c r="K123" t="s">
        <v>15308</v>
      </c>
      <c r="L123" t="s">
        <v>15309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15310</v>
      </c>
      <c r="J124" t="s">
        <v>9701</v>
      </c>
      <c r="K124" t="s">
        <v>15311</v>
      </c>
      <c r="L124" t="s">
        <v>15312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15313</v>
      </c>
      <c r="J125" t="s">
        <v>9701</v>
      </c>
      <c r="K125" t="s">
        <v>15314</v>
      </c>
      <c r="L125" t="s">
        <v>15315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15316</v>
      </c>
      <c r="J126" t="s">
        <v>9701</v>
      </c>
      <c r="K126" t="s">
        <v>15317</v>
      </c>
      <c r="L126" t="s">
        <v>15318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15319</v>
      </c>
      <c r="J127" t="s">
        <v>9701</v>
      </c>
      <c r="K127" t="s">
        <v>15320</v>
      </c>
      <c r="L127" t="s">
        <v>15321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15322</v>
      </c>
      <c r="J128" t="s">
        <v>9701</v>
      </c>
      <c r="K128" t="s">
        <v>15323</v>
      </c>
      <c r="L128" t="s">
        <v>15324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15325</v>
      </c>
      <c r="J129" t="s">
        <v>9701</v>
      </c>
      <c r="K129" t="s">
        <v>15326</v>
      </c>
      <c r="L129" t="s">
        <v>15327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15328</v>
      </c>
      <c r="J130" t="s">
        <v>9701</v>
      </c>
      <c r="K130" t="s">
        <v>15329</v>
      </c>
      <c r="L130" t="s">
        <v>15330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15331</v>
      </c>
      <c r="J131" t="s">
        <v>9701</v>
      </c>
      <c r="K131" t="s">
        <v>15332</v>
      </c>
      <c r="L131" t="s">
        <v>15333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15334</v>
      </c>
      <c r="J132" t="s">
        <v>9701</v>
      </c>
      <c r="K132" t="s">
        <v>15335</v>
      </c>
      <c r="L132" t="s">
        <v>15336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15337</v>
      </c>
      <c r="J133" t="s">
        <v>9701</v>
      </c>
      <c r="K133" t="s">
        <v>15338</v>
      </c>
      <c r="L133" t="s">
        <v>15339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15340</v>
      </c>
      <c r="J134" t="s">
        <v>9701</v>
      </c>
      <c r="K134" t="s">
        <v>15341</v>
      </c>
      <c r="L134" t="s">
        <v>15342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15343</v>
      </c>
      <c r="J135" t="s">
        <v>9701</v>
      </c>
      <c r="K135" t="s">
        <v>15344</v>
      </c>
      <c r="L135" t="s">
        <v>15345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15346</v>
      </c>
      <c r="J136" t="s">
        <v>9701</v>
      </c>
      <c r="K136" t="s">
        <v>15347</v>
      </c>
      <c r="L136" t="s">
        <v>15348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15349</v>
      </c>
      <c r="J137" t="s">
        <v>9701</v>
      </c>
      <c r="K137" t="s">
        <v>15350</v>
      </c>
      <c r="L137" t="s">
        <v>15351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15352</v>
      </c>
      <c r="J138" t="s">
        <v>9701</v>
      </c>
      <c r="K138" t="s">
        <v>15353</v>
      </c>
      <c r="L138" t="s">
        <v>15354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15355</v>
      </c>
      <c r="J139" t="s">
        <v>9701</v>
      </c>
      <c r="K139" t="s">
        <v>15356</v>
      </c>
      <c r="L139" t="s">
        <v>15357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15358</v>
      </c>
      <c r="J140" t="s">
        <v>9701</v>
      </c>
      <c r="K140" t="s">
        <v>15359</v>
      </c>
      <c r="L140" t="s">
        <v>15360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15361</v>
      </c>
      <c r="J141" t="s">
        <v>9701</v>
      </c>
      <c r="K141" t="s">
        <v>15362</v>
      </c>
      <c r="L141" t="s">
        <v>15363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15364</v>
      </c>
      <c r="J142" t="s">
        <v>9701</v>
      </c>
      <c r="K142" t="s">
        <v>15365</v>
      </c>
      <c r="L142" t="s">
        <v>15366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15367</v>
      </c>
      <c r="J143" t="s">
        <v>9701</v>
      </c>
      <c r="K143" t="s">
        <v>15368</v>
      </c>
      <c r="L143" t="s">
        <v>15369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15370</v>
      </c>
      <c r="J144" t="s">
        <v>9701</v>
      </c>
      <c r="K144" t="s">
        <v>15371</v>
      </c>
      <c r="L144" t="s">
        <v>15372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15373</v>
      </c>
      <c r="J145" t="s">
        <v>9701</v>
      </c>
      <c r="K145" t="s">
        <v>15374</v>
      </c>
      <c r="L145" t="s">
        <v>15375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15376</v>
      </c>
      <c r="J146" t="s">
        <v>9701</v>
      </c>
      <c r="K146" t="s">
        <v>15377</v>
      </c>
      <c r="L146" t="s">
        <v>15378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15379</v>
      </c>
      <c r="J147" t="s">
        <v>9701</v>
      </c>
      <c r="K147" t="s">
        <v>15380</v>
      </c>
      <c r="L147" t="s">
        <v>15381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15382</v>
      </c>
      <c r="J148" t="s">
        <v>9701</v>
      </c>
      <c r="K148" t="s">
        <v>15383</v>
      </c>
      <c r="L148" t="s">
        <v>15384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15385</v>
      </c>
      <c r="J149" t="s">
        <v>9701</v>
      </c>
      <c r="K149" t="s">
        <v>15386</v>
      </c>
      <c r="L149" t="s">
        <v>15387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15388</v>
      </c>
      <c r="J150" t="s">
        <v>9701</v>
      </c>
      <c r="K150" t="s">
        <v>15389</v>
      </c>
      <c r="L150" t="s">
        <v>15390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15391</v>
      </c>
      <c r="J151" t="s">
        <v>9701</v>
      </c>
      <c r="K151" t="s">
        <v>15392</v>
      </c>
      <c r="L151" t="s">
        <v>15393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15394</v>
      </c>
      <c r="J152" t="s">
        <v>9701</v>
      </c>
      <c r="K152" t="s">
        <v>15395</v>
      </c>
      <c r="L152" t="s">
        <v>15396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15397</v>
      </c>
      <c r="J153" t="s">
        <v>9701</v>
      </c>
      <c r="K153" t="s">
        <v>15398</v>
      </c>
      <c r="L153" t="s">
        <v>15399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15400</v>
      </c>
      <c r="J154" t="s">
        <v>9701</v>
      </c>
      <c r="K154" t="s">
        <v>15401</v>
      </c>
      <c r="L154" t="s">
        <v>15402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15403</v>
      </c>
      <c r="J155" t="s">
        <v>9701</v>
      </c>
      <c r="K155" t="s">
        <v>15404</v>
      </c>
      <c r="L155" t="s">
        <v>15405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15406</v>
      </c>
      <c r="J156" t="s">
        <v>9701</v>
      </c>
      <c r="K156" t="s">
        <v>15407</v>
      </c>
      <c r="L156" t="s">
        <v>15408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15409</v>
      </c>
      <c r="J157" t="s">
        <v>9701</v>
      </c>
      <c r="K157" t="s">
        <v>15410</v>
      </c>
      <c r="L157" t="s">
        <v>15411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15412</v>
      </c>
      <c r="J158" t="s">
        <v>9701</v>
      </c>
      <c r="K158" t="s">
        <v>15413</v>
      </c>
      <c r="L158" t="s">
        <v>15414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15415</v>
      </c>
      <c r="J159" t="s">
        <v>9701</v>
      </c>
      <c r="K159" t="s">
        <v>15416</v>
      </c>
      <c r="L159" t="s">
        <v>15417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15418</v>
      </c>
      <c r="J160" t="s">
        <v>9701</v>
      </c>
      <c r="K160" t="s">
        <v>15419</v>
      </c>
      <c r="L160" t="s">
        <v>15420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15421</v>
      </c>
      <c r="J161" t="s">
        <v>9701</v>
      </c>
      <c r="K161" t="s">
        <v>15422</v>
      </c>
      <c r="L161" t="s">
        <v>15423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15424</v>
      </c>
      <c r="J162" t="s">
        <v>9701</v>
      </c>
      <c r="K162" t="s">
        <v>15425</v>
      </c>
      <c r="L162" t="s">
        <v>15426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15427</v>
      </c>
      <c r="J163" t="s">
        <v>9701</v>
      </c>
      <c r="K163" t="s">
        <v>15428</v>
      </c>
      <c r="L163" t="s">
        <v>15429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15430</v>
      </c>
      <c r="J164" t="s">
        <v>9701</v>
      </c>
      <c r="K164" t="s">
        <v>15431</v>
      </c>
      <c r="L164" t="s">
        <v>15432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15433</v>
      </c>
      <c r="J165" t="s">
        <v>9701</v>
      </c>
      <c r="K165" t="s">
        <v>15434</v>
      </c>
      <c r="L165" t="s">
        <v>15435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15436</v>
      </c>
      <c r="J166" t="s">
        <v>9701</v>
      </c>
      <c r="K166" t="s">
        <v>15437</v>
      </c>
      <c r="L166" t="s">
        <v>15438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15439</v>
      </c>
      <c r="J167" t="s">
        <v>9701</v>
      </c>
      <c r="K167" t="s">
        <v>15440</v>
      </c>
      <c r="L167" t="s">
        <v>15441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15442</v>
      </c>
      <c r="J168" t="s">
        <v>9701</v>
      </c>
      <c r="K168" t="s">
        <v>15443</v>
      </c>
      <c r="L168" t="s">
        <v>15444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15445</v>
      </c>
      <c r="J169" t="s">
        <v>9701</v>
      </c>
      <c r="K169" t="s">
        <v>15446</v>
      </c>
      <c r="L169" t="s">
        <v>15447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15448</v>
      </c>
      <c r="J170" t="s">
        <v>9701</v>
      </c>
      <c r="K170" t="s">
        <v>15449</v>
      </c>
      <c r="L170" t="s">
        <v>15450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15451</v>
      </c>
      <c r="J171" t="s">
        <v>9701</v>
      </c>
      <c r="K171" t="s">
        <v>15452</v>
      </c>
      <c r="L171" t="s">
        <v>15453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15454</v>
      </c>
      <c r="J172" t="s">
        <v>9701</v>
      </c>
      <c r="K172" t="s">
        <v>15455</v>
      </c>
      <c r="L172" t="s">
        <v>15456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15457</v>
      </c>
      <c r="J173" t="s">
        <v>9701</v>
      </c>
      <c r="K173" t="s">
        <v>15458</v>
      </c>
      <c r="L173" t="s">
        <v>15459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15460</v>
      </c>
      <c r="J174" t="s">
        <v>9701</v>
      </c>
      <c r="K174" t="s">
        <v>15461</v>
      </c>
      <c r="L174" t="s">
        <v>15462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15463</v>
      </c>
      <c r="J175" t="s">
        <v>9701</v>
      </c>
      <c r="K175" t="s">
        <v>15464</v>
      </c>
      <c r="L175" t="s">
        <v>15465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15466</v>
      </c>
      <c r="J176" t="s">
        <v>9701</v>
      </c>
      <c r="K176" t="s">
        <v>15467</v>
      </c>
      <c r="L176" t="s">
        <v>15468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15469</v>
      </c>
      <c r="J177" t="s">
        <v>9701</v>
      </c>
      <c r="K177" t="s">
        <v>15470</v>
      </c>
      <c r="L177" t="s">
        <v>15471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15472</v>
      </c>
      <c r="J178" t="s">
        <v>9701</v>
      </c>
      <c r="K178" t="s">
        <v>15473</v>
      </c>
      <c r="L178" t="s">
        <v>15474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15475</v>
      </c>
      <c r="J179" t="s">
        <v>9701</v>
      </c>
      <c r="K179" t="s">
        <v>15476</v>
      </c>
      <c r="L179" t="s">
        <v>15477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15478</v>
      </c>
      <c r="J180" t="s">
        <v>9701</v>
      </c>
      <c r="K180" t="s">
        <v>15479</v>
      </c>
      <c r="L180" t="s">
        <v>15480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15481</v>
      </c>
      <c r="J181" t="s">
        <v>9701</v>
      </c>
      <c r="K181" t="s">
        <v>15482</v>
      </c>
      <c r="L181" t="s">
        <v>15483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15484</v>
      </c>
      <c r="J182" t="s">
        <v>9701</v>
      </c>
      <c r="K182" t="s">
        <v>15485</v>
      </c>
      <c r="L182" t="s">
        <v>15486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15487</v>
      </c>
      <c r="J183" t="s">
        <v>9701</v>
      </c>
      <c r="K183" t="s">
        <v>15488</v>
      </c>
      <c r="L183" t="s">
        <v>15489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15490</v>
      </c>
      <c r="J184" t="s">
        <v>9701</v>
      </c>
      <c r="K184" t="s">
        <v>15491</v>
      </c>
      <c r="L184" t="s">
        <v>15492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15493</v>
      </c>
      <c r="J185" t="s">
        <v>9701</v>
      </c>
      <c r="K185" t="s">
        <v>15494</v>
      </c>
      <c r="L185" t="s">
        <v>15495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15496</v>
      </c>
      <c r="J186" t="s">
        <v>9701</v>
      </c>
      <c r="K186" t="s">
        <v>15497</v>
      </c>
      <c r="L186" t="s">
        <v>15498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15499</v>
      </c>
      <c r="J187" t="s">
        <v>9701</v>
      </c>
      <c r="K187" t="s">
        <v>15500</v>
      </c>
      <c r="L187" t="s">
        <v>15501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15502</v>
      </c>
      <c r="J188" t="s">
        <v>9701</v>
      </c>
      <c r="K188" t="s">
        <v>15503</v>
      </c>
      <c r="L188" t="s">
        <v>15504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15505</v>
      </c>
      <c r="J189" t="s">
        <v>9701</v>
      </c>
      <c r="K189" t="s">
        <v>15506</v>
      </c>
      <c r="L189" t="s">
        <v>15507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15508</v>
      </c>
      <c r="J190" t="s">
        <v>9701</v>
      </c>
      <c r="K190" t="s">
        <v>15509</v>
      </c>
      <c r="L190" t="s">
        <v>15510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15511</v>
      </c>
      <c r="J191" t="s">
        <v>9701</v>
      </c>
      <c r="K191" t="s">
        <v>15512</v>
      </c>
      <c r="L191" t="s">
        <v>15513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15514</v>
      </c>
      <c r="J192" t="s">
        <v>9701</v>
      </c>
      <c r="K192" t="s">
        <v>15515</v>
      </c>
      <c r="L192" t="s">
        <v>15516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15517</v>
      </c>
      <c r="J193" t="s">
        <v>9701</v>
      </c>
      <c r="K193" t="s">
        <v>15518</v>
      </c>
      <c r="L193" t="s">
        <v>15519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15520</v>
      </c>
      <c r="J194" t="s">
        <v>9701</v>
      </c>
      <c r="K194" t="s">
        <v>15521</v>
      </c>
      <c r="L194" t="s">
        <v>15522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15523</v>
      </c>
      <c r="J195" t="s">
        <v>9701</v>
      </c>
      <c r="K195" t="s">
        <v>15524</v>
      </c>
      <c r="L195" t="s">
        <v>15525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15526</v>
      </c>
      <c r="J196" t="s">
        <v>9701</v>
      </c>
      <c r="K196" t="s">
        <v>15527</v>
      </c>
      <c r="L196" t="s">
        <v>15528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15529</v>
      </c>
      <c r="J197" t="s">
        <v>9701</v>
      </c>
      <c r="K197" t="s">
        <v>15530</v>
      </c>
      <c r="L197" t="s">
        <v>15531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15532</v>
      </c>
      <c r="J198" t="s">
        <v>9701</v>
      </c>
      <c r="K198" t="s">
        <v>15533</v>
      </c>
      <c r="L198" t="s">
        <v>15534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15535</v>
      </c>
      <c r="J199" t="s">
        <v>9701</v>
      </c>
      <c r="K199" t="s">
        <v>15536</v>
      </c>
      <c r="L199" t="s">
        <v>15537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15538</v>
      </c>
      <c r="J200" t="s">
        <v>9701</v>
      </c>
      <c r="K200" t="s">
        <v>15539</v>
      </c>
      <c r="L200" t="s">
        <v>15540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15541</v>
      </c>
      <c r="J201" t="s">
        <v>9701</v>
      </c>
      <c r="K201" t="s">
        <v>15542</v>
      </c>
      <c r="L201" t="s">
        <v>15543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15544</v>
      </c>
      <c r="J202" t="s">
        <v>9701</v>
      </c>
      <c r="K202" t="s">
        <v>15545</v>
      </c>
      <c r="L202" t="s">
        <v>15546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15547</v>
      </c>
      <c r="J203" t="s">
        <v>9701</v>
      </c>
      <c r="K203" t="s">
        <v>15548</v>
      </c>
      <c r="L203" t="s">
        <v>15549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15550</v>
      </c>
      <c r="J204" t="s">
        <v>9701</v>
      </c>
      <c r="K204" t="s">
        <v>15551</v>
      </c>
      <c r="L204" t="s">
        <v>15552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15553</v>
      </c>
      <c r="J205" t="s">
        <v>9701</v>
      </c>
      <c r="K205" t="s">
        <v>15554</v>
      </c>
      <c r="L205" t="s">
        <v>15555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15556</v>
      </c>
      <c r="J206" t="s">
        <v>9701</v>
      </c>
      <c r="K206" t="s">
        <v>15557</v>
      </c>
      <c r="L206" t="s">
        <v>15558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15559</v>
      </c>
      <c r="J207" t="s">
        <v>9701</v>
      </c>
      <c r="K207" t="s">
        <v>15560</v>
      </c>
      <c r="L207" t="s">
        <v>15561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15562</v>
      </c>
      <c r="J208" t="s">
        <v>9701</v>
      </c>
      <c r="K208" t="s">
        <v>15563</v>
      </c>
      <c r="L208" t="s">
        <v>15564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15565</v>
      </c>
      <c r="J209" t="s">
        <v>9701</v>
      </c>
      <c r="K209" t="s">
        <v>15566</v>
      </c>
      <c r="L209" t="s">
        <v>15567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15568</v>
      </c>
      <c r="J210" t="s">
        <v>9701</v>
      </c>
      <c r="K210" t="s">
        <v>15569</v>
      </c>
      <c r="L210" t="s">
        <v>15570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15571</v>
      </c>
      <c r="J211" t="s">
        <v>9701</v>
      </c>
      <c r="K211" t="s">
        <v>15572</v>
      </c>
      <c r="L211" t="s">
        <v>15573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15574</v>
      </c>
      <c r="J212" t="s">
        <v>9701</v>
      </c>
      <c r="K212" t="s">
        <v>15575</v>
      </c>
      <c r="L212" t="s">
        <v>15576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15577</v>
      </c>
      <c r="J213" t="s">
        <v>9701</v>
      </c>
      <c r="K213" t="s">
        <v>15578</v>
      </c>
      <c r="L213" t="s">
        <v>15579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15580</v>
      </c>
      <c r="J214" t="s">
        <v>9701</v>
      </c>
      <c r="K214" t="s">
        <v>15581</v>
      </c>
      <c r="L214" t="s">
        <v>15582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15583</v>
      </c>
      <c r="J215" t="s">
        <v>9701</v>
      </c>
      <c r="K215" t="s">
        <v>15584</v>
      </c>
      <c r="L215" t="s">
        <v>15585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15586</v>
      </c>
      <c r="J216" t="s">
        <v>9701</v>
      </c>
      <c r="K216" t="s">
        <v>15587</v>
      </c>
      <c r="L216" t="s">
        <v>15588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15589</v>
      </c>
      <c r="J217" t="s">
        <v>9701</v>
      </c>
      <c r="K217" t="s">
        <v>15590</v>
      </c>
      <c r="L217" t="s">
        <v>15591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15592</v>
      </c>
      <c r="J218" t="s">
        <v>9701</v>
      </c>
      <c r="K218" t="s">
        <v>15593</v>
      </c>
      <c r="L218" t="s">
        <v>15594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15595</v>
      </c>
      <c r="J219" t="s">
        <v>9701</v>
      </c>
      <c r="K219" t="s">
        <v>15596</v>
      </c>
      <c r="L219" t="s">
        <v>15597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15598</v>
      </c>
      <c r="J220" t="s">
        <v>9701</v>
      </c>
      <c r="K220" t="s">
        <v>15599</v>
      </c>
      <c r="L220" t="s">
        <v>15600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15601</v>
      </c>
      <c r="J221" t="s">
        <v>9701</v>
      </c>
      <c r="K221" t="s">
        <v>15602</v>
      </c>
      <c r="L221" t="s">
        <v>15603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15604</v>
      </c>
      <c r="J222" t="s">
        <v>9701</v>
      </c>
      <c r="K222" t="s">
        <v>15605</v>
      </c>
      <c r="L222" t="s">
        <v>15606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15607</v>
      </c>
      <c r="J223" t="s">
        <v>9701</v>
      </c>
      <c r="K223" t="s">
        <v>15608</v>
      </c>
      <c r="L223" t="s">
        <v>15609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15610</v>
      </c>
      <c r="J224" t="s">
        <v>9701</v>
      </c>
      <c r="K224" t="s">
        <v>15611</v>
      </c>
      <c r="L224" t="s">
        <v>15612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15613</v>
      </c>
      <c r="J225" t="s">
        <v>9701</v>
      </c>
      <c r="K225" t="s">
        <v>15614</v>
      </c>
      <c r="L225" t="s">
        <v>15615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15616</v>
      </c>
      <c r="J226" t="s">
        <v>9701</v>
      </c>
      <c r="K226" t="s">
        <v>15617</v>
      </c>
      <c r="L226" t="s">
        <v>15618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15619</v>
      </c>
      <c r="J227" t="s">
        <v>9701</v>
      </c>
      <c r="K227" t="s">
        <v>15620</v>
      </c>
      <c r="L227" t="s">
        <v>15621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15622</v>
      </c>
      <c r="J228" t="s">
        <v>9701</v>
      </c>
      <c r="K228" t="s">
        <v>15623</v>
      </c>
      <c r="L228" t="s">
        <v>15624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15625</v>
      </c>
      <c r="J229" t="s">
        <v>9701</v>
      </c>
      <c r="K229" t="s">
        <v>15626</v>
      </c>
      <c r="L229" t="s">
        <v>15627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15628</v>
      </c>
      <c r="J230" t="s">
        <v>9701</v>
      </c>
      <c r="K230" t="s">
        <v>15629</v>
      </c>
      <c r="L230" t="s">
        <v>15630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15631</v>
      </c>
      <c r="J231" t="s">
        <v>9701</v>
      </c>
      <c r="K231" t="s">
        <v>15632</v>
      </c>
      <c r="L231" t="s">
        <v>15633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15634</v>
      </c>
      <c r="J232" t="s">
        <v>9701</v>
      </c>
      <c r="K232" t="s">
        <v>15635</v>
      </c>
      <c r="L232" t="s">
        <v>15636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15637</v>
      </c>
      <c r="J233" t="s">
        <v>9701</v>
      </c>
      <c r="K233" t="s">
        <v>15638</v>
      </c>
      <c r="L233" t="s">
        <v>15639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15640</v>
      </c>
      <c r="J234" t="s">
        <v>9701</v>
      </c>
      <c r="K234" t="s">
        <v>15641</v>
      </c>
      <c r="L234" t="s">
        <v>15642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15643</v>
      </c>
      <c r="J235" t="s">
        <v>9701</v>
      </c>
      <c r="K235" t="s">
        <v>15644</v>
      </c>
      <c r="L235" t="s">
        <v>15645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15646</v>
      </c>
      <c r="J236" t="s">
        <v>9701</v>
      </c>
      <c r="K236" t="s">
        <v>15647</v>
      </c>
      <c r="L236" t="s">
        <v>15648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15649</v>
      </c>
      <c r="J237" t="s">
        <v>9701</v>
      </c>
      <c r="K237" t="s">
        <v>15650</v>
      </c>
      <c r="L237" t="s">
        <v>15651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15652</v>
      </c>
      <c r="J238" t="s">
        <v>9701</v>
      </c>
      <c r="K238" t="s">
        <v>15653</v>
      </c>
      <c r="L238" t="s">
        <v>15654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15655</v>
      </c>
      <c r="J239" t="s">
        <v>9701</v>
      </c>
      <c r="K239" t="s">
        <v>15656</v>
      </c>
      <c r="L239" t="s">
        <v>15657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15658</v>
      </c>
      <c r="J240" t="s">
        <v>9701</v>
      </c>
      <c r="K240" t="s">
        <v>15659</v>
      </c>
      <c r="L240" t="s">
        <v>15660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15661</v>
      </c>
      <c r="J241" t="s">
        <v>9701</v>
      </c>
      <c r="K241" t="s">
        <v>15662</v>
      </c>
      <c r="L241" t="s">
        <v>15663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15664</v>
      </c>
      <c r="J242" t="s">
        <v>9701</v>
      </c>
      <c r="K242" t="s">
        <v>15665</v>
      </c>
      <c r="L242" t="s">
        <v>15666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15667</v>
      </c>
      <c r="J243" t="s">
        <v>9701</v>
      </c>
      <c r="K243" t="s">
        <v>15668</v>
      </c>
      <c r="L243" t="s">
        <v>15669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15670</v>
      </c>
      <c r="J244" t="s">
        <v>9701</v>
      </c>
      <c r="K244" t="s">
        <v>15671</v>
      </c>
      <c r="L244" t="s">
        <v>15672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15673</v>
      </c>
      <c r="J245" t="s">
        <v>9701</v>
      </c>
      <c r="K245" t="s">
        <v>15674</v>
      </c>
      <c r="L245" t="s">
        <v>15675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15676</v>
      </c>
      <c r="J246" t="s">
        <v>9701</v>
      </c>
      <c r="K246" t="s">
        <v>15677</v>
      </c>
      <c r="L246" t="s">
        <v>15678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15679</v>
      </c>
      <c r="J247" t="s">
        <v>9701</v>
      </c>
      <c r="K247" t="s">
        <v>15680</v>
      </c>
      <c r="L247" t="s">
        <v>15681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15682</v>
      </c>
      <c r="J248" t="s">
        <v>9701</v>
      </c>
      <c r="K248" t="s">
        <v>15683</v>
      </c>
      <c r="L248" t="s">
        <v>15684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15685</v>
      </c>
      <c r="J249" t="s">
        <v>9701</v>
      </c>
      <c r="K249" t="s">
        <v>15686</v>
      </c>
      <c r="L249" t="s">
        <v>15687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15688</v>
      </c>
      <c r="J250" t="s">
        <v>9701</v>
      </c>
      <c r="K250" t="s">
        <v>15689</v>
      </c>
      <c r="L250" t="s">
        <v>15690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15691</v>
      </c>
      <c r="J251" t="s">
        <v>9701</v>
      </c>
      <c r="K251" t="s">
        <v>15692</v>
      </c>
      <c r="L251" t="s">
        <v>15693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15694</v>
      </c>
      <c r="J252" t="s">
        <v>9701</v>
      </c>
      <c r="K252" t="s">
        <v>15695</v>
      </c>
      <c r="L252" t="s">
        <v>15696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15697</v>
      </c>
      <c r="J253" t="s">
        <v>9701</v>
      </c>
      <c r="K253" t="s">
        <v>15698</v>
      </c>
      <c r="L253" t="s">
        <v>15699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15700</v>
      </c>
      <c r="J254" t="s">
        <v>9701</v>
      </c>
      <c r="K254" t="s">
        <v>15701</v>
      </c>
      <c r="L254" t="s">
        <v>15702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15703</v>
      </c>
      <c r="J255" t="s">
        <v>9701</v>
      </c>
      <c r="K255" t="s">
        <v>15704</v>
      </c>
      <c r="L255" t="s">
        <v>15705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15706</v>
      </c>
      <c r="J256" t="s">
        <v>9701</v>
      </c>
      <c r="K256" t="s">
        <v>15707</v>
      </c>
      <c r="L256" t="s">
        <v>15708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15709</v>
      </c>
      <c r="J257" t="s">
        <v>9701</v>
      </c>
      <c r="K257" t="s">
        <v>15710</v>
      </c>
      <c r="L257" t="s">
        <v>15711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15712</v>
      </c>
      <c r="J258" t="s">
        <v>9701</v>
      </c>
      <c r="K258" t="s">
        <v>15713</v>
      </c>
      <c r="L258" t="s">
        <v>15714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15715</v>
      </c>
      <c r="J259" t="s">
        <v>9701</v>
      </c>
      <c r="K259" t="s">
        <v>15716</v>
      </c>
      <c r="L259" t="s">
        <v>15717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15718</v>
      </c>
      <c r="J260" t="s">
        <v>9701</v>
      </c>
      <c r="K260" t="s">
        <v>15719</v>
      </c>
      <c r="L260" t="s">
        <v>15720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15721</v>
      </c>
      <c r="J261" t="s">
        <v>9701</v>
      </c>
      <c r="K261" t="s">
        <v>15722</v>
      </c>
      <c r="L261" t="s">
        <v>15723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15724</v>
      </c>
      <c r="J262" t="s">
        <v>9701</v>
      </c>
      <c r="K262" t="s">
        <v>15725</v>
      </c>
      <c r="L262" t="s">
        <v>15726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15727</v>
      </c>
      <c r="J263" t="s">
        <v>9701</v>
      </c>
      <c r="K263" t="s">
        <v>15728</v>
      </c>
      <c r="L263" t="s">
        <v>15729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15730</v>
      </c>
      <c r="J264" t="s">
        <v>9701</v>
      </c>
      <c r="K264" t="s">
        <v>15731</v>
      </c>
      <c r="L264" t="s">
        <v>15732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15733</v>
      </c>
      <c r="J265" t="s">
        <v>9701</v>
      </c>
      <c r="K265" t="s">
        <v>15734</v>
      </c>
      <c r="L265" t="s">
        <v>15735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15736</v>
      </c>
      <c r="J266" t="s">
        <v>9701</v>
      </c>
      <c r="K266" t="s">
        <v>15737</v>
      </c>
      <c r="L266" t="s">
        <v>15738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15739</v>
      </c>
      <c r="J267" t="s">
        <v>9701</v>
      </c>
      <c r="K267" t="s">
        <v>15740</v>
      </c>
      <c r="L267" t="s">
        <v>15741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15742</v>
      </c>
      <c r="J268" t="s">
        <v>9701</v>
      </c>
      <c r="K268" t="s">
        <v>15743</v>
      </c>
      <c r="L268" t="s">
        <v>15744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15745</v>
      </c>
      <c r="J269" t="s">
        <v>9701</v>
      </c>
      <c r="K269" t="s">
        <v>15746</v>
      </c>
      <c r="L269" t="s">
        <v>15747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15748</v>
      </c>
      <c r="J270" t="s">
        <v>9701</v>
      </c>
      <c r="K270" t="s">
        <v>15749</v>
      </c>
      <c r="L270" t="s">
        <v>15750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15751</v>
      </c>
      <c r="J271" t="s">
        <v>9701</v>
      </c>
      <c r="K271" t="s">
        <v>15752</v>
      </c>
      <c r="L271" t="s">
        <v>15753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15754</v>
      </c>
      <c r="J272" t="s">
        <v>9701</v>
      </c>
      <c r="K272" t="s">
        <v>15755</v>
      </c>
      <c r="L272" t="s">
        <v>15756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15757</v>
      </c>
      <c r="J273" t="s">
        <v>9701</v>
      </c>
      <c r="K273" t="s">
        <v>15758</v>
      </c>
      <c r="L273" t="s">
        <v>15759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15760</v>
      </c>
      <c r="J274" t="s">
        <v>9701</v>
      </c>
      <c r="K274" t="s">
        <v>15761</v>
      </c>
      <c r="L274" t="s">
        <v>15762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15763</v>
      </c>
      <c r="J275" t="s">
        <v>9701</v>
      </c>
      <c r="K275" t="s">
        <v>15764</v>
      </c>
      <c r="L275" t="s">
        <v>15765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15766</v>
      </c>
      <c r="J276" t="s">
        <v>9701</v>
      </c>
      <c r="K276" t="s">
        <v>15767</v>
      </c>
      <c r="L276" t="s">
        <v>15768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15769</v>
      </c>
      <c r="J277" t="s">
        <v>9701</v>
      </c>
      <c r="K277" t="s">
        <v>15770</v>
      </c>
      <c r="L277" t="s">
        <v>15771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15772</v>
      </c>
      <c r="J278" t="s">
        <v>9701</v>
      </c>
      <c r="K278" t="s">
        <v>15773</v>
      </c>
      <c r="L278" t="s">
        <v>15774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15775</v>
      </c>
      <c r="J279" t="s">
        <v>9701</v>
      </c>
      <c r="K279" t="s">
        <v>15776</v>
      </c>
      <c r="L279" t="s">
        <v>15777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15778</v>
      </c>
      <c r="J280" t="s">
        <v>9701</v>
      </c>
      <c r="K280" t="s">
        <v>15779</v>
      </c>
      <c r="L280" t="s">
        <v>15780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15781</v>
      </c>
      <c r="J281" t="s">
        <v>9701</v>
      </c>
      <c r="K281" t="s">
        <v>15782</v>
      </c>
      <c r="L281" t="s">
        <v>15783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15784</v>
      </c>
      <c r="J282" t="s">
        <v>9701</v>
      </c>
      <c r="K282" t="s">
        <v>15785</v>
      </c>
      <c r="L282" t="s">
        <v>15786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15787</v>
      </c>
      <c r="J283" t="s">
        <v>9701</v>
      </c>
      <c r="K283" t="s">
        <v>15788</v>
      </c>
      <c r="L283" t="s">
        <v>15789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15790</v>
      </c>
      <c r="J284" t="s">
        <v>9701</v>
      </c>
      <c r="K284" t="s">
        <v>15791</v>
      </c>
      <c r="L284" t="s">
        <v>15792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15793</v>
      </c>
      <c r="J285" t="s">
        <v>9701</v>
      </c>
      <c r="K285" t="s">
        <v>15794</v>
      </c>
      <c r="L285" t="s">
        <v>15795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15796</v>
      </c>
      <c r="J286" t="s">
        <v>9701</v>
      </c>
      <c r="K286" t="s">
        <v>15797</v>
      </c>
      <c r="L286" t="s">
        <v>15798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15799</v>
      </c>
      <c r="J287" t="s">
        <v>9701</v>
      </c>
      <c r="K287" t="s">
        <v>15800</v>
      </c>
      <c r="L287" t="s">
        <v>15801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15802</v>
      </c>
      <c r="J288" t="s">
        <v>9701</v>
      </c>
      <c r="K288" t="s">
        <v>15803</v>
      </c>
      <c r="L288" t="s">
        <v>15804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15805</v>
      </c>
      <c r="J289" t="s">
        <v>9701</v>
      </c>
      <c r="K289" t="s">
        <v>15806</v>
      </c>
      <c r="L289" t="s">
        <v>15807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15808</v>
      </c>
      <c r="J290" t="s">
        <v>9701</v>
      </c>
      <c r="K290" t="s">
        <v>15809</v>
      </c>
      <c r="L290" t="s">
        <v>15810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15811</v>
      </c>
      <c r="J291" t="s">
        <v>9701</v>
      </c>
      <c r="K291" t="s">
        <v>15812</v>
      </c>
      <c r="L291" t="s">
        <v>15813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15814</v>
      </c>
      <c r="J292" t="s">
        <v>9701</v>
      </c>
      <c r="K292" t="s">
        <v>15815</v>
      </c>
      <c r="L292" t="s">
        <v>15816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15817</v>
      </c>
      <c r="J293" t="s">
        <v>9701</v>
      </c>
      <c r="K293" t="s">
        <v>15818</v>
      </c>
      <c r="L293" t="s">
        <v>15819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15820</v>
      </c>
      <c r="J294" t="s">
        <v>9701</v>
      </c>
      <c r="K294" t="s">
        <v>15821</v>
      </c>
      <c r="L294" t="s">
        <v>15822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15823</v>
      </c>
      <c r="J295" t="s">
        <v>9701</v>
      </c>
      <c r="K295" t="s">
        <v>15824</v>
      </c>
      <c r="L295" t="s">
        <v>15825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15826</v>
      </c>
      <c r="J296" t="s">
        <v>9701</v>
      </c>
      <c r="K296" t="s">
        <v>15827</v>
      </c>
      <c r="L296" t="s">
        <v>15828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15829</v>
      </c>
      <c r="J297" t="s">
        <v>9701</v>
      </c>
      <c r="K297" t="s">
        <v>15830</v>
      </c>
      <c r="L297" t="s">
        <v>15831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15832</v>
      </c>
      <c r="J298" t="s">
        <v>9701</v>
      </c>
      <c r="K298" t="s">
        <v>15833</v>
      </c>
      <c r="L298" t="s">
        <v>15834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15835</v>
      </c>
      <c r="J299" t="s">
        <v>9701</v>
      </c>
      <c r="K299" t="s">
        <v>15836</v>
      </c>
      <c r="L299" t="s">
        <v>15837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15838</v>
      </c>
      <c r="J300" t="s">
        <v>9701</v>
      </c>
      <c r="K300" t="s">
        <v>15839</v>
      </c>
      <c r="L300" t="s">
        <v>15840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15841</v>
      </c>
      <c r="J301" t="s">
        <v>9701</v>
      </c>
      <c r="K301" t="s">
        <v>15842</v>
      </c>
      <c r="L301" t="s">
        <v>15843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15844</v>
      </c>
      <c r="J302" t="s">
        <v>9701</v>
      </c>
      <c r="K302" t="s">
        <v>15845</v>
      </c>
      <c r="L302" t="s">
        <v>15846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15847</v>
      </c>
      <c r="J303" t="s">
        <v>9701</v>
      </c>
      <c r="K303" t="s">
        <v>15848</v>
      </c>
      <c r="L303" t="s">
        <v>15849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15850</v>
      </c>
      <c r="J304" t="s">
        <v>9701</v>
      </c>
      <c r="K304" t="s">
        <v>15851</v>
      </c>
      <c r="L304" t="s">
        <v>15852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15853</v>
      </c>
      <c r="J305" t="s">
        <v>9701</v>
      </c>
      <c r="K305" t="s">
        <v>15854</v>
      </c>
      <c r="L305" t="s">
        <v>15855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15856</v>
      </c>
      <c r="J306" t="s">
        <v>9701</v>
      </c>
      <c r="K306" t="s">
        <v>15857</v>
      </c>
      <c r="L306" t="s">
        <v>15858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15859</v>
      </c>
      <c r="J307" t="s">
        <v>9701</v>
      </c>
      <c r="K307" t="s">
        <v>15860</v>
      </c>
      <c r="L307" t="s">
        <v>15861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15862</v>
      </c>
      <c r="J308" t="s">
        <v>9701</v>
      </c>
      <c r="K308" t="s">
        <v>15863</v>
      </c>
      <c r="L308" t="s">
        <v>15864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15865</v>
      </c>
      <c r="J309" t="s">
        <v>9701</v>
      </c>
      <c r="K309" t="s">
        <v>15866</v>
      </c>
      <c r="L309" t="s">
        <v>15867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15868</v>
      </c>
      <c r="J310" t="s">
        <v>9701</v>
      </c>
      <c r="K310" t="s">
        <v>15869</v>
      </c>
      <c r="L310" t="s">
        <v>15870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15871</v>
      </c>
      <c r="J311" t="s">
        <v>9701</v>
      </c>
      <c r="K311" t="s">
        <v>15872</v>
      </c>
      <c r="L311" t="s">
        <v>15873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15874</v>
      </c>
      <c r="J312" t="s">
        <v>9701</v>
      </c>
      <c r="K312" t="s">
        <v>15875</v>
      </c>
      <c r="L312" t="s">
        <v>15876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15877</v>
      </c>
      <c r="J313" t="s">
        <v>9701</v>
      </c>
      <c r="K313" t="s">
        <v>15878</v>
      </c>
      <c r="L313" t="s">
        <v>15879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15880</v>
      </c>
      <c r="J314" t="s">
        <v>9701</v>
      </c>
      <c r="K314" t="s">
        <v>15881</v>
      </c>
      <c r="L314" t="s">
        <v>15882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15883</v>
      </c>
      <c r="J315" t="s">
        <v>9701</v>
      </c>
      <c r="K315" t="s">
        <v>15884</v>
      </c>
      <c r="L315" t="s">
        <v>15885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15886</v>
      </c>
      <c r="J316" t="s">
        <v>9701</v>
      </c>
      <c r="K316" t="s">
        <v>15887</v>
      </c>
      <c r="L316" t="s">
        <v>15888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15889</v>
      </c>
      <c r="J317" t="s">
        <v>9701</v>
      </c>
      <c r="K317" t="s">
        <v>15890</v>
      </c>
      <c r="L317" t="s">
        <v>15891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15892</v>
      </c>
      <c r="J318" t="s">
        <v>9701</v>
      </c>
      <c r="K318" t="s">
        <v>15893</v>
      </c>
      <c r="L318" t="s">
        <v>15894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15895</v>
      </c>
      <c r="J319" t="s">
        <v>9701</v>
      </c>
      <c r="K319" t="s">
        <v>15896</v>
      </c>
      <c r="L319" t="s">
        <v>15897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15898</v>
      </c>
      <c r="J320" t="s">
        <v>9701</v>
      </c>
      <c r="K320" t="s">
        <v>15899</v>
      </c>
      <c r="L320" t="s">
        <v>15900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15901</v>
      </c>
      <c r="J321" t="s">
        <v>9701</v>
      </c>
      <c r="K321" t="s">
        <v>15902</v>
      </c>
      <c r="L321" t="s">
        <v>15903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15904</v>
      </c>
      <c r="J322" t="s">
        <v>9701</v>
      </c>
      <c r="K322" t="s">
        <v>15905</v>
      </c>
      <c r="L322" t="s">
        <v>15906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15907</v>
      </c>
      <c r="J323" t="s">
        <v>9701</v>
      </c>
      <c r="K323" t="s">
        <v>15908</v>
      </c>
      <c r="L323" t="s">
        <v>15909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15910</v>
      </c>
      <c r="J324" t="s">
        <v>9701</v>
      </c>
      <c r="K324" t="s">
        <v>15911</v>
      </c>
      <c r="L324" t="s">
        <v>15912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15913</v>
      </c>
      <c r="J325" t="s">
        <v>9701</v>
      </c>
      <c r="K325" t="s">
        <v>15914</v>
      </c>
      <c r="L325" t="s">
        <v>15915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15916</v>
      </c>
      <c r="J326" t="s">
        <v>9701</v>
      </c>
      <c r="K326" t="s">
        <v>15917</v>
      </c>
      <c r="L326" t="s">
        <v>15918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15919</v>
      </c>
      <c r="J327" t="s">
        <v>9701</v>
      </c>
      <c r="K327" t="s">
        <v>15920</v>
      </c>
      <c r="L327" t="s">
        <v>15921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15922</v>
      </c>
      <c r="J328" t="s">
        <v>9701</v>
      </c>
      <c r="K328" t="s">
        <v>15923</v>
      </c>
      <c r="L328" t="s">
        <v>15924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15925</v>
      </c>
      <c r="J329" t="s">
        <v>9701</v>
      </c>
      <c r="K329" t="s">
        <v>15926</v>
      </c>
      <c r="L329" t="s">
        <v>15927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15928</v>
      </c>
      <c r="J330" t="s">
        <v>9701</v>
      </c>
      <c r="K330" t="s">
        <v>15929</v>
      </c>
      <c r="L330" t="s">
        <v>15930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15931</v>
      </c>
      <c r="J331" t="s">
        <v>9701</v>
      </c>
      <c r="K331" t="s">
        <v>15932</v>
      </c>
      <c r="L331" t="s">
        <v>15933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15934</v>
      </c>
      <c r="J332" t="s">
        <v>9701</v>
      </c>
      <c r="K332" t="s">
        <v>15935</v>
      </c>
      <c r="L332" t="s">
        <v>15936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15937</v>
      </c>
      <c r="J333" t="s">
        <v>9701</v>
      </c>
      <c r="K333" t="s">
        <v>15938</v>
      </c>
      <c r="L333" t="s">
        <v>15939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15940</v>
      </c>
      <c r="J334" t="s">
        <v>9701</v>
      </c>
      <c r="K334" t="s">
        <v>15941</v>
      </c>
      <c r="L334" t="s">
        <v>15942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15943</v>
      </c>
      <c r="J335" t="s">
        <v>9701</v>
      </c>
      <c r="K335" t="s">
        <v>15944</v>
      </c>
      <c r="L335" t="s">
        <v>15945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15946</v>
      </c>
      <c r="J336" t="s">
        <v>9701</v>
      </c>
      <c r="K336" t="s">
        <v>15947</v>
      </c>
      <c r="L336" t="s">
        <v>15948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15949</v>
      </c>
      <c r="J337" t="s">
        <v>9701</v>
      </c>
      <c r="K337" t="s">
        <v>15950</v>
      </c>
      <c r="L337" t="s">
        <v>15951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15952</v>
      </c>
      <c r="J338" t="s">
        <v>9701</v>
      </c>
      <c r="K338" t="s">
        <v>15953</v>
      </c>
      <c r="L338" t="s">
        <v>15954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15955</v>
      </c>
      <c r="J339" t="s">
        <v>9701</v>
      </c>
      <c r="K339" t="s">
        <v>15956</v>
      </c>
      <c r="L339" t="s">
        <v>15957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15958</v>
      </c>
      <c r="J340" t="s">
        <v>9701</v>
      </c>
      <c r="K340" t="s">
        <v>15959</v>
      </c>
      <c r="L340" t="s">
        <v>15960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15961</v>
      </c>
      <c r="J341" t="s">
        <v>9701</v>
      </c>
      <c r="K341" t="s">
        <v>15962</v>
      </c>
      <c r="L341" t="s">
        <v>15963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15964</v>
      </c>
      <c r="J342" t="s">
        <v>9701</v>
      </c>
      <c r="K342" t="s">
        <v>15965</v>
      </c>
      <c r="L342" t="s">
        <v>15966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15967</v>
      </c>
      <c r="J343" t="s">
        <v>9701</v>
      </c>
      <c r="K343" t="s">
        <v>15968</v>
      </c>
      <c r="L343" t="s">
        <v>15969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15970</v>
      </c>
      <c r="J344" t="s">
        <v>9701</v>
      </c>
      <c r="K344" t="s">
        <v>15971</v>
      </c>
      <c r="L344" t="s">
        <v>15972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15973</v>
      </c>
      <c r="J345" t="s">
        <v>9701</v>
      </c>
      <c r="K345" t="s">
        <v>15974</v>
      </c>
      <c r="L345" t="s">
        <v>15975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15976</v>
      </c>
      <c r="J346" t="s">
        <v>9701</v>
      </c>
      <c r="K346" t="s">
        <v>15977</v>
      </c>
      <c r="L346" t="s">
        <v>15978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15979</v>
      </c>
      <c r="J347" t="s">
        <v>9701</v>
      </c>
      <c r="K347" t="s">
        <v>15980</v>
      </c>
      <c r="L347" t="s">
        <v>15981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15982</v>
      </c>
      <c r="J348" t="s">
        <v>9701</v>
      </c>
      <c r="K348" t="s">
        <v>15983</v>
      </c>
      <c r="L348" t="s">
        <v>15984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15985</v>
      </c>
      <c r="J349" t="s">
        <v>9701</v>
      </c>
      <c r="K349" t="s">
        <v>15986</v>
      </c>
      <c r="L349" t="s">
        <v>15987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15988</v>
      </c>
      <c r="J350" t="s">
        <v>9701</v>
      </c>
      <c r="K350" t="s">
        <v>15989</v>
      </c>
      <c r="L350" t="s">
        <v>15990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15991</v>
      </c>
      <c r="J351" t="s">
        <v>9701</v>
      </c>
      <c r="K351" t="s">
        <v>15992</v>
      </c>
      <c r="L351" t="s">
        <v>15993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15994</v>
      </c>
      <c r="J352" t="s">
        <v>9701</v>
      </c>
      <c r="K352" t="s">
        <v>15995</v>
      </c>
      <c r="L352" t="s">
        <v>15996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15997</v>
      </c>
      <c r="J353" t="s">
        <v>9701</v>
      </c>
      <c r="K353" t="s">
        <v>15998</v>
      </c>
      <c r="L353" t="s">
        <v>15999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16000</v>
      </c>
      <c r="J354" t="s">
        <v>9701</v>
      </c>
      <c r="K354" t="s">
        <v>16001</v>
      </c>
      <c r="L354" t="s">
        <v>16002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16003</v>
      </c>
      <c r="J355" t="s">
        <v>9701</v>
      </c>
      <c r="K355" t="s">
        <v>16004</v>
      </c>
      <c r="L355" t="s">
        <v>16005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16006</v>
      </c>
      <c r="J356" t="s">
        <v>9701</v>
      </c>
      <c r="K356" t="s">
        <v>16007</v>
      </c>
      <c r="L356" t="s">
        <v>16008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16009</v>
      </c>
      <c r="J357" t="s">
        <v>9701</v>
      </c>
      <c r="K357" t="s">
        <v>16010</v>
      </c>
      <c r="L357" t="s">
        <v>16011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16012</v>
      </c>
      <c r="J358" t="s">
        <v>9701</v>
      </c>
      <c r="K358" t="s">
        <v>16013</v>
      </c>
      <c r="L358" t="s">
        <v>16014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16015</v>
      </c>
      <c r="J359" t="s">
        <v>9701</v>
      </c>
      <c r="K359" t="s">
        <v>16016</v>
      </c>
      <c r="L359" t="s">
        <v>16017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16018</v>
      </c>
      <c r="J360" t="s">
        <v>9701</v>
      </c>
      <c r="K360" t="s">
        <v>16019</v>
      </c>
      <c r="L360" t="s">
        <v>16020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16021</v>
      </c>
      <c r="J361" t="s">
        <v>9701</v>
      </c>
      <c r="K361" t="s">
        <v>16022</v>
      </c>
      <c r="L361" t="s">
        <v>16023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16024</v>
      </c>
      <c r="J362" t="s">
        <v>9701</v>
      </c>
      <c r="K362" t="s">
        <v>16025</v>
      </c>
      <c r="L362" t="s">
        <v>16026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16027</v>
      </c>
      <c r="J363" t="s">
        <v>9701</v>
      </c>
      <c r="K363" t="s">
        <v>16028</v>
      </c>
      <c r="L363" t="s">
        <v>16029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16030</v>
      </c>
      <c r="J364" t="s">
        <v>9701</v>
      </c>
      <c r="K364" t="s">
        <v>16031</v>
      </c>
      <c r="L364" t="s">
        <v>16032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16033</v>
      </c>
      <c r="J365" t="s">
        <v>9701</v>
      </c>
      <c r="K365" t="s">
        <v>16034</v>
      </c>
      <c r="L365" t="s">
        <v>16035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16036</v>
      </c>
      <c r="J366" t="s">
        <v>9701</v>
      </c>
      <c r="K366" t="s">
        <v>16037</v>
      </c>
      <c r="L366" t="s">
        <v>16038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16039</v>
      </c>
      <c r="J367" t="s">
        <v>9701</v>
      </c>
      <c r="K367" t="s">
        <v>16040</v>
      </c>
      <c r="L367" t="s">
        <v>16041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16042</v>
      </c>
      <c r="J368" t="s">
        <v>9701</v>
      </c>
      <c r="K368" t="s">
        <v>16043</v>
      </c>
      <c r="L368" t="s">
        <v>16044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16045</v>
      </c>
      <c r="J369" t="s">
        <v>9701</v>
      </c>
      <c r="K369" t="s">
        <v>16046</v>
      </c>
      <c r="L369" t="s">
        <v>16047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16048</v>
      </c>
      <c r="J370" t="s">
        <v>9701</v>
      </c>
      <c r="K370" t="s">
        <v>16049</v>
      </c>
      <c r="L370" t="s">
        <v>16050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16051</v>
      </c>
      <c r="J371" t="s">
        <v>9701</v>
      </c>
      <c r="K371" t="s">
        <v>16052</v>
      </c>
      <c r="L371" t="s">
        <v>16053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16054</v>
      </c>
      <c r="J372" t="s">
        <v>9701</v>
      </c>
      <c r="K372" t="s">
        <v>16055</v>
      </c>
      <c r="L372" t="s">
        <v>16056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16057</v>
      </c>
      <c r="J373" t="s">
        <v>9701</v>
      </c>
      <c r="K373" t="s">
        <v>16058</v>
      </c>
      <c r="L373" t="s">
        <v>16059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16060</v>
      </c>
      <c r="J374" t="s">
        <v>9701</v>
      </c>
      <c r="K374" t="s">
        <v>16061</v>
      </c>
      <c r="L374" t="s">
        <v>16062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16063</v>
      </c>
      <c r="J375" t="s">
        <v>9701</v>
      </c>
      <c r="K375" t="s">
        <v>16064</v>
      </c>
      <c r="L375" t="s">
        <v>16065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16066</v>
      </c>
      <c r="J376" t="s">
        <v>9701</v>
      </c>
      <c r="K376" t="s">
        <v>16067</v>
      </c>
      <c r="L376" t="s">
        <v>16068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16069</v>
      </c>
      <c r="J377" t="s">
        <v>9701</v>
      </c>
      <c r="K377" t="s">
        <v>16070</v>
      </c>
      <c r="L377" t="s">
        <v>16071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16072</v>
      </c>
      <c r="J378" t="s">
        <v>9701</v>
      </c>
      <c r="K378" t="s">
        <v>16073</v>
      </c>
      <c r="L378" t="s">
        <v>16074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16075</v>
      </c>
      <c r="J379" t="s">
        <v>9701</v>
      </c>
      <c r="K379" t="s">
        <v>16076</v>
      </c>
      <c r="L379" t="s">
        <v>16077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16078</v>
      </c>
      <c r="J380" t="s">
        <v>9701</v>
      </c>
      <c r="K380" t="s">
        <v>16079</v>
      </c>
      <c r="L380" t="s">
        <v>16080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16081</v>
      </c>
      <c r="J381" t="s">
        <v>9701</v>
      </c>
      <c r="K381" t="s">
        <v>16082</v>
      </c>
      <c r="L381" t="s">
        <v>16083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16084</v>
      </c>
      <c r="J382" t="s">
        <v>9701</v>
      </c>
      <c r="K382" t="s">
        <v>16085</v>
      </c>
      <c r="L382" t="s">
        <v>16086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16087</v>
      </c>
      <c r="J383" t="s">
        <v>9701</v>
      </c>
      <c r="K383" t="s">
        <v>16088</v>
      </c>
      <c r="L383" t="s">
        <v>16089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16090</v>
      </c>
      <c r="J384" t="s">
        <v>9701</v>
      </c>
      <c r="K384" t="s">
        <v>16091</v>
      </c>
      <c r="L384" t="s">
        <v>16092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16093</v>
      </c>
      <c r="J385" t="s">
        <v>9701</v>
      </c>
      <c r="K385" t="s">
        <v>16094</v>
      </c>
      <c r="L385" t="s">
        <v>16095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16096</v>
      </c>
      <c r="J386" t="s">
        <v>9701</v>
      </c>
      <c r="K386" t="s">
        <v>16097</v>
      </c>
      <c r="L386" t="s">
        <v>16098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16099</v>
      </c>
      <c r="J387" t="s">
        <v>9701</v>
      </c>
      <c r="K387" t="s">
        <v>16100</v>
      </c>
      <c r="L387" t="s">
        <v>16101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16102</v>
      </c>
      <c r="J388" t="s">
        <v>9701</v>
      </c>
      <c r="K388" t="s">
        <v>16103</v>
      </c>
      <c r="L388" t="s">
        <v>16104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16105</v>
      </c>
      <c r="J389" t="s">
        <v>9701</v>
      </c>
      <c r="K389" t="s">
        <v>16106</v>
      </c>
      <c r="L389" t="s">
        <v>16107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16108</v>
      </c>
      <c r="J390" t="s">
        <v>9701</v>
      </c>
      <c r="K390" t="s">
        <v>16109</v>
      </c>
      <c r="L390" t="s">
        <v>16110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16111</v>
      </c>
      <c r="J391" t="s">
        <v>9701</v>
      </c>
      <c r="K391" t="s">
        <v>16112</v>
      </c>
      <c r="L391" t="s">
        <v>16113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16114</v>
      </c>
      <c r="J392" t="s">
        <v>9701</v>
      </c>
      <c r="K392" t="s">
        <v>16115</v>
      </c>
      <c r="L392" t="s">
        <v>16116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16117</v>
      </c>
      <c r="J393" t="s">
        <v>9701</v>
      </c>
      <c r="K393" t="s">
        <v>16118</v>
      </c>
      <c r="L393" t="s">
        <v>16119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16120</v>
      </c>
      <c r="J394" t="s">
        <v>9701</v>
      </c>
      <c r="K394" t="s">
        <v>16121</v>
      </c>
      <c r="L394" t="s">
        <v>16122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16123</v>
      </c>
      <c r="J395" t="s">
        <v>9701</v>
      </c>
      <c r="K395" t="s">
        <v>16124</v>
      </c>
      <c r="L395" t="s">
        <v>16125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16126</v>
      </c>
      <c r="J396" t="s">
        <v>9701</v>
      </c>
      <c r="K396" t="s">
        <v>16127</v>
      </c>
      <c r="L396" t="s">
        <v>16128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16129</v>
      </c>
      <c r="J397" t="s">
        <v>9701</v>
      </c>
      <c r="K397" t="s">
        <v>16130</v>
      </c>
      <c r="L397" t="s">
        <v>16131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16132</v>
      </c>
      <c r="J398" t="s">
        <v>9701</v>
      </c>
      <c r="K398" t="s">
        <v>16133</v>
      </c>
      <c r="L398" t="s">
        <v>16134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16135</v>
      </c>
      <c r="J399" t="s">
        <v>9701</v>
      </c>
      <c r="K399" t="s">
        <v>16136</v>
      </c>
      <c r="L399" t="s">
        <v>16137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16138</v>
      </c>
      <c r="J400" t="s">
        <v>9701</v>
      </c>
      <c r="K400" t="s">
        <v>16139</v>
      </c>
      <c r="L400" t="s">
        <v>16140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16141</v>
      </c>
      <c r="J401" t="s">
        <v>9701</v>
      </c>
      <c r="K401" t="s">
        <v>16142</v>
      </c>
      <c r="L401" t="s">
        <v>16143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16144</v>
      </c>
      <c r="J402" t="s">
        <v>9701</v>
      </c>
      <c r="K402" t="s">
        <v>16145</v>
      </c>
      <c r="L402" t="s">
        <v>16146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16147</v>
      </c>
      <c r="J403" t="s">
        <v>9701</v>
      </c>
      <c r="K403" t="s">
        <v>16148</v>
      </c>
      <c r="L403" t="s">
        <v>16149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16150</v>
      </c>
      <c r="J404" t="s">
        <v>9701</v>
      </c>
      <c r="K404" t="s">
        <v>16151</v>
      </c>
      <c r="L404" t="s">
        <v>16152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31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30" priority="13" operator="notContains" text="порожний">
      <formula>ISERROR(SEARCH("порожний",F2))</formula>
    </cfRule>
  </conditionalFormatting>
  <conditionalFormatting sqref="E2:E418">
    <cfRule type="containsText" dxfId="29" priority="11" operator="containsText" text="Газель базы">
      <formula>NOT(ISERROR(SEARCH("Газель базы",E2)))</formula>
    </cfRule>
    <cfRule type="containsText" dxfId="28" priority="12" operator="containsText" text="Погрузчик базы">
      <formula>NOT(ISERROR(SEARCH("Погрузчик базы",E2)))</formula>
    </cfRule>
  </conditionalFormatting>
  <conditionalFormatting sqref="E2:E418">
    <cfRule type="containsText" dxfId="27" priority="10" operator="containsText" text="Трактор базы">
      <formula>NOT(ISERROR(SEARCH("Трактор базы",E2)))</formula>
    </cfRule>
  </conditionalFormatting>
  <conditionalFormatting sqref="A2:C404">
    <cfRule type="expression" dxfId="26" priority="9">
      <formula>$A2="пн"</formula>
    </cfRule>
  </conditionalFormatting>
  <conditionalFormatting sqref="A2:C406">
    <cfRule type="expression" dxfId="25" priority="3">
      <formula>$A2="вс"</formula>
    </cfRule>
    <cfRule type="expression" dxfId="24" priority="4">
      <formula>$A2="сб"</formula>
    </cfRule>
    <cfRule type="expression" dxfId="23" priority="5">
      <formula>$A2="пт"</formula>
    </cfRule>
    <cfRule type="expression" dxfId="22" priority="6">
      <formula>$A2="чт"</formula>
    </cfRule>
    <cfRule type="expression" dxfId="21" priority="7">
      <formula>$A2="ср"</formula>
    </cfRule>
    <cfRule type="expression" dxfId="20" priority="8">
      <formula>$A2="вт"</formula>
    </cfRule>
  </conditionalFormatting>
  <conditionalFormatting sqref="D2:D415">
    <cfRule type="containsText" dxfId="1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1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311"/>
  <sheetViews>
    <sheetView topLeftCell="A231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s="8" t="s">
        <v>1122</v>
      </c>
      <c r="J2" s="8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0.43606481481481479</v>
      </c>
      <c r="D3" s="1" t="s">
        <v>403</v>
      </c>
      <c r="E3" t="s">
        <v>67</v>
      </c>
      <c r="F3" t="s">
        <v>406</v>
      </c>
      <c r="H3" t="s">
        <v>407</v>
      </c>
      <c r="I3" s="8" t="s">
        <v>346</v>
      </c>
      <c r="J3" s="8" t="s">
        <v>271</v>
      </c>
      <c r="K3" t="s">
        <v>347</v>
      </c>
      <c r="L3" t="s">
        <v>348</v>
      </c>
      <c r="M3" s="2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3">
        <v>45972</v>
      </c>
      <c r="C4" s="5">
        <v>0.46743055555555557</v>
      </c>
      <c r="D4" s="1" t="s">
        <v>403</v>
      </c>
      <c r="E4" t="s">
        <v>63</v>
      </c>
      <c r="F4" t="s">
        <v>58</v>
      </c>
      <c r="H4" t="s">
        <v>1287</v>
      </c>
      <c r="I4" s="8" t="s">
        <v>1162</v>
      </c>
      <c r="J4" s="8" t="s">
        <v>1062</v>
      </c>
      <c r="K4" t="s">
        <v>1163</v>
      </c>
      <c r="L4" t="s">
        <v>1164</v>
      </c>
      <c r="M4" s="2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3">
        <v>45972</v>
      </c>
      <c r="C5" s="5">
        <v>0.47805555555555557</v>
      </c>
      <c r="D5" s="1" t="s">
        <v>1283</v>
      </c>
      <c r="E5" t="s">
        <v>63</v>
      </c>
      <c r="F5" t="s">
        <v>58</v>
      </c>
      <c r="H5" t="s">
        <v>1287</v>
      </c>
      <c r="I5" s="8" t="s">
        <v>1165</v>
      </c>
      <c r="J5" s="8" t="s">
        <v>1062</v>
      </c>
      <c r="K5" t="s">
        <v>1166</v>
      </c>
      <c r="L5" t="s">
        <v>1167</v>
      </c>
      <c r="M5" s="2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3">
        <v>45972</v>
      </c>
      <c r="C6" s="5">
        <v>0.42944444444444446</v>
      </c>
      <c r="D6" s="1" t="s">
        <v>403</v>
      </c>
      <c r="E6" t="s">
        <v>67</v>
      </c>
      <c r="F6" t="s">
        <v>405</v>
      </c>
      <c r="I6" s="8" t="s">
        <v>337</v>
      </c>
      <c r="J6" s="8" t="s">
        <v>271</v>
      </c>
      <c r="K6" t="s">
        <v>338</v>
      </c>
      <c r="L6" t="s">
        <v>339</v>
      </c>
      <c r="M6" s="2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3">
        <v>45972</v>
      </c>
      <c r="C7" s="5">
        <v>0.4316550925925926</v>
      </c>
      <c r="D7" s="1" t="s">
        <v>403</v>
      </c>
      <c r="E7" t="s">
        <v>67</v>
      </c>
      <c r="F7" t="s">
        <v>405</v>
      </c>
      <c r="I7" s="8" t="s">
        <v>340</v>
      </c>
      <c r="J7" s="8" t="s">
        <v>271</v>
      </c>
      <c r="K7" t="s">
        <v>341</v>
      </c>
      <c r="L7" t="s">
        <v>342</v>
      </c>
      <c r="M7" s="2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3">
        <v>45972</v>
      </c>
      <c r="C8" s="5">
        <v>0.43408564814814815</v>
      </c>
      <c r="D8" s="1" t="s">
        <v>403</v>
      </c>
      <c r="E8" t="s">
        <v>67</v>
      </c>
      <c r="F8" t="s">
        <v>405</v>
      </c>
      <c r="I8" s="8" t="s">
        <v>343</v>
      </c>
      <c r="J8" s="8" t="s">
        <v>271</v>
      </c>
      <c r="K8" t="s">
        <v>344</v>
      </c>
      <c r="L8" t="s">
        <v>345</v>
      </c>
      <c r="M8" s="2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3">
        <v>45972</v>
      </c>
      <c r="C9" s="5">
        <v>0.48200231481481481</v>
      </c>
      <c r="D9" s="1" t="s">
        <v>1283</v>
      </c>
      <c r="E9" t="s">
        <v>63</v>
      </c>
      <c r="F9" t="s">
        <v>58</v>
      </c>
      <c r="H9" t="s">
        <v>1287</v>
      </c>
      <c r="I9" s="8" t="s">
        <v>1168</v>
      </c>
      <c r="J9" s="8" t="s">
        <v>1062</v>
      </c>
      <c r="K9" t="s">
        <v>1169</v>
      </c>
      <c r="L9" t="s">
        <v>1170</v>
      </c>
      <c r="M9" s="2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3">
        <v>45972</v>
      </c>
      <c r="C10" s="5">
        <v>0.51658564814814811</v>
      </c>
      <c r="D10" s="1" t="s">
        <v>1283</v>
      </c>
      <c r="E10" t="s">
        <v>55</v>
      </c>
      <c r="F10" t="s">
        <v>1286</v>
      </c>
      <c r="H10" t="s">
        <v>1287</v>
      </c>
      <c r="I10" s="8" t="s">
        <v>1184</v>
      </c>
      <c r="J10" s="8" t="s">
        <v>1062</v>
      </c>
      <c r="K10" t="s">
        <v>1185</v>
      </c>
      <c r="L10" t="s">
        <v>1186</v>
      </c>
      <c r="M10" s="2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3">
        <v>45972</v>
      </c>
      <c r="C11" s="5">
        <v>0.52825231481481483</v>
      </c>
      <c r="D11" s="1" t="s">
        <v>1283</v>
      </c>
      <c r="E11" t="s">
        <v>55</v>
      </c>
      <c r="F11" t="s">
        <v>1288</v>
      </c>
      <c r="I11" s="8" t="s">
        <v>1187</v>
      </c>
      <c r="J11" s="8" t="s">
        <v>1062</v>
      </c>
      <c r="K11" t="s">
        <v>1188</v>
      </c>
      <c r="L11" t="s">
        <v>1189</v>
      </c>
      <c r="M11" s="2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3">
        <v>45972</v>
      </c>
      <c r="C12" s="5">
        <v>0.52853009259259254</v>
      </c>
      <c r="D12" s="1" t="s">
        <v>1283</v>
      </c>
      <c r="E12" t="s">
        <v>55</v>
      </c>
      <c r="F12" t="s">
        <v>1289</v>
      </c>
      <c r="I12" s="8" t="s">
        <v>1190</v>
      </c>
      <c r="J12" s="8" t="s">
        <v>1062</v>
      </c>
      <c r="K12" t="s">
        <v>1191</v>
      </c>
      <c r="L12" t="s">
        <v>1192</v>
      </c>
      <c r="M12" s="2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3">
        <v>45972</v>
      </c>
      <c r="C13" s="5">
        <v>0.50693287037037038</v>
      </c>
      <c r="D13" s="1" t="s">
        <v>403</v>
      </c>
      <c r="E13" t="s">
        <v>55</v>
      </c>
      <c r="F13" t="s">
        <v>1284</v>
      </c>
      <c r="H13" t="s">
        <v>1285</v>
      </c>
      <c r="I13" s="8" t="s">
        <v>1175</v>
      </c>
      <c r="J13" s="8" t="s">
        <v>1062</v>
      </c>
      <c r="K13" t="s">
        <v>1176</v>
      </c>
      <c r="L13" t="s">
        <v>1177</v>
      </c>
      <c r="M13" s="2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3">
        <v>45972</v>
      </c>
      <c r="C14" s="5">
        <v>0.50932870370370376</v>
      </c>
      <c r="D14" s="1" t="s">
        <v>1283</v>
      </c>
      <c r="E14" t="s">
        <v>55</v>
      </c>
      <c r="F14" t="s">
        <v>1284</v>
      </c>
      <c r="H14" t="s">
        <v>1285</v>
      </c>
      <c r="I14" s="8" t="s">
        <v>1178</v>
      </c>
      <c r="J14" s="8" t="s">
        <v>1062</v>
      </c>
      <c r="K14" t="s">
        <v>1179</v>
      </c>
      <c r="L14" t="s">
        <v>1180</v>
      </c>
      <c r="M14" s="2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3">
        <v>45972</v>
      </c>
      <c r="C15" s="5">
        <v>0.51362268518518517</v>
      </c>
      <c r="D15" s="1" t="s">
        <v>1283</v>
      </c>
      <c r="E15" t="s">
        <v>55</v>
      </c>
      <c r="F15" t="s">
        <v>1284</v>
      </c>
      <c r="H15" t="s">
        <v>1285</v>
      </c>
      <c r="I15" s="8" t="s">
        <v>1181</v>
      </c>
      <c r="J15" s="8" t="s">
        <v>1062</v>
      </c>
      <c r="K15" t="s">
        <v>1182</v>
      </c>
      <c r="L15" t="s">
        <v>1183</v>
      </c>
      <c r="M15" s="2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3">
        <v>45972</v>
      </c>
      <c r="C16" s="5">
        <v>0.40597222222222223</v>
      </c>
      <c r="D16" s="1" t="s">
        <v>403</v>
      </c>
      <c r="E16" t="s">
        <v>67</v>
      </c>
      <c r="F16" t="s">
        <v>405</v>
      </c>
      <c r="I16" s="8" t="s">
        <v>313</v>
      </c>
      <c r="J16" s="8" t="s">
        <v>271</v>
      </c>
      <c r="K16" t="s">
        <v>314</v>
      </c>
      <c r="L16" t="s">
        <v>315</v>
      </c>
      <c r="M16" s="2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3">
        <v>45972</v>
      </c>
      <c r="C17" s="5">
        <v>0.40881944444444446</v>
      </c>
      <c r="D17" s="1" t="s">
        <v>403</v>
      </c>
      <c r="E17" t="s">
        <v>67</v>
      </c>
      <c r="F17" t="s">
        <v>405</v>
      </c>
      <c r="I17" s="8" t="s">
        <v>316</v>
      </c>
      <c r="J17" s="8" t="s">
        <v>271</v>
      </c>
      <c r="K17" t="s">
        <v>317</v>
      </c>
      <c r="L17" t="s">
        <v>318</v>
      </c>
      <c r="M17" s="2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3">
        <v>45972</v>
      </c>
      <c r="C18" s="5">
        <v>0.4105787037037037</v>
      </c>
      <c r="D18" s="1" t="s">
        <v>403</v>
      </c>
      <c r="E18" t="s">
        <v>67</v>
      </c>
      <c r="F18" t="s">
        <v>405</v>
      </c>
      <c r="I18" s="8" t="s">
        <v>319</v>
      </c>
      <c r="J18" s="8" t="s">
        <v>271</v>
      </c>
      <c r="K18" t="s">
        <v>320</v>
      </c>
      <c r="L18" t="s">
        <v>321</v>
      </c>
      <c r="M18" s="2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3">
        <v>45972</v>
      </c>
      <c r="C19" s="5">
        <v>0.39787037037037037</v>
      </c>
      <c r="D19" s="1" t="s">
        <v>403</v>
      </c>
      <c r="E19" t="s">
        <v>67</v>
      </c>
      <c r="F19" t="s">
        <v>405</v>
      </c>
      <c r="I19" s="8" t="s">
        <v>304</v>
      </c>
      <c r="J19" s="8" t="s">
        <v>271</v>
      </c>
      <c r="K19" t="s">
        <v>305</v>
      </c>
      <c r="L19" t="s">
        <v>306</v>
      </c>
      <c r="M19" s="2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3">
        <v>45972</v>
      </c>
      <c r="C20" s="5">
        <v>0.40370370370370373</v>
      </c>
      <c r="D20" s="1" t="s">
        <v>403</v>
      </c>
      <c r="E20" t="s">
        <v>67</v>
      </c>
      <c r="F20" t="s">
        <v>405</v>
      </c>
      <c r="I20" s="8" t="s">
        <v>307</v>
      </c>
      <c r="J20" s="8" t="s">
        <v>271</v>
      </c>
      <c r="K20" t="s">
        <v>308</v>
      </c>
      <c r="L20" t="s">
        <v>309</v>
      </c>
      <c r="M20" s="2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3">
        <v>45972</v>
      </c>
      <c r="C21" s="5">
        <v>0.40377314814814813</v>
      </c>
      <c r="D21" s="1" t="s">
        <v>403</v>
      </c>
      <c r="E21" t="s">
        <v>67</v>
      </c>
      <c r="F21" t="s">
        <v>405</v>
      </c>
      <c r="I21" s="8" t="s">
        <v>310</v>
      </c>
      <c r="J21" s="8" t="s">
        <v>271</v>
      </c>
      <c r="K21" t="s">
        <v>311</v>
      </c>
      <c r="L21" t="s">
        <v>312</v>
      </c>
      <c r="M21" s="2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3">
        <v>45972</v>
      </c>
      <c r="C22" s="5">
        <v>0.41627314814814814</v>
      </c>
      <c r="D22" s="1" t="s">
        <v>403</v>
      </c>
      <c r="E22" t="s">
        <v>67</v>
      </c>
      <c r="F22" t="s">
        <v>405</v>
      </c>
      <c r="I22" s="8" t="s">
        <v>328</v>
      </c>
      <c r="J22" s="8" t="s">
        <v>271</v>
      </c>
      <c r="K22" t="s">
        <v>329</v>
      </c>
      <c r="L22" t="s">
        <v>330</v>
      </c>
      <c r="M22" s="2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3">
        <v>45972</v>
      </c>
      <c r="C23" s="5">
        <v>0.4226273148148148</v>
      </c>
      <c r="D23" s="1" t="s">
        <v>403</v>
      </c>
      <c r="E23" t="s">
        <v>67</v>
      </c>
      <c r="F23" t="s">
        <v>405</v>
      </c>
      <c r="I23" s="8" t="s">
        <v>331</v>
      </c>
      <c r="J23" s="8" t="s">
        <v>271</v>
      </c>
      <c r="K23" t="s">
        <v>332</v>
      </c>
      <c r="L23" t="s">
        <v>333</v>
      </c>
      <c r="M23" s="2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3">
        <v>45972</v>
      </c>
      <c r="C24" s="5">
        <v>0.42736111111111114</v>
      </c>
      <c r="D24" s="1" t="s">
        <v>403</v>
      </c>
      <c r="E24" t="s">
        <v>67</v>
      </c>
      <c r="F24" t="s">
        <v>405</v>
      </c>
      <c r="I24" s="8" t="s">
        <v>334</v>
      </c>
      <c r="J24" s="8" t="s">
        <v>271</v>
      </c>
      <c r="K24" t="s">
        <v>335</v>
      </c>
      <c r="L24" t="s">
        <v>336</v>
      </c>
      <c r="M24" s="2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3">
        <v>45972</v>
      </c>
      <c r="C25" s="5">
        <v>0.41136574074074073</v>
      </c>
      <c r="D25" s="1" t="s">
        <v>403</v>
      </c>
      <c r="E25" t="s">
        <v>67</v>
      </c>
      <c r="F25" t="s">
        <v>405</v>
      </c>
      <c r="I25" s="8" t="s">
        <v>322</v>
      </c>
      <c r="J25" s="8" t="s">
        <v>271</v>
      </c>
      <c r="K25" t="s">
        <v>323</v>
      </c>
      <c r="L25" t="s">
        <v>324</v>
      </c>
      <c r="M25" s="2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3">
        <v>45972</v>
      </c>
      <c r="C26" s="5">
        <v>0.41312500000000002</v>
      </c>
      <c r="D26" s="1" t="s">
        <v>403</v>
      </c>
      <c r="E26" t="s">
        <v>67</v>
      </c>
      <c r="F26" t="s">
        <v>405</v>
      </c>
      <c r="I26" s="8" t="s">
        <v>325</v>
      </c>
      <c r="J26" s="8" t="s">
        <v>271</v>
      </c>
      <c r="K26" t="s">
        <v>326</v>
      </c>
      <c r="L26" t="s">
        <v>327</v>
      </c>
      <c r="M26" s="2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3">
        <v>45974</v>
      </c>
      <c r="C27" s="5">
        <v>0.38524305555555555</v>
      </c>
      <c r="D27" s="1" t="s">
        <v>403</v>
      </c>
      <c r="E27" t="s">
        <v>70</v>
      </c>
      <c r="F27" t="s">
        <v>58</v>
      </c>
      <c r="H27" t="s">
        <v>1287</v>
      </c>
      <c r="I27" s="8" t="s">
        <v>1215</v>
      </c>
      <c r="J27" s="8" t="s">
        <v>1062</v>
      </c>
      <c r="K27" t="s">
        <v>1216</v>
      </c>
      <c r="L27" t="s">
        <v>1217</v>
      </c>
      <c r="M27" s="2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3">
        <v>45974</v>
      </c>
      <c r="C28" s="5">
        <v>0.38702546296296297</v>
      </c>
      <c r="D28" s="1" t="s">
        <v>403</v>
      </c>
      <c r="E28" t="s">
        <v>70</v>
      </c>
      <c r="F28" t="s">
        <v>58</v>
      </c>
      <c r="H28" t="s">
        <v>1287</v>
      </c>
      <c r="I28" s="8" t="s">
        <v>1218</v>
      </c>
      <c r="J28" s="8" t="s">
        <v>1062</v>
      </c>
      <c r="K28" t="s">
        <v>1219</v>
      </c>
      <c r="L28" t="s">
        <v>1220</v>
      </c>
      <c r="M28" s="2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s="8" t="s">
        <v>1025</v>
      </c>
      <c r="J29" s="8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0.43355324074074075</v>
      </c>
      <c r="D30" s="1" t="s">
        <v>1283</v>
      </c>
      <c r="E30" t="s">
        <v>2336</v>
      </c>
      <c r="F30" t="s">
        <v>58</v>
      </c>
      <c r="H30" t="s">
        <v>2373</v>
      </c>
      <c r="I30" s="8" t="s">
        <v>2158</v>
      </c>
      <c r="J30" s="8" t="s">
        <v>1062</v>
      </c>
      <c r="K30" t="s">
        <v>2159</v>
      </c>
      <c r="L30" t="s">
        <v>2031</v>
      </c>
      <c r="M30" s="2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3">
        <v>45979</v>
      </c>
      <c r="C31" s="5">
        <v>0.43384259259259261</v>
      </c>
      <c r="D31" s="1" t="s">
        <v>1283</v>
      </c>
      <c r="E31" t="s">
        <v>2336</v>
      </c>
      <c r="F31" t="s">
        <v>58</v>
      </c>
      <c r="H31" t="s">
        <v>2373</v>
      </c>
      <c r="I31" s="8" t="s">
        <v>2160</v>
      </c>
      <c r="J31" s="8" t="s">
        <v>1062</v>
      </c>
      <c r="K31" t="s">
        <v>2161</v>
      </c>
      <c r="L31" t="s">
        <v>2162</v>
      </c>
      <c r="M31" s="2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3">
        <v>45979</v>
      </c>
      <c r="C32" s="5">
        <v>0.43287037037037035</v>
      </c>
      <c r="D32" s="1" t="s">
        <v>403</v>
      </c>
      <c r="E32" t="s">
        <v>2336</v>
      </c>
      <c r="F32" t="s">
        <v>58</v>
      </c>
      <c r="H32" t="s">
        <v>2373</v>
      </c>
      <c r="I32" s="8" t="s">
        <v>2156</v>
      </c>
      <c r="J32" s="8" t="s">
        <v>1062</v>
      </c>
      <c r="K32" t="s">
        <v>2157</v>
      </c>
      <c r="L32" t="s">
        <v>2020</v>
      </c>
      <c r="M32" s="2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3">
        <v>45979</v>
      </c>
      <c r="C33" s="5">
        <v>0.38895833333333335</v>
      </c>
      <c r="D33" s="1" t="s">
        <v>1283</v>
      </c>
      <c r="E33" t="s">
        <v>70</v>
      </c>
      <c r="F33" t="s">
        <v>2368</v>
      </c>
      <c r="H33" t="s">
        <v>2372</v>
      </c>
      <c r="I33" s="8" t="s">
        <v>2143</v>
      </c>
      <c r="J33" s="8" t="s">
        <v>1062</v>
      </c>
      <c r="K33" t="s">
        <v>2144</v>
      </c>
      <c r="L33" t="s">
        <v>2145</v>
      </c>
      <c r="M33" s="2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3">
        <v>45979</v>
      </c>
      <c r="C34" s="5">
        <v>0.43306712962962962</v>
      </c>
      <c r="D34" s="1" t="s">
        <v>1283</v>
      </c>
      <c r="E34" t="s">
        <v>2336</v>
      </c>
      <c r="F34" t="s">
        <v>58</v>
      </c>
      <c r="H34" t="s">
        <v>2373</v>
      </c>
      <c r="I34" s="8" t="s">
        <v>2021</v>
      </c>
      <c r="J34" s="8" t="s">
        <v>1295</v>
      </c>
      <c r="K34" t="s">
        <v>2022</v>
      </c>
      <c r="L34" t="s">
        <v>2023</v>
      </c>
      <c r="M34" s="2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3">
        <v>45979</v>
      </c>
      <c r="C35" s="5">
        <v>0.43386574074074075</v>
      </c>
      <c r="D35" s="1" t="s">
        <v>1283</v>
      </c>
      <c r="E35" t="s">
        <v>2336</v>
      </c>
      <c r="F35" t="s">
        <v>58</v>
      </c>
      <c r="H35" t="s">
        <v>2373</v>
      </c>
      <c r="I35" s="8" t="s">
        <v>2035</v>
      </c>
      <c r="J35" s="8" t="s">
        <v>1295</v>
      </c>
      <c r="K35" t="s">
        <v>2036</v>
      </c>
      <c r="L35" t="s">
        <v>2037</v>
      </c>
      <c r="M35" s="2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3">
        <v>45979</v>
      </c>
      <c r="C36" s="5">
        <v>0.43373842592592593</v>
      </c>
      <c r="D36" s="1" t="s">
        <v>1283</v>
      </c>
      <c r="E36" t="s">
        <v>2336</v>
      </c>
      <c r="F36" t="s">
        <v>58</v>
      </c>
      <c r="H36" t="s">
        <v>2373</v>
      </c>
      <c r="I36" s="8" t="s">
        <v>2032</v>
      </c>
      <c r="J36" s="8" t="s">
        <v>1295</v>
      </c>
      <c r="K36" t="s">
        <v>2033</v>
      </c>
      <c r="L36" t="s">
        <v>2034</v>
      </c>
      <c r="M36" s="2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3">
        <v>45979</v>
      </c>
      <c r="C37" s="5">
        <v>0.4332523148148148</v>
      </c>
      <c r="D37" s="1" t="s">
        <v>1283</v>
      </c>
      <c r="E37" t="s">
        <v>2336</v>
      </c>
      <c r="F37" t="s">
        <v>58</v>
      </c>
      <c r="H37" t="s">
        <v>2373</v>
      </c>
      <c r="I37" s="8" t="s">
        <v>2024</v>
      </c>
      <c r="J37" s="8" t="s">
        <v>1295</v>
      </c>
      <c r="K37" t="s">
        <v>2025</v>
      </c>
      <c r="L37" t="s">
        <v>2026</v>
      </c>
      <c r="M37" s="2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s="8" t="s">
        <v>2027</v>
      </c>
      <c r="J38" s="8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0.38112268518518516</v>
      </c>
      <c r="D39" s="1" t="s">
        <v>1283</v>
      </c>
      <c r="E39" t="s">
        <v>70</v>
      </c>
      <c r="F39" t="s">
        <v>58</v>
      </c>
      <c r="H39" t="s">
        <v>2372</v>
      </c>
      <c r="I39" s="8" t="s">
        <v>2128</v>
      </c>
      <c r="J39" s="8" t="s">
        <v>1062</v>
      </c>
      <c r="K39" t="s">
        <v>2129</v>
      </c>
      <c r="L39" t="s">
        <v>2130</v>
      </c>
      <c r="M39" s="2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3">
        <v>45979</v>
      </c>
      <c r="C40" s="5">
        <v>0.58296296296296302</v>
      </c>
      <c r="D40" s="1" t="s">
        <v>226</v>
      </c>
      <c r="E40" t="s">
        <v>2343</v>
      </c>
      <c r="F40" t="s">
        <v>58</v>
      </c>
      <c r="H40" t="s">
        <v>2344</v>
      </c>
      <c r="I40" s="8" t="s">
        <v>1663</v>
      </c>
      <c r="J40" s="8" t="s">
        <v>169</v>
      </c>
      <c r="K40" t="s">
        <v>1664</v>
      </c>
      <c r="L40" t="s">
        <v>1665</v>
      </c>
      <c r="M40" s="2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3">
        <v>45979</v>
      </c>
      <c r="C41" s="5">
        <v>0.38093749999999998</v>
      </c>
      <c r="D41" s="1" t="s">
        <v>403</v>
      </c>
      <c r="E41" t="s">
        <v>70</v>
      </c>
      <c r="F41" t="s">
        <v>58</v>
      </c>
      <c r="H41" t="s">
        <v>2372</v>
      </c>
      <c r="I41" s="8" t="s">
        <v>2122</v>
      </c>
      <c r="J41" s="8" t="s">
        <v>1062</v>
      </c>
      <c r="K41" t="s">
        <v>2123</v>
      </c>
      <c r="L41" t="s">
        <v>2124</v>
      </c>
      <c r="M41" s="2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3">
        <v>45979</v>
      </c>
      <c r="C42" s="5">
        <v>0.38103009259259257</v>
      </c>
      <c r="D42" s="1" t="s">
        <v>1283</v>
      </c>
      <c r="E42" t="s">
        <v>70</v>
      </c>
      <c r="F42" t="s">
        <v>58</v>
      </c>
      <c r="H42" t="s">
        <v>2372</v>
      </c>
      <c r="I42" s="8" t="s">
        <v>2125</v>
      </c>
      <c r="J42" s="8" t="s">
        <v>1062</v>
      </c>
      <c r="K42" t="s">
        <v>2126</v>
      </c>
      <c r="L42" t="s">
        <v>2127</v>
      </c>
      <c r="M42" s="2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3">
        <v>45979</v>
      </c>
      <c r="C43" s="5">
        <v>0.38765046296296296</v>
      </c>
      <c r="D43" s="1" t="s">
        <v>1283</v>
      </c>
      <c r="E43" t="s">
        <v>70</v>
      </c>
      <c r="F43" t="s">
        <v>2366</v>
      </c>
      <c r="H43" t="s">
        <v>2372</v>
      </c>
      <c r="I43" s="8" t="s">
        <v>2137</v>
      </c>
      <c r="J43" s="8" t="s">
        <v>1062</v>
      </c>
      <c r="K43" t="s">
        <v>2138</v>
      </c>
      <c r="L43" t="s">
        <v>2139</v>
      </c>
      <c r="M43" s="2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3">
        <v>45979</v>
      </c>
      <c r="C44" s="5">
        <v>0.38149305555555557</v>
      </c>
      <c r="D44" s="1" t="s">
        <v>1283</v>
      </c>
      <c r="E44" t="s">
        <v>70</v>
      </c>
      <c r="F44" t="s">
        <v>58</v>
      </c>
      <c r="H44" t="s">
        <v>2372</v>
      </c>
      <c r="I44" s="8" t="s">
        <v>2131</v>
      </c>
      <c r="J44" s="8" t="s">
        <v>1062</v>
      </c>
      <c r="K44" t="s">
        <v>2132</v>
      </c>
      <c r="L44" t="s">
        <v>2133</v>
      </c>
      <c r="M44" s="2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3">
        <v>45979</v>
      </c>
      <c r="C45" s="5">
        <v>0.38665509259259262</v>
      </c>
      <c r="D45" s="1" t="s">
        <v>1283</v>
      </c>
      <c r="E45" t="s">
        <v>70</v>
      </c>
      <c r="F45" t="s">
        <v>58</v>
      </c>
      <c r="H45" t="s">
        <v>2372</v>
      </c>
      <c r="I45" s="8" t="s">
        <v>2134</v>
      </c>
      <c r="J45" s="8" t="s">
        <v>1062</v>
      </c>
      <c r="K45" t="s">
        <v>2135</v>
      </c>
      <c r="L45" t="s">
        <v>2136</v>
      </c>
      <c r="M45" s="2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3">
        <v>45979</v>
      </c>
      <c r="C46" s="5">
        <v>0.3881134259259259</v>
      </c>
      <c r="D46" s="1" t="s">
        <v>1283</v>
      </c>
      <c r="E46" t="s">
        <v>70</v>
      </c>
      <c r="F46" t="s">
        <v>2367</v>
      </c>
      <c r="H46" t="s">
        <v>2372</v>
      </c>
      <c r="I46" s="8" t="s">
        <v>2140</v>
      </c>
      <c r="J46" s="8" t="s">
        <v>1062</v>
      </c>
      <c r="K46" t="s">
        <v>2141</v>
      </c>
      <c r="L46" t="s">
        <v>2142</v>
      </c>
      <c r="M46" s="2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3">
        <v>45980</v>
      </c>
      <c r="C47" s="5">
        <v>0.47888888888888886</v>
      </c>
      <c r="D47" s="1" t="s">
        <v>1283</v>
      </c>
      <c r="E47" t="s">
        <v>70</v>
      </c>
      <c r="F47" t="s">
        <v>2377</v>
      </c>
      <c r="H47" t="s">
        <v>2373</v>
      </c>
      <c r="I47" s="8" t="s">
        <v>2229</v>
      </c>
      <c r="J47" s="8" t="s">
        <v>1062</v>
      </c>
      <c r="K47" t="s">
        <v>2230</v>
      </c>
      <c r="L47" t="s">
        <v>2231</v>
      </c>
      <c r="M47" s="2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3">
        <v>45980</v>
      </c>
      <c r="C48" s="5">
        <v>0.47864583333333333</v>
      </c>
      <c r="D48" s="1" t="s">
        <v>1283</v>
      </c>
      <c r="E48" t="s">
        <v>70</v>
      </c>
      <c r="F48" t="s">
        <v>58</v>
      </c>
      <c r="H48" t="s">
        <v>2373</v>
      </c>
      <c r="I48" s="8" t="s">
        <v>2226</v>
      </c>
      <c r="J48" s="8" t="s">
        <v>1062</v>
      </c>
      <c r="K48" t="s">
        <v>2227</v>
      </c>
      <c r="L48" t="s">
        <v>2228</v>
      </c>
      <c r="M48" s="2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3">
        <v>45980</v>
      </c>
      <c r="C49" s="5">
        <v>0.47585648148148146</v>
      </c>
      <c r="D49" s="1" t="s">
        <v>1283</v>
      </c>
      <c r="E49" t="s">
        <v>70</v>
      </c>
      <c r="F49" t="s">
        <v>58</v>
      </c>
      <c r="H49" t="s">
        <v>2378</v>
      </c>
      <c r="I49" s="8" t="s">
        <v>2220</v>
      </c>
      <c r="J49" s="8" t="s">
        <v>1062</v>
      </c>
      <c r="K49" t="s">
        <v>2221</v>
      </c>
      <c r="L49" t="s">
        <v>2222</v>
      </c>
      <c r="M49" s="2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3">
        <v>45980</v>
      </c>
      <c r="C50" s="5">
        <v>0.47793981481481479</v>
      </c>
      <c r="D50" s="1" t="s">
        <v>1283</v>
      </c>
      <c r="E50" t="s">
        <v>70</v>
      </c>
      <c r="F50" t="s">
        <v>58</v>
      </c>
      <c r="H50" t="s">
        <v>2378</v>
      </c>
      <c r="I50" s="8" t="s">
        <v>2223</v>
      </c>
      <c r="J50" s="8" t="s">
        <v>1062</v>
      </c>
      <c r="K50" t="s">
        <v>2224</v>
      </c>
      <c r="L50" t="s">
        <v>2225</v>
      </c>
      <c r="M50" s="2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3">
        <v>45980</v>
      </c>
      <c r="C51" s="5">
        <v>0.47957175925925927</v>
      </c>
      <c r="D51" s="1" t="s">
        <v>1283</v>
      </c>
      <c r="E51" t="s">
        <v>70</v>
      </c>
      <c r="F51" t="s">
        <v>2377</v>
      </c>
      <c r="H51" t="s">
        <v>2373</v>
      </c>
      <c r="I51" s="8" t="s">
        <v>2241</v>
      </c>
      <c r="J51" s="8" t="s">
        <v>1062</v>
      </c>
      <c r="K51" t="s">
        <v>2242</v>
      </c>
      <c r="L51" t="s">
        <v>2243</v>
      </c>
      <c r="M51" s="2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3">
        <v>45980</v>
      </c>
      <c r="C52" s="5">
        <v>0.47385416666666669</v>
      </c>
      <c r="D52" s="1" t="s">
        <v>1283</v>
      </c>
      <c r="E52" t="s">
        <v>70</v>
      </c>
      <c r="F52" t="s">
        <v>58</v>
      </c>
      <c r="H52" t="s">
        <v>2378</v>
      </c>
      <c r="I52" s="8" t="s">
        <v>2211</v>
      </c>
      <c r="J52" s="8" t="s">
        <v>1062</v>
      </c>
      <c r="K52" t="s">
        <v>2212</v>
      </c>
      <c r="L52" t="s">
        <v>2213</v>
      </c>
      <c r="M52" s="2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3">
        <v>45980</v>
      </c>
      <c r="C53" s="5">
        <v>0.47950231481481481</v>
      </c>
      <c r="D53" s="1" t="s">
        <v>1283</v>
      </c>
      <c r="E53" t="s">
        <v>70</v>
      </c>
      <c r="F53" t="s">
        <v>2377</v>
      </c>
      <c r="H53" t="s">
        <v>2373</v>
      </c>
      <c r="I53" s="8" t="s">
        <v>2238</v>
      </c>
      <c r="J53" s="8" t="s">
        <v>1062</v>
      </c>
      <c r="K53" t="s">
        <v>2239</v>
      </c>
      <c r="L53" t="s">
        <v>2240</v>
      </c>
      <c r="M53" s="2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3">
        <v>45980</v>
      </c>
      <c r="C54" s="5">
        <v>0.4790625</v>
      </c>
      <c r="D54" s="1" t="s">
        <v>1283</v>
      </c>
      <c r="E54" t="s">
        <v>70</v>
      </c>
      <c r="F54" t="s">
        <v>2377</v>
      </c>
      <c r="H54" t="s">
        <v>2373</v>
      </c>
      <c r="I54" s="8" t="s">
        <v>2232</v>
      </c>
      <c r="J54" s="8" t="s">
        <v>1062</v>
      </c>
      <c r="K54" t="s">
        <v>2233</v>
      </c>
      <c r="L54" t="s">
        <v>2234</v>
      </c>
      <c r="M54" s="2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3">
        <v>45980</v>
      </c>
      <c r="C55" s="5">
        <v>0.47940972222222222</v>
      </c>
      <c r="D55" s="1" t="s">
        <v>1283</v>
      </c>
      <c r="E55" t="s">
        <v>70</v>
      </c>
      <c r="F55" t="s">
        <v>2377</v>
      </c>
      <c r="H55" t="s">
        <v>2373</v>
      </c>
      <c r="I55" s="8" t="s">
        <v>2235</v>
      </c>
      <c r="J55" s="8" t="s">
        <v>1062</v>
      </c>
      <c r="K55" t="s">
        <v>2236</v>
      </c>
      <c r="L55" t="s">
        <v>2237</v>
      </c>
      <c r="M55" s="2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3">
        <v>45980</v>
      </c>
      <c r="C56" s="5">
        <v>0.46491898148148147</v>
      </c>
      <c r="D56" s="1" t="s">
        <v>1283</v>
      </c>
      <c r="E56" t="s">
        <v>70</v>
      </c>
      <c r="F56" t="s">
        <v>58</v>
      </c>
      <c r="H56" t="s">
        <v>2372</v>
      </c>
      <c r="I56" s="8" t="s">
        <v>2190</v>
      </c>
      <c r="J56" s="8" t="s">
        <v>1062</v>
      </c>
      <c r="K56" t="s">
        <v>2191</v>
      </c>
      <c r="L56" t="s">
        <v>2192</v>
      </c>
      <c r="M56" s="2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s="8" t="s">
        <v>2193</v>
      </c>
      <c r="J57" s="8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0.46673611111111113</v>
      </c>
      <c r="D58" s="1" t="s">
        <v>1283</v>
      </c>
      <c r="E58" t="s">
        <v>70</v>
      </c>
      <c r="F58" t="s">
        <v>58</v>
      </c>
      <c r="H58" t="s">
        <v>2372</v>
      </c>
      <c r="I58" s="8" t="s">
        <v>2196</v>
      </c>
      <c r="J58" s="8" t="s">
        <v>1062</v>
      </c>
      <c r="K58" t="s">
        <v>2197</v>
      </c>
      <c r="L58" t="s">
        <v>2198</v>
      </c>
      <c r="M58" s="2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3">
        <v>45980</v>
      </c>
      <c r="C59" s="5">
        <v>0.46177083333333335</v>
      </c>
      <c r="D59" s="1" t="s">
        <v>403</v>
      </c>
      <c r="E59" t="s">
        <v>70</v>
      </c>
      <c r="F59" t="s">
        <v>58</v>
      </c>
      <c r="H59" t="s">
        <v>2372</v>
      </c>
      <c r="I59" s="8" t="s">
        <v>2181</v>
      </c>
      <c r="J59" s="8" t="s">
        <v>1062</v>
      </c>
      <c r="K59" t="s">
        <v>2182</v>
      </c>
      <c r="L59" t="s">
        <v>2183</v>
      </c>
      <c r="M59" s="2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3">
        <v>45980</v>
      </c>
      <c r="C60" s="5">
        <v>0.46206018518518521</v>
      </c>
      <c r="D60" s="1" t="s">
        <v>1283</v>
      </c>
      <c r="E60" t="s">
        <v>70</v>
      </c>
      <c r="F60" t="s">
        <v>58</v>
      </c>
      <c r="H60" t="s">
        <v>2372</v>
      </c>
      <c r="I60" s="8" t="s">
        <v>2184</v>
      </c>
      <c r="J60" s="8" t="s">
        <v>1062</v>
      </c>
      <c r="K60" t="s">
        <v>2185</v>
      </c>
      <c r="L60" t="s">
        <v>2186</v>
      </c>
      <c r="M60" s="2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3">
        <v>45980</v>
      </c>
      <c r="C61" s="5">
        <v>0.46342592592592591</v>
      </c>
      <c r="D61" s="1" t="s">
        <v>1283</v>
      </c>
      <c r="E61" t="s">
        <v>70</v>
      </c>
      <c r="F61" t="s">
        <v>58</v>
      </c>
      <c r="H61" t="s">
        <v>2372</v>
      </c>
      <c r="I61" s="8" t="s">
        <v>2187</v>
      </c>
      <c r="J61" s="8" t="s">
        <v>1062</v>
      </c>
      <c r="K61" t="s">
        <v>2188</v>
      </c>
      <c r="L61" t="s">
        <v>2189</v>
      </c>
      <c r="M61" s="2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3">
        <v>45980</v>
      </c>
      <c r="C62" s="5">
        <v>0.47151620370370373</v>
      </c>
      <c r="D62" s="1" t="s">
        <v>1283</v>
      </c>
      <c r="E62" t="s">
        <v>70</v>
      </c>
      <c r="F62" t="s">
        <v>58</v>
      </c>
      <c r="H62" t="s">
        <v>2372</v>
      </c>
      <c r="I62" s="8" t="s">
        <v>2208</v>
      </c>
      <c r="J62" s="8" t="s">
        <v>1062</v>
      </c>
      <c r="K62" t="s">
        <v>2209</v>
      </c>
      <c r="L62" t="s">
        <v>2210</v>
      </c>
      <c r="M62" s="2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3">
        <v>45980</v>
      </c>
      <c r="C63" s="5">
        <v>0.47458333333333336</v>
      </c>
      <c r="D63" s="1" t="s">
        <v>1283</v>
      </c>
      <c r="E63" t="s">
        <v>70</v>
      </c>
      <c r="F63" t="s">
        <v>2377</v>
      </c>
      <c r="H63" t="s">
        <v>2372</v>
      </c>
      <c r="I63" s="8" t="s">
        <v>2214</v>
      </c>
      <c r="J63" s="8" t="s">
        <v>1062</v>
      </c>
      <c r="K63" t="s">
        <v>2215</v>
      </c>
      <c r="L63" t="s">
        <v>2216</v>
      </c>
      <c r="M63" s="2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3">
        <v>45980</v>
      </c>
      <c r="C64" s="5">
        <v>0.47570601851851851</v>
      </c>
      <c r="D64" s="1" t="s">
        <v>1283</v>
      </c>
      <c r="E64" t="s">
        <v>70</v>
      </c>
      <c r="F64" t="s">
        <v>58</v>
      </c>
      <c r="H64" t="s">
        <v>2378</v>
      </c>
      <c r="I64" s="8" t="s">
        <v>2217</v>
      </c>
      <c r="J64" s="8" t="s">
        <v>1062</v>
      </c>
      <c r="K64" t="s">
        <v>2218</v>
      </c>
      <c r="L64" t="s">
        <v>2219</v>
      </c>
      <c r="M64" s="2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3">
        <v>45980</v>
      </c>
      <c r="C65" s="5">
        <v>0.46688657407407408</v>
      </c>
      <c r="D65" s="1" t="s">
        <v>1283</v>
      </c>
      <c r="E65" t="s">
        <v>70</v>
      </c>
      <c r="F65" t="s">
        <v>58</v>
      </c>
      <c r="H65" t="s">
        <v>2372</v>
      </c>
      <c r="I65" s="8" t="s">
        <v>2199</v>
      </c>
      <c r="J65" s="8" t="s">
        <v>1062</v>
      </c>
      <c r="K65" t="s">
        <v>2200</v>
      </c>
      <c r="L65" t="s">
        <v>2201</v>
      </c>
      <c r="M65" s="2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3">
        <v>45980</v>
      </c>
      <c r="C66" s="5">
        <v>0.46755787037037039</v>
      </c>
      <c r="D66" s="1" t="s">
        <v>1283</v>
      </c>
      <c r="E66" t="s">
        <v>70</v>
      </c>
      <c r="F66" t="s">
        <v>58</v>
      </c>
      <c r="H66" t="s">
        <v>2372</v>
      </c>
      <c r="I66" s="8" t="s">
        <v>2202</v>
      </c>
      <c r="J66" s="8" t="s">
        <v>1062</v>
      </c>
      <c r="K66" t="s">
        <v>2203</v>
      </c>
      <c r="L66" t="s">
        <v>2204</v>
      </c>
      <c r="M66" s="2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3">
        <v>45980</v>
      </c>
      <c r="C67" s="5">
        <v>0.46975694444444444</v>
      </c>
      <c r="D67" s="1" t="s">
        <v>1283</v>
      </c>
      <c r="E67" t="s">
        <v>70</v>
      </c>
      <c r="F67" t="s">
        <v>58</v>
      </c>
      <c r="H67" t="s">
        <v>2372</v>
      </c>
      <c r="I67" s="8" t="s">
        <v>2205</v>
      </c>
      <c r="J67" s="8" t="s">
        <v>1062</v>
      </c>
      <c r="K67" t="s">
        <v>2206</v>
      </c>
      <c r="L67" t="s">
        <v>2207</v>
      </c>
      <c r="M67" s="2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s="8" t="s">
        <v>1672</v>
      </c>
      <c r="J68" s="8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0.62989583333333332</v>
      </c>
      <c r="D69" s="1" t="s">
        <v>226</v>
      </c>
      <c r="E69" t="s">
        <v>70</v>
      </c>
      <c r="F69" t="s">
        <v>58</v>
      </c>
      <c r="H69" t="s">
        <v>2352</v>
      </c>
      <c r="I69" s="8" t="s">
        <v>3144</v>
      </c>
      <c r="J69" s="8" t="s">
        <v>2397</v>
      </c>
      <c r="K69" t="s">
        <v>3145</v>
      </c>
      <c r="L69" t="s">
        <v>3146</v>
      </c>
      <c r="M69" s="2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3">
        <v>45986</v>
      </c>
      <c r="C70" s="5">
        <v>0.62843749999999998</v>
      </c>
      <c r="D70" s="1" t="s">
        <v>226</v>
      </c>
      <c r="E70" t="s">
        <v>70</v>
      </c>
      <c r="F70" t="s">
        <v>58</v>
      </c>
      <c r="H70" t="s">
        <v>2352</v>
      </c>
      <c r="I70" s="8" t="s">
        <v>3135</v>
      </c>
      <c r="J70" s="8" t="s">
        <v>2397</v>
      </c>
      <c r="K70" t="s">
        <v>3136</v>
      </c>
      <c r="L70" t="s">
        <v>3137</v>
      </c>
      <c r="M70" s="2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3">
        <v>45986</v>
      </c>
      <c r="C71" s="5">
        <v>0.62826388888888884</v>
      </c>
      <c r="D71" s="1" t="s">
        <v>226</v>
      </c>
      <c r="E71" t="s">
        <v>70</v>
      </c>
      <c r="F71" t="s">
        <v>58</v>
      </c>
      <c r="H71" t="s">
        <v>1287</v>
      </c>
      <c r="I71" s="8" t="s">
        <v>3132</v>
      </c>
      <c r="J71" s="8" t="s">
        <v>2397</v>
      </c>
      <c r="K71" t="s">
        <v>3133</v>
      </c>
      <c r="L71" t="s">
        <v>3134</v>
      </c>
      <c r="M71" s="2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3">
        <v>45986</v>
      </c>
      <c r="C72" s="5">
        <v>0.62981481481481483</v>
      </c>
      <c r="D72" s="1" t="s">
        <v>226</v>
      </c>
      <c r="E72" t="s">
        <v>70</v>
      </c>
      <c r="F72" t="s">
        <v>58</v>
      </c>
      <c r="H72" t="s">
        <v>2352</v>
      </c>
      <c r="I72" s="8" t="s">
        <v>3141</v>
      </c>
      <c r="J72" s="8" t="s">
        <v>2397</v>
      </c>
      <c r="K72" t="s">
        <v>3142</v>
      </c>
      <c r="L72" t="s">
        <v>3143</v>
      </c>
      <c r="M72" s="2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s="8" t="s">
        <v>3138</v>
      </c>
      <c r="J73" s="8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0.6300810185185185</v>
      </c>
      <c r="D74" s="1" t="s">
        <v>226</v>
      </c>
      <c r="E74" t="s">
        <v>70</v>
      </c>
      <c r="F74" t="s">
        <v>58</v>
      </c>
      <c r="H74" t="s">
        <v>2352</v>
      </c>
      <c r="I74" s="8" t="s">
        <v>3147</v>
      </c>
      <c r="J74" s="8" t="s">
        <v>2397</v>
      </c>
      <c r="K74" t="s">
        <v>3148</v>
      </c>
      <c r="L74" t="s">
        <v>3149</v>
      </c>
      <c r="M74" s="2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3">
        <v>45986</v>
      </c>
      <c r="C75" s="5">
        <v>0.63023148148148145</v>
      </c>
      <c r="D75" s="1" t="s">
        <v>226</v>
      </c>
      <c r="E75" t="s">
        <v>70</v>
      </c>
      <c r="F75" t="s">
        <v>58</v>
      </c>
      <c r="H75" t="s">
        <v>2352</v>
      </c>
      <c r="I75" s="8" t="s">
        <v>3150</v>
      </c>
      <c r="J75" s="8" t="s">
        <v>2397</v>
      </c>
      <c r="K75" t="s">
        <v>3151</v>
      </c>
      <c r="L75" t="s">
        <v>3152</v>
      </c>
      <c r="M75" s="2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3">
        <v>45986</v>
      </c>
      <c r="C76" s="5">
        <v>0.6305439814814815</v>
      </c>
      <c r="D76" s="1" t="s">
        <v>226</v>
      </c>
      <c r="E76" t="s">
        <v>70</v>
      </c>
      <c r="F76" t="s">
        <v>58</v>
      </c>
      <c r="H76" t="s">
        <v>2352</v>
      </c>
      <c r="I76" s="8" t="s">
        <v>3153</v>
      </c>
      <c r="J76" s="8" t="s">
        <v>2397</v>
      </c>
      <c r="K76" t="s">
        <v>3154</v>
      </c>
      <c r="L76" t="s">
        <v>3155</v>
      </c>
      <c r="M76" s="2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3">
        <v>45986</v>
      </c>
      <c r="C77" s="5">
        <v>0.6318287037037037</v>
      </c>
      <c r="D77" s="1" t="s">
        <v>226</v>
      </c>
      <c r="E77" t="s">
        <v>70</v>
      </c>
      <c r="F77" t="s">
        <v>3398</v>
      </c>
      <c r="H77" t="s">
        <v>1285</v>
      </c>
      <c r="I77" s="8" t="s">
        <v>3158</v>
      </c>
      <c r="J77" s="8" t="s">
        <v>2397</v>
      </c>
      <c r="K77" t="s">
        <v>3159</v>
      </c>
      <c r="L77" t="s">
        <v>3160</v>
      </c>
      <c r="M77" s="2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3">
        <v>45987</v>
      </c>
      <c r="C78" s="5">
        <v>0.44269675925925928</v>
      </c>
      <c r="D78" s="1" t="s">
        <v>226</v>
      </c>
      <c r="E78" t="s">
        <v>3357</v>
      </c>
      <c r="F78" t="s">
        <v>58</v>
      </c>
      <c r="H78" t="s">
        <v>2352</v>
      </c>
      <c r="I78" s="8" t="s">
        <v>3181</v>
      </c>
      <c r="J78" s="8" t="s">
        <v>2397</v>
      </c>
      <c r="K78" t="s">
        <v>3182</v>
      </c>
      <c r="L78" t="s">
        <v>3183</v>
      </c>
      <c r="M78" s="2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3">
        <v>45987</v>
      </c>
      <c r="C79" s="5">
        <v>0.44207175925925923</v>
      </c>
      <c r="D79" s="1" t="s">
        <v>226</v>
      </c>
      <c r="E79" t="s">
        <v>3357</v>
      </c>
      <c r="F79" t="s">
        <v>58</v>
      </c>
      <c r="H79" t="s">
        <v>1287</v>
      </c>
      <c r="I79" s="8" t="s">
        <v>3166</v>
      </c>
      <c r="J79" s="8" t="s">
        <v>2397</v>
      </c>
      <c r="K79" t="s">
        <v>3167</v>
      </c>
      <c r="L79" t="s">
        <v>3168</v>
      </c>
      <c r="M79" s="2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3">
        <v>45987</v>
      </c>
      <c r="C80" s="5">
        <v>0.44216435185185188</v>
      </c>
      <c r="D80" s="1" t="s">
        <v>226</v>
      </c>
      <c r="E80" t="s">
        <v>3357</v>
      </c>
      <c r="F80" t="s">
        <v>58</v>
      </c>
      <c r="H80" t="s">
        <v>2352</v>
      </c>
      <c r="I80" s="8" t="s">
        <v>3169</v>
      </c>
      <c r="J80" s="8" t="s">
        <v>2397</v>
      </c>
      <c r="K80" t="s">
        <v>3170</v>
      </c>
      <c r="L80" t="s">
        <v>3171</v>
      </c>
      <c r="M80" s="2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3">
        <v>45987</v>
      </c>
      <c r="C81" s="5">
        <v>0.44284722222222223</v>
      </c>
      <c r="D81" s="1" t="s">
        <v>226</v>
      </c>
      <c r="E81" t="s">
        <v>3357</v>
      </c>
      <c r="F81" t="s">
        <v>58</v>
      </c>
      <c r="H81" t="s">
        <v>2352</v>
      </c>
      <c r="I81" s="8" t="s">
        <v>3184</v>
      </c>
      <c r="J81" s="8" t="s">
        <v>2397</v>
      </c>
      <c r="K81" t="s">
        <v>3185</v>
      </c>
      <c r="L81" t="s">
        <v>3186</v>
      </c>
      <c r="M81" s="2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3">
        <v>45987</v>
      </c>
      <c r="C82" s="5">
        <v>0.45056712962962964</v>
      </c>
      <c r="D82" s="1" t="s">
        <v>226</v>
      </c>
      <c r="E82" t="s">
        <v>3357</v>
      </c>
      <c r="F82" t="s">
        <v>58</v>
      </c>
      <c r="H82" t="s">
        <v>2352</v>
      </c>
      <c r="I82" s="8" t="s">
        <v>3211</v>
      </c>
      <c r="J82" s="8" t="s">
        <v>2397</v>
      </c>
      <c r="K82" t="s">
        <v>3212</v>
      </c>
      <c r="L82" t="s">
        <v>3213</v>
      </c>
      <c r="M82" s="2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3">
        <v>45987</v>
      </c>
      <c r="C83" s="5">
        <v>0.44848379629629631</v>
      </c>
      <c r="D83" s="1" t="s">
        <v>226</v>
      </c>
      <c r="E83" t="s">
        <v>3357</v>
      </c>
      <c r="F83" t="s">
        <v>58</v>
      </c>
      <c r="H83" t="s">
        <v>2352</v>
      </c>
      <c r="I83" s="8" t="s">
        <v>3269</v>
      </c>
      <c r="J83" s="8" t="s">
        <v>2398</v>
      </c>
      <c r="K83" t="s">
        <v>3270</v>
      </c>
      <c r="L83" t="s">
        <v>3271</v>
      </c>
      <c r="M83" s="2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3">
        <v>45987</v>
      </c>
      <c r="C84" s="5">
        <v>0.44864583333333335</v>
      </c>
      <c r="D84" s="1" t="s">
        <v>226</v>
      </c>
      <c r="E84" t="s">
        <v>3357</v>
      </c>
      <c r="F84" t="s">
        <v>58</v>
      </c>
      <c r="H84" t="s">
        <v>2352</v>
      </c>
      <c r="I84" s="8" t="s">
        <v>3272</v>
      </c>
      <c r="J84" s="8" t="s">
        <v>2398</v>
      </c>
      <c r="K84" t="s">
        <v>3273</v>
      </c>
      <c r="L84" t="s">
        <v>3274</v>
      </c>
      <c r="M84" s="2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3">
        <v>45987</v>
      </c>
      <c r="C85" s="5">
        <v>0.44947916666666665</v>
      </c>
      <c r="D85" s="1" t="s">
        <v>226</v>
      </c>
      <c r="E85" t="s">
        <v>3357</v>
      </c>
      <c r="F85" t="s">
        <v>58</v>
      </c>
      <c r="H85" t="s">
        <v>2352</v>
      </c>
      <c r="I85" s="8" t="s">
        <v>3275</v>
      </c>
      <c r="J85" s="8" t="s">
        <v>2398</v>
      </c>
      <c r="K85" t="s">
        <v>3276</v>
      </c>
      <c r="L85" t="s">
        <v>3277</v>
      </c>
      <c r="M85" s="2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3">
        <v>45987</v>
      </c>
      <c r="C86" s="5">
        <v>0.44723379629629628</v>
      </c>
      <c r="D86" s="1" t="s">
        <v>226</v>
      </c>
      <c r="E86" t="s">
        <v>3357</v>
      </c>
      <c r="F86" t="s">
        <v>58</v>
      </c>
      <c r="I86" s="8" t="s">
        <v>3266</v>
      </c>
      <c r="J86" s="8" t="s">
        <v>2398</v>
      </c>
      <c r="K86" t="s">
        <v>3267</v>
      </c>
      <c r="L86" t="s">
        <v>3268</v>
      </c>
      <c r="M86" s="2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3">
        <v>45987</v>
      </c>
      <c r="C87" s="5">
        <v>0.44473379629629628</v>
      </c>
      <c r="D87" s="1" t="s">
        <v>226</v>
      </c>
      <c r="E87" t="s">
        <v>3357</v>
      </c>
      <c r="F87" t="s">
        <v>58</v>
      </c>
      <c r="H87" t="s">
        <v>2352</v>
      </c>
      <c r="I87" s="8" t="s">
        <v>3192</v>
      </c>
      <c r="J87" s="8" t="s">
        <v>2397</v>
      </c>
      <c r="K87" t="s">
        <v>3193</v>
      </c>
      <c r="L87" t="s">
        <v>3194</v>
      </c>
      <c r="M87" s="2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3">
        <v>45987</v>
      </c>
      <c r="C88" s="5">
        <v>0.44495370370370368</v>
      </c>
      <c r="D88" s="1" t="s">
        <v>226</v>
      </c>
      <c r="E88" t="s">
        <v>3357</v>
      </c>
      <c r="F88" t="s">
        <v>58</v>
      </c>
      <c r="H88" t="s">
        <v>2352</v>
      </c>
      <c r="I88" s="8" t="s">
        <v>3195</v>
      </c>
      <c r="J88" s="8" t="s">
        <v>2397</v>
      </c>
      <c r="K88" t="s">
        <v>3196</v>
      </c>
      <c r="L88" t="s">
        <v>3197</v>
      </c>
      <c r="M88" s="2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3">
        <v>45987</v>
      </c>
      <c r="C89" s="5">
        <v>0.4478125</v>
      </c>
      <c r="D89" s="1" t="s">
        <v>226</v>
      </c>
      <c r="E89" t="s">
        <v>3357</v>
      </c>
      <c r="F89" t="s">
        <v>58</v>
      </c>
      <c r="H89" t="s">
        <v>2352</v>
      </c>
      <c r="I89" s="8" t="s">
        <v>3208</v>
      </c>
      <c r="J89" s="8" t="s">
        <v>2397</v>
      </c>
      <c r="K89" t="s">
        <v>3209</v>
      </c>
      <c r="L89" t="s">
        <v>3210</v>
      </c>
      <c r="M89" s="2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3">
        <v>45987</v>
      </c>
      <c r="C90" s="5">
        <v>0.44372685185185184</v>
      </c>
      <c r="D90" s="1" t="s">
        <v>226</v>
      </c>
      <c r="E90" t="s">
        <v>3357</v>
      </c>
      <c r="F90" t="s">
        <v>58</v>
      </c>
      <c r="I90" s="8" t="s">
        <v>3189</v>
      </c>
      <c r="J90" s="8" t="s">
        <v>2397</v>
      </c>
      <c r="K90" t="s">
        <v>3190</v>
      </c>
      <c r="L90" t="s">
        <v>3191</v>
      </c>
      <c r="M90" s="2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3">
        <v>45987</v>
      </c>
      <c r="C91" s="5">
        <v>0.44767361111111109</v>
      </c>
      <c r="D91" s="1" t="s">
        <v>226</v>
      </c>
      <c r="E91" t="s">
        <v>3357</v>
      </c>
      <c r="F91" t="s">
        <v>58</v>
      </c>
      <c r="H91" t="s">
        <v>2352</v>
      </c>
      <c r="I91" s="8" t="s">
        <v>3205</v>
      </c>
      <c r="J91" s="8" t="s">
        <v>2397</v>
      </c>
      <c r="K91" t="s">
        <v>3206</v>
      </c>
      <c r="L91" t="s">
        <v>3207</v>
      </c>
      <c r="M91" s="2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3">
        <v>45987</v>
      </c>
      <c r="C92" s="5">
        <v>0.44255787037037037</v>
      </c>
      <c r="D92" s="1" t="s">
        <v>226</v>
      </c>
      <c r="E92" t="s">
        <v>3357</v>
      </c>
      <c r="F92" t="s">
        <v>58</v>
      </c>
      <c r="H92" t="s">
        <v>2352</v>
      </c>
      <c r="I92" s="8" t="s">
        <v>3178</v>
      </c>
      <c r="J92" s="8" t="s">
        <v>2397</v>
      </c>
      <c r="K92" t="s">
        <v>3179</v>
      </c>
      <c r="L92" t="s">
        <v>3180</v>
      </c>
      <c r="M92" s="2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3">
        <v>45987</v>
      </c>
      <c r="C93" s="5">
        <v>0.44241898148148145</v>
      </c>
      <c r="D93" s="1" t="s">
        <v>226</v>
      </c>
      <c r="E93" t="s">
        <v>3357</v>
      </c>
      <c r="F93" t="s">
        <v>58</v>
      </c>
      <c r="H93" t="s">
        <v>2352</v>
      </c>
      <c r="I93" s="8" t="s">
        <v>3175</v>
      </c>
      <c r="J93" s="8" t="s">
        <v>2397</v>
      </c>
      <c r="K93" t="s">
        <v>3176</v>
      </c>
      <c r="L93" t="s">
        <v>3177</v>
      </c>
      <c r="M93" s="2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3">
        <v>45987</v>
      </c>
      <c r="C94" s="5">
        <v>0.44226851851851851</v>
      </c>
      <c r="D94" s="1" t="s">
        <v>226</v>
      </c>
      <c r="E94" t="s">
        <v>3357</v>
      </c>
      <c r="F94" t="s">
        <v>58</v>
      </c>
      <c r="H94" t="s">
        <v>2352</v>
      </c>
      <c r="I94" s="8" t="s">
        <v>3172</v>
      </c>
      <c r="J94" s="8" t="s">
        <v>2397</v>
      </c>
      <c r="K94" t="s">
        <v>3173</v>
      </c>
      <c r="L94" t="s">
        <v>3174</v>
      </c>
      <c r="M94" s="2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3">
        <v>45987</v>
      </c>
      <c r="C95" s="5">
        <v>0.4475925925925926</v>
      </c>
      <c r="D95" s="1" t="s">
        <v>226</v>
      </c>
      <c r="E95" t="s">
        <v>3357</v>
      </c>
      <c r="F95" t="s">
        <v>58</v>
      </c>
      <c r="I95" s="8" t="s">
        <v>3202</v>
      </c>
      <c r="J95" s="8" t="s">
        <v>2397</v>
      </c>
      <c r="K95" t="s">
        <v>3203</v>
      </c>
      <c r="L95" t="s">
        <v>3204</v>
      </c>
      <c r="M95" s="2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3">
        <v>45990</v>
      </c>
      <c r="C96" s="5">
        <v>0.63124999999999998</v>
      </c>
      <c r="D96" s="1" t="s">
        <v>226</v>
      </c>
      <c r="E96" t="s">
        <v>3359</v>
      </c>
      <c r="F96" t="s">
        <v>3376</v>
      </c>
      <c r="H96" t="s">
        <v>2352</v>
      </c>
      <c r="I96" s="8" t="s">
        <v>2904</v>
      </c>
      <c r="J96" s="8" t="s">
        <v>2396</v>
      </c>
      <c r="K96" t="s">
        <v>2905</v>
      </c>
      <c r="L96" t="s">
        <v>2906</v>
      </c>
      <c r="M96" s="2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3">
        <v>45990</v>
      </c>
      <c r="C97" s="5">
        <v>0.62604166666666672</v>
      </c>
      <c r="D97" s="1" t="s">
        <v>226</v>
      </c>
      <c r="E97" t="s">
        <v>3359</v>
      </c>
      <c r="F97" t="s">
        <v>3376</v>
      </c>
      <c r="H97" t="s">
        <v>2352</v>
      </c>
      <c r="I97" s="8" t="s">
        <v>2901</v>
      </c>
      <c r="J97" s="8" t="s">
        <v>2396</v>
      </c>
      <c r="K97" t="s">
        <v>2902</v>
      </c>
      <c r="L97" t="s">
        <v>2903</v>
      </c>
      <c r="M97" s="2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3">
        <v>45990</v>
      </c>
      <c r="C98" s="5">
        <v>0.67753472222222222</v>
      </c>
      <c r="D98" s="1" t="s">
        <v>226</v>
      </c>
      <c r="E98" t="s">
        <v>3360</v>
      </c>
      <c r="F98" t="s">
        <v>3376</v>
      </c>
      <c r="H98" t="s">
        <v>2352</v>
      </c>
      <c r="I98" s="8" t="s">
        <v>2963</v>
      </c>
      <c r="J98" s="8" t="s">
        <v>2396</v>
      </c>
      <c r="K98" t="s">
        <v>2964</v>
      </c>
      <c r="L98" t="s">
        <v>2965</v>
      </c>
      <c r="M98" s="2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3">
        <v>45990</v>
      </c>
      <c r="C99" s="5">
        <v>0.65699074074074071</v>
      </c>
      <c r="D99" s="1" t="s">
        <v>226</v>
      </c>
      <c r="E99" t="s">
        <v>3360</v>
      </c>
      <c r="F99" t="s">
        <v>3376</v>
      </c>
      <c r="H99" t="s">
        <v>2352</v>
      </c>
      <c r="I99" s="8" t="s">
        <v>2933</v>
      </c>
      <c r="J99" s="8" t="s">
        <v>2396</v>
      </c>
      <c r="K99" t="s">
        <v>2934</v>
      </c>
      <c r="L99" t="s">
        <v>2935</v>
      </c>
      <c r="M99" s="2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3">
        <v>45990</v>
      </c>
      <c r="C100" s="5">
        <v>0.62410879629629634</v>
      </c>
      <c r="D100" s="1" t="s">
        <v>226</v>
      </c>
      <c r="E100" t="s">
        <v>3359</v>
      </c>
      <c r="F100" t="s">
        <v>3376</v>
      </c>
      <c r="H100" t="s">
        <v>2352</v>
      </c>
      <c r="I100" s="8" t="s">
        <v>2898</v>
      </c>
      <c r="J100" s="8" t="s">
        <v>2396</v>
      </c>
      <c r="K100" t="s">
        <v>2899</v>
      </c>
      <c r="L100" t="s">
        <v>2900</v>
      </c>
      <c r="M100" s="2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3">
        <v>45990</v>
      </c>
      <c r="C101" s="5">
        <v>0.61790509259259263</v>
      </c>
      <c r="D101" s="1" t="s">
        <v>226</v>
      </c>
      <c r="E101" t="s">
        <v>3359</v>
      </c>
      <c r="F101" t="s">
        <v>3376</v>
      </c>
      <c r="H101" t="s">
        <v>2352</v>
      </c>
      <c r="I101" s="8" t="s">
        <v>2889</v>
      </c>
      <c r="J101" s="8" t="s">
        <v>2396</v>
      </c>
      <c r="K101" t="s">
        <v>2890</v>
      </c>
      <c r="L101" t="s">
        <v>2891</v>
      </c>
      <c r="M101" s="2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3">
        <v>45990</v>
      </c>
      <c r="C102" s="5">
        <v>0.64386574074074077</v>
      </c>
      <c r="D102" s="1" t="s">
        <v>226</v>
      </c>
      <c r="E102" t="s">
        <v>3359</v>
      </c>
      <c r="F102" t="s">
        <v>87</v>
      </c>
      <c r="I102" s="8" t="s">
        <v>2919</v>
      </c>
      <c r="J102" s="8" t="s">
        <v>2396</v>
      </c>
      <c r="K102" t="s">
        <v>2920</v>
      </c>
      <c r="L102" t="s">
        <v>2921</v>
      </c>
      <c r="M102" s="2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3">
        <v>45990</v>
      </c>
      <c r="C103" s="5">
        <v>0.65312499999999996</v>
      </c>
      <c r="D103" s="1" t="s">
        <v>226</v>
      </c>
      <c r="E103" t="s">
        <v>3360</v>
      </c>
      <c r="F103" t="s">
        <v>3376</v>
      </c>
      <c r="I103" s="8" t="s">
        <v>2927</v>
      </c>
      <c r="J103" s="8" t="s">
        <v>2396</v>
      </c>
      <c r="K103" t="s">
        <v>2928</v>
      </c>
      <c r="L103" t="s">
        <v>2929</v>
      </c>
      <c r="M103" s="2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3">
        <v>45990</v>
      </c>
      <c r="C104" s="5">
        <v>0.65543981481481484</v>
      </c>
      <c r="D104" s="1" t="s">
        <v>226</v>
      </c>
      <c r="E104" t="s">
        <v>3360</v>
      </c>
      <c r="F104" t="s">
        <v>3376</v>
      </c>
      <c r="H104" t="s">
        <v>2352</v>
      </c>
      <c r="I104" s="8" t="s">
        <v>2930</v>
      </c>
      <c r="J104" s="8" t="s">
        <v>2396</v>
      </c>
      <c r="K104" t="s">
        <v>2931</v>
      </c>
      <c r="L104" t="s">
        <v>2932</v>
      </c>
      <c r="M104" s="2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3">
        <v>45990</v>
      </c>
      <c r="C105" s="5">
        <v>0.61982638888888886</v>
      </c>
      <c r="D105" s="1" t="s">
        <v>226</v>
      </c>
      <c r="E105" t="s">
        <v>3359</v>
      </c>
      <c r="F105" t="s">
        <v>3376</v>
      </c>
      <c r="H105" t="s">
        <v>2352</v>
      </c>
      <c r="I105" s="8" t="s">
        <v>2892</v>
      </c>
      <c r="J105" s="8" t="s">
        <v>2396</v>
      </c>
      <c r="K105" t="s">
        <v>2893</v>
      </c>
      <c r="L105" t="s">
        <v>2894</v>
      </c>
      <c r="M105" s="2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3">
        <v>45990</v>
      </c>
      <c r="C106" s="5">
        <v>0.6216666666666667</v>
      </c>
      <c r="D106" s="1" t="s">
        <v>226</v>
      </c>
      <c r="E106" t="s">
        <v>3359</v>
      </c>
      <c r="F106" t="s">
        <v>3376</v>
      </c>
      <c r="H106" t="s">
        <v>2352</v>
      </c>
      <c r="I106" s="8" t="s">
        <v>2895</v>
      </c>
      <c r="J106" s="8" t="s">
        <v>2396</v>
      </c>
      <c r="K106" t="s">
        <v>2896</v>
      </c>
      <c r="L106" t="s">
        <v>2897</v>
      </c>
      <c r="M106" s="2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3">
        <v>45990</v>
      </c>
      <c r="C107" s="5">
        <v>0.6338773148148148</v>
      </c>
      <c r="D107" s="1" t="s">
        <v>226</v>
      </c>
      <c r="E107" t="s">
        <v>3359</v>
      </c>
      <c r="F107" t="s">
        <v>3376</v>
      </c>
      <c r="H107" t="s">
        <v>2352</v>
      </c>
      <c r="I107" s="8" t="s">
        <v>2907</v>
      </c>
      <c r="J107" s="8" t="s">
        <v>2396</v>
      </c>
      <c r="K107" t="s">
        <v>2908</v>
      </c>
      <c r="L107" t="s">
        <v>2909</v>
      </c>
      <c r="M107" s="2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3">
        <v>45990</v>
      </c>
      <c r="C108" s="5">
        <v>0.67155092592592591</v>
      </c>
      <c r="D108" s="1" t="s">
        <v>226</v>
      </c>
      <c r="E108" t="s">
        <v>3360</v>
      </c>
      <c r="F108" t="s">
        <v>3376</v>
      </c>
      <c r="H108" t="s">
        <v>2352</v>
      </c>
      <c r="I108" s="8" t="s">
        <v>2951</v>
      </c>
      <c r="J108" s="8" t="s">
        <v>2396</v>
      </c>
      <c r="K108" t="s">
        <v>2952</v>
      </c>
      <c r="L108" t="s">
        <v>2953</v>
      </c>
      <c r="M108" s="2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3">
        <v>45990</v>
      </c>
      <c r="C109" s="5">
        <v>0.65927083333333336</v>
      </c>
      <c r="D109" s="1" t="s">
        <v>226</v>
      </c>
      <c r="E109" t="s">
        <v>3360</v>
      </c>
      <c r="F109" t="s">
        <v>3376</v>
      </c>
      <c r="H109" t="s">
        <v>2352</v>
      </c>
      <c r="I109" s="8" t="s">
        <v>2936</v>
      </c>
      <c r="J109" s="8" t="s">
        <v>2396</v>
      </c>
      <c r="K109" t="s">
        <v>2937</v>
      </c>
      <c r="L109" t="s">
        <v>2938</v>
      </c>
      <c r="M109" s="2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3">
        <v>45990</v>
      </c>
      <c r="C110" s="5">
        <v>0.66106481481481483</v>
      </c>
      <c r="D110" s="1" t="s">
        <v>226</v>
      </c>
      <c r="E110" t="s">
        <v>3360</v>
      </c>
      <c r="F110" t="s">
        <v>3376</v>
      </c>
      <c r="H110" t="s">
        <v>2352</v>
      </c>
      <c r="I110" s="8" t="s">
        <v>2939</v>
      </c>
      <c r="J110" s="8" t="s">
        <v>2396</v>
      </c>
      <c r="K110" t="s">
        <v>2940</v>
      </c>
      <c r="L110" t="s">
        <v>2941</v>
      </c>
      <c r="M110" s="2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3">
        <v>45990</v>
      </c>
      <c r="C111" s="5">
        <v>0.69054398148148144</v>
      </c>
      <c r="D111" s="1" t="s">
        <v>226</v>
      </c>
      <c r="E111" t="s">
        <v>3376</v>
      </c>
      <c r="H111" t="s">
        <v>2352</v>
      </c>
      <c r="I111" s="8" t="s">
        <v>2736</v>
      </c>
      <c r="J111" s="8" t="s">
        <v>2395</v>
      </c>
      <c r="K111" t="s">
        <v>2737</v>
      </c>
      <c r="L111" t="s">
        <v>2738</v>
      </c>
      <c r="M111" s="2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3">
        <v>45990</v>
      </c>
      <c r="C112" s="5">
        <v>0.66733796296296299</v>
      </c>
      <c r="D112" s="1" t="s">
        <v>226</v>
      </c>
      <c r="E112" t="s">
        <v>3360</v>
      </c>
      <c r="F112" t="s">
        <v>3376</v>
      </c>
      <c r="H112" t="s">
        <v>2352</v>
      </c>
      <c r="I112" s="8" t="s">
        <v>2945</v>
      </c>
      <c r="J112" s="8" t="s">
        <v>2396</v>
      </c>
      <c r="K112" t="s">
        <v>2946</v>
      </c>
      <c r="L112" t="s">
        <v>2947</v>
      </c>
      <c r="M112" s="2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3">
        <v>45990</v>
      </c>
      <c r="C113" s="5">
        <v>0.66971064814814818</v>
      </c>
      <c r="D113" s="1" t="s">
        <v>226</v>
      </c>
      <c r="E113" t="s">
        <v>3360</v>
      </c>
      <c r="F113" t="s">
        <v>3376</v>
      </c>
      <c r="H113" t="s">
        <v>2352</v>
      </c>
      <c r="I113" s="8" t="s">
        <v>2948</v>
      </c>
      <c r="J113" s="8" t="s">
        <v>2396</v>
      </c>
      <c r="K113" t="s">
        <v>2949</v>
      </c>
      <c r="L113" t="s">
        <v>2950</v>
      </c>
      <c r="M113" s="2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3">
        <v>45990</v>
      </c>
      <c r="C114" s="5">
        <v>0.66378472222222218</v>
      </c>
      <c r="D114" s="1" t="s">
        <v>226</v>
      </c>
      <c r="E114" t="s">
        <v>3360</v>
      </c>
      <c r="F114" t="s">
        <v>3376</v>
      </c>
      <c r="H114" t="s">
        <v>2352</v>
      </c>
      <c r="I114" s="8" t="s">
        <v>2942</v>
      </c>
      <c r="J114" s="8" t="s">
        <v>2396</v>
      </c>
      <c r="K114" t="s">
        <v>2943</v>
      </c>
      <c r="L114" t="s">
        <v>2944</v>
      </c>
      <c r="M114" s="2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3">
        <v>45990</v>
      </c>
      <c r="C115" s="5">
        <v>0.68376157407407412</v>
      </c>
      <c r="D115" s="1" t="s">
        <v>226</v>
      </c>
      <c r="E115" t="s">
        <v>3360</v>
      </c>
      <c r="F115" t="s">
        <v>3376</v>
      </c>
      <c r="H115" t="s">
        <v>2352</v>
      </c>
      <c r="I115" s="8" t="s">
        <v>2972</v>
      </c>
      <c r="J115" s="8" t="s">
        <v>2396</v>
      </c>
      <c r="K115" t="s">
        <v>2973</v>
      </c>
      <c r="L115" t="s">
        <v>2974</v>
      </c>
      <c r="M115" s="2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3">
        <v>45990</v>
      </c>
      <c r="C116" s="5">
        <v>0.67570601851851853</v>
      </c>
      <c r="D116" s="1" t="s">
        <v>226</v>
      </c>
      <c r="E116" t="s">
        <v>3360</v>
      </c>
      <c r="F116" t="s">
        <v>3376</v>
      </c>
      <c r="H116" t="s">
        <v>2352</v>
      </c>
      <c r="I116" s="8" t="s">
        <v>2957</v>
      </c>
      <c r="J116" s="8" t="s">
        <v>2396</v>
      </c>
      <c r="K116" t="s">
        <v>2958</v>
      </c>
      <c r="L116" t="s">
        <v>2959</v>
      </c>
      <c r="M116" s="2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3">
        <v>45990</v>
      </c>
      <c r="C117" s="5">
        <v>0.67623842592592598</v>
      </c>
      <c r="D117" s="1" t="s">
        <v>226</v>
      </c>
      <c r="E117" t="s">
        <v>3360</v>
      </c>
      <c r="F117" t="s">
        <v>3376</v>
      </c>
      <c r="H117" t="s">
        <v>2352</v>
      </c>
      <c r="I117" s="8" t="s">
        <v>2960</v>
      </c>
      <c r="J117" s="8" t="s">
        <v>2396</v>
      </c>
      <c r="K117" t="s">
        <v>2961</v>
      </c>
      <c r="L117" t="s">
        <v>2962</v>
      </c>
      <c r="M117" s="2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3">
        <v>45990</v>
      </c>
      <c r="C118" s="5">
        <v>0.67405092592592597</v>
      </c>
      <c r="D118" s="1" t="s">
        <v>226</v>
      </c>
      <c r="E118" t="s">
        <v>3360</v>
      </c>
      <c r="F118" t="s">
        <v>3376</v>
      </c>
      <c r="H118" t="s">
        <v>2352</v>
      </c>
      <c r="I118" s="8" t="s">
        <v>2954</v>
      </c>
      <c r="J118" s="8" t="s">
        <v>2396</v>
      </c>
      <c r="K118" t="s">
        <v>2955</v>
      </c>
      <c r="L118" t="s">
        <v>2956</v>
      </c>
      <c r="M118" s="2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3">
        <v>45990</v>
      </c>
      <c r="C119" s="5">
        <v>0.68038194444444444</v>
      </c>
      <c r="D119" s="1" t="s">
        <v>226</v>
      </c>
      <c r="E119" t="s">
        <v>3360</v>
      </c>
      <c r="F119" t="s">
        <v>3376</v>
      </c>
      <c r="H119" t="s">
        <v>2352</v>
      </c>
      <c r="I119" s="8" t="s">
        <v>2966</v>
      </c>
      <c r="J119" s="8" t="s">
        <v>2396</v>
      </c>
      <c r="K119" t="s">
        <v>2967</v>
      </c>
      <c r="L119" t="s">
        <v>2968</v>
      </c>
      <c r="M119" s="2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3">
        <v>45990</v>
      </c>
      <c r="C120" s="5">
        <v>0.68329861111111112</v>
      </c>
      <c r="D120" s="1" t="s">
        <v>226</v>
      </c>
      <c r="E120" t="s">
        <v>3360</v>
      </c>
      <c r="F120" t="s">
        <v>3376</v>
      </c>
      <c r="H120" t="s">
        <v>2352</v>
      </c>
      <c r="I120" s="8" t="s">
        <v>2969</v>
      </c>
      <c r="J120" s="8" t="s">
        <v>2396</v>
      </c>
      <c r="K120" t="s">
        <v>2970</v>
      </c>
      <c r="L120" t="s">
        <v>2971</v>
      </c>
      <c r="M120" s="2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3">
        <v>45990</v>
      </c>
      <c r="C121" s="5">
        <v>0.68625000000000003</v>
      </c>
      <c r="D121" s="1" t="s">
        <v>226</v>
      </c>
      <c r="E121" t="s">
        <v>3360</v>
      </c>
      <c r="F121" t="s">
        <v>3376</v>
      </c>
      <c r="H121" t="s">
        <v>2352</v>
      </c>
      <c r="I121" s="8" t="s">
        <v>2975</v>
      </c>
      <c r="J121" s="8" t="s">
        <v>2396</v>
      </c>
      <c r="K121" t="s">
        <v>2976</v>
      </c>
      <c r="L121" t="s">
        <v>2977</v>
      </c>
      <c r="M121" s="2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s="8" t="s">
        <v>2978</v>
      </c>
      <c r="J122" s="8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0.6917592592592593</v>
      </c>
      <c r="D123" s="1" t="s">
        <v>226</v>
      </c>
      <c r="E123" t="s">
        <v>3360</v>
      </c>
      <c r="F123" t="s">
        <v>3376</v>
      </c>
      <c r="H123" t="s">
        <v>2352</v>
      </c>
      <c r="I123" s="8" t="s">
        <v>2981</v>
      </c>
      <c r="J123" s="8" t="s">
        <v>2396</v>
      </c>
      <c r="K123" t="s">
        <v>2982</v>
      </c>
      <c r="L123" t="s">
        <v>2983</v>
      </c>
      <c r="M123" s="2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3">
        <v>45990</v>
      </c>
      <c r="C124" s="5">
        <v>0.58450231481481485</v>
      </c>
      <c r="D124" s="1" t="s">
        <v>226</v>
      </c>
      <c r="E124" t="s">
        <v>3382</v>
      </c>
      <c r="F124" t="s">
        <v>3376</v>
      </c>
      <c r="H124" t="s">
        <v>2352</v>
      </c>
      <c r="I124" s="8" t="s">
        <v>2880</v>
      </c>
      <c r="J124" s="8" t="s">
        <v>2396</v>
      </c>
      <c r="K124" t="s">
        <v>2881</v>
      </c>
      <c r="L124" t="s">
        <v>2882</v>
      </c>
      <c r="M124" s="2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3">
        <v>45990</v>
      </c>
      <c r="C125" s="5">
        <v>0.65773148148148153</v>
      </c>
      <c r="D125" s="1" t="s">
        <v>226</v>
      </c>
      <c r="E125" t="s">
        <v>3376</v>
      </c>
      <c r="H125" t="s">
        <v>2352</v>
      </c>
      <c r="I125" s="8" t="s">
        <v>2724</v>
      </c>
      <c r="J125" s="8" t="s">
        <v>2395</v>
      </c>
      <c r="K125" t="s">
        <v>2725</v>
      </c>
      <c r="L125" t="s">
        <v>2726</v>
      </c>
      <c r="M125" s="2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3">
        <v>45990</v>
      </c>
      <c r="C126" s="5">
        <v>0.69224537037037037</v>
      </c>
      <c r="D126" s="1" t="s">
        <v>226</v>
      </c>
      <c r="E126" t="s">
        <v>3360</v>
      </c>
      <c r="F126" t="s">
        <v>3376</v>
      </c>
      <c r="H126" t="s">
        <v>2352</v>
      </c>
      <c r="I126" s="8" t="s">
        <v>2984</v>
      </c>
      <c r="J126" s="8" t="s">
        <v>2396</v>
      </c>
      <c r="K126" t="s">
        <v>2985</v>
      </c>
      <c r="L126" t="s">
        <v>2986</v>
      </c>
      <c r="M126" s="2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3">
        <v>45990</v>
      </c>
      <c r="C127" s="5">
        <v>0.61375000000000002</v>
      </c>
      <c r="D127" s="1" t="s">
        <v>226</v>
      </c>
      <c r="E127" t="s">
        <v>3359</v>
      </c>
      <c r="F127" t="s">
        <v>3376</v>
      </c>
      <c r="I127" s="8" t="s">
        <v>2886</v>
      </c>
      <c r="J127" s="8" t="s">
        <v>2396</v>
      </c>
      <c r="K127" t="s">
        <v>2887</v>
      </c>
      <c r="L127" t="s">
        <v>2888</v>
      </c>
      <c r="M127" s="2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3">
        <v>45990</v>
      </c>
      <c r="C128" s="5">
        <v>0.57677083333333334</v>
      </c>
      <c r="D128" s="1" t="s">
        <v>226</v>
      </c>
      <c r="E128" t="s">
        <v>3382</v>
      </c>
      <c r="F128" t="s">
        <v>3376</v>
      </c>
      <c r="H128" t="s">
        <v>2352</v>
      </c>
      <c r="I128" s="8" t="s">
        <v>2868</v>
      </c>
      <c r="J128" s="8" t="s">
        <v>2396</v>
      </c>
      <c r="K128" t="s">
        <v>2869</v>
      </c>
      <c r="L128" t="s">
        <v>2870</v>
      </c>
      <c r="M128" s="2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3">
        <v>45990</v>
      </c>
      <c r="C129" s="5">
        <v>0.58212962962962966</v>
      </c>
      <c r="D129" s="1" t="s">
        <v>226</v>
      </c>
      <c r="E129" t="s">
        <v>3382</v>
      </c>
      <c r="F129" t="s">
        <v>3376</v>
      </c>
      <c r="H129" t="s">
        <v>2352</v>
      </c>
      <c r="I129" s="8" t="s">
        <v>2874</v>
      </c>
      <c r="J129" s="8" t="s">
        <v>2396</v>
      </c>
      <c r="K129" t="s">
        <v>2875</v>
      </c>
      <c r="L129" t="s">
        <v>2876</v>
      </c>
      <c r="M129" s="2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3">
        <v>45990</v>
      </c>
      <c r="C130" s="5">
        <v>0.57995370370370369</v>
      </c>
      <c r="D130" s="1" t="s">
        <v>226</v>
      </c>
      <c r="E130" t="s">
        <v>3382</v>
      </c>
      <c r="F130" t="s">
        <v>3376</v>
      </c>
      <c r="H130" t="s">
        <v>2352</v>
      </c>
      <c r="I130" s="8" t="s">
        <v>2871</v>
      </c>
      <c r="J130" s="8" t="s">
        <v>2396</v>
      </c>
      <c r="K130" t="s">
        <v>2872</v>
      </c>
      <c r="L130" t="s">
        <v>2873</v>
      </c>
      <c r="M130" s="2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3">
        <v>45990</v>
      </c>
      <c r="C131" s="5">
        <v>0.57168981481481485</v>
      </c>
      <c r="D131" s="1" t="s">
        <v>226</v>
      </c>
      <c r="E131" t="s">
        <v>3382</v>
      </c>
      <c r="F131" t="s">
        <v>3376</v>
      </c>
      <c r="H131" t="s">
        <v>2352</v>
      </c>
      <c r="I131" s="8" t="s">
        <v>2859</v>
      </c>
      <c r="J131" s="8" t="s">
        <v>2396</v>
      </c>
      <c r="K131" t="s">
        <v>2860</v>
      </c>
      <c r="L131" t="s">
        <v>2861</v>
      </c>
      <c r="M131" s="2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3">
        <v>45990</v>
      </c>
      <c r="C132" s="5">
        <v>0.58278935185185188</v>
      </c>
      <c r="D132" s="1" t="s">
        <v>226</v>
      </c>
      <c r="E132" t="s">
        <v>3382</v>
      </c>
      <c r="F132" t="s">
        <v>3376</v>
      </c>
      <c r="H132" t="s">
        <v>2352</v>
      </c>
      <c r="I132" s="8" t="s">
        <v>2877</v>
      </c>
      <c r="J132" s="8" t="s">
        <v>2396</v>
      </c>
      <c r="K132" t="s">
        <v>2878</v>
      </c>
      <c r="L132" t="s">
        <v>2879</v>
      </c>
      <c r="M132" s="2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3">
        <v>45990</v>
      </c>
      <c r="C133" s="5">
        <v>0.57449074074074069</v>
      </c>
      <c r="D133" s="1" t="s">
        <v>226</v>
      </c>
      <c r="E133" t="s">
        <v>3382</v>
      </c>
      <c r="F133" t="s">
        <v>3376</v>
      </c>
      <c r="H133" t="s">
        <v>2352</v>
      </c>
      <c r="I133" s="8" t="s">
        <v>2865</v>
      </c>
      <c r="J133" s="8" t="s">
        <v>2396</v>
      </c>
      <c r="K133" t="s">
        <v>2866</v>
      </c>
      <c r="L133" t="s">
        <v>2867</v>
      </c>
      <c r="M133" s="2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3">
        <v>45990</v>
      </c>
      <c r="C134" s="5">
        <v>0.57275462962962964</v>
      </c>
      <c r="D134" s="1" t="s">
        <v>226</v>
      </c>
      <c r="E134" t="s">
        <v>3382</v>
      </c>
      <c r="F134" t="s">
        <v>3376</v>
      </c>
      <c r="H134" t="s">
        <v>2352</v>
      </c>
      <c r="I134" s="8" t="s">
        <v>2862</v>
      </c>
      <c r="J134" s="8" t="s">
        <v>2396</v>
      </c>
      <c r="K134" t="s">
        <v>2863</v>
      </c>
      <c r="L134" t="s">
        <v>2864</v>
      </c>
      <c r="M134" s="2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3">
        <v>45990</v>
      </c>
      <c r="C135" s="5">
        <v>0.55314814814814817</v>
      </c>
      <c r="D135" s="1" t="s">
        <v>226</v>
      </c>
      <c r="E135" t="s">
        <v>3382</v>
      </c>
      <c r="F135" t="s">
        <v>3376</v>
      </c>
      <c r="H135" t="s">
        <v>2352</v>
      </c>
      <c r="I135" s="8" t="s">
        <v>2844</v>
      </c>
      <c r="J135" s="8" t="s">
        <v>2396</v>
      </c>
      <c r="K135" t="s">
        <v>2845</v>
      </c>
      <c r="L135" t="s">
        <v>2846</v>
      </c>
      <c r="M135" s="2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3">
        <v>45990</v>
      </c>
      <c r="C136" s="5">
        <v>0.55248842592592595</v>
      </c>
      <c r="D136" s="1" t="s">
        <v>226</v>
      </c>
      <c r="E136" t="s">
        <v>3382</v>
      </c>
      <c r="F136" t="s">
        <v>3376</v>
      </c>
      <c r="I136" s="8" t="s">
        <v>2841</v>
      </c>
      <c r="J136" s="8" t="s">
        <v>2396</v>
      </c>
      <c r="K136" t="s">
        <v>2842</v>
      </c>
      <c r="L136" t="s">
        <v>2843</v>
      </c>
      <c r="M136" s="2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3">
        <v>45990</v>
      </c>
      <c r="C137" s="5">
        <v>0.56846064814814812</v>
      </c>
      <c r="D137" s="1" t="s">
        <v>226</v>
      </c>
      <c r="E137" t="s">
        <v>3382</v>
      </c>
      <c r="F137" t="s">
        <v>3376</v>
      </c>
      <c r="H137" t="s">
        <v>2352</v>
      </c>
      <c r="I137" s="8" t="s">
        <v>2856</v>
      </c>
      <c r="J137" s="8" t="s">
        <v>2396</v>
      </c>
      <c r="K137" t="s">
        <v>2857</v>
      </c>
      <c r="L137" t="s">
        <v>2858</v>
      </c>
      <c r="M137" s="2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3">
        <v>45990</v>
      </c>
      <c r="C138" s="5">
        <v>0.55888888888888888</v>
      </c>
      <c r="D138" s="1" t="s">
        <v>226</v>
      </c>
      <c r="E138" t="s">
        <v>3382</v>
      </c>
      <c r="F138" t="s">
        <v>3376</v>
      </c>
      <c r="H138" t="s">
        <v>2352</v>
      </c>
      <c r="I138" s="8" t="s">
        <v>2847</v>
      </c>
      <c r="J138" s="8" t="s">
        <v>2396</v>
      </c>
      <c r="K138" t="s">
        <v>2848</v>
      </c>
      <c r="L138" t="s">
        <v>2849</v>
      </c>
      <c r="M138" s="2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3">
        <v>45990</v>
      </c>
      <c r="C139" s="5">
        <v>0.63736111111111116</v>
      </c>
      <c r="D139" s="1" t="s">
        <v>226</v>
      </c>
      <c r="E139" t="s">
        <v>3359</v>
      </c>
      <c r="F139" t="s">
        <v>3376</v>
      </c>
      <c r="H139" t="s">
        <v>2352</v>
      </c>
      <c r="I139" s="8" t="s">
        <v>2910</v>
      </c>
      <c r="J139" s="8" t="s">
        <v>2396</v>
      </c>
      <c r="K139" t="s">
        <v>2911</v>
      </c>
      <c r="L139" t="s">
        <v>2912</v>
      </c>
      <c r="M139" s="2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3">
        <v>45990</v>
      </c>
      <c r="C140" s="5">
        <v>0.63914351851851847</v>
      </c>
      <c r="D140" s="1" t="s">
        <v>226</v>
      </c>
      <c r="E140" t="s">
        <v>3359</v>
      </c>
      <c r="F140" t="s">
        <v>3376</v>
      </c>
      <c r="H140" t="s">
        <v>2352</v>
      </c>
      <c r="I140" s="8" t="s">
        <v>2913</v>
      </c>
      <c r="J140" s="8" t="s">
        <v>2396</v>
      </c>
      <c r="K140" t="s">
        <v>2914</v>
      </c>
      <c r="L140" t="s">
        <v>2915</v>
      </c>
      <c r="M140" s="2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3">
        <v>45990</v>
      </c>
      <c r="C141" s="5">
        <v>0.64195601851851847</v>
      </c>
      <c r="D141" s="1" t="s">
        <v>226</v>
      </c>
      <c r="E141" t="s">
        <v>3359</v>
      </c>
      <c r="F141" t="s">
        <v>3376</v>
      </c>
      <c r="H141" t="s">
        <v>2352</v>
      </c>
      <c r="I141" s="8" t="s">
        <v>2916</v>
      </c>
      <c r="J141" s="8" t="s">
        <v>2396</v>
      </c>
      <c r="K141" t="s">
        <v>2917</v>
      </c>
      <c r="L141" t="s">
        <v>2918</v>
      </c>
      <c r="M141" s="2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3">
        <v>45990</v>
      </c>
      <c r="C142" s="5">
        <v>0.67369212962962965</v>
      </c>
      <c r="D142" s="1" t="s">
        <v>226</v>
      </c>
      <c r="E142" t="s">
        <v>3376</v>
      </c>
      <c r="H142" t="s">
        <v>2352</v>
      </c>
      <c r="I142" s="8" t="s">
        <v>2730</v>
      </c>
      <c r="J142" s="8" t="s">
        <v>2395</v>
      </c>
      <c r="K142" t="s">
        <v>2731</v>
      </c>
      <c r="L142" t="s">
        <v>2732</v>
      </c>
      <c r="M142" s="2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3">
        <v>45990</v>
      </c>
      <c r="C143" s="5">
        <v>0.68300925925925926</v>
      </c>
      <c r="D143" s="1" t="s">
        <v>226</v>
      </c>
      <c r="E143" t="s">
        <v>3376</v>
      </c>
      <c r="H143" t="s">
        <v>2352</v>
      </c>
      <c r="I143" s="8" t="s">
        <v>2733</v>
      </c>
      <c r="J143" s="8" t="s">
        <v>2395</v>
      </c>
      <c r="K143" t="s">
        <v>2734</v>
      </c>
      <c r="L143" t="s">
        <v>2735</v>
      </c>
      <c r="M143" s="2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3">
        <v>45990</v>
      </c>
      <c r="C144" s="5">
        <v>0.67062500000000003</v>
      </c>
      <c r="D144" s="1" t="s">
        <v>226</v>
      </c>
      <c r="E144" t="s">
        <v>3376</v>
      </c>
      <c r="H144" t="s">
        <v>2352</v>
      </c>
      <c r="I144" s="8" t="s">
        <v>2727</v>
      </c>
      <c r="J144" s="8" t="s">
        <v>2395</v>
      </c>
      <c r="K144" t="s">
        <v>2728</v>
      </c>
      <c r="L144" t="s">
        <v>2729</v>
      </c>
      <c r="M144" s="2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3">
        <v>45990</v>
      </c>
      <c r="C145" s="5">
        <v>0.64961805555555552</v>
      </c>
      <c r="D145" s="1" t="s">
        <v>226</v>
      </c>
      <c r="E145" t="s">
        <v>2343</v>
      </c>
      <c r="F145" t="s">
        <v>53</v>
      </c>
      <c r="G145">
        <v>4</v>
      </c>
      <c r="I145" s="8" t="s">
        <v>2650</v>
      </c>
      <c r="J145" s="8" t="s">
        <v>2402</v>
      </c>
      <c r="K145" t="s">
        <v>2651</v>
      </c>
      <c r="L145" t="s">
        <v>2652</v>
      </c>
      <c r="M145" s="2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3">
        <v>45990</v>
      </c>
      <c r="C146" s="5">
        <v>0.56593749999999998</v>
      </c>
      <c r="D146" s="1" t="s">
        <v>226</v>
      </c>
      <c r="E146" t="s">
        <v>3382</v>
      </c>
      <c r="F146" t="s">
        <v>3376</v>
      </c>
      <c r="H146" t="s">
        <v>2352</v>
      </c>
      <c r="I146" s="8" t="s">
        <v>2853</v>
      </c>
      <c r="J146" s="8" t="s">
        <v>2396</v>
      </c>
      <c r="K146" t="s">
        <v>2854</v>
      </c>
      <c r="L146" t="s">
        <v>2855</v>
      </c>
      <c r="M146" s="2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3">
        <v>45990</v>
      </c>
      <c r="C147" s="5">
        <v>0.5607523148148148</v>
      </c>
      <c r="D147" s="1" t="s">
        <v>226</v>
      </c>
      <c r="E147" t="s">
        <v>3382</v>
      </c>
      <c r="F147" t="s">
        <v>3376</v>
      </c>
      <c r="H147" t="s">
        <v>2352</v>
      </c>
      <c r="I147" s="8" t="s">
        <v>2850</v>
      </c>
      <c r="J147" s="8" t="s">
        <v>2396</v>
      </c>
      <c r="K147" t="s">
        <v>2851</v>
      </c>
      <c r="L147" t="s">
        <v>2852</v>
      </c>
      <c r="M147" s="2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3">
        <v>45990</v>
      </c>
      <c r="C148" s="5">
        <v>0.41766203703703703</v>
      </c>
      <c r="D148" s="1" t="s">
        <v>226</v>
      </c>
      <c r="E148" t="s">
        <v>3376</v>
      </c>
      <c r="I148" s="8" t="s">
        <v>2721</v>
      </c>
      <c r="J148" s="8" t="s">
        <v>2395</v>
      </c>
      <c r="K148" t="s">
        <v>2722</v>
      </c>
      <c r="L148" t="s">
        <v>2723</v>
      </c>
      <c r="M148" s="2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s="8" t="s">
        <v>3566</v>
      </c>
      <c r="J149" s="8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0.5186574074074074</v>
      </c>
      <c r="D150" s="1" t="s">
        <v>226</v>
      </c>
      <c r="E150" t="s">
        <v>2343</v>
      </c>
      <c r="F150" t="s">
        <v>53</v>
      </c>
      <c r="G150">
        <v>3</v>
      </c>
      <c r="I150" s="8" t="s">
        <v>4080</v>
      </c>
      <c r="J150" s="8" t="s">
        <v>2402</v>
      </c>
      <c r="K150" t="s">
        <v>4081</v>
      </c>
      <c r="L150" t="s">
        <v>4082</v>
      </c>
      <c r="M150" s="2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3">
        <v>45995</v>
      </c>
      <c r="C151" s="5">
        <v>0.38034722222222223</v>
      </c>
      <c r="D151" s="1" t="s">
        <v>226</v>
      </c>
      <c r="E151" t="s">
        <v>70</v>
      </c>
      <c r="F151" t="s">
        <v>4087</v>
      </c>
      <c r="H151" t="s">
        <v>4089</v>
      </c>
      <c r="I151" s="8" t="s">
        <v>3575</v>
      </c>
      <c r="J151" s="8" t="s">
        <v>2403</v>
      </c>
      <c r="K151" t="s">
        <v>3576</v>
      </c>
      <c r="L151" t="s">
        <v>3577</v>
      </c>
      <c r="M151" s="2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s="8" t="s">
        <v>3578</v>
      </c>
      <c r="J152" s="8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0.38062499999999999</v>
      </c>
      <c r="D153" s="1" t="s">
        <v>226</v>
      </c>
      <c r="E153" t="s">
        <v>70</v>
      </c>
      <c r="F153" t="s">
        <v>4087</v>
      </c>
      <c r="H153" t="s">
        <v>2352</v>
      </c>
      <c r="I153" s="8" t="s">
        <v>3581</v>
      </c>
      <c r="J153" s="8" t="s">
        <v>2403</v>
      </c>
      <c r="K153" t="s">
        <v>3582</v>
      </c>
      <c r="L153" t="s">
        <v>3583</v>
      </c>
      <c r="M153" s="2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3">
        <v>45995</v>
      </c>
      <c r="C154" s="5">
        <v>0.38299768518518518</v>
      </c>
      <c r="D154" s="1" t="s">
        <v>226</v>
      </c>
      <c r="E154" t="s">
        <v>70</v>
      </c>
      <c r="F154" t="s">
        <v>4087</v>
      </c>
      <c r="H154" t="s">
        <v>4090</v>
      </c>
      <c r="I154" s="8" t="s">
        <v>3584</v>
      </c>
      <c r="J154" s="8" t="s">
        <v>2403</v>
      </c>
      <c r="K154" t="s">
        <v>3585</v>
      </c>
      <c r="L154" t="s">
        <v>3586</v>
      </c>
      <c r="M154" s="2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3">
        <v>45998</v>
      </c>
      <c r="C155" s="5">
        <v>0.63689814814814816</v>
      </c>
      <c r="D155" s="1" t="s">
        <v>226</v>
      </c>
      <c r="E155" t="s">
        <v>4236</v>
      </c>
      <c r="F155" t="s">
        <v>4087</v>
      </c>
      <c r="H155" t="s">
        <v>2352</v>
      </c>
      <c r="I155" s="8" t="s">
        <v>4159</v>
      </c>
      <c r="J155" s="8" t="s">
        <v>2394</v>
      </c>
      <c r="K155" t="s">
        <v>4160</v>
      </c>
      <c r="L155" t="s">
        <v>4161</v>
      </c>
      <c r="M155" s="2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3">
        <v>45998</v>
      </c>
      <c r="C156" s="5">
        <v>0.62921296296296292</v>
      </c>
      <c r="D156" s="1" t="s">
        <v>226</v>
      </c>
      <c r="E156" t="s">
        <v>4236</v>
      </c>
      <c r="F156" t="s">
        <v>4087</v>
      </c>
      <c r="H156" t="s">
        <v>2352</v>
      </c>
      <c r="I156" s="8" t="s">
        <v>4156</v>
      </c>
      <c r="J156" s="8" t="s">
        <v>2394</v>
      </c>
      <c r="K156" t="s">
        <v>4157</v>
      </c>
      <c r="L156" t="s">
        <v>4158</v>
      </c>
      <c r="M156" s="2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3">
        <v>45998</v>
      </c>
      <c r="C157" s="5">
        <v>0.60648148148148151</v>
      </c>
      <c r="D157" s="1" t="s">
        <v>226</v>
      </c>
      <c r="E157" t="s">
        <v>4236</v>
      </c>
      <c r="F157" t="s">
        <v>3398</v>
      </c>
      <c r="H157" t="s">
        <v>2352</v>
      </c>
      <c r="I157" s="8" t="s">
        <v>4180</v>
      </c>
      <c r="J157" s="8" t="s">
        <v>2397</v>
      </c>
      <c r="K157" t="s">
        <v>4181</v>
      </c>
      <c r="L157" t="s">
        <v>4182</v>
      </c>
      <c r="M157" s="2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3">
        <v>45998</v>
      </c>
      <c r="C158" s="5">
        <v>0.60039351851851852</v>
      </c>
      <c r="D158" s="1" t="s">
        <v>226</v>
      </c>
      <c r="E158" t="s">
        <v>4236</v>
      </c>
      <c r="F158" t="s">
        <v>3398</v>
      </c>
      <c r="I158" s="8" t="s">
        <v>4177</v>
      </c>
      <c r="J158" s="8" t="s">
        <v>2397</v>
      </c>
      <c r="K158" t="s">
        <v>4178</v>
      </c>
      <c r="L158" t="s">
        <v>4179</v>
      </c>
      <c r="M158" s="2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3">
        <v>45998</v>
      </c>
      <c r="C159" s="5">
        <v>0.62070601851851848</v>
      </c>
      <c r="D159" s="1" t="s">
        <v>226</v>
      </c>
      <c r="E159" t="s">
        <v>4236</v>
      </c>
      <c r="F159" t="s">
        <v>4087</v>
      </c>
      <c r="H159" t="s">
        <v>2352</v>
      </c>
      <c r="I159" s="8" t="s">
        <v>4147</v>
      </c>
      <c r="J159" s="8" t="s">
        <v>2394</v>
      </c>
      <c r="K159" t="s">
        <v>4148</v>
      </c>
      <c r="L159" t="s">
        <v>4149</v>
      </c>
      <c r="M159" s="2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3">
        <v>45998</v>
      </c>
      <c r="C160" s="5">
        <v>0.61756944444444439</v>
      </c>
      <c r="D160" s="1" t="s">
        <v>226</v>
      </c>
      <c r="E160" t="s">
        <v>4236</v>
      </c>
      <c r="F160" t="s">
        <v>4087</v>
      </c>
      <c r="I160" s="8" t="s">
        <v>4144</v>
      </c>
      <c r="J160" s="8" t="s">
        <v>2394</v>
      </c>
      <c r="K160" t="s">
        <v>4145</v>
      </c>
      <c r="L160" t="s">
        <v>4146</v>
      </c>
      <c r="M160" s="2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3">
        <v>45998</v>
      </c>
      <c r="C161" s="5">
        <v>0.62668981481481478</v>
      </c>
      <c r="D161" s="1" t="s">
        <v>226</v>
      </c>
      <c r="E161" t="s">
        <v>4236</v>
      </c>
      <c r="F161" t="s">
        <v>4087</v>
      </c>
      <c r="H161" t="s">
        <v>2352</v>
      </c>
      <c r="I161" s="8" t="s">
        <v>4153</v>
      </c>
      <c r="J161" s="8" t="s">
        <v>2394</v>
      </c>
      <c r="K161" t="s">
        <v>4154</v>
      </c>
      <c r="L161" t="s">
        <v>4155</v>
      </c>
      <c r="M161" s="2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3">
        <v>45998</v>
      </c>
      <c r="C162" s="5">
        <v>0.62306712962962962</v>
      </c>
      <c r="D162" s="1" t="s">
        <v>226</v>
      </c>
      <c r="E162" t="s">
        <v>4236</v>
      </c>
      <c r="F162" t="s">
        <v>4087</v>
      </c>
      <c r="H162" t="s">
        <v>2352</v>
      </c>
      <c r="I162" s="8" t="s">
        <v>4150</v>
      </c>
      <c r="J162" s="8" t="s">
        <v>2394</v>
      </c>
      <c r="K162" t="s">
        <v>4151</v>
      </c>
      <c r="L162" t="s">
        <v>4152</v>
      </c>
      <c r="M162" s="2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3">
        <v>46004</v>
      </c>
      <c r="C163" s="5">
        <v>0.39291666666666669</v>
      </c>
      <c r="D163" s="1" t="s">
        <v>226</v>
      </c>
      <c r="E163" t="s">
        <v>4917</v>
      </c>
      <c r="F163" t="s">
        <v>4938</v>
      </c>
      <c r="H163" t="s">
        <v>2352</v>
      </c>
      <c r="I163" s="8" t="s">
        <v>4871</v>
      </c>
      <c r="J163" s="8" t="s">
        <v>4505</v>
      </c>
      <c r="K163" t="s">
        <v>4872</v>
      </c>
      <c r="L163" t="s">
        <v>4873</v>
      </c>
      <c r="M163" s="2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3">
        <v>46004</v>
      </c>
      <c r="C164" s="5">
        <v>0.39643518518518517</v>
      </c>
      <c r="D164" s="1" t="s">
        <v>226</v>
      </c>
      <c r="E164" t="s">
        <v>4917</v>
      </c>
      <c r="F164" t="s">
        <v>4938</v>
      </c>
      <c r="H164" t="s">
        <v>2352</v>
      </c>
      <c r="I164" s="8" t="s">
        <v>4874</v>
      </c>
      <c r="J164" s="8" t="s">
        <v>4505</v>
      </c>
      <c r="K164" t="s">
        <v>4875</v>
      </c>
      <c r="L164" t="s">
        <v>4876</v>
      </c>
      <c r="M164" s="2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3">
        <v>46004</v>
      </c>
      <c r="C165" s="5">
        <v>0.39685185185185184</v>
      </c>
      <c r="D165" s="1" t="s">
        <v>226</v>
      </c>
      <c r="E165" t="s">
        <v>4917</v>
      </c>
      <c r="F165" t="s">
        <v>4938</v>
      </c>
      <c r="H165" t="s">
        <v>2352</v>
      </c>
      <c r="I165" s="8" t="s">
        <v>4877</v>
      </c>
      <c r="J165" s="8" t="s">
        <v>4505</v>
      </c>
      <c r="K165" t="s">
        <v>4878</v>
      </c>
      <c r="L165" t="s">
        <v>4879</v>
      </c>
      <c r="M165" s="2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3">
        <v>46004</v>
      </c>
      <c r="C166" s="5">
        <v>0.3972222222222222</v>
      </c>
      <c r="D166" s="1" t="s">
        <v>226</v>
      </c>
      <c r="E166" t="s">
        <v>4917</v>
      </c>
      <c r="F166" t="s">
        <v>4938</v>
      </c>
      <c r="H166" t="s">
        <v>2352</v>
      </c>
      <c r="I166" s="8" t="s">
        <v>4880</v>
      </c>
      <c r="J166" s="8" t="s">
        <v>4505</v>
      </c>
      <c r="K166" t="s">
        <v>4881</v>
      </c>
      <c r="L166" t="s">
        <v>4882</v>
      </c>
      <c r="M166" s="2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3">
        <v>46004</v>
      </c>
      <c r="C167" s="5">
        <v>0.39961805555555557</v>
      </c>
      <c r="D167" s="1" t="s">
        <v>226</v>
      </c>
      <c r="E167" t="s">
        <v>4917</v>
      </c>
      <c r="F167" t="s">
        <v>4938</v>
      </c>
      <c r="H167" t="s">
        <v>2352</v>
      </c>
      <c r="I167" s="8" t="s">
        <v>4883</v>
      </c>
      <c r="J167" s="8" t="s">
        <v>4505</v>
      </c>
      <c r="K167" t="s">
        <v>4884</v>
      </c>
      <c r="L167" t="s">
        <v>4885</v>
      </c>
      <c r="M167" s="2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3">
        <v>46004</v>
      </c>
      <c r="C168" s="5">
        <v>0.39997685185185183</v>
      </c>
      <c r="D168" s="1" t="s">
        <v>226</v>
      </c>
      <c r="E168" t="s">
        <v>4917</v>
      </c>
      <c r="F168" t="s">
        <v>4938</v>
      </c>
      <c r="H168" t="s">
        <v>2352</v>
      </c>
      <c r="I168" s="8" t="s">
        <v>4886</v>
      </c>
      <c r="J168" s="8" t="s">
        <v>4505</v>
      </c>
      <c r="K168" t="s">
        <v>4887</v>
      </c>
      <c r="L168" t="s">
        <v>4888</v>
      </c>
      <c r="M168" s="2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3">
        <v>46004</v>
      </c>
      <c r="C169" s="5">
        <v>0.40167824074074077</v>
      </c>
      <c r="D169" s="1" t="s">
        <v>226</v>
      </c>
      <c r="E169" t="s">
        <v>4917</v>
      </c>
      <c r="F169" t="s">
        <v>4938</v>
      </c>
      <c r="H169" t="s">
        <v>2352</v>
      </c>
      <c r="I169" s="8" t="s">
        <v>4889</v>
      </c>
      <c r="J169" s="8" t="s">
        <v>4505</v>
      </c>
      <c r="K169" t="s">
        <v>4890</v>
      </c>
      <c r="L169" t="s">
        <v>4891</v>
      </c>
      <c r="M169" s="2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3">
        <v>46004</v>
      </c>
      <c r="C170" s="5">
        <v>0.40229166666666666</v>
      </c>
      <c r="D170" s="1" t="s">
        <v>226</v>
      </c>
      <c r="E170" t="s">
        <v>4917</v>
      </c>
      <c r="F170" t="s">
        <v>4938</v>
      </c>
      <c r="H170" t="s">
        <v>2352</v>
      </c>
      <c r="I170" s="8" t="s">
        <v>4892</v>
      </c>
      <c r="J170" s="8" t="s">
        <v>4505</v>
      </c>
      <c r="K170" t="s">
        <v>4893</v>
      </c>
      <c r="L170" t="s">
        <v>4894</v>
      </c>
      <c r="M170" s="2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3">
        <v>46006</v>
      </c>
      <c r="C171" s="5">
        <v>0.47672453703703704</v>
      </c>
      <c r="D171" s="1" t="s">
        <v>226</v>
      </c>
      <c r="E171" t="s">
        <v>5045</v>
      </c>
      <c r="F171" t="s">
        <v>58</v>
      </c>
      <c r="H171" t="s">
        <v>2352</v>
      </c>
      <c r="I171" s="8" t="s">
        <v>5149</v>
      </c>
      <c r="J171" s="8" t="s">
        <v>5093</v>
      </c>
      <c r="K171" t="s">
        <v>5150</v>
      </c>
      <c r="L171" t="s">
        <v>5151</v>
      </c>
      <c r="M171" s="2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3">
        <v>46006</v>
      </c>
      <c r="C172" s="5">
        <v>0.47729166666666667</v>
      </c>
      <c r="D172" s="1" t="s">
        <v>226</v>
      </c>
      <c r="E172" t="s">
        <v>5045</v>
      </c>
      <c r="F172" t="s">
        <v>58</v>
      </c>
      <c r="H172" t="s">
        <v>2352</v>
      </c>
      <c r="I172" s="8" t="s">
        <v>5152</v>
      </c>
      <c r="J172" s="8" t="s">
        <v>5093</v>
      </c>
      <c r="K172" t="s">
        <v>5153</v>
      </c>
      <c r="L172" t="s">
        <v>5154</v>
      </c>
      <c r="M172" s="2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3">
        <v>46006</v>
      </c>
      <c r="C173" s="5">
        <v>0.47780092592592593</v>
      </c>
      <c r="D173" s="1" t="s">
        <v>226</v>
      </c>
      <c r="E173" t="s">
        <v>5045</v>
      </c>
      <c r="F173" t="s">
        <v>58</v>
      </c>
      <c r="H173" t="s">
        <v>1287</v>
      </c>
      <c r="I173" s="8" t="s">
        <v>5155</v>
      </c>
      <c r="J173" s="8" t="s">
        <v>5093</v>
      </c>
      <c r="K173" t="s">
        <v>5156</v>
      </c>
      <c r="L173" t="s">
        <v>5157</v>
      </c>
      <c r="M173" s="2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3">
        <v>46006</v>
      </c>
      <c r="C174" s="5">
        <v>0.47162037037037036</v>
      </c>
      <c r="D174" s="1" t="s">
        <v>226</v>
      </c>
      <c r="E174" t="s">
        <v>5045</v>
      </c>
      <c r="F174" t="s">
        <v>58</v>
      </c>
      <c r="H174" t="s">
        <v>2352</v>
      </c>
      <c r="I174" s="8" t="s">
        <v>5140</v>
      </c>
      <c r="J174" s="8" t="s">
        <v>5093</v>
      </c>
      <c r="K174" t="s">
        <v>5141</v>
      </c>
      <c r="L174" t="s">
        <v>5142</v>
      </c>
      <c r="M174" s="2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3">
        <v>46006</v>
      </c>
      <c r="C175" s="5">
        <v>0.47537037037037039</v>
      </c>
      <c r="D175" s="1" t="s">
        <v>226</v>
      </c>
      <c r="E175" t="s">
        <v>5045</v>
      </c>
      <c r="F175" t="s">
        <v>58</v>
      </c>
      <c r="H175" t="s">
        <v>5211</v>
      </c>
      <c r="I175" s="8" t="s">
        <v>5143</v>
      </c>
      <c r="J175" s="8" t="s">
        <v>5093</v>
      </c>
      <c r="K175" t="s">
        <v>5144</v>
      </c>
      <c r="L175" t="s">
        <v>5145</v>
      </c>
      <c r="M175" s="2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3">
        <v>46006</v>
      </c>
      <c r="C176" s="5">
        <v>0.47547453703703701</v>
      </c>
      <c r="D176" s="1" t="s">
        <v>226</v>
      </c>
      <c r="E176" t="s">
        <v>5045</v>
      </c>
      <c r="F176" t="s">
        <v>58</v>
      </c>
      <c r="H176" t="s">
        <v>2352</v>
      </c>
      <c r="I176" s="8" t="s">
        <v>5146</v>
      </c>
      <c r="J176" s="8" t="s">
        <v>5093</v>
      </c>
      <c r="K176" t="s">
        <v>5147</v>
      </c>
      <c r="L176" t="s">
        <v>5148</v>
      </c>
      <c r="M176" s="2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3">
        <v>46006</v>
      </c>
      <c r="C177" s="5">
        <v>0.47806712962962961</v>
      </c>
      <c r="D177" s="1" t="s">
        <v>226</v>
      </c>
      <c r="E177" t="s">
        <v>5045</v>
      </c>
      <c r="F177" t="s">
        <v>58</v>
      </c>
      <c r="H177" t="s">
        <v>2352</v>
      </c>
      <c r="I177" s="8" t="s">
        <v>5158</v>
      </c>
      <c r="J177" s="8" t="s">
        <v>5093</v>
      </c>
      <c r="K177" t="s">
        <v>5159</v>
      </c>
      <c r="L177" t="s">
        <v>5160</v>
      </c>
      <c r="M177" s="2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3">
        <v>46006</v>
      </c>
      <c r="C178" s="5">
        <v>0.4783101851851852</v>
      </c>
      <c r="D178" s="1" t="s">
        <v>226</v>
      </c>
      <c r="E178" t="s">
        <v>5045</v>
      </c>
      <c r="F178" t="s">
        <v>58</v>
      </c>
      <c r="H178" t="s">
        <v>2352</v>
      </c>
      <c r="I178" s="8" t="s">
        <v>5161</v>
      </c>
      <c r="J178" s="8" t="s">
        <v>5093</v>
      </c>
      <c r="K178" t="s">
        <v>5162</v>
      </c>
      <c r="L178" t="s">
        <v>5163</v>
      </c>
      <c r="M178" s="2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3">
        <v>46006</v>
      </c>
      <c r="C179" s="5">
        <v>0.47834490740740743</v>
      </c>
      <c r="D179" s="1" t="s">
        <v>226</v>
      </c>
      <c r="E179" t="s">
        <v>5045</v>
      </c>
      <c r="F179" t="s">
        <v>58</v>
      </c>
      <c r="H179" t="s">
        <v>2352</v>
      </c>
      <c r="I179" s="8" t="s">
        <v>5164</v>
      </c>
      <c r="J179" s="8" t="s">
        <v>5093</v>
      </c>
      <c r="K179" t="s">
        <v>5165</v>
      </c>
      <c r="L179" t="s">
        <v>5166</v>
      </c>
      <c r="M179" s="2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3">
        <v>46006</v>
      </c>
      <c r="C180" s="5">
        <v>0.61089120370370376</v>
      </c>
      <c r="D180" s="1" t="s">
        <v>226</v>
      </c>
      <c r="E180" t="s">
        <v>5212</v>
      </c>
      <c r="F180" t="s">
        <v>892</v>
      </c>
      <c r="G180">
        <v>2</v>
      </c>
      <c r="I180" s="8" t="s">
        <v>5173</v>
      </c>
      <c r="J180" s="8" t="s">
        <v>5093</v>
      </c>
      <c r="K180" t="s">
        <v>5174</v>
      </c>
      <c r="L180" t="s">
        <v>5175</v>
      </c>
      <c r="M180" s="2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3">
        <v>46006</v>
      </c>
      <c r="C181" s="5">
        <v>0.47047453703703701</v>
      </c>
      <c r="D181" s="1" t="s">
        <v>226</v>
      </c>
      <c r="E181" t="s">
        <v>5045</v>
      </c>
      <c r="F181" t="s">
        <v>58</v>
      </c>
      <c r="H181" t="s">
        <v>2352</v>
      </c>
      <c r="I181" s="8" t="s">
        <v>5137</v>
      </c>
      <c r="J181" s="8" t="s">
        <v>5093</v>
      </c>
      <c r="K181" t="s">
        <v>5138</v>
      </c>
      <c r="L181" t="s">
        <v>5139</v>
      </c>
      <c r="M181" s="2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3">
        <v>46006</v>
      </c>
      <c r="C182" s="5">
        <v>0.46650462962962963</v>
      </c>
      <c r="D182" s="1" t="s">
        <v>226</v>
      </c>
      <c r="E182" t="s">
        <v>5045</v>
      </c>
      <c r="F182" t="s">
        <v>58</v>
      </c>
      <c r="H182" t="s">
        <v>2352</v>
      </c>
      <c r="I182" s="8" t="s">
        <v>5107</v>
      </c>
      <c r="J182" s="8" t="s">
        <v>5093</v>
      </c>
      <c r="K182" t="s">
        <v>5108</v>
      </c>
      <c r="L182" t="s">
        <v>5109</v>
      </c>
      <c r="M182" s="2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3">
        <v>46006</v>
      </c>
      <c r="C183" s="5">
        <v>0.46740740740740738</v>
      </c>
      <c r="D183" s="1" t="s">
        <v>226</v>
      </c>
      <c r="E183" t="s">
        <v>5045</v>
      </c>
      <c r="F183" t="s">
        <v>58</v>
      </c>
      <c r="H183" t="s">
        <v>2352</v>
      </c>
      <c r="I183" s="8" t="s">
        <v>5110</v>
      </c>
      <c r="J183" s="8" t="s">
        <v>5093</v>
      </c>
      <c r="K183" t="s">
        <v>5111</v>
      </c>
      <c r="L183" t="s">
        <v>5112</v>
      </c>
      <c r="M183" s="2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3">
        <v>46006</v>
      </c>
      <c r="C184" s="5">
        <v>0.46766203703703701</v>
      </c>
      <c r="D184" s="1" t="s">
        <v>226</v>
      </c>
      <c r="E184" t="s">
        <v>5045</v>
      </c>
      <c r="F184" t="s">
        <v>58</v>
      </c>
      <c r="H184" t="s">
        <v>2352</v>
      </c>
      <c r="I184" s="8" t="s">
        <v>5113</v>
      </c>
      <c r="J184" s="8" t="s">
        <v>5093</v>
      </c>
      <c r="K184" t="s">
        <v>5114</v>
      </c>
      <c r="L184" t="s">
        <v>5115</v>
      </c>
      <c r="M184" s="2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3">
        <v>46006</v>
      </c>
      <c r="C185" s="5">
        <v>0.51274305555555555</v>
      </c>
      <c r="D185" s="1" t="s">
        <v>226</v>
      </c>
      <c r="E185" t="s">
        <v>70</v>
      </c>
      <c r="F185" t="s">
        <v>5056</v>
      </c>
      <c r="I185" s="8" t="s">
        <v>5027</v>
      </c>
      <c r="J185" s="8" t="s">
        <v>5026</v>
      </c>
      <c r="K185" t="s">
        <v>5028</v>
      </c>
      <c r="L185" t="s">
        <v>5029</v>
      </c>
      <c r="M185" s="2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3">
        <v>46006</v>
      </c>
      <c r="C186" s="5">
        <v>0.46620370370370373</v>
      </c>
      <c r="D186" s="1" t="s">
        <v>226</v>
      </c>
      <c r="E186" t="s">
        <v>5045</v>
      </c>
      <c r="F186" t="s">
        <v>58</v>
      </c>
      <c r="H186" t="s">
        <v>1287</v>
      </c>
      <c r="I186" s="8" t="s">
        <v>5101</v>
      </c>
      <c r="J186" s="8" t="s">
        <v>5093</v>
      </c>
      <c r="K186" t="s">
        <v>5102</v>
      </c>
      <c r="L186" t="s">
        <v>5103</v>
      </c>
      <c r="M186" s="2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3">
        <v>46006</v>
      </c>
      <c r="C187" s="5">
        <v>0.46644675925925927</v>
      </c>
      <c r="D187" s="1" t="s">
        <v>226</v>
      </c>
      <c r="E187" t="s">
        <v>5045</v>
      </c>
      <c r="F187" t="s">
        <v>58</v>
      </c>
      <c r="H187" t="s">
        <v>2352</v>
      </c>
      <c r="I187" s="8" t="s">
        <v>5104</v>
      </c>
      <c r="J187" s="8" t="s">
        <v>5093</v>
      </c>
      <c r="K187" t="s">
        <v>5105</v>
      </c>
      <c r="L187" t="s">
        <v>5106</v>
      </c>
      <c r="M187" s="2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3">
        <v>46006</v>
      </c>
      <c r="C188" s="5">
        <v>0.46770833333333334</v>
      </c>
      <c r="D188" s="1" t="s">
        <v>226</v>
      </c>
      <c r="E188" t="s">
        <v>5045</v>
      </c>
      <c r="F188" t="s">
        <v>58</v>
      </c>
      <c r="H188" t="s">
        <v>2352</v>
      </c>
      <c r="I188" s="8" t="s">
        <v>5116</v>
      </c>
      <c r="J188" s="8" t="s">
        <v>5093</v>
      </c>
      <c r="K188" t="s">
        <v>5117</v>
      </c>
      <c r="L188" t="s">
        <v>5118</v>
      </c>
      <c r="M188" s="2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3">
        <v>46006</v>
      </c>
      <c r="C189" s="5">
        <v>0.46927083333333336</v>
      </c>
      <c r="D189" s="1" t="s">
        <v>226</v>
      </c>
      <c r="E189" t="s">
        <v>5045</v>
      </c>
      <c r="F189" t="s">
        <v>58</v>
      </c>
      <c r="H189" t="s">
        <v>2352</v>
      </c>
      <c r="I189" s="8" t="s">
        <v>5128</v>
      </c>
      <c r="J189" s="8" t="s">
        <v>5093</v>
      </c>
      <c r="K189" t="s">
        <v>5129</v>
      </c>
      <c r="L189" t="s">
        <v>5130</v>
      </c>
      <c r="M189" s="2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3">
        <v>46006</v>
      </c>
      <c r="C190" s="5">
        <v>0.47002314814814816</v>
      </c>
      <c r="D190" s="1" t="s">
        <v>226</v>
      </c>
      <c r="E190" t="s">
        <v>5045</v>
      </c>
      <c r="F190" t="s">
        <v>58</v>
      </c>
      <c r="H190" t="s">
        <v>2352</v>
      </c>
      <c r="I190" s="8" t="s">
        <v>5131</v>
      </c>
      <c r="J190" s="8" t="s">
        <v>5093</v>
      </c>
      <c r="K190" t="s">
        <v>5132</v>
      </c>
      <c r="L190" t="s">
        <v>5133</v>
      </c>
      <c r="M190" s="2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3">
        <v>46006</v>
      </c>
      <c r="C191" s="5">
        <v>0.47033564814814816</v>
      </c>
      <c r="D191" s="1" t="s">
        <v>226</v>
      </c>
      <c r="E191" t="s">
        <v>5045</v>
      </c>
      <c r="F191" t="s">
        <v>58</v>
      </c>
      <c r="H191" t="s">
        <v>2352</v>
      </c>
      <c r="I191" s="8" t="s">
        <v>5134</v>
      </c>
      <c r="J191" s="8" t="s">
        <v>5093</v>
      </c>
      <c r="K191" t="s">
        <v>5135</v>
      </c>
      <c r="L191" t="s">
        <v>5136</v>
      </c>
      <c r="M191" s="2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3">
        <v>46006</v>
      </c>
      <c r="C192" s="5">
        <v>0.46807870370370369</v>
      </c>
      <c r="D192" s="1" t="s">
        <v>226</v>
      </c>
      <c r="E192" t="s">
        <v>5045</v>
      </c>
      <c r="F192" t="s">
        <v>58</v>
      </c>
      <c r="H192" t="s">
        <v>2352</v>
      </c>
      <c r="I192" s="8" t="s">
        <v>5119</v>
      </c>
      <c r="J192" s="8" t="s">
        <v>5093</v>
      </c>
      <c r="K192" t="s">
        <v>5120</v>
      </c>
      <c r="L192" t="s">
        <v>5121</v>
      </c>
      <c r="M192" s="2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3">
        <v>46006</v>
      </c>
      <c r="C193" s="5">
        <v>0.46834490740740742</v>
      </c>
      <c r="D193" s="1" t="s">
        <v>226</v>
      </c>
      <c r="E193" t="s">
        <v>5045</v>
      </c>
      <c r="F193" t="s">
        <v>58</v>
      </c>
      <c r="H193" t="s">
        <v>2352</v>
      </c>
      <c r="I193" s="8" t="s">
        <v>5122</v>
      </c>
      <c r="J193" s="8" t="s">
        <v>5093</v>
      </c>
      <c r="K193" t="s">
        <v>5123</v>
      </c>
      <c r="L193" t="s">
        <v>5124</v>
      </c>
      <c r="M193" s="2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3">
        <v>46006</v>
      </c>
      <c r="C194" s="5">
        <v>0.4692013888888889</v>
      </c>
      <c r="D194" s="1" t="s">
        <v>226</v>
      </c>
      <c r="E194" t="s">
        <v>5045</v>
      </c>
      <c r="F194" t="s">
        <v>58</v>
      </c>
      <c r="H194" t="s">
        <v>2352</v>
      </c>
      <c r="I194" s="8" t="s">
        <v>5125</v>
      </c>
      <c r="J194" s="8" t="s">
        <v>5093</v>
      </c>
      <c r="K194" t="s">
        <v>5126</v>
      </c>
      <c r="L194" t="s">
        <v>5127</v>
      </c>
      <c r="M194" s="2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s="8" t="s">
        <v>5229</v>
      </c>
      <c r="J195" s="8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0.50045138888888885</v>
      </c>
      <c r="D196" s="1" t="s">
        <v>226</v>
      </c>
      <c r="E196" t="s">
        <v>70</v>
      </c>
      <c r="F196" t="s">
        <v>58</v>
      </c>
      <c r="H196" t="s">
        <v>1285</v>
      </c>
      <c r="I196" s="8" t="s">
        <v>5967</v>
      </c>
      <c r="J196" s="8" t="s">
        <v>5093</v>
      </c>
      <c r="K196" t="s">
        <v>5968</v>
      </c>
      <c r="L196" t="s">
        <v>5969</v>
      </c>
      <c r="M196" s="2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3">
        <v>46016</v>
      </c>
      <c r="C197" s="5">
        <v>0.50079861111111112</v>
      </c>
      <c r="D197" s="1" t="s">
        <v>226</v>
      </c>
      <c r="E197" t="s">
        <v>70</v>
      </c>
      <c r="F197" t="s">
        <v>58</v>
      </c>
      <c r="H197" t="s">
        <v>2352</v>
      </c>
      <c r="I197" s="8" t="s">
        <v>5970</v>
      </c>
      <c r="J197" s="8" t="s">
        <v>5093</v>
      </c>
      <c r="K197" t="s">
        <v>5971</v>
      </c>
      <c r="L197" t="s">
        <v>5972</v>
      </c>
      <c r="M197" s="2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s="8" t="s">
        <v>5973</v>
      </c>
      <c r="J198" s="8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0.50189814814814815</v>
      </c>
      <c r="D199" s="1" t="s">
        <v>226</v>
      </c>
      <c r="E199" t="s">
        <v>70</v>
      </c>
      <c r="F199" t="s">
        <v>58</v>
      </c>
      <c r="H199" t="s">
        <v>2352</v>
      </c>
      <c r="I199" s="8" t="s">
        <v>5976</v>
      </c>
      <c r="J199" s="8" t="s">
        <v>5093</v>
      </c>
      <c r="K199" t="s">
        <v>5977</v>
      </c>
      <c r="L199" t="s">
        <v>5978</v>
      </c>
      <c r="M199" s="2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3">
        <v>46016</v>
      </c>
      <c r="C200" s="5">
        <v>0.50423611111111111</v>
      </c>
      <c r="D200" s="1" t="s">
        <v>226</v>
      </c>
      <c r="E200" t="s">
        <v>70</v>
      </c>
      <c r="F200" t="s">
        <v>58</v>
      </c>
      <c r="H200" t="s">
        <v>2352</v>
      </c>
      <c r="I200" s="8" t="s">
        <v>5979</v>
      </c>
      <c r="J200" s="8" t="s">
        <v>5093</v>
      </c>
      <c r="K200" t="s">
        <v>5980</v>
      </c>
      <c r="L200" t="s">
        <v>5981</v>
      </c>
      <c r="M200" s="2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3">
        <v>46017</v>
      </c>
      <c r="C201" s="5">
        <v>0.40710648148148149</v>
      </c>
      <c r="D201" s="1" t="s">
        <v>226</v>
      </c>
      <c r="E201" t="s">
        <v>2343</v>
      </c>
      <c r="F201" t="s">
        <v>5697</v>
      </c>
      <c r="I201" s="8" t="s">
        <v>6248</v>
      </c>
      <c r="J201" s="8" t="s">
        <v>2402</v>
      </c>
      <c r="K201" t="s">
        <v>6249</v>
      </c>
      <c r="L201" t="s">
        <v>6250</v>
      </c>
      <c r="M201" s="2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s="8" t="s">
        <v>6251</v>
      </c>
      <c r="J202" s="8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0.40768518518518521</v>
      </c>
      <c r="D203" s="1" t="s">
        <v>226</v>
      </c>
      <c r="E203" t="s">
        <v>2343</v>
      </c>
      <c r="F203" t="s">
        <v>5697</v>
      </c>
      <c r="H203" t="s">
        <v>2352</v>
      </c>
      <c r="I203" s="8" t="s">
        <v>6254</v>
      </c>
      <c r="J203" s="8" t="s">
        <v>2402</v>
      </c>
      <c r="K203" t="s">
        <v>6255</v>
      </c>
      <c r="L203" t="s">
        <v>6256</v>
      </c>
      <c r="M203" s="2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s="8" t="s">
        <v>6570</v>
      </c>
      <c r="J204" s="8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0.41230324074074076</v>
      </c>
      <c r="D205" s="1" t="s">
        <v>226</v>
      </c>
      <c r="E205" t="s">
        <v>7341</v>
      </c>
      <c r="F205" t="s">
        <v>7342</v>
      </c>
      <c r="H205" t="s">
        <v>2352</v>
      </c>
      <c r="I205" s="8" t="s">
        <v>7186</v>
      </c>
      <c r="J205" s="8" t="s">
        <v>7181</v>
      </c>
      <c r="K205" t="s">
        <v>7187</v>
      </c>
      <c r="L205" t="s">
        <v>7188</v>
      </c>
      <c r="M205" s="2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3">
        <v>46035</v>
      </c>
      <c r="C206" s="5">
        <v>0.41223379629629631</v>
      </c>
      <c r="D206" s="1" t="s">
        <v>226</v>
      </c>
      <c r="E206" t="s">
        <v>7341</v>
      </c>
      <c r="F206" t="s">
        <v>7342</v>
      </c>
      <c r="I206" s="8" t="s">
        <v>7183</v>
      </c>
      <c r="J206" s="8" t="s">
        <v>7181</v>
      </c>
      <c r="K206" t="s">
        <v>7184</v>
      </c>
      <c r="L206" t="s">
        <v>7185</v>
      </c>
      <c r="M206" s="2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s="8" t="s">
        <v>7598</v>
      </c>
      <c r="J207" s="8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0.59203703703703703</v>
      </c>
      <c r="D208" s="1" t="s">
        <v>226</v>
      </c>
      <c r="E208" t="s">
        <v>6679</v>
      </c>
      <c r="F208" t="s">
        <v>58</v>
      </c>
      <c r="H208" t="s">
        <v>8372</v>
      </c>
      <c r="I208" s="8" t="s">
        <v>8332</v>
      </c>
      <c r="J208" s="8" t="s">
        <v>2397</v>
      </c>
      <c r="K208" t="s">
        <v>8333</v>
      </c>
      <c r="L208" t="s">
        <v>8334</v>
      </c>
      <c r="M208" s="2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s="8" t="s">
        <v>8317</v>
      </c>
      <c r="J209" s="8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0.45423611111111112</v>
      </c>
      <c r="D210" s="1" t="s">
        <v>226</v>
      </c>
      <c r="E210" t="s">
        <v>6679</v>
      </c>
      <c r="F210" t="s">
        <v>58</v>
      </c>
      <c r="H210" t="s">
        <v>2352</v>
      </c>
      <c r="I210" s="8" t="s">
        <v>8320</v>
      </c>
      <c r="J210" s="8" t="s">
        <v>2404</v>
      </c>
      <c r="K210" t="s">
        <v>8321</v>
      </c>
      <c r="L210" t="s">
        <v>8322</v>
      </c>
      <c r="M210" s="2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3">
        <v>46051</v>
      </c>
      <c r="C211" s="5">
        <v>0.47310185185185183</v>
      </c>
      <c r="D211" s="1" t="s">
        <v>226</v>
      </c>
      <c r="E211" t="s">
        <v>8714</v>
      </c>
      <c r="F211" t="s">
        <v>2345</v>
      </c>
      <c r="G211">
        <v>1</v>
      </c>
      <c r="I211" s="8" t="s">
        <v>8539</v>
      </c>
      <c r="J211" s="8" t="s">
        <v>2401</v>
      </c>
      <c r="K211" t="s">
        <v>8540</v>
      </c>
      <c r="L211" t="s">
        <v>8541</v>
      </c>
      <c r="M211" s="2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3">
        <v>46051</v>
      </c>
      <c r="C212" s="5">
        <v>0.47327546296296297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s="8" t="s">
        <v>8542</v>
      </c>
      <c r="J212" s="8" t="s">
        <v>2401</v>
      </c>
      <c r="K212" t="s">
        <v>8543</v>
      </c>
      <c r="L212" t="s">
        <v>8544</v>
      </c>
      <c r="M212" s="2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3">
        <v>46051</v>
      </c>
      <c r="C213" s="5">
        <v>0.47359953703703705</v>
      </c>
      <c r="D213" s="1" t="s">
        <v>226</v>
      </c>
      <c r="E213" t="s">
        <v>8714</v>
      </c>
      <c r="F213" t="s">
        <v>2345</v>
      </c>
      <c r="G213">
        <v>1</v>
      </c>
      <c r="H213" t="s">
        <v>2352</v>
      </c>
      <c r="I213" s="8" t="s">
        <v>8545</v>
      </c>
      <c r="J213" s="8" t="s">
        <v>2401</v>
      </c>
      <c r="K213" t="s">
        <v>8546</v>
      </c>
      <c r="L213" t="s">
        <v>8547</v>
      </c>
      <c r="M213" s="2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3">
        <v>46051</v>
      </c>
      <c r="C214" s="5">
        <v>0.4737615740740741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s="8" t="s">
        <v>8548</v>
      </c>
      <c r="J214" s="8" t="s">
        <v>2401</v>
      </c>
      <c r="K214" t="s">
        <v>8549</v>
      </c>
      <c r="L214" t="s">
        <v>8550</v>
      </c>
      <c r="M214" s="2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3">
        <v>46052</v>
      </c>
      <c r="C215" s="5">
        <v>0.38785879629629627</v>
      </c>
      <c r="D215" s="1" t="s">
        <v>226</v>
      </c>
      <c r="E215" t="s">
        <v>70</v>
      </c>
      <c r="F215" t="s">
        <v>4087</v>
      </c>
      <c r="I215" s="8" t="s">
        <v>8735</v>
      </c>
      <c r="J215" s="8" t="s">
        <v>2403</v>
      </c>
      <c r="K215" t="s">
        <v>8736</v>
      </c>
      <c r="L215" t="s">
        <v>8737</v>
      </c>
      <c r="M215" s="2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3">
        <v>46052</v>
      </c>
      <c r="C216" s="5">
        <v>0.38319444444444445</v>
      </c>
      <c r="D216" s="1" t="s">
        <v>226</v>
      </c>
      <c r="E216" t="s">
        <v>70</v>
      </c>
      <c r="F216" t="s">
        <v>8811</v>
      </c>
      <c r="I216" s="8" t="s">
        <v>8771</v>
      </c>
      <c r="J216" s="8" t="s">
        <v>2397</v>
      </c>
      <c r="K216" t="s">
        <v>8772</v>
      </c>
      <c r="L216" t="s">
        <v>8773</v>
      </c>
      <c r="M216" s="2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s="8" t="s">
        <v>8774</v>
      </c>
      <c r="J217" s="8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0.38341435185185185</v>
      </c>
      <c r="D218" s="1" t="s">
        <v>226</v>
      </c>
      <c r="E218" t="s">
        <v>70</v>
      </c>
      <c r="F218" t="s">
        <v>8811</v>
      </c>
      <c r="H218" t="s">
        <v>2352</v>
      </c>
      <c r="I218" s="8" t="s">
        <v>8777</v>
      </c>
      <c r="J218" s="8" t="s">
        <v>2397</v>
      </c>
      <c r="K218" t="s">
        <v>8778</v>
      </c>
      <c r="L218" t="s">
        <v>8779</v>
      </c>
      <c r="M218" s="2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3">
        <v>46052</v>
      </c>
      <c r="C219" s="5">
        <v>0.38377314814814817</v>
      </c>
      <c r="D219" s="1" t="s">
        <v>226</v>
      </c>
      <c r="E219" t="s">
        <v>70</v>
      </c>
      <c r="F219" t="s">
        <v>8811</v>
      </c>
      <c r="H219" t="s">
        <v>2352</v>
      </c>
      <c r="I219" s="8" t="s">
        <v>8780</v>
      </c>
      <c r="J219" s="8" t="s">
        <v>2397</v>
      </c>
      <c r="K219" t="s">
        <v>8781</v>
      </c>
      <c r="L219" t="s">
        <v>8782</v>
      </c>
      <c r="M219" s="2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3">
        <v>46053</v>
      </c>
      <c r="C220" s="5">
        <v>0.49326388888888889</v>
      </c>
      <c r="D220" s="1" t="s">
        <v>226</v>
      </c>
      <c r="E220" t="s">
        <v>8912</v>
      </c>
      <c r="F220" t="s">
        <v>5695</v>
      </c>
      <c r="G220">
        <v>1</v>
      </c>
      <c r="I220" s="8" t="s">
        <v>8867</v>
      </c>
      <c r="J220" s="8" t="s">
        <v>2397</v>
      </c>
      <c r="K220" t="s">
        <v>8868</v>
      </c>
      <c r="L220" t="s">
        <v>8869</v>
      </c>
      <c r="M220" s="2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3">
        <v>46053</v>
      </c>
      <c r="C221" s="5">
        <v>0.49449074074074073</v>
      </c>
      <c r="D221" s="1" t="s">
        <v>226</v>
      </c>
      <c r="E221" t="s">
        <v>8912</v>
      </c>
      <c r="F221" t="s">
        <v>5695</v>
      </c>
      <c r="G221">
        <v>1</v>
      </c>
      <c r="I221" s="8" t="s">
        <v>8870</v>
      </c>
      <c r="J221" s="8" t="s">
        <v>2397</v>
      </c>
      <c r="K221" t="s">
        <v>8871</v>
      </c>
      <c r="L221" t="s">
        <v>8872</v>
      </c>
      <c r="M221" s="2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3">
        <v>46053</v>
      </c>
      <c r="C222" s="5">
        <v>0.49556712962962962</v>
      </c>
      <c r="D222" s="1" t="s">
        <v>226</v>
      </c>
      <c r="E222" t="s">
        <v>8912</v>
      </c>
      <c r="F222" t="s">
        <v>5695</v>
      </c>
      <c r="G222">
        <v>1</v>
      </c>
      <c r="I222" s="8" t="s">
        <v>8873</v>
      </c>
      <c r="J222" s="8" t="s">
        <v>2397</v>
      </c>
      <c r="K222" t="s">
        <v>8874</v>
      </c>
      <c r="L222" t="s">
        <v>8875</v>
      </c>
      <c r="M222" s="2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3">
        <v>46053</v>
      </c>
      <c r="C223" s="5">
        <v>0.49659722222222225</v>
      </c>
      <c r="D223" s="1" t="s">
        <v>226</v>
      </c>
      <c r="E223" t="s">
        <v>8912</v>
      </c>
      <c r="F223" t="s">
        <v>5695</v>
      </c>
      <c r="G223">
        <v>1</v>
      </c>
      <c r="I223" s="8" t="s">
        <v>8876</v>
      </c>
      <c r="J223" s="8" t="s">
        <v>2397</v>
      </c>
      <c r="K223" t="s">
        <v>8877</v>
      </c>
      <c r="L223" t="s">
        <v>8878</v>
      </c>
      <c r="M223" s="2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3">
        <v>46053</v>
      </c>
      <c r="C224" s="5">
        <v>0.49760416666666668</v>
      </c>
      <c r="D224" s="1" t="s">
        <v>226</v>
      </c>
      <c r="E224" t="s">
        <v>8912</v>
      </c>
      <c r="F224" t="s">
        <v>5695</v>
      </c>
      <c r="G224">
        <v>1</v>
      </c>
      <c r="I224" s="8" t="s">
        <v>8879</v>
      </c>
      <c r="J224" s="8" t="s">
        <v>2397</v>
      </c>
      <c r="K224" t="s">
        <v>8880</v>
      </c>
      <c r="L224" t="s">
        <v>8881</v>
      </c>
      <c r="M224" s="2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s="8" t="s">
        <v>8882</v>
      </c>
      <c r="J225" s="8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0.49983796296296296</v>
      </c>
      <c r="D226" s="1" t="s">
        <v>226</v>
      </c>
      <c r="E226" t="s">
        <v>8912</v>
      </c>
      <c r="F226" t="s">
        <v>5695</v>
      </c>
      <c r="G226">
        <v>1</v>
      </c>
      <c r="I226" s="8" t="s">
        <v>8885</v>
      </c>
      <c r="J226" s="8" t="s">
        <v>2397</v>
      </c>
      <c r="K226" t="s">
        <v>8886</v>
      </c>
      <c r="L226" t="s">
        <v>8887</v>
      </c>
      <c r="M226" s="2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3">
        <v>46053</v>
      </c>
      <c r="C227" s="5">
        <v>0.50087962962962962</v>
      </c>
      <c r="D227" s="1" t="s">
        <v>226</v>
      </c>
      <c r="E227" t="s">
        <v>8912</v>
      </c>
      <c r="F227" t="s">
        <v>5695</v>
      </c>
      <c r="G227">
        <v>1</v>
      </c>
      <c r="I227" s="8" t="s">
        <v>8888</v>
      </c>
      <c r="J227" s="8" t="s">
        <v>2397</v>
      </c>
      <c r="K227" t="s">
        <v>8889</v>
      </c>
      <c r="L227" t="s">
        <v>8890</v>
      </c>
      <c r="M227" s="2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3">
        <v>46053</v>
      </c>
      <c r="C228" s="5">
        <v>0.50236111111111115</v>
      </c>
      <c r="D228" s="1" t="s">
        <v>226</v>
      </c>
      <c r="E228" t="s">
        <v>8912</v>
      </c>
      <c r="F228" t="s">
        <v>5695</v>
      </c>
      <c r="G228">
        <v>1</v>
      </c>
      <c r="I228" s="8" t="s">
        <v>8891</v>
      </c>
      <c r="J228" s="8" t="s">
        <v>2397</v>
      </c>
      <c r="K228" t="s">
        <v>8892</v>
      </c>
      <c r="L228" t="s">
        <v>8893</v>
      </c>
      <c r="M228" s="2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3">
        <v>46053</v>
      </c>
      <c r="C229" s="5">
        <v>0.50332175925925926</v>
      </c>
      <c r="D229" s="1" t="s">
        <v>226</v>
      </c>
      <c r="E229" t="s">
        <v>8912</v>
      </c>
      <c r="F229" t="s">
        <v>5695</v>
      </c>
      <c r="G229">
        <v>1</v>
      </c>
      <c r="I229" s="8" t="s">
        <v>8894</v>
      </c>
      <c r="J229" s="8" t="s">
        <v>2397</v>
      </c>
      <c r="K229" t="s">
        <v>8895</v>
      </c>
      <c r="L229" t="s">
        <v>8896</v>
      </c>
      <c r="M229" s="2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3">
        <v>46053</v>
      </c>
      <c r="C230" s="5">
        <v>0.50494212962962959</v>
      </c>
      <c r="D230" s="1" t="s">
        <v>226</v>
      </c>
      <c r="E230" t="s">
        <v>8912</v>
      </c>
      <c r="F230" t="s">
        <v>5695</v>
      </c>
      <c r="G230">
        <v>1</v>
      </c>
      <c r="I230" s="8" t="s">
        <v>8897</v>
      </c>
      <c r="J230" s="8" t="s">
        <v>2397</v>
      </c>
      <c r="K230" t="s">
        <v>8898</v>
      </c>
      <c r="L230" t="s">
        <v>8899</v>
      </c>
      <c r="M230" s="2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3">
        <v>46056</v>
      </c>
      <c r="C231" s="5">
        <v>0.79167824074074078</v>
      </c>
      <c r="D231" s="1" t="s">
        <v>226</v>
      </c>
      <c r="E231" t="s">
        <v>4940</v>
      </c>
      <c r="F231" t="s">
        <v>9130</v>
      </c>
      <c r="I231" s="8" t="s">
        <v>8967</v>
      </c>
      <c r="J231" s="8" t="s">
        <v>2403</v>
      </c>
      <c r="K231" t="s">
        <v>8968</v>
      </c>
      <c r="L231" t="s">
        <v>8969</v>
      </c>
      <c r="M231" s="2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3">
        <v>46056</v>
      </c>
      <c r="C232" s="5">
        <v>0.79401620370370374</v>
      </c>
      <c r="D232" s="1" t="s">
        <v>226</v>
      </c>
      <c r="E232" t="s">
        <v>4940</v>
      </c>
      <c r="F232" t="s">
        <v>9130</v>
      </c>
      <c r="I232" s="8" t="s">
        <v>8970</v>
      </c>
      <c r="J232" s="8" t="s">
        <v>2403</v>
      </c>
      <c r="K232" t="s">
        <v>8971</v>
      </c>
      <c r="L232" t="s">
        <v>8972</v>
      </c>
      <c r="M232" s="2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s="8" t="s">
        <v>9256</v>
      </c>
      <c r="J233" s="8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0.60603009259259255</v>
      </c>
      <c r="D234" s="1" t="s">
        <v>226</v>
      </c>
      <c r="E234" t="s">
        <v>10132</v>
      </c>
      <c r="F234" t="s">
        <v>469</v>
      </c>
      <c r="H234" t="s">
        <v>10135</v>
      </c>
      <c r="I234" s="8" t="s">
        <v>10057</v>
      </c>
      <c r="J234" s="8" t="s">
        <v>2400</v>
      </c>
      <c r="K234" t="s">
        <v>10058</v>
      </c>
      <c r="L234" t="s">
        <v>10059</v>
      </c>
      <c r="M234" s="2" t="str">
        <f>HYPERLINK(Таблица3[[#This Row],[RelativePath]])</f>
        <v>13 Склад хол\K07156189_23_20260219T143241Z.jpg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s="8" t="s">
        <v>10060</v>
      </c>
      <c r="J235" s="8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0.60662037037037042</v>
      </c>
      <c r="D236" s="1" t="s">
        <v>226</v>
      </c>
      <c r="E236" t="s">
        <v>10132</v>
      </c>
      <c r="F236" t="s">
        <v>469</v>
      </c>
      <c r="H236" t="s">
        <v>10136</v>
      </c>
      <c r="I236" s="8" t="s">
        <v>10063</v>
      </c>
      <c r="J236" s="8" t="s">
        <v>2400</v>
      </c>
      <c r="K236" t="s">
        <v>10064</v>
      </c>
      <c r="L236" t="s">
        <v>10065</v>
      </c>
      <c r="M236" s="2" t="str">
        <f>HYPERLINK(Таблица3[[#This Row],[RelativePath]])</f>
        <v>13 Склад хол\K07156189_23_20260219T143332Z.jpg</v>
      </c>
    </row>
    <row r="237" spans="1:13" x14ac:dyDescent="0.25">
      <c r="A237" t="s">
        <v>13</v>
      </c>
      <c r="B237" s="3">
        <v>46076</v>
      </c>
      <c r="C237" s="5">
        <v>0.40337962962962964</v>
      </c>
      <c r="D237" s="1" t="s">
        <v>226</v>
      </c>
      <c r="E237" t="s">
        <v>10566</v>
      </c>
      <c r="F237" t="s">
        <v>586</v>
      </c>
      <c r="H237" t="s">
        <v>2352</v>
      </c>
      <c r="I237" s="8" t="s">
        <v>10499</v>
      </c>
      <c r="J237" s="8" t="s">
        <v>2395</v>
      </c>
      <c r="K237" t="s">
        <v>10500</v>
      </c>
      <c r="L237" t="s">
        <v>10501</v>
      </c>
      <c r="M237" s="2" t="str">
        <f>HYPERLINK(Таблица3[[#This Row],[RelativePath]])</f>
        <v>6 Площадка 1 общага\826398429_1_20260223T094052Z.jpg</v>
      </c>
    </row>
    <row r="238" spans="1:13" x14ac:dyDescent="0.25">
      <c r="A238" t="s">
        <v>13</v>
      </c>
      <c r="B238" s="3">
        <v>46076</v>
      </c>
      <c r="C238" s="5">
        <v>0.40519675925925924</v>
      </c>
      <c r="D238" s="1" t="s">
        <v>226</v>
      </c>
      <c r="E238" t="s">
        <v>10566</v>
      </c>
      <c r="F238" t="s">
        <v>586</v>
      </c>
      <c r="H238" t="s">
        <v>2352</v>
      </c>
      <c r="I238" s="8" t="s">
        <v>10502</v>
      </c>
      <c r="J238" s="8" t="s">
        <v>2395</v>
      </c>
      <c r="K238" t="s">
        <v>10503</v>
      </c>
      <c r="L238" t="s">
        <v>10504</v>
      </c>
      <c r="M238" s="2" t="str">
        <f>HYPERLINK(Таблица3[[#This Row],[RelativePath]])</f>
        <v>6 Площадка 1 общага\826398429_1_20260223T094329Z.jpg</v>
      </c>
    </row>
    <row r="239" spans="1:13" x14ac:dyDescent="0.25">
      <c r="A239" t="s">
        <v>13</v>
      </c>
      <c r="B239" s="3">
        <v>46076</v>
      </c>
      <c r="C239" s="5">
        <v>0.39706018518518521</v>
      </c>
      <c r="D239" s="1" t="s">
        <v>226</v>
      </c>
      <c r="E239" t="s">
        <v>10565</v>
      </c>
      <c r="F239" t="s">
        <v>586</v>
      </c>
      <c r="H239" t="s">
        <v>2352</v>
      </c>
      <c r="I239" s="8" t="s">
        <v>10493</v>
      </c>
      <c r="J239" s="8" t="s">
        <v>2395</v>
      </c>
      <c r="K239" t="s">
        <v>10494</v>
      </c>
      <c r="L239" t="s">
        <v>10495</v>
      </c>
      <c r="M239" s="2" t="str">
        <f>HYPERLINK(Таблица3[[#This Row],[RelativePath]])</f>
        <v>6 Площадка 1 общага\826398429_1_20260223T093146Z.jpg</v>
      </c>
    </row>
    <row r="240" spans="1:13" x14ac:dyDescent="0.25">
      <c r="A240" t="s">
        <v>13</v>
      </c>
      <c r="B240" s="3">
        <v>46076</v>
      </c>
      <c r="C240" s="5">
        <v>0.40009259259259261</v>
      </c>
      <c r="D240" s="1" t="s">
        <v>226</v>
      </c>
      <c r="E240" t="s">
        <v>10565</v>
      </c>
      <c r="F240" t="s">
        <v>586</v>
      </c>
      <c r="H240" t="s">
        <v>2352</v>
      </c>
      <c r="I240" s="8" t="s">
        <v>10496</v>
      </c>
      <c r="J240" s="8" t="s">
        <v>2395</v>
      </c>
      <c r="K240" t="s">
        <v>10497</v>
      </c>
      <c r="L240" t="s">
        <v>10498</v>
      </c>
      <c r="M240" s="2" t="str">
        <f>HYPERLINK(Таблица3[[#This Row],[RelativePath]])</f>
        <v>6 Площадка 1 общага\826398429_1_20260223T093608Z.jpg</v>
      </c>
    </row>
    <row r="241" spans="1:13" x14ac:dyDescent="0.25">
      <c r="A241" t="s">
        <v>13</v>
      </c>
      <c r="B241" s="3">
        <v>46076</v>
      </c>
      <c r="C241" s="5">
        <v>0.40694444444444444</v>
      </c>
      <c r="D241" s="1" t="s">
        <v>226</v>
      </c>
      <c r="E241" t="s">
        <v>10566</v>
      </c>
      <c r="F241" t="s">
        <v>586</v>
      </c>
      <c r="H241" t="s">
        <v>2352</v>
      </c>
      <c r="I241" s="8" t="s">
        <v>10505</v>
      </c>
      <c r="J241" s="8" t="s">
        <v>2395</v>
      </c>
      <c r="K241" t="s">
        <v>10506</v>
      </c>
      <c r="L241" t="s">
        <v>10507</v>
      </c>
      <c r="M241" s="2" t="str">
        <f>HYPERLINK(Таблица3[[#This Row],[RelativePath]])</f>
        <v>6 Площадка 1 общага\826398429_1_20260223T094600Z.jpg</v>
      </c>
    </row>
    <row r="242" spans="1:13" x14ac:dyDescent="0.25">
      <c r="A242" t="s">
        <v>13</v>
      </c>
      <c r="B242" s="3">
        <v>46076</v>
      </c>
      <c r="C242" s="5">
        <v>0.41336805555555556</v>
      </c>
      <c r="D242" s="1" t="s">
        <v>226</v>
      </c>
      <c r="E242" t="s">
        <v>10566</v>
      </c>
      <c r="F242" t="s">
        <v>586</v>
      </c>
      <c r="H242" t="s">
        <v>2352</v>
      </c>
      <c r="I242" s="8" t="s">
        <v>10514</v>
      </c>
      <c r="J242" s="8" t="s">
        <v>2395</v>
      </c>
      <c r="K242" t="s">
        <v>10515</v>
      </c>
      <c r="L242" t="s">
        <v>10516</v>
      </c>
      <c r="M242" s="2" t="str">
        <f>HYPERLINK(Таблица3[[#This Row],[RelativePath]])</f>
        <v>6 Площадка 1 общага\826398429_1_20260223T095515Z.jpg</v>
      </c>
    </row>
    <row r="243" spans="1:13" x14ac:dyDescent="0.25">
      <c r="A243" t="s">
        <v>13</v>
      </c>
      <c r="B243" s="3">
        <v>46076</v>
      </c>
      <c r="C243" s="5">
        <v>0.41523148148148148</v>
      </c>
      <c r="D243" s="1" t="s">
        <v>226</v>
      </c>
      <c r="E243" t="s">
        <v>10566</v>
      </c>
      <c r="F243" t="s">
        <v>586</v>
      </c>
      <c r="H243" t="s">
        <v>2352</v>
      </c>
      <c r="I243" s="8" t="s">
        <v>10517</v>
      </c>
      <c r="J243" s="8" t="s">
        <v>2395</v>
      </c>
      <c r="K243" t="s">
        <v>10518</v>
      </c>
      <c r="L243" t="s">
        <v>10519</v>
      </c>
      <c r="M243" s="2" t="str">
        <f>HYPERLINK(Таблица3[[#This Row],[RelativePath]])</f>
        <v>6 Площадка 1 общага\826398429_1_20260223T095756Z.jpg</v>
      </c>
    </row>
    <row r="244" spans="1:13" x14ac:dyDescent="0.25">
      <c r="A244" t="s">
        <v>13</v>
      </c>
      <c r="B244" s="3">
        <v>46076</v>
      </c>
      <c r="C244" s="5">
        <v>0.40980324074074076</v>
      </c>
      <c r="D244" s="1" t="s">
        <v>226</v>
      </c>
      <c r="E244" t="s">
        <v>10566</v>
      </c>
      <c r="F244" t="s">
        <v>586</v>
      </c>
      <c r="H244" t="s">
        <v>2352</v>
      </c>
      <c r="I244" s="8" t="s">
        <v>10508</v>
      </c>
      <c r="J244" s="8" t="s">
        <v>2395</v>
      </c>
      <c r="K244" t="s">
        <v>10509</v>
      </c>
      <c r="L244" t="s">
        <v>10510</v>
      </c>
      <c r="M244" s="2" t="str">
        <f>HYPERLINK(Таблица3[[#This Row],[RelativePath]])</f>
        <v>6 Площадка 1 общага\826398429_1_20260223T095007Z.jpg</v>
      </c>
    </row>
    <row r="245" spans="1:13" x14ac:dyDescent="0.25">
      <c r="A245" t="s">
        <v>13</v>
      </c>
      <c r="B245" s="3">
        <v>46076</v>
      </c>
      <c r="C245" s="5">
        <v>0.41170138888888891</v>
      </c>
      <c r="D245" s="1" t="s">
        <v>226</v>
      </c>
      <c r="E245" t="s">
        <v>10566</v>
      </c>
      <c r="F245" t="s">
        <v>586</v>
      </c>
      <c r="H245" t="s">
        <v>2352</v>
      </c>
      <c r="I245" s="8" t="s">
        <v>10511</v>
      </c>
      <c r="J245" s="8" t="s">
        <v>2395</v>
      </c>
      <c r="K245" t="s">
        <v>10512</v>
      </c>
      <c r="L245" t="s">
        <v>10513</v>
      </c>
      <c r="M245" s="2" t="str">
        <f>HYPERLINK(Таблица3[[#This Row],[RelativePath]])</f>
        <v>6 Площадка 1 общага\826398429_1_20260223T095251Z.jpg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s="8" t="s">
        <v>10490</v>
      </c>
      <c r="J246" s="8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0.34070601851851851</v>
      </c>
      <c r="D247" s="1" t="s">
        <v>226</v>
      </c>
      <c r="I247" s="8" t="s">
        <v>10436</v>
      </c>
      <c r="J247" s="8" t="s">
        <v>10435</v>
      </c>
      <c r="K247" t="s">
        <v>10437</v>
      </c>
      <c r="L247" t="s">
        <v>10438</v>
      </c>
      <c r="M247" s="2" t="str">
        <f>HYPERLINK(Таблица3[[#This Row],[RelativePath]])</f>
        <v>5 Крыльцо общага\K07156189_22_20260223T081037Z.jpg</v>
      </c>
    </row>
    <row r="248" spans="1:13" x14ac:dyDescent="0.25">
      <c r="A248" t="s">
        <v>13</v>
      </c>
      <c r="B248" s="3">
        <v>46076</v>
      </c>
      <c r="C248" s="5">
        <v>0.35872685185185182</v>
      </c>
      <c r="D248" s="1" t="s">
        <v>226</v>
      </c>
      <c r="E248" t="s">
        <v>10565</v>
      </c>
      <c r="F248" t="s">
        <v>586</v>
      </c>
      <c r="I248" s="8" t="s">
        <v>10466</v>
      </c>
      <c r="J248" s="8" t="s">
        <v>2395</v>
      </c>
      <c r="K248" t="s">
        <v>10467</v>
      </c>
      <c r="L248" t="s">
        <v>10468</v>
      </c>
      <c r="M248" s="2" t="str">
        <f>HYPERLINK(Таблица3[[#This Row],[RelativePath]])</f>
        <v>6 Площадка 1 общага\826398429_1_20260223T083634Z.jpg</v>
      </c>
    </row>
    <row r="249" spans="1:13" x14ac:dyDescent="0.25">
      <c r="A249" t="s">
        <v>13</v>
      </c>
      <c r="B249" s="3">
        <v>46076</v>
      </c>
      <c r="C249" s="5">
        <v>0.34234953703703702</v>
      </c>
      <c r="D249" s="1" t="s">
        <v>226</v>
      </c>
      <c r="E249" t="s">
        <v>10565</v>
      </c>
      <c r="F249" t="s">
        <v>586</v>
      </c>
      <c r="H249" t="s">
        <v>2352</v>
      </c>
      <c r="I249" s="8" t="s">
        <v>10442</v>
      </c>
      <c r="J249" s="8" t="s">
        <v>2394</v>
      </c>
      <c r="K249" t="s">
        <v>10443</v>
      </c>
      <c r="L249" t="s">
        <v>10444</v>
      </c>
      <c r="M249" s="2" t="str">
        <f>HYPERLINK(Таблица3[[#This Row],[RelativePath]])</f>
        <v>5 Крыльцо общага\K07156189_22_20260223T081259Z.jpg</v>
      </c>
    </row>
    <row r="250" spans="1:13" x14ac:dyDescent="0.25">
      <c r="A250" t="s">
        <v>13</v>
      </c>
      <c r="B250" s="3">
        <v>46076</v>
      </c>
      <c r="C250" s="5">
        <v>0.34180555555555553</v>
      </c>
      <c r="D250" s="1" t="s">
        <v>226</v>
      </c>
      <c r="E250" t="s">
        <v>10565</v>
      </c>
      <c r="F250" t="s">
        <v>586</v>
      </c>
      <c r="H250" t="s">
        <v>2352</v>
      </c>
      <c r="I250" s="8" t="s">
        <v>10439</v>
      </c>
      <c r="J250" s="8" t="s">
        <v>2394</v>
      </c>
      <c r="K250" t="s">
        <v>10440</v>
      </c>
      <c r="L250" t="s">
        <v>10441</v>
      </c>
      <c r="M250" s="2" t="str">
        <f>HYPERLINK(Таблица3[[#This Row],[RelativePath]])</f>
        <v>5 Крыльцо общага\K07156189_22_20260223T081212Z.jpg</v>
      </c>
    </row>
    <row r="251" spans="1:13" x14ac:dyDescent="0.25">
      <c r="A251" t="s">
        <v>13</v>
      </c>
      <c r="B251" s="3">
        <v>46076</v>
      </c>
      <c r="C251" s="5">
        <v>0.36371527777777779</v>
      </c>
      <c r="D251" s="1" t="s">
        <v>226</v>
      </c>
      <c r="E251" t="s">
        <v>10565</v>
      </c>
      <c r="F251" t="s">
        <v>586</v>
      </c>
      <c r="H251" t="s">
        <v>2352</v>
      </c>
      <c r="I251" s="8" t="s">
        <v>10469</v>
      </c>
      <c r="J251" s="8" t="s">
        <v>2395</v>
      </c>
      <c r="K251" t="s">
        <v>10470</v>
      </c>
      <c r="L251" t="s">
        <v>10471</v>
      </c>
      <c r="M251" s="2" t="str">
        <f>HYPERLINK(Таблица3[[#This Row],[RelativePath]])</f>
        <v>6 Площадка 1 общага\826398429_1_20260223T084345Z.jpg</v>
      </c>
    </row>
    <row r="252" spans="1:13" x14ac:dyDescent="0.25">
      <c r="A252" t="s">
        <v>13</v>
      </c>
      <c r="B252" s="3">
        <v>46076</v>
      </c>
      <c r="C252" s="5">
        <v>0.39024305555555555</v>
      </c>
      <c r="D252" s="1" t="s">
        <v>226</v>
      </c>
      <c r="E252" t="s">
        <v>10565</v>
      </c>
      <c r="F252" t="s">
        <v>586</v>
      </c>
      <c r="H252" t="s">
        <v>2352</v>
      </c>
      <c r="I252" s="8" t="s">
        <v>10484</v>
      </c>
      <c r="J252" s="8" t="s">
        <v>2395</v>
      </c>
      <c r="K252" t="s">
        <v>10485</v>
      </c>
      <c r="L252" t="s">
        <v>10486</v>
      </c>
      <c r="M252" s="2" t="str">
        <f>HYPERLINK(Таблица3[[#This Row],[RelativePath]])</f>
        <v>6 Площадка 1 общага\826398429_1_20260223T092157Z.jpg</v>
      </c>
    </row>
    <row r="253" spans="1:13" x14ac:dyDescent="0.25">
      <c r="A253" t="s">
        <v>13</v>
      </c>
      <c r="B253" s="3">
        <v>46076</v>
      </c>
      <c r="C253" s="5">
        <v>0.39246527777777779</v>
      </c>
      <c r="D253" s="1" t="s">
        <v>226</v>
      </c>
      <c r="E253" t="s">
        <v>10565</v>
      </c>
      <c r="F253" t="s">
        <v>586</v>
      </c>
      <c r="H253" t="s">
        <v>2352</v>
      </c>
      <c r="I253" s="8" t="s">
        <v>10487</v>
      </c>
      <c r="J253" s="8" t="s">
        <v>2395</v>
      </c>
      <c r="K253" t="s">
        <v>10488</v>
      </c>
      <c r="L253" t="s">
        <v>10489</v>
      </c>
      <c r="M253" s="2" t="str">
        <f>HYPERLINK(Таблица3[[#This Row],[RelativePath]])</f>
        <v>6 Площадка 1 общага\826398429_1_20260223T092509Z.jpg</v>
      </c>
    </row>
    <row r="254" spans="1:13" x14ac:dyDescent="0.25">
      <c r="A254" t="s">
        <v>13</v>
      </c>
      <c r="B254" s="3">
        <v>46076</v>
      </c>
      <c r="C254" s="5">
        <v>0.37709490740740742</v>
      </c>
      <c r="D254" s="1" t="s">
        <v>226</v>
      </c>
      <c r="E254" t="s">
        <v>10566</v>
      </c>
      <c r="F254" t="s">
        <v>586</v>
      </c>
      <c r="I254" s="8" t="s">
        <v>10475</v>
      </c>
      <c r="J254" s="8" t="s">
        <v>2395</v>
      </c>
      <c r="K254" t="s">
        <v>10476</v>
      </c>
      <c r="L254" t="s">
        <v>10477</v>
      </c>
      <c r="M254" s="2" t="str">
        <f>HYPERLINK(Таблица3[[#This Row],[RelativePath]])</f>
        <v>6 Площадка 1 общага\826398429_1_20260223T090301Z.jpg</v>
      </c>
    </row>
    <row r="255" spans="1:13" x14ac:dyDescent="0.25">
      <c r="A255" t="s">
        <v>13</v>
      </c>
      <c r="B255" s="3">
        <v>46076</v>
      </c>
      <c r="C255" s="5">
        <v>0.37910879629629629</v>
      </c>
      <c r="D255" s="1" t="s">
        <v>226</v>
      </c>
      <c r="E255" t="s">
        <v>10566</v>
      </c>
      <c r="F255" t="s">
        <v>586</v>
      </c>
      <c r="H255" t="s">
        <v>2352</v>
      </c>
      <c r="I255" s="8" t="s">
        <v>10478</v>
      </c>
      <c r="J255" s="8" t="s">
        <v>2395</v>
      </c>
      <c r="K255" t="s">
        <v>10479</v>
      </c>
      <c r="L255" t="s">
        <v>10480</v>
      </c>
      <c r="M255" s="2" t="str">
        <f>HYPERLINK(Таблица3[[#This Row],[RelativePath]])</f>
        <v>6 Площадка 1 общага\826398429_1_20260223T090555Z.jpg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s="8" t="s">
        <v>10759</v>
      </c>
      <c r="J256" s="8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0.48265046296296299</v>
      </c>
      <c r="D257" s="1" t="s">
        <v>226</v>
      </c>
      <c r="E257" t="s">
        <v>11070</v>
      </c>
      <c r="F257" t="s">
        <v>58</v>
      </c>
      <c r="G257">
        <v>2</v>
      </c>
      <c r="I257" s="8" t="s">
        <v>10807</v>
      </c>
      <c r="J257" s="8" t="s">
        <v>2397</v>
      </c>
      <c r="K257" t="s">
        <v>10808</v>
      </c>
      <c r="L257" t="s">
        <v>10809</v>
      </c>
      <c r="M257" s="2" t="str">
        <f>HYPERLINK(Таблица3[[#This Row],[RelativePath]])</f>
        <v>10 Сушилка навес\GA3948333_6_20260225T113501Z.jpg</v>
      </c>
    </row>
    <row r="258" spans="1:13" x14ac:dyDescent="0.25">
      <c r="A258" t="s">
        <v>15</v>
      </c>
      <c r="B258" s="3">
        <v>46078</v>
      </c>
      <c r="C258" s="5">
        <v>0.4821064814814815</v>
      </c>
      <c r="D258" s="1" t="s">
        <v>226</v>
      </c>
      <c r="E258" t="s">
        <v>11070</v>
      </c>
      <c r="F258" t="s">
        <v>58</v>
      </c>
      <c r="G258">
        <v>1</v>
      </c>
      <c r="I258" s="8" t="s">
        <v>10804</v>
      </c>
      <c r="J258" s="8" t="s">
        <v>2397</v>
      </c>
      <c r="K258" t="s">
        <v>10805</v>
      </c>
      <c r="L258" t="s">
        <v>10806</v>
      </c>
      <c r="M258" s="2" t="str">
        <f>HYPERLINK(Таблица3[[#This Row],[RelativePath]])</f>
        <v>10 Сушилка навес\GA3948333_6_20260225T113414Z.jpg</v>
      </c>
    </row>
    <row r="259" spans="1:13" x14ac:dyDescent="0.25">
      <c r="A259" t="s">
        <v>16</v>
      </c>
      <c r="B259" s="3">
        <v>46086</v>
      </c>
      <c r="C259" s="5">
        <v>0.79119212962962959</v>
      </c>
      <c r="D259" s="1" t="s">
        <v>226</v>
      </c>
      <c r="E259" t="s">
        <v>16661</v>
      </c>
      <c r="F259" t="s">
        <v>58</v>
      </c>
      <c r="I259" s="8" t="s">
        <v>16624</v>
      </c>
      <c r="J259" s="8" t="s">
        <v>11085</v>
      </c>
      <c r="K259" t="s">
        <v>16625</v>
      </c>
      <c r="L259" t="s">
        <v>16626</v>
      </c>
      <c r="M259" s="2" t="str">
        <f>HYPERLINK(Таблица3[[#This Row],[RelativePath]])</f>
        <v>15 Вход столярка\GA3948333_9_20260305T185919Z.jpg</v>
      </c>
    </row>
    <row r="260" spans="1:13" x14ac:dyDescent="0.25">
      <c r="A260" t="s">
        <v>16</v>
      </c>
      <c r="B260" s="3">
        <v>46086</v>
      </c>
      <c r="C260" s="5">
        <v>0.79973379629629626</v>
      </c>
      <c r="D260" s="1" t="s">
        <v>226</v>
      </c>
      <c r="E260" t="s">
        <v>16661</v>
      </c>
      <c r="F260" t="s">
        <v>58</v>
      </c>
      <c r="H260" t="s">
        <v>16681</v>
      </c>
      <c r="I260" s="8" t="s">
        <v>16627</v>
      </c>
      <c r="J260" s="8" t="s">
        <v>11085</v>
      </c>
      <c r="K260" t="s">
        <v>16628</v>
      </c>
      <c r="L260" t="s">
        <v>16629</v>
      </c>
      <c r="M260" s="2" t="str">
        <f>HYPERLINK(Таблица3[[#This Row],[RelativePath]])</f>
        <v>15 Вход столярка\GA3948333_9_20260305T191137Z.jpg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16661</v>
      </c>
      <c r="F261" t="s">
        <v>16657</v>
      </c>
      <c r="H261" t="s">
        <v>2352</v>
      </c>
      <c r="I261" s="8" t="s">
        <v>16552</v>
      </c>
      <c r="J261" s="8" t="s">
        <v>14253</v>
      </c>
      <c r="K261" t="s">
        <v>16553</v>
      </c>
      <c r="L261" t="s">
        <v>16554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0.55697916666666669</v>
      </c>
      <c r="D262" s="1" t="s">
        <v>226</v>
      </c>
      <c r="F262" t="s">
        <v>53</v>
      </c>
      <c r="G262">
        <v>13</v>
      </c>
      <c r="I262" s="8" t="s">
        <v>16537</v>
      </c>
      <c r="J262" s="8" t="s">
        <v>14253</v>
      </c>
      <c r="K262" t="s">
        <v>16538</v>
      </c>
      <c r="L262" t="s">
        <v>16539</v>
      </c>
      <c r="M262" s="2" t="str">
        <f>HYPERLINK(Таблица3[[#This Row],[RelativePath]])</f>
        <v>10 Въезд ангар\GA3948333_6_20260305T132203Z.jpg</v>
      </c>
    </row>
    <row r="263" spans="1:13" x14ac:dyDescent="0.25">
      <c r="A263" t="s">
        <v>16</v>
      </c>
      <c r="B263" s="3">
        <v>46086</v>
      </c>
      <c r="C263" s="5">
        <v>0.7920949074074074</v>
      </c>
      <c r="D263" s="1" t="s">
        <v>226</v>
      </c>
      <c r="E263" t="s">
        <v>16661</v>
      </c>
      <c r="F263" t="s">
        <v>16657</v>
      </c>
      <c r="I263" s="8" t="s">
        <v>16549</v>
      </c>
      <c r="J263" s="8" t="s">
        <v>14253</v>
      </c>
      <c r="K263" t="s">
        <v>16550</v>
      </c>
      <c r="L263" t="s">
        <v>16551</v>
      </c>
      <c r="M263" s="2" t="str">
        <f>HYPERLINK(Таблица3[[#This Row],[RelativePath]])</f>
        <v>10 Въезд ангар\GA3948333_6_20260305T190037Z.jpg</v>
      </c>
    </row>
    <row r="264" spans="1:13" x14ac:dyDescent="0.25">
      <c r="A264" t="s">
        <v>14</v>
      </c>
      <c r="B264" s="3">
        <v>46091</v>
      </c>
      <c r="C264" s="5">
        <v>0.46244212962962961</v>
      </c>
      <c r="D264" s="1" t="s">
        <v>226</v>
      </c>
      <c r="E264" t="s">
        <v>70</v>
      </c>
      <c r="F264" t="s">
        <v>2377</v>
      </c>
      <c r="H264" t="s">
        <v>2352</v>
      </c>
      <c r="I264" s="8" t="s">
        <v>17763</v>
      </c>
      <c r="J264" s="8" t="s">
        <v>11085</v>
      </c>
      <c r="K264" t="s">
        <v>17764</v>
      </c>
      <c r="L264" t="s">
        <v>17765</v>
      </c>
      <c r="M264" s="2" t="str">
        <f>HYPERLINK(Таблица3[[#This Row],[RelativePath]])</f>
        <v>15 Вход столярка\GA3948333_9_20260310T110555Z.jpg</v>
      </c>
    </row>
    <row r="265" spans="1:13" x14ac:dyDescent="0.25">
      <c r="A265" t="s">
        <v>14</v>
      </c>
      <c r="B265" s="3">
        <v>46091</v>
      </c>
      <c r="C265" s="5">
        <v>0.46259259259259261</v>
      </c>
      <c r="D265" s="1" t="s">
        <v>226</v>
      </c>
      <c r="E265" t="s">
        <v>70</v>
      </c>
      <c r="F265" t="s">
        <v>2377</v>
      </c>
      <c r="H265" t="s">
        <v>2352</v>
      </c>
      <c r="I265" s="8" t="s">
        <v>17766</v>
      </c>
      <c r="J265" s="8" t="s">
        <v>11085</v>
      </c>
      <c r="K265" t="s">
        <v>17767</v>
      </c>
      <c r="L265" t="s">
        <v>17768</v>
      </c>
      <c r="M265" s="2" t="str">
        <f>HYPERLINK(Таблица3[[#This Row],[RelativePath]])</f>
        <v>15 Вход столярка\GA3948333_9_20260310T110608Z.jpg</v>
      </c>
    </row>
    <row r="266" spans="1:13" x14ac:dyDescent="0.25">
      <c r="A266" t="s">
        <v>14</v>
      </c>
      <c r="B266" s="3">
        <v>46091</v>
      </c>
      <c r="C266" s="5">
        <v>0.46208333333333335</v>
      </c>
      <c r="D266" s="1" t="s">
        <v>226</v>
      </c>
      <c r="E266" t="s">
        <v>70</v>
      </c>
      <c r="F266" t="s">
        <v>2377</v>
      </c>
      <c r="H266" t="s">
        <v>2352</v>
      </c>
      <c r="I266" s="8" t="s">
        <v>17757</v>
      </c>
      <c r="J266" s="8" t="s">
        <v>11085</v>
      </c>
      <c r="K266" t="s">
        <v>17758</v>
      </c>
      <c r="L266" t="s">
        <v>17759</v>
      </c>
      <c r="M266" s="2" t="str">
        <f>HYPERLINK(Таблица3[[#This Row],[RelativePath]])</f>
        <v>15 Вход столярка\GA3948333_9_20260310T110524Z.jpg</v>
      </c>
    </row>
    <row r="267" spans="1:13" x14ac:dyDescent="0.25">
      <c r="A267" t="s">
        <v>14</v>
      </c>
      <c r="B267" s="3">
        <v>46091</v>
      </c>
      <c r="C267" s="5">
        <v>0.4622222222222222</v>
      </c>
      <c r="D267" s="1" t="s">
        <v>226</v>
      </c>
      <c r="E267" t="s">
        <v>70</v>
      </c>
      <c r="F267" t="s">
        <v>2377</v>
      </c>
      <c r="H267" t="s">
        <v>2352</v>
      </c>
      <c r="I267" s="8" t="s">
        <v>17760</v>
      </c>
      <c r="J267" s="8" t="s">
        <v>11085</v>
      </c>
      <c r="K267" t="s">
        <v>17761</v>
      </c>
      <c r="L267" t="s">
        <v>17762</v>
      </c>
      <c r="M267" s="2" t="str">
        <f>HYPERLINK(Таблица3[[#This Row],[RelativePath]])</f>
        <v>15 Вход столярка\GA3948333_9_20260310T110536Z.jpg</v>
      </c>
    </row>
    <row r="268" spans="1:13" x14ac:dyDescent="0.25">
      <c r="A268" t="s">
        <v>14</v>
      </c>
      <c r="B268" s="3">
        <v>46091</v>
      </c>
      <c r="C268" s="5">
        <v>0.46273148148148147</v>
      </c>
      <c r="D268" s="1" t="s">
        <v>226</v>
      </c>
      <c r="E268" t="s">
        <v>70</v>
      </c>
      <c r="F268" t="s">
        <v>2377</v>
      </c>
      <c r="H268" t="s">
        <v>2352</v>
      </c>
      <c r="I268" s="8" t="s">
        <v>17769</v>
      </c>
      <c r="J268" s="8" t="s">
        <v>11085</v>
      </c>
      <c r="K268" t="s">
        <v>17770</v>
      </c>
      <c r="L268" t="s">
        <v>17771</v>
      </c>
      <c r="M268" s="2" t="str">
        <f>HYPERLINK(Таблица3[[#This Row],[RelativePath]])</f>
        <v>15 Вход столярка\GA3948333_9_20260310T110620Z.jpg</v>
      </c>
    </row>
    <row r="269" spans="1:13" x14ac:dyDescent="0.25">
      <c r="A269" t="s">
        <v>14</v>
      </c>
      <c r="B269" s="3">
        <v>46091</v>
      </c>
      <c r="C269" s="5">
        <v>0.4634490740740741</v>
      </c>
      <c r="D269" s="1" t="s">
        <v>226</v>
      </c>
      <c r="E269" t="s">
        <v>70</v>
      </c>
      <c r="F269" t="s">
        <v>2377</v>
      </c>
      <c r="H269" t="s">
        <v>2352</v>
      </c>
      <c r="I269" s="8" t="s">
        <v>17778</v>
      </c>
      <c r="J269" s="8" t="s">
        <v>11085</v>
      </c>
      <c r="K269" t="s">
        <v>17779</v>
      </c>
      <c r="L269" t="s">
        <v>17780</v>
      </c>
      <c r="M269" s="2" t="str">
        <f>HYPERLINK(Таблица3[[#This Row],[RelativePath]])</f>
        <v>15 Вход столярка\GA3948333_9_20260310T110722Z.jpg</v>
      </c>
    </row>
    <row r="270" spans="1:13" x14ac:dyDescent="0.25">
      <c r="A270" t="s">
        <v>14</v>
      </c>
      <c r="B270" s="3">
        <v>46091</v>
      </c>
      <c r="C270" s="5">
        <v>0.46358796296296295</v>
      </c>
      <c r="D270" s="1" t="s">
        <v>226</v>
      </c>
      <c r="E270" t="s">
        <v>70</v>
      </c>
      <c r="F270" t="s">
        <v>2377</v>
      </c>
      <c r="H270" t="s">
        <v>2352</v>
      </c>
      <c r="I270" s="8" t="s">
        <v>17781</v>
      </c>
      <c r="J270" s="8" t="s">
        <v>11085</v>
      </c>
      <c r="K270" t="s">
        <v>17782</v>
      </c>
      <c r="L270" t="s">
        <v>17783</v>
      </c>
      <c r="M270" s="2" t="str">
        <f>HYPERLINK(Таблица3[[#This Row],[RelativePath]])</f>
        <v>15 Вход столярка\GA3948333_9_20260310T110734Z.jpg</v>
      </c>
    </row>
    <row r="271" spans="1:13" x14ac:dyDescent="0.25">
      <c r="A271" t="s">
        <v>14</v>
      </c>
      <c r="B271" s="3">
        <v>46091</v>
      </c>
      <c r="C271" s="5">
        <v>0.46293981481481483</v>
      </c>
      <c r="D271" s="1" t="s">
        <v>226</v>
      </c>
      <c r="E271" t="s">
        <v>70</v>
      </c>
      <c r="F271" t="s">
        <v>2377</v>
      </c>
      <c r="H271" t="s">
        <v>2352</v>
      </c>
      <c r="I271" s="8" t="s">
        <v>17772</v>
      </c>
      <c r="J271" s="8" t="s">
        <v>11085</v>
      </c>
      <c r="K271" t="s">
        <v>17773</v>
      </c>
      <c r="L271" t="s">
        <v>17774</v>
      </c>
      <c r="M271" s="2" t="str">
        <f>HYPERLINK(Таблица3[[#This Row],[RelativePath]])</f>
        <v>15 Вход столярка\GA3948333_9_20260310T110638Z.jpg</v>
      </c>
    </row>
    <row r="272" spans="1:13" x14ac:dyDescent="0.25">
      <c r="A272" t="s">
        <v>14</v>
      </c>
      <c r="B272" s="3">
        <v>46091</v>
      </c>
      <c r="C272" s="5">
        <v>0.46310185185185188</v>
      </c>
      <c r="D272" s="1" t="s">
        <v>226</v>
      </c>
      <c r="E272" t="s">
        <v>70</v>
      </c>
      <c r="F272" t="s">
        <v>2377</v>
      </c>
      <c r="H272" t="s">
        <v>2352</v>
      </c>
      <c r="I272" s="8" t="s">
        <v>17775</v>
      </c>
      <c r="J272" s="8" t="s">
        <v>11085</v>
      </c>
      <c r="K272" t="s">
        <v>17776</v>
      </c>
      <c r="L272" t="s">
        <v>17777</v>
      </c>
      <c r="M272" s="2" t="str">
        <f>HYPERLINK(Таблица3[[#This Row],[RelativePath]])</f>
        <v>15 Вход столярка\GA3948333_9_20260310T110652Z.jpg</v>
      </c>
    </row>
    <row r="273" spans="1:13" x14ac:dyDescent="0.25">
      <c r="A273" t="s">
        <v>14</v>
      </c>
      <c r="B273" s="3">
        <v>46091</v>
      </c>
      <c r="C273" s="5">
        <v>0.46196759259259257</v>
      </c>
      <c r="D273" s="1" t="s">
        <v>226</v>
      </c>
      <c r="E273" t="s">
        <v>70</v>
      </c>
      <c r="F273" t="s">
        <v>2377</v>
      </c>
      <c r="I273" s="8" t="s">
        <v>17754</v>
      </c>
      <c r="J273" s="8" t="s">
        <v>11085</v>
      </c>
      <c r="K273" t="s">
        <v>17755</v>
      </c>
      <c r="L273" t="s">
        <v>17756</v>
      </c>
      <c r="M273" s="2" t="str">
        <f>HYPERLINK(Таблица3[[#This Row],[RelativePath]])</f>
        <v>15 Вход столярка\GA3948333_9_20260310T110514Z.jpg</v>
      </c>
    </row>
    <row r="274" spans="1:13" x14ac:dyDescent="0.25">
      <c r="A274" t="s">
        <v>14</v>
      </c>
      <c r="B274" s="3">
        <v>46091</v>
      </c>
      <c r="C274" s="5">
        <v>0.46512731481481484</v>
      </c>
      <c r="D274" s="1" t="s">
        <v>226</v>
      </c>
      <c r="E274" t="s">
        <v>70</v>
      </c>
      <c r="F274" t="s">
        <v>2345</v>
      </c>
      <c r="H274" t="s">
        <v>2352</v>
      </c>
      <c r="I274" s="8" t="s">
        <v>17670</v>
      </c>
      <c r="J274" s="8" t="s">
        <v>11697</v>
      </c>
      <c r="K274" t="s">
        <v>17671</v>
      </c>
      <c r="L274" t="s">
        <v>17672</v>
      </c>
      <c r="M274" s="2" t="str">
        <f>HYPERLINK(Таблица3[[#This Row],[RelativePath]])</f>
        <v>11 Навес пилмат\GA3948333_5_20260310T110947Z.jpg</v>
      </c>
    </row>
    <row r="275" spans="1:13" x14ac:dyDescent="0.25">
      <c r="A275" t="s">
        <v>14</v>
      </c>
      <c r="B275" s="3">
        <v>46091</v>
      </c>
      <c r="C275" s="5">
        <v>0.46531250000000002</v>
      </c>
      <c r="D275" s="1" t="s">
        <v>226</v>
      </c>
      <c r="E275" t="s">
        <v>70</v>
      </c>
      <c r="F275" t="s">
        <v>2345</v>
      </c>
      <c r="H275" t="s">
        <v>2352</v>
      </c>
      <c r="I275" s="8" t="s">
        <v>17673</v>
      </c>
      <c r="J275" s="8" t="s">
        <v>11697</v>
      </c>
      <c r="K275" t="s">
        <v>17674</v>
      </c>
      <c r="L275" t="s">
        <v>17675</v>
      </c>
      <c r="M275" s="2" t="str">
        <f>HYPERLINK(Таблица3[[#This Row],[RelativePath]])</f>
        <v>11 Навес пилмат\GA3948333_5_20260310T111003Z.jpg</v>
      </c>
    </row>
    <row r="276" spans="1:13" x14ac:dyDescent="0.25">
      <c r="A276" t="s">
        <v>14</v>
      </c>
      <c r="B276" s="3">
        <v>46091</v>
      </c>
      <c r="C276" s="5">
        <v>0.46454861111111112</v>
      </c>
      <c r="D276" s="1" t="s">
        <v>226</v>
      </c>
      <c r="E276" t="s">
        <v>70</v>
      </c>
      <c r="F276" t="s">
        <v>2345</v>
      </c>
      <c r="I276" s="8" t="s">
        <v>17664</v>
      </c>
      <c r="J276" s="8" t="s">
        <v>11697</v>
      </c>
      <c r="K276" t="s">
        <v>17665</v>
      </c>
      <c r="L276" t="s">
        <v>17666</v>
      </c>
      <c r="M276" s="2" t="str">
        <f>HYPERLINK(Таблица3[[#This Row],[RelativePath]])</f>
        <v>11 Навес пилмат\GA3948333_5_20260310T110857Z.jpg</v>
      </c>
    </row>
    <row r="277" spans="1:13" x14ac:dyDescent="0.25">
      <c r="A277" t="s">
        <v>14</v>
      </c>
      <c r="B277" s="3">
        <v>46091</v>
      </c>
      <c r="C277" s="5">
        <v>0.4647337962962963</v>
      </c>
      <c r="D277" s="1" t="s">
        <v>226</v>
      </c>
      <c r="E277" t="s">
        <v>70</v>
      </c>
      <c r="F277" t="s">
        <v>2345</v>
      </c>
      <c r="H277" t="s">
        <v>2352</v>
      </c>
      <c r="I277" s="8" t="s">
        <v>17667</v>
      </c>
      <c r="J277" s="8" t="s">
        <v>11697</v>
      </c>
      <c r="K277" t="s">
        <v>17668</v>
      </c>
      <c r="L277" t="s">
        <v>17669</v>
      </c>
      <c r="M277" s="2" t="str">
        <f>HYPERLINK(Таблица3[[#This Row],[RelativePath]])</f>
        <v>11 Навес пилмат\GA3948333_5_20260310T110913Z.jpg</v>
      </c>
    </row>
    <row r="278" spans="1:13" x14ac:dyDescent="0.25">
      <c r="A278" t="s">
        <v>14</v>
      </c>
      <c r="B278" s="3">
        <v>46091</v>
      </c>
      <c r="C278" s="5">
        <v>0.4654861111111111</v>
      </c>
      <c r="D278" s="1" t="s">
        <v>226</v>
      </c>
      <c r="E278" t="s">
        <v>70</v>
      </c>
      <c r="F278" t="s">
        <v>2345</v>
      </c>
      <c r="H278" t="s">
        <v>2352</v>
      </c>
      <c r="I278" s="8" t="s">
        <v>17676</v>
      </c>
      <c r="J278" s="8" t="s">
        <v>11697</v>
      </c>
      <c r="K278" t="s">
        <v>17677</v>
      </c>
      <c r="L278" t="s">
        <v>17678</v>
      </c>
      <c r="M278" s="2" t="str">
        <f>HYPERLINK(Таблица3[[#This Row],[RelativePath]])</f>
        <v>11 Навес пилмат\GA3948333_5_20260310T111018Z.jpg</v>
      </c>
    </row>
    <row r="279" spans="1:13" x14ac:dyDescent="0.25">
      <c r="A279" t="s">
        <v>14</v>
      </c>
      <c r="B279" s="3">
        <v>46091</v>
      </c>
      <c r="C279" s="5">
        <v>0.46608796296296295</v>
      </c>
      <c r="D279" s="1" t="s">
        <v>226</v>
      </c>
      <c r="E279" t="s">
        <v>70</v>
      </c>
      <c r="F279" t="s">
        <v>2345</v>
      </c>
      <c r="H279" t="s">
        <v>2352</v>
      </c>
      <c r="I279" s="8" t="s">
        <v>17685</v>
      </c>
      <c r="J279" s="8" t="s">
        <v>11697</v>
      </c>
      <c r="K279" t="s">
        <v>17686</v>
      </c>
      <c r="L279" t="s">
        <v>17687</v>
      </c>
      <c r="M279" s="2" t="str">
        <f>HYPERLINK(Таблица3[[#This Row],[RelativePath]])</f>
        <v>11 Навес пилмат\GA3948333_5_20260310T111110Z.jpg</v>
      </c>
    </row>
    <row r="280" spans="1:13" x14ac:dyDescent="0.25">
      <c r="A280" t="s">
        <v>14</v>
      </c>
      <c r="B280" s="3">
        <v>46091</v>
      </c>
      <c r="C280" s="5">
        <v>0.46642361111111114</v>
      </c>
      <c r="D280" s="1" t="s">
        <v>226</v>
      </c>
      <c r="E280" t="s">
        <v>70</v>
      </c>
      <c r="F280" t="s">
        <v>2345</v>
      </c>
      <c r="H280" t="s">
        <v>2352</v>
      </c>
      <c r="I280" s="8" t="s">
        <v>17688</v>
      </c>
      <c r="J280" s="8" t="s">
        <v>11697</v>
      </c>
      <c r="K280" t="s">
        <v>17689</v>
      </c>
      <c r="L280" t="s">
        <v>17690</v>
      </c>
      <c r="M280" s="2" t="str">
        <f>HYPERLINK(Таблица3[[#This Row],[RelativePath]])</f>
        <v>11 Навес пилмат\GA3948333_5_20260310T111139Z.jpg</v>
      </c>
    </row>
    <row r="281" spans="1:13" x14ac:dyDescent="0.25">
      <c r="A281" t="s">
        <v>14</v>
      </c>
      <c r="B281" s="3">
        <v>46091</v>
      </c>
      <c r="C281" s="5">
        <v>0.46574074074074073</v>
      </c>
      <c r="D281" s="1" t="s">
        <v>226</v>
      </c>
      <c r="E281" t="s">
        <v>70</v>
      </c>
      <c r="F281" t="s">
        <v>2345</v>
      </c>
      <c r="H281" t="s">
        <v>2352</v>
      </c>
      <c r="I281" s="8" t="s">
        <v>17679</v>
      </c>
      <c r="J281" s="8" t="s">
        <v>11697</v>
      </c>
      <c r="K281" t="s">
        <v>17680</v>
      </c>
      <c r="L281" t="s">
        <v>17681</v>
      </c>
      <c r="M281" s="2" t="str">
        <f>HYPERLINK(Таблица3[[#This Row],[RelativePath]])</f>
        <v>11 Навес пилмат\GA3948333_5_20260310T111040Z.jpg</v>
      </c>
    </row>
    <row r="282" spans="1:13" x14ac:dyDescent="0.25">
      <c r="A282" t="s">
        <v>14</v>
      </c>
      <c r="B282" s="3">
        <v>46091</v>
      </c>
      <c r="C282" s="5">
        <v>0.46586805555555555</v>
      </c>
      <c r="D282" s="1" t="s">
        <v>226</v>
      </c>
      <c r="E282" t="s">
        <v>70</v>
      </c>
      <c r="F282" t="s">
        <v>2345</v>
      </c>
      <c r="H282" t="s">
        <v>2352</v>
      </c>
      <c r="I282" s="8" t="s">
        <v>17682</v>
      </c>
      <c r="J282" s="8" t="s">
        <v>11697</v>
      </c>
      <c r="K282" t="s">
        <v>17683</v>
      </c>
      <c r="L282" t="s">
        <v>17684</v>
      </c>
      <c r="M282" s="2" t="str">
        <f>HYPERLINK(Таблица3[[#This Row],[RelativePath]])</f>
        <v>11 Навес пилмат\GA3948333_5_20260310T111051Z.jpg</v>
      </c>
    </row>
    <row r="283" spans="1:13" x14ac:dyDescent="0.25">
      <c r="A283" t="s">
        <v>15</v>
      </c>
      <c r="B283" s="3">
        <v>46092</v>
      </c>
      <c r="C283" s="5">
        <v>0.39633101851851854</v>
      </c>
      <c r="D283" s="1" t="s">
        <v>226</v>
      </c>
      <c r="E283" t="s">
        <v>3356</v>
      </c>
      <c r="F283" t="s">
        <v>53</v>
      </c>
      <c r="I283" s="8" t="s">
        <v>17926</v>
      </c>
      <c r="J283" s="8" t="s">
        <v>2394</v>
      </c>
      <c r="K283" t="s">
        <v>17927</v>
      </c>
      <c r="L283" t="s">
        <v>17928</v>
      </c>
      <c r="M283" s="2" t="str">
        <f>HYPERLINK(Таблица3[[#This Row],[RelativePath]])</f>
        <v>5 Крыльцо общага\K07156189_22_20260311T093043Z.jpg</v>
      </c>
    </row>
    <row r="284" spans="1:13" x14ac:dyDescent="0.25">
      <c r="A284" t="s">
        <v>15</v>
      </c>
      <c r="B284" s="3">
        <v>46092</v>
      </c>
      <c r="C284" s="5">
        <v>0.39645833333333336</v>
      </c>
      <c r="D284" s="1" t="s">
        <v>226</v>
      </c>
      <c r="E284" t="s">
        <v>3356</v>
      </c>
      <c r="F284" t="s">
        <v>53</v>
      </c>
      <c r="I284" s="8" t="s">
        <v>17929</v>
      </c>
      <c r="J284" s="8" t="s">
        <v>2394</v>
      </c>
      <c r="K284" t="s">
        <v>17930</v>
      </c>
      <c r="L284" t="s">
        <v>17931</v>
      </c>
      <c r="M284" s="2" t="str">
        <f>HYPERLINK(Таблица3[[#This Row],[RelativePath]])</f>
        <v>5 Крыльцо общага\K07156189_22_20260311T093054Z.jpg</v>
      </c>
    </row>
    <row r="285" spans="1:13" x14ac:dyDescent="0.25">
      <c r="A285" t="s">
        <v>15</v>
      </c>
      <c r="B285" s="3">
        <v>46092</v>
      </c>
      <c r="C285" s="5">
        <v>0.39725694444444443</v>
      </c>
      <c r="D285" s="1" t="s">
        <v>226</v>
      </c>
      <c r="E285" t="s">
        <v>3356</v>
      </c>
      <c r="F285" t="s">
        <v>53</v>
      </c>
      <c r="I285" s="8" t="s">
        <v>17932</v>
      </c>
      <c r="J285" s="8" t="s">
        <v>2394</v>
      </c>
      <c r="K285" t="s">
        <v>17933</v>
      </c>
      <c r="L285" t="s">
        <v>17934</v>
      </c>
      <c r="M285" s="2" t="str">
        <f>HYPERLINK(Таблица3[[#This Row],[RelativePath]])</f>
        <v>5 Крыльцо общага\K07156189_22_20260311T093203Z.jpg</v>
      </c>
    </row>
    <row r="286" spans="1:13" x14ac:dyDescent="0.25">
      <c r="A286" t="s">
        <v>16</v>
      </c>
      <c r="B286" s="3">
        <v>46093</v>
      </c>
      <c r="C286" s="5">
        <v>0.49876157407407407</v>
      </c>
      <c r="D286" s="1" t="s">
        <v>226</v>
      </c>
      <c r="E286" t="s">
        <v>3356</v>
      </c>
      <c r="F286" t="s">
        <v>53</v>
      </c>
      <c r="I286" s="8" t="s">
        <v>18579</v>
      </c>
      <c r="J286" s="8" t="s">
        <v>12007</v>
      </c>
      <c r="K286" t="s">
        <v>18580</v>
      </c>
      <c r="L286" t="s">
        <v>18581</v>
      </c>
      <c r="M286" s="2" t="str">
        <f>HYPERLINK(Таблица3[[#This Row],[RelativePath]])</f>
        <v>10 Въезд ангар\GA3948333_6_20260312T115813Z.jpg</v>
      </c>
    </row>
    <row r="287" spans="1:13" x14ac:dyDescent="0.25">
      <c r="A287" t="s">
        <v>16</v>
      </c>
      <c r="B287" s="3">
        <v>46093</v>
      </c>
      <c r="C287" s="5">
        <v>0.4987152777777778</v>
      </c>
      <c r="D287" s="1" t="s">
        <v>226</v>
      </c>
      <c r="E287" t="s">
        <v>3356</v>
      </c>
      <c r="F287" t="s">
        <v>53</v>
      </c>
      <c r="I287" s="8" t="s">
        <v>18576</v>
      </c>
      <c r="J287" s="8" t="s">
        <v>12007</v>
      </c>
      <c r="K287" t="s">
        <v>18577</v>
      </c>
      <c r="L287" t="s">
        <v>18578</v>
      </c>
      <c r="M287" s="2" t="str">
        <f>HYPERLINK(Таблица3[[#This Row],[RelativePath]])</f>
        <v>10 Въезд ангар\GA3948333_6_20260312T115809Z.jpg</v>
      </c>
    </row>
    <row r="288" spans="1:13" x14ac:dyDescent="0.25">
      <c r="A288" t="s">
        <v>16</v>
      </c>
      <c r="B288" s="3">
        <v>46093</v>
      </c>
      <c r="C288" s="5">
        <v>0.49859953703703702</v>
      </c>
      <c r="D288" s="1" t="s">
        <v>226</v>
      </c>
      <c r="E288" t="s">
        <v>3356</v>
      </c>
      <c r="F288" t="s">
        <v>53</v>
      </c>
      <c r="I288" s="8" t="s">
        <v>18573</v>
      </c>
      <c r="J288" s="8" t="s">
        <v>12007</v>
      </c>
      <c r="K288" t="s">
        <v>18574</v>
      </c>
      <c r="L288" t="s">
        <v>18575</v>
      </c>
      <c r="M288" s="2" t="str">
        <f>HYPERLINK(Таблица3[[#This Row],[RelativePath]])</f>
        <v>10 Въезд ангар\GA3948333_6_20260312T115759Z.jpg</v>
      </c>
    </row>
    <row r="289" spans="1:13" x14ac:dyDescent="0.25">
      <c r="A289" t="s">
        <v>16</v>
      </c>
      <c r="B289" s="3">
        <v>46093</v>
      </c>
      <c r="C289" s="5">
        <v>0.49917824074074074</v>
      </c>
      <c r="D289" s="1" t="s">
        <v>226</v>
      </c>
      <c r="E289" t="s">
        <v>3356</v>
      </c>
      <c r="F289" t="s">
        <v>53</v>
      </c>
      <c r="I289" s="8" t="s">
        <v>18588</v>
      </c>
      <c r="J289" s="8" t="s">
        <v>12007</v>
      </c>
      <c r="K289" t="s">
        <v>18589</v>
      </c>
      <c r="L289" t="s">
        <v>18590</v>
      </c>
      <c r="M289" s="2" t="str">
        <f>HYPERLINK(Таблица3[[#This Row],[RelativePath]])</f>
        <v>10 Въезд ангар\GA3948333_6_20260312T115849Z.jpg</v>
      </c>
    </row>
    <row r="290" spans="1:13" x14ac:dyDescent="0.25">
      <c r="A290" t="s">
        <v>16</v>
      </c>
      <c r="B290" s="3">
        <v>46093</v>
      </c>
      <c r="C290" s="5">
        <v>0.49902777777777779</v>
      </c>
      <c r="D290" s="1" t="s">
        <v>226</v>
      </c>
      <c r="E290" t="s">
        <v>3356</v>
      </c>
      <c r="F290" t="s">
        <v>53</v>
      </c>
      <c r="I290" s="8" t="s">
        <v>18585</v>
      </c>
      <c r="J290" s="8" t="s">
        <v>12007</v>
      </c>
      <c r="K290" t="s">
        <v>18586</v>
      </c>
      <c r="L290" t="s">
        <v>18587</v>
      </c>
      <c r="M290" s="2" t="str">
        <f>HYPERLINK(Таблица3[[#This Row],[RelativePath]])</f>
        <v>10 Въезд ангар\GA3948333_6_20260312T115836Z.jpg</v>
      </c>
    </row>
    <row r="291" spans="1:13" x14ac:dyDescent="0.25">
      <c r="A291" t="s">
        <v>16</v>
      </c>
      <c r="B291" s="3">
        <v>46093</v>
      </c>
      <c r="C291" s="5">
        <v>0.49888888888888888</v>
      </c>
      <c r="D291" s="1" t="s">
        <v>226</v>
      </c>
      <c r="E291" t="s">
        <v>3356</v>
      </c>
      <c r="F291" t="s">
        <v>53</v>
      </c>
      <c r="I291" s="8" t="s">
        <v>18582</v>
      </c>
      <c r="J291" s="8" t="s">
        <v>12007</v>
      </c>
      <c r="K291" t="s">
        <v>18583</v>
      </c>
      <c r="L291" t="s">
        <v>18584</v>
      </c>
      <c r="M291" s="2" t="str">
        <f>HYPERLINK(Таблица3[[#This Row],[RelativePath]])</f>
        <v>10 Въезд ангар\GA3948333_6_20260312T115824Z.jpg</v>
      </c>
    </row>
    <row r="292" spans="1:13" x14ac:dyDescent="0.25">
      <c r="A292" t="s">
        <v>16</v>
      </c>
      <c r="B292" s="3">
        <v>46093</v>
      </c>
      <c r="C292" s="5">
        <v>0.49847222222222221</v>
      </c>
      <c r="D292" s="1" t="s">
        <v>226</v>
      </c>
      <c r="E292" t="s">
        <v>3356</v>
      </c>
      <c r="F292" t="s">
        <v>53</v>
      </c>
      <c r="I292" s="8" t="s">
        <v>18570</v>
      </c>
      <c r="J292" s="8" t="s">
        <v>12007</v>
      </c>
      <c r="K292" t="s">
        <v>18571</v>
      </c>
      <c r="L292" t="s">
        <v>18572</v>
      </c>
      <c r="M292" s="2" t="str">
        <f>HYPERLINK(Таблица3[[#This Row],[RelativePath]])</f>
        <v>10 Въезд ангар\GA3948333_6_20260312T115748Z.jpg</v>
      </c>
    </row>
    <row r="293" spans="1:13" x14ac:dyDescent="0.25">
      <c r="A293" t="s">
        <v>16</v>
      </c>
      <c r="B293" s="3">
        <v>46093</v>
      </c>
      <c r="C293" s="5">
        <v>0.44778935185185187</v>
      </c>
      <c r="D293" s="1" t="s">
        <v>226</v>
      </c>
      <c r="E293" t="s">
        <v>18882</v>
      </c>
      <c r="F293" t="s">
        <v>53</v>
      </c>
      <c r="G293">
        <v>1</v>
      </c>
      <c r="I293" s="8" t="s">
        <v>18552</v>
      </c>
      <c r="J293" s="8" t="s">
        <v>12007</v>
      </c>
      <c r="K293" t="s">
        <v>18553</v>
      </c>
      <c r="L293" t="s">
        <v>18554</v>
      </c>
      <c r="M293" s="2" t="str">
        <f>HYPERLINK(Таблица3[[#This Row],[RelativePath]])</f>
        <v>10 Въезд ангар\GA3948333_6_20260312T104449Z.jpg</v>
      </c>
    </row>
    <row r="294" spans="1:13" x14ac:dyDescent="0.25">
      <c r="A294" t="s">
        <v>16</v>
      </c>
      <c r="B294" s="3">
        <v>46093</v>
      </c>
      <c r="C294" s="5">
        <v>0.44751157407407405</v>
      </c>
      <c r="D294" s="1" t="s">
        <v>226</v>
      </c>
      <c r="E294" t="s">
        <v>18882</v>
      </c>
      <c r="F294" t="s">
        <v>53</v>
      </c>
      <c r="G294">
        <v>1</v>
      </c>
      <c r="I294" s="8" t="s">
        <v>18549</v>
      </c>
      <c r="J294" s="8" t="s">
        <v>12007</v>
      </c>
      <c r="K294" t="s">
        <v>18550</v>
      </c>
      <c r="L294" t="s">
        <v>18551</v>
      </c>
      <c r="M294" s="2" t="str">
        <f>HYPERLINK(Таблица3[[#This Row],[RelativePath]])</f>
        <v>10 Въезд ангар\GA3948333_6_20260312T104425Z.jpg</v>
      </c>
    </row>
    <row r="295" spans="1:13" x14ac:dyDescent="0.25">
      <c r="A295" t="s">
        <v>16</v>
      </c>
      <c r="B295" s="3">
        <v>46093</v>
      </c>
      <c r="C295" s="5">
        <v>0.44673611111111111</v>
      </c>
      <c r="D295" s="1" t="s">
        <v>226</v>
      </c>
      <c r="E295" t="s">
        <v>18882</v>
      </c>
      <c r="F295" t="s">
        <v>53</v>
      </c>
      <c r="G295">
        <v>1</v>
      </c>
      <c r="I295" s="8" t="s">
        <v>18546</v>
      </c>
      <c r="J295" s="8" t="s">
        <v>12007</v>
      </c>
      <c r="K295" t="s">
        <v>18547</v>
      </c>
      <c r="L295" t="s">
        <v>18548</v>
      </c>
      <c r="M295" s="2" t="str">
        <f>HYPERLINK(Таблица3[[#This Row],[RelativePath]])</f>
        <v>10 Въезд ангар\GA3948333_6_20260312T104318Z.jpg</v>
      </c>
    </row>
    <row r="296" spans="1:13" x14ac:dyDescent="0.25">
      <c r="A296" t="s">
        <v>16</v>
      </c>
      <c r="B296" s="3">
        <v>46093</v>
      </c>
      <c r="C296" s="5">
        <v>0.49818287037037035</v>
      </c>
      <c r="D296" s="1" t="s">
        <v>226</v>
      </c>
      <c r="E296" t="s">
        <v>3356</v>
      </c>
      <c r="F296" t="s">
        <v>53</v>
      </c>
      <c r="I296" s="8" t="s">
        <v>18567</v>
      </c>
      <c r="J296" s="8" t="s">
        <v>12007</v>
      </c>
      <c r="K296" t="s">
        <v>18568</v>
      </c>
      <c r="L296" t="s">
        <v>18569</v>
      </c>
      <c r="M296" s="2" t="str">
        <f>HYPERLINK(Таблица3[[#This Row],[RelativePath]])</f>
        <v>10 Въезд ангар\GA3948333_6_20260312T115723Z.jpg</v>
      </c>
    </row>
    <row r="297" spans="1:13" x14ac:dyDescent="0.25">
      <c r="A297" t="s">
        <v>16</v>
      </c>
      <c r="B297" s="3">
        <v>46093</v>
      </c>
      <c r="C297" s="5">
        <v>0.49781249999999999</v>
      </c>
      <c r="D297" s="1" t="s">
        <v>226</v>
      </c>
      <c r="E297" t="s">
        <v>3356</v>
      </c>
      <c r="F297" t="s">
        <v>53</v>
      </c>
      <c r="I297" s="8" t="s">
        <v>18564</v>
      </c>
      <c r="J297" s="8" t="s">
        <v>12007</v>
      </c>
      <c r="K297" t="s">
        <v>18565</v>
      </c>
      <c r="L297" t="s">
        <v>18566</v>
      </c>
      <c r="M297" s="2" t="str">
        <f>HYPERLINK(Таблица3[[#This Row],[RelativePath]])</f>
        <v>10 Въезд ангар\GA3948333_6_20260312T115651Z.jpg</v>
      </c>
    </row>
    <row r="298" spans="1:13" x14ac:dyDescent="0.25">
      <c r="A298" t="s">
        <v>16</v>
      </c>
      <c r="B298" s="3">
        <v>46093</v>
      </c>
      <c r="C298" s="5">
        <v>0.44844907407407408</v>
      </c>
      <c r="D298" s="1" t="s">
        <v>226</v>
      </c>
      <c r="E298" t="s">
        <v>18882</v>
      </c>
      <c r="F298" t="s">
        <v>53</v>
      </c>
      <c r="G298">
        <v>1</v>
      </c>
      <c r="I298" s="8" t="s">
        <v>18555</v>
      </c>
      <c r="J298" s="8" t="s">
        <v>12007</v>
      </c>
      <c r="K298" t="s">
        <v>18556</v>
      </c>
      <c r="L298" t="s">
        <v>18557</v>
      </c>
      <c r="M298" s="2" t="str">
        <f>HYPERLINK(Таблица3[[#This Row],[RelativePath]])</f>
        <v>10 Въезд ангар\GA3948333_6_20260312T104546Z.jpg</v>
      </c>
    </row>
    <row r="299" spans="1:13" x14ac:dyDescent="0.25">
      <c r="A299" t="s">
        <v>17</v>
      </c>
      <c r="B299" s="3">
        <v>46094</v>
      </c>
      <c r="C299" s="5">
        <v>0.80579861111111106</v>
      </c>
      <c r="D299" s="1" t="s">
        <v>226</v>
      </c>
      <c r="E299" t="s">
        <v>19394</v>
      </c>
      <c r="F299" t="s">
        <v>58</v>
      </c>
      <c r="I299" s="8" t="s">
        <v>19363</v>
      </c>
      <c r="J299" s="8" t="s">
        <v>10884</v>
      </c>
      <c r="K299" t="s">
        <v>19364</v>
      </c>
      <c r="L299" t="s">
        <v>19365</v>
      </c>
      <c r="M299" s="2" t="str">
        <f>HYPERLINK(Таблица3[[#This Row],[RelativePath]])</f>
        <v>17 Площадка с навесом\GA3948333_10_20260313T192021Z.jpg</v>
      </c>
    </row>
    <row r="300" spans="1:13" x14ac:dyDescent="0.25">
      <c r="A300" t="s">
        <v>17</v>
      </c>
      <c r="B300" s="3">
        <v>46094</v>
      </c>
      <c r="C300" s="5">
        <v>0.81288194444444439</v>
      </c>
      <c r="D300" s="1" t="s">
        <v>226</v>
      </c>
      <c r="E300" t="s">
        <v>19394</v>
      </c>
      <c r="F300" t="s">
        <v>18883</v>
      </c>
      <c r="I300" s="8" t="s">
        <v>19180</v>
      </c>
      <c r="J300" s="8" t="s">
        <v>11697</v>
      </c>
      <c r="K300" t="s">
        <v>19181</v>
      </c>
      <c r="L300" t="s">
        <v>19182</v>
      </c>
      <c r="M300" s="2" t="str">
        <f>HYPERLINK(Таблица3[[#This Row],[RelativePath]])</f>
        <v>11 Навес пилмат\GA3948333_5_20260313T193033Z.jpg</v>
      </c>
    </row>
    <row r="301" spans="1:13" x14ac:dyDescent="0.25">
      <c r="A301" t="s">
        <v>17</v>
      </c>
      <c r="B301" s="3">
        <v>46094</v>
      </c>
      <c r="C301" s="5">
        <v>0.81065972222222227</v>
      </c>
      <c r="D301" s="1" t="s">
        <v>226</v>
      </c>
      <c r="E301" t="s">
        <v>19394</v>
      </c>
      <c r="F301" t="s">
        <v>18883</v>
      </c>
      <c r="I301" s="8" t="s">
        <v>19177</v>
      </c>
      <c r="J301" s="8" t="s">
        <v>11697</v>
      </c>
      <c r="K301" t="s">
        <v>19178</v>
      </c>
      <c r="L301" t="s">
        <v>19179</v>
      </c>
      <c r="M301" s="2" t="str">
        <f>HYPERLINK(Таблица3[[#This Row],[RelativePath]])</f>
        <v>11 Навес пилмат\GA3948333_5_20260313T192721Z.jpg</v>
      </c>
    </row>
    <row r="302" spans="1:13" x14ac:dyDescent="0.25">
      <c r="A302" t="s">
        <v>17</v>
      </c>
      <c r="B302" s="3">
        <v>46094</v>
      </c>
      <c r="C302" s="5">
        <v>0.82034722222222223</v>
      </c>
      <c r="D302" s="1" t="s">
        <v>226</v>
      </c>
      <c r="E302" t="s">
        <v>19394</v>
      </c>
      <c r="F302" t="s">
        <v>18883</v>
      </c>
      <c r="I302" s="8" t="s">
        <v>19372</v>
      </c>
      <c r="J302" s="8" t="s">
        <v>10884</v>
      </c>
      <c r="K302" t="s">
        <v>19373</v>
      </c>
      <c r="L302" t="s">
        <v>19374</v>
      </c>
      <c r="M302" s="2" t="str">
        <f>HYPERLINK(Таблица3[[#This Row],[RelativePath]])</f>
        <v>17 Площадка с навесом\GA3948333_10_20260313T194118Z.jpg</v>
      </c>
    </row>
    <row r="303" spans="1:13" x14ac:dyDescent="0.25">
      <c r="A303" t="s">
        <v>17</v>
      </c>
      <c r="B303" s="3">
        <v>46094</v>
      </c>
      <c r="C303" s="5">
        <v>0.81106481481481485</v>
      </c>
      <c r="D303" s="1" t="s">
        <v>226</v>
      </c>
      <c r="E303" t="s">
        <v>19394</v>
      </c>
      <c r="F303" t="s">
        <v>18883</v>
      </c>
      <c r="I303" s="8" t="s">
        <v>19369</v>
      </c>
      <c r="J303" s="8" t="s">
        <v>10884</v>
      </c>
      <c r="K303" t="s">
        <v>19370</v>
      </c>
      <c r="L303" t="s">
        <v>19371</v>
      </c>
      <c r="M303" s="2" t="str">
        <f>HYPERLINK(Таблица3[[#This Row],[RelativePath]])</f>
        <v>17 Площадка с навесом\GA3948333_10_20260313T192756Z.jpg</v>
      </c>
    </row>
    <row r="304" spans="1:13" x14ac:dyDescent="0.25">
      <c r="A304" t="s">
        <v>17</v>
      </c>
      <c r="B304" s="3">
        <v>46094</v>
      </c>
      <c r="C304" s="5">
        <v>0.81094907407407413</v>
      </c>
      <c r="D304" s="1" t="s">
        <v>226</v>
      </c>
      <c r="E304" t="s">
        <v>19394</v>
      </c>
      <c r="F304" t="s">
        <v>18883</v>
      </c>
      <c r="I304" s="8" t="s">
        <v>19366</v>
      </c>
      <c r="J304" s="8" t="s">
        <v>10884</v>
      </c>
      <c r="K304" t="s">
        <v>19367</v>
      </c>
      <c r="L304" t="s">
        <v>19368</v>
      </c>
      <c r="M304" s="2" t="str">
        <f>HYPERLINK(Таблица3[[#This Row],[RelativePath]])</f>
        <v>17 Площадка с навесом\GA3948333_10_20260313T192746Z.jpg</v>
      </c>
    </row>
    <row r="305" spans="1:13" x14ac:dyDescent="0.25">
      <c r="A305" t="s">
        <v>17</v>
      </c>
      <c r="B305" s="3">
        <v>46094</v>
      </c>
      <c r="C305" s="5">
        <v>0.8104513888888889</v>
      </c>
      <c r="D305" s="1" t="s">
        <v>226</v>
      </c>
      <c r="E305" t="s">
        <v>19394</v>
      </c>
      <c r="F305" t="s">
        <v>18883</v>
      </c>
      <c r="I305" s="8" t="s">
        <v>19174</v>
      </c>
      <c r="J305" s="8" t="s">
        <v>11697</v>
      </c>
      <c r="K305" t="s">
        <v>19175</v>
      </c>
      <c r="L305" t="s">
        <v>19176</v>
      </c>
      <c r="M305" s="2" t="str">
        <f>HYPERLINK(Таблица3[[#This Row],[RelativePath]])</f>
        <v>11 Навес пилмат\GA3948333_5_20260313T192703Z.jpg</v>
      </c>
    </row>
    <row r="306" spans="1:13" x14ac:dyDescent="0.25">
      <c r="A306" t="s">
        <v>17</v>
      </c>
      <c r="B306" s="3">
        <v>46094</v>
      </c>
      <c r="C306" s="5">
        <v>0.80261574074074071</v>
      </c>
      <c r="D306" s="1" t="s">
        <v>226</v>
      </c>
      <c r="E306" t="s">
        <v>19394</v>
      </c>
      <c r="F306" t="s">
        <v>58</v>
      </c>
      <c r="I306" s="8" t="s">
        <v>19162</v>
      </c>
      <c r="J306" s="8" t="s">
        <v>11697</v>
      </c>
      <c r="K306" t="s">
        <v>19163</v>
      </c>
      <c r="L306" t="s">
        <v>19164</v>
      </c>
      <c r="M306" s="2" t="str">
        <f>HYPERLINK(Таблица3[[#This Row],[RelativePath]])</f>
        <v>11 Навес пилмат\GA3948333_5_20260313T191546Z.jpg</v>
      </c>
    </row>
    <row r="307" spans="1:13" x14ac:dyDescent="0.25">
      <c r="A307" t="s">
        <v>17</v>
      </c>
      <c r="B307" s="3">
        <v>46094</v>
      </c>
      <c r="C307" s="5">
        <v>0.80964120370370374</v>
      </c>
      <c r="D307" s="1" t="s">
        <v>226</v>
      </c>
      <c r="E307" t="s">
        <v>19394</v>
      </c>
      <c r="F307" t="s">
        <v>4233</v>
      </c>
      <c r="I307" s="8" t="s">
        <v>19219</v>
      </c>
      <c r="J307" s="8" t="s">
        <v>12007</v>
      </c>
      <c r="K307" t="s">
        <v>19220</v>
      </c>
      <c r="L307" t="s">
        <v>19221</v>
      </c>
      <c r="M307" s="2" t="str">
        <f>HYPERLINK(Таблица3[[#This Row],[RelativePath]])</f>
        <v>10 Въезд ангар\GA3948333_6_20260313T192553Z.jpg</v>
      </c>
    </row>
    <row r="308" spans="1:13" x14ac:dyDescent="0.25">
      <c r="A308" t="s">
        <v>17</v>
      </c>
      <c r="B308" s="3">
        <v>46094</v>
      </c>
      <c r="C308" s="5">
        <v>0.63543981481481482</v>
      </c>
      <c r="D308" s="1" t="s">
        <v>226</v>
      </c>
      <c r="E308" t="s">
        <v>16656</v>
      </c>
      <c r="H308" t="s">
        <v>4390</v>
      </c>
      <c r="I308" s="8" t="s">
        <v>19210</v>
      </c>
      <c r="J308" s="8" t="s">
        <v>12007</v>
      </c>
      <c r="K308" t="s">
        <v>19211</v>
      </c>
      <c r="L308" t="s">
        <v>19212</v>
      </c>
      <c r="M308" s="2" t="str">
        <f>HYPERLINK(Таблица3[[#This Row],[RelativePath]])</f>
        <v>10 Въезд ангар\GA3948333_6_20260313T151502Z.jpg</v>
      </c>
    </row>
    <row r="309" spans="1:13" x14ac:dyDescent="0.25">
      <c r="A309" t="s">
        <v>17</v>
      </c>
      <c r="B309" s="3">
        <v>46094</v>
      </c>
      <c r="C309" s="5">
        <v>0.8089467592592593</v>
      </c>
      <c r="D309" s="1" t="s">
        <v>226</v>
      </c>
      <c r="E309" t="s">
        <v>19394</v>
      </c>
      <c r="F309" t="s">
        <v>18883</v>
      </c>
      <c r="I309" s="8" t="s">
        <v>19171</v>
      </c>
      <c r="J309" s="8" t="s">
        <v>11697</v>
      </c>
      <c r="K309" t="s">
        <v>19172</v>
      </c>
      <c r="L309" t="s">
        <v>19173</v>
      </c>
      <c r="M309" s="2" t="str">
        <f>HYPERLINK(Таблица3[[#This Row],[RelativePath]])</f>
        <v>11 Навес пилмат\GA3948333_5_20260313T192453Z.jpg</v>
      </c>
    </row>
    <row r="310" spans="1:13" x14ac:dyDescent="0.25">
      <c r="A310" t="s">
        <v>17</v>
      </c>
      <c r="B310" s="3">
        <v>46094</v>
      </c>
      <c r="C310" s="5">
        <v>0.80846064814814811</v>
      </c>
      <c r="D310" s="1" t="s">
        <v>226</v>
      </c>
      <c r="E310" t="s">
        <v>19394</v>
      </c>
      <c r="F310" t="s">
        <v>18883</v>
      </c>
      <c r="I310" s="8" t="s">
        <v>19168</v>
      </c>
      <c r="J310" s="8" t="s">
        <v>11697</v>
      </c>
      <c r="K310" t="s">
        <v>19169</v>
      </c>
      <c r="L310" t="s">
        <v>19170</v>
      </c>
      <c r="M310" s="2" t="str">
        <f>HYPERLINK(Таблица3[[#This Row],[RelativePath]])</f>
        <v>11 Навес пилмат\GA3948333_5_20260313T192411Z.jpg</v>
      </c>
    </row>
    <row r="311" spans="1:13" x14ac:dyDescent="0.25">
      <c r="A311" t="s">
        <v>17</v>
      </c>
      <c r="B311" s="3">
        <v>46094</v>
      </c>
      <c r="C311" s="5">
        <v>0.8046875</v>
      </c>
      <c r="D311" s="1" t="s">
        <v>226</v>
      </c>
      <c r="E311" t="s">
        <v>19394</v>
      </c>
      <c r="F311" t="s">
        <v>58</v>
      </c>
      <c r="I311" s="8" t="s">
        <v>19165</v>
      </c>
      <c r="J311" s="8" t="s">
        <v>11697</v>
      </c>
      <c r="K311" t="s">
        <v>19166</v>
      </c>
      <c r="L311" t="s">
        <v>19167</v>
      </c>
      <c r="M311" s="2" t="str">
        <f>HYPERLINK(Таблица3[[#This Row],[RelativePath]])</f>
        <v>11 Навес пилмат\GA3948333_5_20260313T191845Z.jpg</v>
      </c>
    </row>
  </sheetData>
  <phoneticPr fontId="2" type="noConversion"/>
  <conditionalFormatting sqref="E312:E333 D2:E311">
    <cfRule type="containsText" dxfId="17" priority="7" operator="containsText" text="Выезд с территории">
      <formula>NOT(ISERROR(SEARCH("Выезд с территории",D2)))</formula>
    </cfRule>
  </conditionalFormatting>
  <conditionalFormatting sqref="D2:D311">
    <cfRule type="containsText" dxfId="16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1">
    <cfRule type="containsText" dxfId="15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33">
    <cfRule type="containsText" dxfId="14" priority="2" operator="containsText" text="Газель базы">
      <formula>NOT(ISERROR(SEARCH("Газель базы",E2)))</formula>
    </cfRule>
    <cfRule type="containsText" dxfId="13" priority="3" operator="containsText" text="Погрузчик базы">
      <formula>NOT(ISERROR(SEARCH("Погрузчик базы",E2)))</formula>
    </cfRule>
  </conditionalFormatting>
  <conditionalFormatting sqref="E2:E333">
    <cfRule type="containsText" dxfId="1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80"/>
  <sheetViews>
    <sheetView topLeftCell="A13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s="8" t="s">
        <v>29</v>
      </c>
      <c r="J2" s="8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s="8" t="s">
        <v>28</v>
      </c>
      <c r="J3" s="8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s="8" t="s">
        <v>27</v>
      </c>
      <c r="J4" s="8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s="8" t="s">
        <v>352</v>
      </c>
      <c r="J5" s="8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s="8" t="s">
        <v>36</v>
      </c>
      <c r="J6" s="8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s="8" t="s">
        <v>37</v>
      </c>
      <c r="J7" s="8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s="8" t="s">
        <v>38</v>
      </c>
      <c r="J8" s="8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s="8" t="s">
        <v>33</v>
      </c>
      <c r="J9" s="8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s="8" t="s">
        <v>34</v>
      </c>
      <c r="J10" s="8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s="8" t="s">
        <v>35</v>
      </c>
      <c r="J11" s="8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s="8" t="s">
        <v>42</v>
      </c>
      <c r="J12" s="8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s="8" t="s">
        <v>41</v>
      </c>
      <c r="J13" s="8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s="8" t="s">
        <v>81</v>
      </c>
      <c r="J14" s="8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s="8" t="s">
        <v>80</v>
      </c>
      <c r="J15" s="8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s="8" t="s">
        <v>83</v>
      </c>
      <c r="J16" s="8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s="8" t="s">
        <v>82</v>
      </c>
      <c r="J17" s="8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s="8" t="s">
        <v>77</v>
      </c>
      <c r="J18" s="8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s="8" t="s">
        <v>75</v>
      </c>
      <c r="J19" s="8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s="8" t="s">
        <v>79</v>
      </c>
      <c r="J20" s="8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s="8" t="s">
        <v>78</v>
      </c>
      <c r="J21" s="8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s="8" t="s">
        <v>902</v>
      </c>
      <c r="J22" s="8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s="8" t="s">
        <v>1606</v>
      </c>
      <c r="J23" s="8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s="8" t="s">
        <v>904</v>
      </c>
      <c r="J24" s="8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s="8" t="s">
        <v>898</v>
      </c>
      <c r="J25" s="8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s="8" t="s">
        <v>900</v>
      </c>
      <c r="J26" s="8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s="8" t="s">
        <v>901</v>
      </c>
      <c r="J27" s="8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s="8" t="s">
        <v>1649</v>
      </c>
      <c r="J28" s="8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s="8" t="s">
        <v>1648</v>
      </c>
      <c r="J29" s="8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s="8" t="s">
        <v>1647</v>
      </c>
      <c r="J30" s="8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s="8" t="s">
        <v>1653</v>
      </c>
      <c r="J31" s="8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s="8" t="s">
        <v>1652</v>
      </c>
      <c r="J32" s="8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s="8" t="s">
        <v>2554</v>
      </c>
      <c r="J33" s="8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s="8" t="s">
        <v>2556</v>
      </c>
      <c r="J34" s="8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s="8" t="s">
        <v>2550</v>
      </c>
      <c r="J35" s="8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s="8" t="s">
        <v>2552</v>
      </c>
      <c r="J36" s="8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s="8" t="s">
        <v>2560</v>
      </c>
      <c r="J37" s="8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s="8" t="s">
        <v>2558</v>
      </c>
      <c r="J38" s="8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s="8" t="s">
        <v>2564</v>
      </c>
      <c r="J39" s="8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s="8" t="s">
        <v>2562</v>
      </c>
      <c r="J40" s="8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s="8" t="s">
        <v>2570</v>
      </c>
      <c r="J41" s="8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s="8" t="s">
        <v>2572</v>
      </c>
      <c r="J42" s="8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s="8" t="s">
        <v>2566</v>
      </c>
      <c r="J43" s="8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s="8" t="s">
        <v>2568</v>
      </c>
      <c r="J44" s="8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s="8" t="s">
        <v>3527</v>
      </c>
      <c r="J45" s="8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s="8" t="s">
        <v>3525</v>
      </c>
      <c r="J46" s="8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s="8" t="s">
        <v>4139</v>
      </c>
      <c r="J47" s="8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s="8" t="s">
        <v>4137</v>
      </c>
      <c r="J48" s="8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s="8" t="s">
        <v>4246</v>
      </c>
      <c r="J49" s="8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s="8" t="s">
        <v>4244</v>
      </c>
      <c r="J50" s="8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s="8" t="s">
        <v>4403</v>
      </c>
      <c r="J51" s="8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s="8" t="s">
        <v>4405</v>
      </c>
      <c r="J52" s="8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s="8" t="s">
        <v>4407</v>
      </c>
      <c r="J53" s="8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s="8" t="s">
        <v>4397</v>
      </c>
      <c r="J54" s="8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s="8" t="s">
        <v>4399</v>
      </c>
      <c r="J55" s="8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s="8" t="s">
        <v>4401</v>
      </c>
      <c r="J56" s="8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s="8" t="s">
        <v>4411</v>
      </c>
      <c r="J57" s="8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s="8" t="s">
        <v>4409</v>
      </c>
      <c r="J58" s="8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s="8" t="s">
        <v>4810</v>
      </c>
      <c r="J59" s="8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s="8" t="s">
        <v>4812</v>
      </c>
      <c r="J60" s="8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s="8" t="s">
        <v>4814</v>
      </c>
      <c r="J61" s="8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s="8" t="s">
        <v>4808</v>
      </c>
      <c r="J62" s="8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s="8" t="s">
        <v>4802</v>
      </c>
      <c r="J63" s="8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s="8" t="s">
        <v>4804</v>
      </c>
      <c r="J64" s="8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s="8" t="s">
        <v>4806</v>
      </c>
      <c r="J65" s="8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s="8" t="s">
        <v>4999</v>
      </c>
      <c r="J66" s="8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s="8" t="s">
        <v>5005</v>
      </c>
      <c r="J67" s="8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s="8" t="s">
        <v>4997</v>
      </c>
      <c r="J68" s="8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s="8" t="s">
        <v>4995</v>
      </c>
      <c r="J69" s="8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s="8" t="s">
        <v>5059</v>
      </c>
      <c r="J70" s="8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s="8" t="s">
        <v>5222</v>
      </c>
      <c r="J71" s="8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s="8" t="s">
        <v>5224</v>
      </c>
      <c r="J72" s="8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s="8" t="s">
        <v>5218</v>
      </c>
      <c r="J73" s="8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s="8" t="s">
        <v>5220</v>
      </c>
      <c r="J74" s="8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s="8" t="s">
        <v>5326</v>
      </c>
      <c r="J75" s="8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s="8" t="s">
        <v>5318</v>
      </c>
      <c r="J76" s="8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s="8" t="s">
        <v>5760</v>
      </c>
      <c r="J77" s="8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s="8" t="s">
        <v>5758</v>
      </c>
      <c r="J78" s="8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s="8" t="s">
        <v>5764</v>
      </c>
      <c r="J79" s="8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s="8" t="s">
        <v>5762</v>
      </c>
      <c r="J80" s="8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s="8" t="s">
        <v>5913</v>
      </c>
      <c r="J81" s="8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s="8" t="s">
        <v>5923</v>
      </c>
      <c r="J82" s="8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s="8" t="s">
        <v>5919</v>
      </c>
      <c r="J83" s="8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s="8" t="s">
        <v>5915</v>
      </c>
      <c r="J84" s="8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s="8" t="s">
        <v>6172</v>
      </c>
      <c r="J85" s="8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s="8" t="s">
        <v>6170</v>
      </c>
      <c r="J86" s="8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s="8" t="s">
        <v>6316</v>
      </c>
      <c r="J87" s="8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s="8" t="s">
        <v>6318</v>
      </c>
      <c r="J88" s="8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s="8" t="s">
        <v>6312</v>
      </c>
      <c r="J89" s="8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s="8" t="s">
        <v>6314</v>
      </c>
      <c r="J90" s="8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s="8" t="s">
        <v>6330</v>
      </c>
      <c r="J91" s="8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s="8" t="s">
        <v>6332</v>
      </c>
      <c r="J92" s="8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s="8" t="s">
        <v>6334</v>
      </c>
      <c r="J93" s="8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s="8" t="s">
        <v>6320</v>
      </c>
      <c r="J94" s="8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s="8" t="s">
        <v>6322</v>
      </c>
      <c r="J95" s="8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s="8" t="s">
        <v>6326</v>
      </c>
      <c r="J96" s="8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s="8" t="s">
        <v>6700</v>
      </c>
      <c r="J97" s="8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s="8" t="s">
        <v>6698</v>
      </c>
      <c r="J98" s="8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s="8" t="s">
        <v>6807</v>
      </c>
      <c r="J99" s="8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s="8" t="s">
        <v>6805</v>
      </c>
      <c r="J100" s="8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s="8" t="s">
        <v>6813</v>
      </c>
      <c r="J101" s="8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s="8" t="s">
        <v>6811</v>
      </c>
      <c r="J102" s="8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s="8" t="s">
        <v>6817</v>
      </c>
      <c r="J103" s="8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s="8" t="s">
        <v>6815</v>
      </c>
      <c r="J104" s="8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s="8" t="s">
        <v>6825</v>
      </c>
      <c r="J105" s="8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s="8" t="s">
        <v>6827</v>
      </c>
      <c r="J106" s="8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s="8" t="s">
        <v>6829</v>
      </c>
      <c r="J107" s="8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s="8" t="s">
        <v>6819</v>
      </c>
      <c r="J108" s="8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s="8" t="s">
        <v>6821</v>
      </c>
      <c r="J109" s="8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s="8" t="s">
        <v>6823</v>
      </c>
      <c r="J110" s="8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s="8" t="s">
        <v>6835</v>
      </c>
      <c r="J111" s="8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s="8" t="s">
        <v>6833</v>
      </c>
      <c r="J112" s="8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s="8" t="s">
        <v>7090</v>
      </c>
      <c r="J113" s="8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s="8" t="s">
        <v>7088</v>
      </c>
      <c r="J114" s="8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s="8" t="s">
        <v>7389</v>
      </c>
      <c r="J115" s="8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s="8" t="s">
        <v>7387</v>
      </c>
      <c r="J116" s="8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s="8" t="s">
        <v>7393</v>
      </c>
      <c r="J117" s="8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s="8" t="s">
        <v>7671</v>
      </c>
      <c r="J118" s="8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s="8" t="s">
        <v>7673</v>
      </c>
      <c r="J119" s="8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s="8" t="s">
        <v>7675</v>
      </c>
      <c r="J120" s="8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s="8" t="s">
        <v>7665</v>
      </c>
      <c r="J121" s="8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s="8" t="s">
        <v>7667</v>
      </c>
      <c r="J122" s="8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s="8" t="s">
        <v>7669</v>
      </c>
      <c r="J123" s="8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s="8" t="s">
        <v>8112</v>
      </c>
      <c r="J124" s="8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s="8" t="s">
        <v>7938</v>
      </c>
      <c r="J125" s="8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s="8" t="s">
        <v>7936</v>
      </c>
      <c r="J126" s="8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s="8" t="s">
        <v>8106</v>
      </c>
      <c r="J127" s="8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s="8" t="s">
        <v>8108</v>
      </c>
      <c r="J128" s="8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s="8" t="s">
        <v>8110</v>
      </c>
      <c r="J129" s="8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s="8" t="s">
        <v>8114</v>
      </c>
      <c r="J130" s="8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s="8" t="s">
        <v>8102</v>
      </c>
      <c r="J131" s="8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s="8" t="s">
        <v>8104</v>
      </c>
      <c r="J132" s="8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s="8" t="s">
        <v>8589</v>
      </c>
      <c r="J133" s="8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s="8" t="s">
        <v>8818</v>
      </c>
      <c r="J134" s="8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s="8" t="s">
        <v>8816</v>
      </c>
      <c r="J135" s="8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s="8" t="s">
        <v>8814</v>
      </c>
      <c r="J136" s="8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s="8" t="s">
        <v>8934</v>
      </c>
      <c r="J137" s="8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s="8" t="s">
        <v>8932</v>
      </c>
      <c r="J138" s="8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s="8" t="s">
        <v>9170</v>
      </c>
      <c r="J139" s="8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s="8" t="s">
        <v>9168</v>
      </c>
      <c r="J140" s="8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s="8" t="s">
        <v>9346</v>
      </c>
      <c r="J141" s="8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s="8" t="s">
        <v>9344</v>
      </c>
      <c r="J142" s="8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s="8" t="s">
        <v>9521</v>
      </c>
      <c r="J143" s="8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s="8" t="s">
        <v>9527</v>
      </c>
      <c r="J144" s="8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s="8" t="s">
        <v>9631</v>
      </c>
      <c r="J145" s="8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s="8" t="s">
        <v>9841</v>
      </c>
      <c r="J146" s="8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s="8" t="s">
        <v>9932</v>
      </c>
      <c r="J147" s="8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s="8" t="s">
        <v>9926</v>
      </c>
      <c r="J148" s="8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s="8" t="s">
        <v>10079</v>
      </c>
      <c r="J149" s="8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s="8" t="s">
        <v>10097</v>
      </c>
      <c r="J150" s="8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s="8" t="s">
        <v>10091</v>
      </c>
      <c r="J151" s="8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s="8" t="s">
        <v>10262</v>
      </c>
      <c r="J152" s="8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s="8" t="s">
        <v>10256</v>
      </c>
      <c r="J153" s="8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s="8" t="s">
        <v>10250</v>
      </c>
      <c r="J154" s="8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s="8" t="s">
        <v>10432</v>
      </c>
      <c r="J155" s="8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s="8" t="s">
        <v>10429</v>
      </c>
      <c r="J156" s="8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s="8" t="s">
        <v>10426</v>
      </c>
      <c r="J157" s="8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s="8" t="s">
        <v>10588</v>
      </c>
      <c r="J158" s="8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s="8" t="s">
        <v>10590</v>
      </c>
      <c r="J159" s="8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s="8" t="s">
        <v>10584</v>
      </c>
      <c r="J160" s="8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s="8" t="s">
        <v>10586</v>
      </c>
      <c r="J161" s="8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s="8" t="s">
        <v>10596</v>
      </c>
      <c r="J162" s="8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s="8" t="s">
        <v>10598</v>
      </c>
      <c r="J163" s="8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s="8" t="s">
        <v>10592</v>
      </c>
      <c r="J164" s="8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s="8" t="s">
        <v>10594</v>
      </c>
      <c r="J165" s="8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s="8" t="s">
        <v>13488</v>
      </c>
      <c r="J166" s="8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s="8" t="s">
        <v>13485</v>
      </c>
      <c r="J167" s="8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s="8" t="s">
        <v>13840</v>
      </c>
      <c r="J168" s="8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s="8" t="s">
        <v>14081</v>
      </c>
      <c r="J169" s="8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s="8" t="s">
        <v>14078</v>
      </c>
      <c r="J170" s="8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s="8" t="s">
        <v>14087</v>
      </c>
      <c r="J171" s="8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  <row r="172" spans="1:13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11066</v>
      </c>
      <c r="I172" s="8" t="s">
        <v>18387</v>
      </c>
      <c r="J172" s="8" t="s">
        <v>12645</v>
      </c>
      <c r="K172" t="s">
        <v>18388</v>
      </c>
      <c r="L172" t="s">
        <v>18389</v>
      </c>
      <c r="M172" s="2" t="str">
        <f>HYPERLINK(СторонТрансп[[#This Row],[RelativePath]])</f>
        <v>1 Въезд на базу\GA3948333_4_20260312T154643Z.jpg</v>
      </c>
    </row>
    <row r="173" spans="1:13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18867</v>
      </c>
      <c r="H173" t="s">
        <v>13844</v>
      </c>
      <c r="I173" s="8" t="s">
        <v>18381</v>
      </c>
      <c r="J173" s="8" t="s">
        <v>12645</v>
      </c>
      <c r="K173" t="s">
        <v>18382</v>
      </c>
      <c r="L173" t="s">
        <v>18383</v>
      </c>
      <c r="M173" s="2" t="str">
        <f>HYPERLINK(СторонТрансп[[#This Row],[RelativePath]])</f>
        <v>1 Въезд на базу\GA3948333_4_20260312T150303Z.jpg</v>
      </c>
    </row>
    <row r="174" spans="1:13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11066</v>
      </c>
      <c r="I174" s="8" t="s">
        <v>18375</v>
      </c>
      <c r="J174" s="8" t="s">
        <v>12645</v>
      </c>
      <c r="K174" t="s">
        <v>18376</v>
      </c>
      <c r="L174" t="s">
        <v>18377</v>
      </c>
      <c r="M174" s="2" t="str">
        <f>HYPERLINK(СторонТрансп[[#This Row],[RelativePath]])</f>
        <v>1 Въезд на базу\GA3948333_4_20260312T095657Z.jpg</v>
      </c>
    </row>
    <row r="175" spans="1:13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19392</v>
      </c>
      <c r="I175" s="8" t="s">
        <v>18889</v>
      </c>
      <c r="J175" s="8" t="s">
        <v>12645</v>
      </c>
      <c r="K175" t="s">
        <v>18890</v>
      </c>
      <c r="L175" t="s">
        <v>18891</v>
      </c>
      <c r="M175" s="2" t="str">
        <f>HYPERLINK(СторонТрансп[[#This Row],[RelativePath]])</f>
        <v>1 Въезд на базу\GA3948333_4_20260313T100139Z.jpg</v>
      </c>
    </row>
    <row r="176" spans="1:13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19394</v>
      </c>
      <c r="F176" t="s">
        <v>51</v>
      </c>
      <c r="I176" s="8" t="s">
        <v>18934</v>
      </c>
      <c r="J176" s="8" t="s">
        <v>12645</v>
      </c>
      <c r="K176" t="s">
        <v>18935</v>
      </c>
      <c r="L176" t="s">
        <v>18936</v>
      </c>
      <c r="M176" s="2" t="str">
        <f>HYPERLINK(СторонТрансп[[#This Row],[RelativePath]])</f>
        <v>1 Въезд на базу\GA3948333_4_20260313T185141Z.jpg</v>
      </c>
    </row>
    <row r="177" spans="1:13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19394</v>
      </c>
      <c r="F177" t="s">
        <v>4233</v>
      </c>
      <c r="I177" s="8" t="s">
        <v>18937</v>
      </c>
      <c r="J177" s="8" t="s">
        <v>12645</v>
      </c>
      <c r="K177" t="s">
        <v>18938</v>
      </c>
      <c r="L177" t="s">
        <v>18939</v>
      </c>
      <c r="M177" s="2" t="str">
        <f>HYPERLINK(СторонТрансп[[#This Row],[RelativePath]])</f>
        <v>1 Въезд на базу\GA3948333_4_20260313T195959Z.jpg</v>
      </c>
    </row>
    <row r="178" spans="1:13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19391</v>
      </c>
      <c r="F178" t="s">
        <v>60</v>
      </c>
      <c r="I178" s="8" t="s">
        <v>18868</v>
      </c>
      <c r="J178" s="8" t="s">
        <v>12645</v>
      </c>
      <c r="K178" t="s">
        <v>18869</v>
      </c>
      <c r="L178" t="s">
        <v>18870</v>
      </c>
      <c r="M178" s="2" t="str">
        <f>HYPERLINK(СторонТрансп[[#This Row],[RelativePath]])</f>
        <v>1 Въезд на базу\GA3948333_4_20260313T091627Z.jpg</v>
      </c>
    </row>
    <row r="179" spans="1:13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19391</v>
      </c>
      <c r="F179" t="s">
        <v>60</v>
      </c>
      <c r="H179" t="s">
        <v>2352</v>
      </c>
      <c r="I179" s="8" t="s">
        <v>18871</v>
      </c>
      <c r="J179" s="8" t="s">
        <v>12645</v>
      </c>
      <c r="K179" t="s">
        <v>18872</v>
      </c>
      <c r="L179" t="s">
        <v>18873</v>
      </c>
      <c r="M179" s="2" t="str">
        <f>HYPERLINK(СторонТрансп[[#This Row],[RelativePath]])</f>
        <v>1 Въезд на базу\GA3948333_4_20260313T091652Z.jpg</v>
      </c>
    </row>
    <row r="180" spans="1:13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19392</v>
      </c>
      <c r="I180" s="8" t="s">
        <v>18886</v>
      </c>
      <c r="J180" s="8" t="s">
        <v>12645</v>
      </c>
      <c r="K180" t="s">
        <v>18887</v>
      </c>
      <c r="L180" t="s">
        <v>18888</v>
      </c>
      <c r="M180" s="2" t="str">
        <f>HYPERLINK(СторонТрансп[[#This Row],[RelativePath]])</f>
        <v>1 Въезд на базу\GA3948333_4_20260313T095135Z.jpg</v>
      </c>
    </row>
  </sheetData>
  <conditionalFormatting sqref="E181:E202 D2:E180">
    <cfRule type="containsText" dxfId="11" priority="6" operator="containsText" text="Выезд с территории">
      <formula>NOT(ISERROR(SEARCH("Выезд с территории",D2)))</formula>
    </cfRule>
  </conditionalFormatting>
  <conditionalFormatting sqref="D2:D180">
    <cfRule type="containsText" dxfId="1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0">
    <cfRule type="containsText" dxfId="9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02">
    <cfRule type="containsText" dxfId="8" priority="2" operator="containsText" text="Газель базы">
      <formula>NOT(ISERROR(SEARCH("Газель базы",E2)))</formula>
    </cfRule>
    <cfRule type="containsText" dxfId="7" priority="3" operator="containsText" text="Погрузчик базы">
      <formula>NOT(ISERROR(SEARCH("Погрузчик базы",E2)))</formula>
    </cfRule>
  </conditionalFormatting>
  <conditionalFormatting sqref="E2:E202">
    <cfRule type="containsText" dxfId="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2026-03-14T05:33:02Z</dcterms:modified>
</cp:coreProperties>
</file>