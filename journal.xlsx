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3C7FC181-13B7-4D23-BEE0-020A555C4598}" xr6:coauthVersionLast="47" xr6:coauthVersionMax="47" xr10:uidLastSave="{00000000-0000-0000-0000-000000000000}"/>
  <bookViews>
    <workbookView xWindow="-120" yWindow="-120" windowWidth="20730" windowHeight="11040" firstSheet="4" activeTab="4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транспорт" sheetId="38" r:id="rId16"/>
  </sheets>
  <definedNames>
    <definedName name="ExternalData_1" localSheetId="0" hidden="1">'1 Ангар Склад 2 въезд'!$A$1:$L$240</definedName>
    <definedName name="ExternalData_1" localSheetId="9" hidden="1">'10 Сушилка навес'!$A$1:$L$612</definedName>
    <definedName name="ExternalData_1" localSheetId="10" hidden="1">'11 С ангара на базу'!$A$1:$L$298</definedName>
    <definedName name="ExternalData_1" localSheetId="11" hidden="1">'12 Площадка 3 кран'!$A$1:$L$181</definedName>
    <definedName name="ExternalData_1" localSheetId="12" hidden="1">'13 Склад хол'!$A$1:$L$159</definedName>
    <definedName name="ExternalData_1" localSheetId="1" hidden="1">'2 Пилорама поката'!$A$1:$L$270</definedName>
    <definedName name="ExternalData_1" localSheetId="2" hidden="1">'3 Въезд на базу'!$A$1:$L$149</definedName>
    <definedName name="ExternalData_1" localSheetId="3" hidden="1">'4 Крыльцо офиса'!$A$1:$L$172</definedName>
    <definedName name="ExternalData_1" localSheetId="4" hidden="1">'5 Крыльцо общага'!$A$1:$L$308</definedName>
    <definedName name="ExternalData_1" localSheetId="5" hidden="1">'6 Площадка 1 общага'!$A$1:$L$128</definedName>
    <definedName name="ExternalData_1" localSheetId="6" hidden="1">'7 Площадка 2 бетонщики'!$A$1:$L$262</definedName>
    <definedName name="ExternalData_1" localSheetId="7" hidden="1">'8 Рейсмус'!$A$1:$L$280</definedName>
    <definedName name="ExternalData_1" localSheetId="8" hidden="1">'9 Ангар пилорама'!$A$1:$L$581</definedName>
    <definedName name="ExternalData_1" localSheetId="14" hidden="1">Загрузка!$A$1:$L$232</definedName>
    <definedName name="ExternalData_1" localSheetId="15" hidden="1">'Стороний транспорт'!$A$1:$L$138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<sst xmlns="http://schemas.openxmlformats.org/spreadsheetml/2006/main" count="48080" uniqueCount="11427">
  <si>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</si>
  <si>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</si>
  <si>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</si>
  <si>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</si>
  <si>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</si>
  <si>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</si>
  <si>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</si>
  <si>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</si>
  <si>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</si>
  <si>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</si>
  <si>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</si>
  <si>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</si>
  <si>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</si>
  <si>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</si>
  <si>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</si>
  <si>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</si>
  <si>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</si>
  <si>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</si>
  <si>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</si>
  <si>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</si>
  <si>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</si>
  <si>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</si>
  <si>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</si>
  <si>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</si>
  <si>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</si>
  <si>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</si>
  <si>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</si>
  <si>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</si>
  <si>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</si>
  <si>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</si>
  <si>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</si>
  <si>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</si>
  <si>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</si>
  <si>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</si>
  <si>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</si>
  <si>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</si>
  <si>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</si>
  <si>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</si>
  <si>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</si>
  <si>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</si>
  <si>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</si>
  <si>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</si>
  <si>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</si>
  <si>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</si>
  <si>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</si>
  <si>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</si>
  <si>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</si>
  <si>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</si>
  <si>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</si>
  <si>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</si>
  <si>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</si>
  <si>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</si>
  <si>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</si>
  <si>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</si>
  <si>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</si>
  <si>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</si>
  <si>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</si>
  <si>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</si>
  <si>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</si>
  <si>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</si>
  <si>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</si>
  <si>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</si>
  <si>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</si>
  <si>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</si>
  <si>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</si>
  <si>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</si>
  <si>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</si>
  <si>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</si>
  <si>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</si>
  <si>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</si>
  <si>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</si>
  <si>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</si>
  <si>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</si>
  <si>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</si>
  <si>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</si>
  <si>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</si>
  <si>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</si>
  <si>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</si>
  <si>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</si>
  <si>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</si>
  <si>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</si>
  <si>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</si>
  <si>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</si>
  <si>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</si>
  <si>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</si>
  <si>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</si>
  <si>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</si>
  <si>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</si>
  <si>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</si>
  <si>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</si>
  <si>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</si>
  <si>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</si>
  <si>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</si>
  <si>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</si>
  <si>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</si>
  <si>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</si>
  <si>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</si>
  <si>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</si>
  <si>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</si>
  <si>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</si>
  <si>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</si>
  <si>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</si>
  <si>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</si>
  <si>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</si>
  <si>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</si>
  <si>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</si>
  <si>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</si>
  <si>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</si>
  <si>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</si>
  <si>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</si>
  <si>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</si>
  <si>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</si>
  <si>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</si>
  <si>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</si>
  <si>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</si>
  <si>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</si>
  <si>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</si>
  <si>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</si>
  <si>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</si>
  <si>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</si>
  <si>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</si>
  <si>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</si>
  <si>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</si>
  <si>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</si>
  <si>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</si>
  <si>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</si>
  <si>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</si>
  <si>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</si>
  <si>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</si>
  <si>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</si>
  <si>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</si>
  <si>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</si>
  <si>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</si>
  <si>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</si>
  <si>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</si>
  <si>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</si>
  <si>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</si>
  <si>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</si>
  <si>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</si>
  <si>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</si>
  <si>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</si>
  <si>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</si>
  <si>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</si>
  <si>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</si>
  <si>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</si>
  <si>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</si>
  <si>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</si>
  <si>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</si>
  <si>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</si>
  <si>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</si>
  <si>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</si>
  <si>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</si>
  <si>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</si>
  <si>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</si>
  <si>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</si>
  <si>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</si>
  <si>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</si>
  <si>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</si>
  <si>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</si>
  <si>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</si>
  <si>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</si>
  <si>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</si>
  <si>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</si>
  <si>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</si>
  <si>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</si>
  <si>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</si>
  <si>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</si>
  <si>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</si>
  <si>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</si>
  <si>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</si>
  <si>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</si>
  <si>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</si>
  <si>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</si>
  <si>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</si>
  <si>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</si>
  <si>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</si>
  <si>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</si>
  <si>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</si>
  <si>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</si>
  <si>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</si>
  <si>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</si>
  <si>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</si>
  <si>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</si>
  <si>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</si>
  <si>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</si>
  <si>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</si>
  <si>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</si>
  <si>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</si>
  <si>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</si>
  <si>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</si>
  <si>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</si>
  <si>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</si>
  <si>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</si>
  <si>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</si>
  <si>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</si>
  <si>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</si>
  <si>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</si>
  <si>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</si>
  <si>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</si>
  <si>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</si>
  <si>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</si>
  <si>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</si>
  <si>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</si>
  <si>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</si>
  <si>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</si>
  <si>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</si>
  <si>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</si>
  <si>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</si>
  <si>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</si>
  <si>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</si>
  <si>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</si>
  <si>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</si>
  <si>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</si>
  <si>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</si>
  <si>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</si>
  <si>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</si>
  <si>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</si>
  <si>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</si>
  <si>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</si>
  <si>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</si>
  <si>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</si>
  <si>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</si>
  <si>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</si>
  <si>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</si>
  <si>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</si>
  <si>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</si>
  <si>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</si>
  <si>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</si>
  <si>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</si>
  <si>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</si>
  <si>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</si>
  <si>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</si>
  <si>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</si>
  <si>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</si>
  <si>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</si>
  <si>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</si>
  <si>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</si>
  <si>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</si>
  <si>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</si>
  <si>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</si>
  <si>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</si>
  <si>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</si>
  <si>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</si>
  <si>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</si>
  <si>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</si>
  <si>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</si>
  <si>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</si>
  <si>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</si>
  <si>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</si>
  <si>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</si>
  <si>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</si>
  <si>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</si>
  <si>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</si>
  <si>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</si>
  <si>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</si>
  <si>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</si>
  <si>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</si>
  <si>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</si>
  <si>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</si>
  <si>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</si>
  <si>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</si>
  <si>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</si>
  <si>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</si>
  <si>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</si>
  <si>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</si>
  <si>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</si>
  <si>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</si>
  <si>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</si>
  <si>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</si>
  <si>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</si>
  <si>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</si>
  <si>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</si>
  <si>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</si>
  <si>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</si>
  <si>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</si>
  <si>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</si>
  <si>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</si>
  <si>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</si>
  <si>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</si>
  <si>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</si>
  <si>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</si>
  <si>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</si>
  <si>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</si>
  <si>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</si>
  <si>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</si>
  <si>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</si>
  <si>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</si>
  <si>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</si>
  <si>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</si>
  <si>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</si>
  <si>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</si>
  <si>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</si>
  <si>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</si>
  <si>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</si>
  <si>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</si>
  <si>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</si>
  <si>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</si>
  <si>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</si>
  <si>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</si>
  <si>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</si>
  <si>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</si>
  <si>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</si>
  <si>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</si>
  <si>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</si>
  <si>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</si>
  <si>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</si>
  <si>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</si>
  <si>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</si>
  <si>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</si>
  <si>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</si>
  <si>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</si>
  <si>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</si>
  <si>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</si>
  <si>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</si>
  <si>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</si>
  <si>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</si>
  <si>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</si>
  <si>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</si>
  <si>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</si>
  <si>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</si>
  <si>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</si>
  <si>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</si>
  <si>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</si>
  <si>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</si>
  <si>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</si>
  <si>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</si>
  <si>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</si>
  <si>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</si>
  <si>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</si>
  <si>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</si>
  <si>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</si>
  <si>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</si>
  <si>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</si>
  <si>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</si>
  <si>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</si>
  <si>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</si>
  <si>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</si>
  <si>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</si>
  <si>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</si>
  <si>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</si>
  <si>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</si>
  <si>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</si>
  <si>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</si>
  <si>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</si>
  <si>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</si>
  <si>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</si>
  <si>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</si>
  <si>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</si>
  <si>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</si>
  <si>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</si>
  <si>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</si>
  <si>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</si>
  <si>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</si>
  <si>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</si>
  <si>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</si>
  <si>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</si>
  <si>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</si>
  <si>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</si>
  <si>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</si>
  <si>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</si>
  <si>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</si>
  <si>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</si>
  <si>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</si>
  <si>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</si>
  <si>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</si>
  <si>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</si>
  <si>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</si>
  <si>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</si>
  <si>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</si>
  <si>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</si>
  <si>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</si>
  <si>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</si>
  <si>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</si>
  <si>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</si>
  <si>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</si>
  <si>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</si>
  <si>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</si>
  <si>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</si>
  <si>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</si>
  <si>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</si>
  <si>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</si>
  <si>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</si>
  <si>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</si>
  <si>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</si>
  <si>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</si>
  <si>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</si>
  <si>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</si>
  <si>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</si>
  <si>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</si>
  <si>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</si>
  <si>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</si>
  <si>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</si>
  <si>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</si>
  <si>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</si>
  <si>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</si>
  <si>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</si>
  <si>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</si>
  <si>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</si>
  <si>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</si>
  <si>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</si>
  <si>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</si>
  <si>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</si>
  <si>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</si>
  <si>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</si>
  <si>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</si>
  <si>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</si>
  <si>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</si>
  <si>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</si>
  <si>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</si>
  <si>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</si>
  <si>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</si>
  <si>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</si>
  <si>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</si>
  <si>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</si>
  <si>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</si>
  <si>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</si>
  <si>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</si>
  <si>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</si>
  <si>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</si>
  <si>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</si>
  <si>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</si>
  <si>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</si>
  <si>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</si>
  <si>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</si>
  <si>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</si>
  <si>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</si>
  <si>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</si>
  <si>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</si>
  <si>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</si>
  <si>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</si>
  <si>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</si>
  <si>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</si>
  <si>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</si>
  <si>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</si>
  <si>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</si>
  <si>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</si>
  <si>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</si>
  <si>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</si>
  <si>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</si>
  <si>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</si>
  <si>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</si>
  <si>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</si>
  <si>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</si>
  <si>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</si>
  <si>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</si>
  <si>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</si>
  <si>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</si>
  <si>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</si>
  <si>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</si>
  <si>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</si>
  <si>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</si>
  <si>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</si>
  <si>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</si>
  <si>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</si>
  <si>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</si>
  <si>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</si>
  <si>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</si>
  <si>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</si>
  <si>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</si>
  <si>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</si>
  <si>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</si>
  <si>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</si>
  <si>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</si>
  <si>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</si>
  <si>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</si>
  <si>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</si>
  <si>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</si>
  <si>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</si>
  <si>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</si>
  <si>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</si>
  <si>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</si>
  <si>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</si>
  <si>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</si>
  <si>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</si>
  <si>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</si>
  <si>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</si>
  <si>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</si>
  <si>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</si>
  <si>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</si>
  <si>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</si>
  <si>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</si>
  <si>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</si>
  <si>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</si>
  <si>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</si>
  <si>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</si>
  <si>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</si>
  <si>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</si>
  <si>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</si>
  <si>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</si>
  <si>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</si>
  <si>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</si>
  <si>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</si>
  <si>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</si>
  <si>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</si>
  <si>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</si>
  <si>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</si>
  <si>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</si>
  <si>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</si>
  <si>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</si>
  <si>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</si>
  <si>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</si>
  <si>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</si>
  <si>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</si>
  <si>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</si>
  <si>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</si>
  <si>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</si>
  <si>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</si>
  <si>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</si>
  <si>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</si>
  <si>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</si>
  <si>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</si>
  <si>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</si>
  <si>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</si>
  <si>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</si>
  <si>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</si>
  <si>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</si>
  <si>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</si>
  <si>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</si>
  <si>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</si>
  <si>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</si>
  <si>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</si>
  <si>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</si>
  <si>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</si>
  <si>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</si>
  <si>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</si>
  <si>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</si>
  <si>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</si>
  <si>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</si>
  <si>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</si>
  <si>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</si>
  <si>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</si>
  <si>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</si>
  <si>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</si>
  <si>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</si>
  <si>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</si>
  <si>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</si>
  <si>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</si>
  <si>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</si>
  <si>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</si>
  <si>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</si>
  <si>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</si>
  <si>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</si>
  <si>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</si>
  <si>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</si>
  <si>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</si>
  <si>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</si>
  <si>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</si>
  <si>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</si>
  <si>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</si>
  <si>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</si>
  <si>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</si>
  <si>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</si>
  <si>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</si>
  <si>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</si>
  <si>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</si>
  <si>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</si>
  <si>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</si>
  <si>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</si>
  <si>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</si>
  <si>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</si>
  <si>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</si>
  <si>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</si>
  <si>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</si>
  <si>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</si>
  <si>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</si>
  <si>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</si>
  <si>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</si>
  <si>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</si>
  <si>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</si>
  <si>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</si>
  <si>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</si>
  <si>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</si>
  <si>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</si>
  <si>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</si>
  <si>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</si>
  <si>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</si>
  <si>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</si>
  <si>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</si>
  <si>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</si>
  <si>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</si>
  <si>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</si>
  <si>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</si>
  <si>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</si>
  <si>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</si>
  <si>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</si>
  <si>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</si>
  <si>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</si>
  <si>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</si>
  <si>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</si>
  <si>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</si>
  <si>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</si>
  <si>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</si>
  <si>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</si>
  <si>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</si>
  <si>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</si>
  <si>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</si>
  <si>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</si>
  <si>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</si>
  <si>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</si>
  <si>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</si>
  <si>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</si>
  <si>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</si>
  <si>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</si>
  <si>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</si>
  <si>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</si>
  <si>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</si>
  <si>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</si>
  <si>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</si>
  <si>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</si>
  <si>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</si>
  <si>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</si>
  <si>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</si>
  <si>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</si>
  <si>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</si>
  <si>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</si>
  <si>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</si>
  <si>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</si>
  <si>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</si>
  <si>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</si>
  <si>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</si>
  <si>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</si>
  <si>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</si>
  <si>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</si>
  <si>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</si>
  <si>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</si>
  <si>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</si>
  <si>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</si>
  <si>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</si>
  <si>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</si>
  <si>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</si>
  <si>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</si>
  <si>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</si>
  <si>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</si>
  <si>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</si>
  <si>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</si>
  <si>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</si>
  <si>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</si>
  <si>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</si>
  <si>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</si>
  <si>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</si>
  <si>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</si>
  <si>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</si>
  <si>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</si>
  <si>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</si>
  <si>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</si>
  <si>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</si>
  <si>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</si>
  <si>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</si>
  <si>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</si>
  <si>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</si>
  <si>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</si>
  <si>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</si>
  <si>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</si>
  <si>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</si>
  <si>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</si>
  <si>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</si>
  <si>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</si>
  <si>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</si>
  <si>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</si>
  <si>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</si>
  <si>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</si>
  <si>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</si>
  <si>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</si>
  <si>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</si>
  <si>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</si>
  <si>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</si>
  <si>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</si>
  <si>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</si>
  <si>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</si>
  <si>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</si>
  <si>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</si>
  <si>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</si>
  <si>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</si>
  <si>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</si>
  <si>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</si>
  <si>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</si>
  <si>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</si>
  <si>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</si>
  <si>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</si>
  <si>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</si>
  <si>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</si>
  <si>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</si>
  <si>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</si>
  <si>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</si>
  <si>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</si>
  <si>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</si>
  <si>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</si>
  <si>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</si>
  <si>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</si>
  <si>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</si>
  <si>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</si>
  <si>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</si>
  <si>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</si>
  <si>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</si>
  <si>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</si>
  <si>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</si>
  <si>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</si>
  <si>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</si>
  <si>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</si>
  <si>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</si>
  <si>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</si>
  <si>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</si>
  <si>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</si>
  <si>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</si>
  <si>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</si>
  <si>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</si>
  <si>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</si>
  <si>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</si>
  <si>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</si>
  <si>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</si>
  <si>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</si>
  <si>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</si>
  <si>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</si>
  <si>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</si>
  <si>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</si>
  <si>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</si>
  <si>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</si>
  <si>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</si>
  <si>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</si>
  <si>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</si>
  <si>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</si>
  <si>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</si>
  <si>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</si>
  <si>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</si>
  <si>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</si>
  <si>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</si>
  <si>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</si>
  <si>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</si>
  <si>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</si>
  <si>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</si>
  <si>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</si>
  <si>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</si>
  <si>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</si>
  <si>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</si>
  <si>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</si>
  <si>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</si>
  <si>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</si>
  <si>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</si>
  <si>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</si>
  <si>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</si>
  <si>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</si>
  <si>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</si>
  <si>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</si>
  <si>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</si>
  <si>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</si>
  <si>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</si>
  <si>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</si>
  <si>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</si>
  <si>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</si>
  <si>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</si>
  <si>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</si>
  <si>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</si>
  <si>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</si>
  <si>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</si>
  <si>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</si>
  <si>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</si>
  <si>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</si>
  <si>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</si>
  <si>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</si>
  <si>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</si>
  <si>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</si>
  <si>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</si>
  <si>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</si>
  <si>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</si>
  <si>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</si>
  <si>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</si>
  <si>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</si>
  <si>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</si>
  <si>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</si>
  <si>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</si>
  <si>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</si>
  <si>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</si>
  <si>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</si>
  <si>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</si>
  <si>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</si>
  <si>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</si>
  <si>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</si>
  <si>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</si>
  <si>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</si>
  <si>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</si>
  <si>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</si>
  <si>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</si>
  <si>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</si>
  <si>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</si>
  <si>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</si>
  <si>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</si>
  <si>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</si>
  <si>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</si>
  <si>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</si>
  <si>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</si>
  <si>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</si>
  <si>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</si>
  <si>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</si>
  <si>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</si>
  <si>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</si>
  <si>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</si>
  <si>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</si>
  <si>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</si>
  <si>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</si>
  <si>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</si>
  <si>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</si>
  <si>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</si>
  <si>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</si>
  <si>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</si>
  <si>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</si>
  <si>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</si>
  <si>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</si>
  <si>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</si>
  <si>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</si>
  <si>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</si>
  <si>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</si>
  <si>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</si>
  <si>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</si>
  <si>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</si>
  <si>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</si>
  <si>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</si>
  <si>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</si>
  <si>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</si>
  <si>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</si>
  <si>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</si>
  <si>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</si>
  <si>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</si>
  <si>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</si>
  <si>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</si>
  <si>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</si>
  <si>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</si>
  <si>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</si>
  <si>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</si>
  <si>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</si>
  <si>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</si>
  <si>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</si>
  <si>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</si>
  <si>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</si>
  <si>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</si>
  <si>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</si>
  <si>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</si>
  <si>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</si>
  <si>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</si>
  <si>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</si>
  <si>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</si>
  <si>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</si>
  <si>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</si>
  <si>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</si>
  <si>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</si>
  <si>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</si>
  <si>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</si>
  <si>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</si>
  <si>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</si>
  <si>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</si>
  <si>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</si>
  <si>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</si>
  <si>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</si>
  <si>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</si>
  <si>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</si>
  <si>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</si>
  <si>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</si>
  <si>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</si>
  <si>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</si>
  <si>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</si>
  <si>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</si>
  <si>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</si>
  <si>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</si>
  <si>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</si>
  <si>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</si>
  <si>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</si>
  <si>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</si>
  <si>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</si>
  <si>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</si>
  <si>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</si>
  <si>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</si>
  <si>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</si>
  <si>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</si>
  <si>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</si>
  <si>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</si>
  <si>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</si>
  <si>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</si>
  <si>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</si>
  <si>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</si>
  <si>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</si>
  <si>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</si>
  <si>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</si>
  <si>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</si>
  <si>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</si>
  <si>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</si>
  <si>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</si>
  <si>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</si>
  <si>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</si>
  <si>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</si>
  <si>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</si>
  <si>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</si>
  <si>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</si>
  <si>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</si>
  <si>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</si>
  <si>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</si>
  <si>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</si>
  <si>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</si>
  <si>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</si>
  <si>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</si>
  <si>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</si>
  <si>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</si>
  <si>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</si>
  <si>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</si>
  <si>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</si>
  <si>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</si>
  <si>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</si>
  <si>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</si>
  <si>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</si>
  <si>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</si>
  <si>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</si>
  <si>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</si>
  <si>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</si>
  <si>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</si>
  <si>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</si>
  <si>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</si>
  <si>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</si>
  <si>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</si>
  <si>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</si>
  <si>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</si>
  <si>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</si>
  <si>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</si>
  <si>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</si>
  <si>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</si>
  <si>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</si>
  <si>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</si>
  <si>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</si>
  <si>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</si>
  <si>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</si>
  <si>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</si>
  <si>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</si>
  <si>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</si>
  <si>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</si>
  <si>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</si>
  <si>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</si>
  <si>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</si>
  <si>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</si>
  <si>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</si>
  <si>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</si>
  <si>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</si>
  <si>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</si>
  <si>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</si>
  <si>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</si>
  <si>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</si>
  <si>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</si>
  <si>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</si>
  <si>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</si>
  <si>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</si>
  <si>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</si>
  <si>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</si>
  <si>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</si>
  <si>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</si>
  <si>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</si>
  <si>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</si>
  <si>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</si>
  <si>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</si>
  <si>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</si>
  <si>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</si>
  <si>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</si>
  <si>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</si>
  <si>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</si>
  <si>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</si>
  <si>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</si>
  <si>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</si>
  <si>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</si>
  <si>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</si>
  <si>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</si>
  <si>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</si>
  <si>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</si>
  <si>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</si>
  <si>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</si>
  <si>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</si>
  <si>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</si>
  <si>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</si>
  <si>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</si>
  <si>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</si>
  <si>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</si>
  <si>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</si>
  <si>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</si>
  <si>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</si>
  <si>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</si>
  <si>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</si>
  <si>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</si>
  <si>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</si>
  <si>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</si>
  <si>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</si>
  <si>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</si>
  <si>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</si>
  <si>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</si>
  <si>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</si>
  <si>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</si>
  <si>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</si>
  <si>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</si>
  <si>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</si>
  <si>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</si>
  <si>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</si>
  <si>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</si>
  <si>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</si>
  <si>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</si>
  <si>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</si>
  <si>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</si>
  <si>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</si>
  <si>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</si>
  <si>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</si>
  <si>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</si>
  <si>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</si>
  <si>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</si>
  <si>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</si>
  <si>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</si>
  <si>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</si>
  <si>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</si>
  <si>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</si>
  <si>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</si>
  <si>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</si>
  <si>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</si>
  <si>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</si>
  <si>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</si>
  <si>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</si>
  <si>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</si>
  <si>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</si>
  <si>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</si>
  <si>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</si>
  <si>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</si>
  <si>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</si>
  <si>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</si>
  <si>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</si>
  <si>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</si>
  <si>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</si>
  <si>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</si>
  <si>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</si>
  <si>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</si>
  <si>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</si>
  <si>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</si>
  <si>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</si>
  <si>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</si>
  <si>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</si>
  <si>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</si>
  <si>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</si>
  <si>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</si>
  <si>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</si>
  <si>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</si>
  <si>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</si>
  <si>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</si>
  <si>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</si>
  <si>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</si>
  <si>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</si>
  <si>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</si>
  <si>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</si>
  <si>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</si>
  <si>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</si>
  <si>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</si>
  <si>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</si>
  <si>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</si>
  <si>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</si>
  <si>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</si>
  <si>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</si>
  <si>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</si>
  <si>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</si>
  <si>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</si>
  <si>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</si>
  <si>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</si>
  <si>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</si>
  <si>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</si>
  <si>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</si>
  <si>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</si>
  <si>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</si>
  <si>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</si>
  <si>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</si>
  <si>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</si>
  <si>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</si>
  <si>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</si>
  <si>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</si>
  <si>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</si>
  <si>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</si>
  <si>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</si>
  <si>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</si>
  <si>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</si>
  <si>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</si>
  <si>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</si>
  <si>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</si>
  <si>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</si>
  <si>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</si>
  <si>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</si>
  <si>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</si>
  <si>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</si>
  <si>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</si>
  <si>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</si>
  <si>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</si>
  <si>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</si>
  <si>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</si>
  <si>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</si>
  <si>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</si>
  <si>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</si>
  <si>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</si>
  <si>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</si>
  <si>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</si>
  <si>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</si>
  <si>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</si>
  <si>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</si>
  <si>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</si>
  <si>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</si>
  <si>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</si>
  <si>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</si>
  <si>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</si>
  <si>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</si>
  <si>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</si>
  <si>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</si>
  <si>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</si>
  <si>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</si>
  <si>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</si>
  <si>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</si>
  <si>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</si>
  <si>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</si>
  <si>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</si>
  <si>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</si>
  <si>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</si>
  <si>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</si>
  <si>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</si>
  <si>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</si>
  <si>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</si>
  <si>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</si>
  <si>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</si>
  <si>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</si>
  <si>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</si>
  <si>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</si>
  <si>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</si>
  <si>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</si>
  <si>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</si>
  <si>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</si>
  <si>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</si>
  <si>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</si>
  <si>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</si>
  <si>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</si>
  <si>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</si>
  <si>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</si>
  <si>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</si>
  <si>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</si>
  <si>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</si>
  <si>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</si>
  <si>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</si>
  <si>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</si>
  <si>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</si>
  <si>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</si>
  <si>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</si>
  <si>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</si>
  <si>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</si>
  <si>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</si>
  <si>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</si>
  <si>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</si>
  <si>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</si>
  <si>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</si>
  <si>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</si>
  <si>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</si>
  <si>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</si>
  <si>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</si>
  <si>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</si>
  <si>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</si>
  <si>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</si>
  <si>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</si>
  <si>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</si>
  <si>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</si>
  <si>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</si>
  <si>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</si>
  <si>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</si>
  <si>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</si>
  <si>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</si>
  <si>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</si>
  <si>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</si>
  <si>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</si>
  <si>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</si>
  <si>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</si>
  <si>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</si>
  <si>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</si>
  <si>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</si>
  <si>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</si>
  <si>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</si>
  <si>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</si>
  <si>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</si>
  <si>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</si>
  <si>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</si>
  <si>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</si>
  <si>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</si>
  <si>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</si>
  <si>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</si>
  <si>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</si>
  <si>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</si>
  <si>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</si>
  <si>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</si>
  <si>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</si>
  <si>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</si>
  <si>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</si>
  <si>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</si>
  <si>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</si>
  <si>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</si>
  <si>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</si>
  <si>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</si>
  <si>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</si>
  <si>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</si>
  <si>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</si>
  <si>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</si>
  <si>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</si>
  <si>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</si>
  <si>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</si>
  <si>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</si>
  <si>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</si>
  <si>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</si>
  <si>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</si>
  <si>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</si>
  <si>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</si>
  <si>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</si>
  <si>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</si>
  <si>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</si>
  <si>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</si>
  <si>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</si>
  <si>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</si>
  <si>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</si>
  <si>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</si>
  <si>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</si>
  <si>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</si>
  <si>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</si>
  <si>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</si>
  <si>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</si>
  <si>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</si>
  <si>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</si>
  <si>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</si>
  <si>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</si>
  <si>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</si>
  <si>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</si>
  <si>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</si>
  <si>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</si>
  <si>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</si>
  <si>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</si>
  <si>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</si>
  <si>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</si>
  <si>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</si>
  <si>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</si>
  <si>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</si>
  <si>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</si>
  <si>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</si>
  <si>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</si>
  <si>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</si>
  <si>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</si>
  <si>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</si>
  <si>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</si>
  <si>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</si>
  <si>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</si>
  <si>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</si>
  <si>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</si>
  <si>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</si>
  <si>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</si>
  <si>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</si>
  <si>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</si>
  <si>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</si>
  <si>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</si>
  <si>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</si>
  <si>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</si>
  <si>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</si>
  <si>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</si>
  <si>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</si>
  <si>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</si>
  <si>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</si>
  <si>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</si>
  <si>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</si>
  <si>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</si>
  <si>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</si>
  <si>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</si>
  <si>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</si>
  <si>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</si>
  <si>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</si>
  <si>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</si>
  <si>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</si>
  <si>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</si>
  <si>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</si>
  <si>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</si>
  <si>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</si>
  <si>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</si>
  <si>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</si>
  <si>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</si>
  <si>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</si>
  <si>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</si>
  <si>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</si>
  <si>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</si>
  <si>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</si>
  <si>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</si>
  <si>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</si>
  <si>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</si>
  <si>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</si>
  <si>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</si>
  <si>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</si>
  <si>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</si>
  <si>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</si>
  <si>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</si>
  <si>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</si>
  <si>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</si>
  <si>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</si>
  <si>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</si>
  <si>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</si>
  <si>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</si>
  <si>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</si>
  <si>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</si>
  <si>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</si>
  <si>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</si>
  <si>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</si>
  <si>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</si>
  <si>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</si>
  <si>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</si>
  <si>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</si>
  <si>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</si>
  <si>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</si>
  <si>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</si>
  <si>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</si>
  <si>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</si>
  <si>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</si>
  <si>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</si>
  <si>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</si>
  <si>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</si>
  <si>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</si>
  <si>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</si>
  <si>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</si>
  <si>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</si>
  <si>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</si>
  <si>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</si>
  <si>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</si>
  <si>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</si>
  <si>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</si>
  <si>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</si>
  <si>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</si>
  <si>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</si>
  <si>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</si>
  <si>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</si>
  <si>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</si>
  <si>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</si>
  <si>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</si>
  <si>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</si>
  <si>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</si>
  <si>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</si>
  <si>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</si>
  <si>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</si>
  <si>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</si>
  <si>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</si>
  <si>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</si>
  <si>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</si>
  <si>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</si>
  <si>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</si>
  <si>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</si>
  <si>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</si>
  <si>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</si>
  <si>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</si>
  <si>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</si>
  <si>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</si>
  <si>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</si>
  <si>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</si>
  <si>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</si>
  <si>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</si>
  <si>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</si>
  <si>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</si>
  <si>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</si>
  <si>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</si>
  <si>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</si>
  <si>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</si>
  <si>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</si>
  <si>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</si>
  <si>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</si>
  <si>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</si>
  <si>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</si>
  <si>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</si>
  <si>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</si>
  <si>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</si>
  <si>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</si>
  <si>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</si>
  <si>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</si>
  <si>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</si>
  <si>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</si>
  <si>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</si>
  <si>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</si>
  <si>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</si>
  <si>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</si>
  <si>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</si>
  <si>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</si>
  <si>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</si>
  <si>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</si>
  <si>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</si>
  <si>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</si>
  <si>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</si>
  <si>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</si>
  <si>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</si>
  <si>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</si>
  <si>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</si>
  <si>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</si>
  <si>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</si>
  <si>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</si>
  <si>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</si>
  <si>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</si>
  <si>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</si>
  <si>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</si>
  <si>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</si>
  <si>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</si>
  <si>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</si>
  <si>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</si>
  <si>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</si>
  <si>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</si>
  <si>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</si>
  <si>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</si>
  <si>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</si>
  <si>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</si>
  <si>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</si>
  <si>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</si>
  <si>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</si>
  <si>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</si>
  <si>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</si>
  <si>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</si>
  <si>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</si>
  <si>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</si>
  <si>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</si>
  <si>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</si>
  <si>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</si>
  <si>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</si>
  <si>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</si>
  <si>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</si>
  <si>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</si>
  <si>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</si>
  <si>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</si>
  <si>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</si>
  <si>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</si>
  <si>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</si>
  <si>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</si>
  <si>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</si>
  <si>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</si>
  <si>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</si>
  <si>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</si>
  <si>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</si>
  <si>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</si>
  <si>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</si>
  <si>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</si>
  <si>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</si>
  <si>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</si>
  <si>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</si>
  <si>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</si>
  <si>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</si>
  <si>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</si>
  <si>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</si>
  <si>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</si>
  <si>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</si>
  <si>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</si>
  <si>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</si>
  <si>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</si>
  <si>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</si>
  <si>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</si>
  <si>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</si>
  <si>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</si>
  <si>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</si>
  <si>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</si>
  <si>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</si>
  <si>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</si>
  <si>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</si>
  <si>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</si>
  <si>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</si>
  <si>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</si>
  <si>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</si>
  <si>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</si>
  <si>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</si>
  <si>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</si>
  <si>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</si>
  <si>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</si>
  <si>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</si>
  <si>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</si>
  <si>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</si>
  <si>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</si>
  <si>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</si>
  <si>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</si>
  <si>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</si>
  <si>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</si>
  <si>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</si>
  <si>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</si>
  <si>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</si>
  <si>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</si>
  <si>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</si>
  <si>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</si>
  <si>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</si>
  <si>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</si>
  <si>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</si>
  <si>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</si>
  <si>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</si>
  <si>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</si>
  <si>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</si>
  <si>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</si>
  <si>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</si>
  <si>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</si>
  <si>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</si>
  <si>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</si>
  <si>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</si>
  <si>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</si>
  <si>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</si>
  <si>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</si>
  <si>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</si>
  <si>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</si>
  <si>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</si>
  <si>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</si>
  <si>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</si>
  <si>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</si>
  <si>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</si>
  <si>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</si>
  <si>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</si>
  <si>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</si>
  <si>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</si>
  <si>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</si>
  <si>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</si>
  <si>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</si>
  <si>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</si>
  <si>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</si>
  <si>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</si>
  <si>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</si>
  <si>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</si>
  <si>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</si>
  <si>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</si>
  <si>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</si>
  <si>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</si>
  <si>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</si>
  <si>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</si>
  <si>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</si>
  <si>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</si>
  <si>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</si>
  <si>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</si>
  <si>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</si>
  <si>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</si>
  <si>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</si>
  <si>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</si>
  <si>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</si>
  <si>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</si>
  <si>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</si>
  <si>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</si>
  <si>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</si>
  <si>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</si>
  <si>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</si>
  <si>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</si>
  <si>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</si>
  <si>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</si>
  <si>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</si>
  <si>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</si>
  <si>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</si>
  <si>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</si>
  <si>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</si>
  <si>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</si>
  <si>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</si>
  <si>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</si>
  <si>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</si>
  <si>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</si>
  <si>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</si>
  <si>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</si>
  <si>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</si>
  <si>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</si>
  <si>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</si>
  <si>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</si>
  <si>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</si>
  <si>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</si>
  <si>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</si>
  <si>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</si>
  <si>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</si>
  <si>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</si>
  <si>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</si>
  <si>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</si>
  <si>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</si>
  <si>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</si>
  <si>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</si>
  <si>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</si>
  <si>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</si>
  <si>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</si>
  <si>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</si>
  <si>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</si>
  <si>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</si>
  <si>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</si>
  <si>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</si>
  <si>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</si>
  <si>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</si>
  <si>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</si>
  <si>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</si>
  <si>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</si>
  <si>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</si>
  <si>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</si>
  <si>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</si>
  <si>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</si>
  <si>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</si>
  <si>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</si>
  <si>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</si>
  <si>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</si>
  <si>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</si>
  <si>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</si>
  <si>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</si>
  <si>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</si>
  <si>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</si>
  <si>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</si>
  <si>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</si>
  <si>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</si>
  <si>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</si>
  <si>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</si>
  <si>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</si>
  <si>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</si>
  <si>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</si>
  <si>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</si>
  <si>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</si>
  <si>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</si>
  <si>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</si>
  <si>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</si>
  <si>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</si>
  <si>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</si>
  <si>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</si>
  <si>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</si>
  <si>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</si>
  <si>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</si>
  <si>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</si>
  <si>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</si>
  <si>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</si>
  <si>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</si>
  <si>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</si>
  <si>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</si>
  <si>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</si>
  <si>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</si>
  <si>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</si>
  <si>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</si>
  <si>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</si>
  <si>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</si>
  <si>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</si>
  <si>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</si>
  <si>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</si>
  <si>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</si>
  <si>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</si>
  <si>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</si>
  <si>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</si>
  <si>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</si>
  <si>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</si>
  <si>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</si>
  <si>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</si>
  <si>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</si>
  <si>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</si>
  <si>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</si>
  <si>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</si>
  <si>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</si>
  <si>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</si>
  <si>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</si>
  <si>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</si>
  <si>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</si>
  <si>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</si>
  <si>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</si>
  <si>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</si>
  <si>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</si>
  <si>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</si>
  <si>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</si>
  <si>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</si>
  <si>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</si>
  <si>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</si>
  <si>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</si>
  <si>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</si>
  <si>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</si>
  <si>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</si>
  <si>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</si>
  <si>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</si>
  <si>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</si>
  <si>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</si>
  <si>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</si>
  <si>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</si>
  <si>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</si>
  <si>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</si>
  <si>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</si>
  <si>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</si>
  <si>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</si>
  <si>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</si>
  <si>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</si>
  <si>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</si>
  <si>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</si>
  <si>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</si>
  <si>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</si>
  <si>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</si>
  <si>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</si>
  <si>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</si>
  <si>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</si>
  <si>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</si>
  <si>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</si>
  <si>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</si>
  <si>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</si>
  <si>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</si>
  <si>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</si>
  <si>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</si>
  <si>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</si>
  <si>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</si>
  <si>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</si>
  <si>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</si>
  <si>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</si>
  <si>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</si>
  <si>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</si>
  <si>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</si>
  <si>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</si>
  <si>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</si>
  <si>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</si>
  <si>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</si>
  <si>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</si>
  <si>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</si>
  <si>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</si>
  <si>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</si>
  <si>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</si>
  <si>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</si>
  <si>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</si>
  <si>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</si>
  <si>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</si>
  <si>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</si>
  <si>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</si>
  <si>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</si>
  <si>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</si>
  <si>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</si>
  <si>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</si>
  <si>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</si>
  <si>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</si>
  <si>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</si>
  <si>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</si>
  <si>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</si>
  <si>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</si>
  <si>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</si>
  <si>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</si>
  <si>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</si>
  <si>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</si>
  <si>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</si>
  <si>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</si>
  <si>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</si>
  <si>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</si>
  <si>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</si>
  <si>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</si>
  <si>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</si>
  <si>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</si>
  <si>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</si>
  <si>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</si>
  <si>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</si>
  <si>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</si>
  <si>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</si>
  <si>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</si>
  <si>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</si>
  <si>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</si>
  <si>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</si>
  <si>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</si>
  <si>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</si>
  <si>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</si>
  <si>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</si>
  <si>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</si>
  <si>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</si>
  <si>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</si>
  <si>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</si>
  <si>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</si>
  <si>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</si>
  <si>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</si>
  <si>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</si>
  <si>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</si>
  <si>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</si>
  <si>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</si>
  <si>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</si>
  <si>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</si>
  <si>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</si>
  <si>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</si>
  <si>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</si>
  <si>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</si>
  <si>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</si>
  <si>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</si>
  <si>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</si>
  <si>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</si>
  <si>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</si>
  <si>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</si>
  <si>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</si>
  <si>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</si>
  <si>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</si>
  <si>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</si>
  <si>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</si>
  <si>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</si>
  <si>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</si>
  <si>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</si>
  <si>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</si>
  <si>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</si>
  <si>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</si>
  <si>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</si>
  <si>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</si>
  <si>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</si>
  <si>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</si>
  <si>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</si>
  <si>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</si>
  <si>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</si>
  <si>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</si>
  <si>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</si>
  <si>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</si>
  <si>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</si>
  <si>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</si>
  <si>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</si>
  <si>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</si>
  <si>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</si>
  <si>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</si>
  <si>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</si>
  <si>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</si>
  <si>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</si>
  <si>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</si>
  <si>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</si>
  <si>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</si>
  <si>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</si>
  <si>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</si>
  <si>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</si>
  <si>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</si>
  <si>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</si>
  <si>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</si>
  <si>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</si>
  <si>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</si>
  <si>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</si>
  <si>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</si>
  <si>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</si>
  <si>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</si>
  <si>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</si>
  <si>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</si>
  <si>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</si>
  <si>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</si>
  <si>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</si>
  <si>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</si>
  <si>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</si>
  <si>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</si>
  <si>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</si>
  <si>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</si>
  <si>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</si>
  <si>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</si>
  <si>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</si>
  <si>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</si>
  <si>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</si>
  <si>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</si>
  <si>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</si>
  <si>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</si>
  <si>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</si>
  <si>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</si>
  <si>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</si>
  <si>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</si>
  <si>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</si>
  <si>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</si>
  <si>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</si>
  <si>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</si>
  <si>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</si>
  <si>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</si>
  <si>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</si>
  <si>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</si>
  <si>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</si>
  <si>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</si>
  <si>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</si>
  <si>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</si>
  <si>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</si>
  <si>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</si>
  <si>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</si>
  <si>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</si>
  <si>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</si>
  <si>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</si>
  <si>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</si>
  <si>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</si>
  <si>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</si>
  <si>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</si>
  <si>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</si>
  <si>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</si>
  <si>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</si>
  <si>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</si>
  <si>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</si>
  <si>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</si>
  <si>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</si>
  <si>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</si>
  <si>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</si>
  <si>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</si>
  <si>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</si>
  <si>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</si>
  <si>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</si>
  <si>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</si>
  <si>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</si>
  <si>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</si>
  <si>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</si>
  <si>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</si>
  <si>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</si>
  <si>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</si>
  <si>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</si>
  <si>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</si>
  <si>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</si>
  <si>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</si>
  <si>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</si>
  <si>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</si>
  <si>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</si>
  <si>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</si>
  <si>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</si>
  <si>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</si>
  <si>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</si>
  <si>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</si>
  <si>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</si>
  <si>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</si>
  <si>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</si>
  <si>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</si>
  <si>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</si>
  <si>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</si>
  <si>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</si>
  <si>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</si>
  <si>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</si>
  <si>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</si>
  <si>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</si>
  <si>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</si>
  <si>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</si>
  <si>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</si>
  <si>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</si>
  <si>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</si>
  <si>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</si>
  <si>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</si>
  <si>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</si>
  <si>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</si>
  <si>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</si>
  <si>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</si>
  <si>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</si>
  <si>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</si>
  <si>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</si>
  <si>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</si>
  <si>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</si>
  <si>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</si>
  <si>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</si>
  <si>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</si>
  <si>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</si>
  <si>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</si>
  <si>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</si>
  <si>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</si>
  <si>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</si>
  <si>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</si>
  <si>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</si>
  <si>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</si>
  <si>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</si>
  <si>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</si>
  <si>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</si>
  <si>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</si>
  <si>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</si>
  <si>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</si>
  <si>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</si>
  <si>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</si>
  <si>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</si>
  <si>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</si>
  <si>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</si>
  <si>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</si>
  <si>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</si>
  <si>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</si>
  <si>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</si>
  <si>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</si>
  <si>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</si>
  <si>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</si>
  <si>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</si>
  <si>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</si>
  <si>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</si>
  <si>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</si>
  <si>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</si>
  <si>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</si>
  <si>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</si>
  <si>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</si>
  <si>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</si>
  <si>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</si>
  <si>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</si>
  <si>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</si>
  <si>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</si>
  <si>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</si>
  <si>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</si>
  <si>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</si>
  <si>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</si>
  <si>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</si>
  <si>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</si>
  <si>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</si>
  <si>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</si>
  <si>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</si>
  <si>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</si>
  <si>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</si>
  <si>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</si>
  <si>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</si>
  <si>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</si>
  <si>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</si>
  <si>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</si>
  <si>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</si>
  <si>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</si>
  <si>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</si>
  <si>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</si>
  <si>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</si>
  <si>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</si>
  <si>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</si>
  <si>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</si>
  <si>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</si>
  <si>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</si>
  <si>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</si>
  <si>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</si>
  <si>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</si>
  <si>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</si>
  <si>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</si>
  <si>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</si>
  <si>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</si>
  <si>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</si>
  <si>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</si>
  <si>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</si>
  <si>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</si>
  <si>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</si>
  <si>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</si>
  <si>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</si>
  <si>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</si>
  <si>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</si>
  <si>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</si>
  <si>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</si>
  <si>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</si>
  <si>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</si>
  <si>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</si>
  <si>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</si>
  <si>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</si>
  <si>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</si>
  <si>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</si>
  <si>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</si>
  <si>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</si>
  <si>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</si>
  <si>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</si>
  <si>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</si>
  <si>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</si>
  <si>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</si>
  <si>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</si>
  <si>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</si>
  <si>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</si>
  <si>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</si>
  <si>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</si>
  <si>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</si>
  <si>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</si>
  <si>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</si>
  <si>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</si>
  <si>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</si>
  <si>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</si>
  <si>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</si>
  <si>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</si>
  <si>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</si>
  <si>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</si>
  <si>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</si>
  <si>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</si>
  <si>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</si>
  <si>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</si>
  <si>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</si>
  <si>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</si>
  <si>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</si>
  <si>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</si>
  <si>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</si>
  <si>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</si>
  <si>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</si>
  <si>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</si>
  <si>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</si>
  <si>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</si>
  <si>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</si>
  <si>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</si>
  <si>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</si>
  <si>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</si>
  <si>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</si>
  <si>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</si>
  <si>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</si>
  <si>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</si>
  <si>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</si>
  <si>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</si>
  <si>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</si>
  <si>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</si>
  <si>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</si>
  <si>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</si>
  <si>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</si>
  <si>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</si>
  <si>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</si>
  <si>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</si>
  <si>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</si>
  <si>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</si>
  <si>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</si>
  <si>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</si>
  <si>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</si>
  <si>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</si>
  <si>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</si>
  <si>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</si>
  <si>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</si>
  <si>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</si>
  <si>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</si>
  <si>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</si>
  <si>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</si>
  <si>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</si>
  <si>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</si>
  <si>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</si>
  <si>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</si>
  <si>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</si>
  <si>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</si>
  <si>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</si>
  <si>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</si>
  <si>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</si>
  <si>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</si>
  <si>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</si>
  <si>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</si>
  <si>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</si>
  <si>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</si>
  <si>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</si>
  <si>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</si>
  <si>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</si>
  <si>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</si>
  <si>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</si>
  <si>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</si>
  <si>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</si>
  <si>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</si>
  <si>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</si>
  <si>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</si>
  <si>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</si>
  <si>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</si>
  <si>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</si>
  <si>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</si>
  <si>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</si>
  <si>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</si>
  <si>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</si>
  <si>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</si>
  <si>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</si>
  <si>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</si>
  <si>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</si>
  <si>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</si>
  <si>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</si>
  <si>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</si>
  <si>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</si>
  <si>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</si>
  <si>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</si>
  <si>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</si>
  <si>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</si>
  <si>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</si>
  <si>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</si>
  <si>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</si>
  <si>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</si>
  <si>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</si>
  <si>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</si>
  <si>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</si>
  <si>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</si>
  <si>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</si>
  <si>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</si>
  <si>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</si>
  <si>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</si>
  <si>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</si>
  <si>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</si>
  <si>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</si>
  <si>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</si>
  <si>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</si>
  <si>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</si>
  <si>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</si>
  <si>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</si>
  <si>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</si>
  <si>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</si>
  <si>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</si>
  <si>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</si>
  <si>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</si>
  <si>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</si>
  <si>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</si>
  <si>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</si>
  <si>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</si>
  <si>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</si>
  <si>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</si>
  <si>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</si>
  <si>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</si>
  <si>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</si>
  <si>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</si>
  <si>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</si>
  <si>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</si>
  <si>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</si>
  <si>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</si>
  <si>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</si>
  <si>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</si>
  <si>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</si>
  <si>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</si>
  <si>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</si>
  <si>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</si>
  <si>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</si>
  <si>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</si>
  <si>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</si>
  <si>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</si>
  <si>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</si>
  <si>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</si>
  <si>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</si>
  <si>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</si>
  <si>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</si>
  <si>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</si>
  <si>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</si>
  <si>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</si>
  <si>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</si>
  <si>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</si>
  <si>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</si>
  <si>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</si>
  <si>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</si>
  <si>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</si>
  <si>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</si>
  <si>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</si>
  <si>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</si>
  <si>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</si>
  <si>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</si>
  <si>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</si>
  <si>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</si>
  <si>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</si>
  <si>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</si>
  <si>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</si>
  <si>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</si>
  <si>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</si>
  <si>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</si>
  <si>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</si>
  <si>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</si>
  <si>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</si>
  <si>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</si>
  <si>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</si>
  <si>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</si>
  <si>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</si>
  <si>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</si>
  <si>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</si>
  <si>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</si>
  <si>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</si>
  <si>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</si>
  <si>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</si>
  <si>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</si>
  <si>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</si>
  <si>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</si>
  <si>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</si>
  <si>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</si>
  <si>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</si>
  <si>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</si>
  <si>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</si>
  <si>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</si>
  <si>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</si>
  <si>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</si>
  <si>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</si>
  <si>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</si>
  <si>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</si>
  <si>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</si>
  <si>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</si>
  <si>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</si>
  <si>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</si>
  <si>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</si>
  <si>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</si>
  <si>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</si>
  <si>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</si>
  <si>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</si>
  <si>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</si>
  <si>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</si>
  <si>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</si>
  <si>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</si>
  <si>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</si>
  <si>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</si>
  <si>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</si>
  <si>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</si>
  <si>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</si>
  <si>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</si>
  <si>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</si>
  <si>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</si>
  <si>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</si>
  <si>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</si>
  <si>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</si>
  <si>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</si>
  <si>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</si>
  <si>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</si>
  <si>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</si>
  <si>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</si>
  <si>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</si>
  <si>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</si>
  <si>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</si>
  <si>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</si>
  <si>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</si>
  <si>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</si>
  <si>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</si>
  <si>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</si>
  <si>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</si>
  <si>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</si>
  <si>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</si>
  <si>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</si>
  <si>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</si>
  <si>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</si>
  <si>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</si>
  <si>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</si>
  <si>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</si>
  <si>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</si>
  <si>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</si>
  <si>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</si>
  <si>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</si>
  <si>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</si>
  <si>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</si>
  <si>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</si>
  <si>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</si>
  <si>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</si>
  <si>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</si>
  <si>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</si>
  <si>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</si>
  <si>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</si>
  <si>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</si>
  <si>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</si>
  <si>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</si>
  <si>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</si>
  <si>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</si>
  <si>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</si>
  <si>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</si>
  <si>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</si>
  <si>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</si>
  <si>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</si>
  <si>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</si>
  <si>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</si>
  <si>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</si>
  <si>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</si>
  <si>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</si>
  <si>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</si>
  <si>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</si>
  <si>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</si>
  <si>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</si>
  <si>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</si>
  <si>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</si>
  <si>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</si>
  <si>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</si>
  <si>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</si>
  <si>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</si>
  <si>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</si>
  <si>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</si>
  <si>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</si>
  <si>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</si>
  <si>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</si>
  <si>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</si>
  <si>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</si>
  <si>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</si>
  <si>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</si>
  <si>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</si>
  <si>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</si>
  <si>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</si>
  <si>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</si>
  <si>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</si>
  <si>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</si>
  <si>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</si>
  <si>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</si>
  <si>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</si>
  <si>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</si>
  <si>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</si>
  <si>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</si>
  <si>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</si>
  <si>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</si>
  <si>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</si>
  <si>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</si>
  <si>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</si>
  <si>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</si>
  <si>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</si>
  <si>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</si>
  <si>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</si>
  <si>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</si>
  <si>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</si>
  <si>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</si>
  <si>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</si>
  <si>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</si>
  <si>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</si>
  <si>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</si>
  <si>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</si>
  <si>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</si>
  <si>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</si>
  <si>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</si>
  <si>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</si>
  <si>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</si>
  <si>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</si>
  <si>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</si>
  <si>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</si>
  <si>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</si>
  <si>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</si>
  <si>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</si>
  <si>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</si>
  <si>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</si>
  <si>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</si>
  <si>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</si>
  <si>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</si>
  <si>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</si>
  <si>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</si>
  <si>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</si>
  <si>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</si>
  <si>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</si>
  <si>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</si>
  <si>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</si>
  <si>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</si>
  <si>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</si>
  <si>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</si>
  <si>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</si>
  <si>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</si>
  <si>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</si>
  <si>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</si>
  <si>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</si>
  <si>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</si>
  <si>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</si>
  <si>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</si>
  <si>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</si>
  <si>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</si>
  <si>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</si>
  <si>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</si>
  <si>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</si>
  <si>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</si>
  <si>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</si>
  <si>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</si>
  <si>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</si>
  <si>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</si>
  <si>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</si>
  <si>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</si>
  <si>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</si>
  <si>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</si>
  <si>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</si>
  <si>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</si>
  <si>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</si>
  <si>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</si>
  <si>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</si>
  <si>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</si>
  <si>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</si>
  <si>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</si>
  <si>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</si>
  <si>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</si>
  <si>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</si>
  <si>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</si>
  <si>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</si>
  <si>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</si>
  <si>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</si>
  <si>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</si>
  <si>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</si>
  <si>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</si>
  <si>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</si>
  <si>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</si>
  <si>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</si>
  <si>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</si>
  <si>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</si>
  <si>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</si>
  <si>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</si>
  <si>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</si>
  <si>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</si>
  <si>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</si>
  <si>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</si>
  <si>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</si>
  <si>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</si>
  <si>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</si>
  <si>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</si>
  <si>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</si>
  <si>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</si>
  <si>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</si>
  <si>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</si>
  <si>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</si>
  <si>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</si>
  <si>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</si>
  <si>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</si>
  <si>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</si>
  <si>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</si>
  <si>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</si>
  <si>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</si>
  <si>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</si>
  <si>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</si>
  <si>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</si>
  <si>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</si>
  <si>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</si>
  <si>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</si>
  <si>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</si>
  <si>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</si>
  <si>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</si>
  <si>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</si>
  <si>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</si>
  <si>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</si>
  <si>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</si>
  <si>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</si>
  <si>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</si>
  <si>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</si>
  <si>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</si>
  <si>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</si>
  <si>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</si>
  <si>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</si>
  <si>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</si>
  <si>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</si>
  <si>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</si>
  <si>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</si>
  <si>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</si>
  <si>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</si>
  <si>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</si>
  <si>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</si>
  <si>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</si>
  <si>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</si>
  <si>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</si>
  <si>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</si>
  <si>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</si>
  <si>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</si>
  <si>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</si>
  <si>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</si>
  <si>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</si>
  <si>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</si>
  <si>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</si>
  <si>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</si>
  <si>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</si>
  <si>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</si>
  <si>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</si>
  <si>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</si>
  <si>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</si>
  <si>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</si>
  <si>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</si>
  <si>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</si>
  <si>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</si>
  <si>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</si>
  <si>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</si>
  <si>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</si>
  <si>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</si>
  <si>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</si>
  <si>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</si>
  <si>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</si>
  <si>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</si>
  <si>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</si>
  <si>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</si>
  <si>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</si>
  <si>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</si>
  <si>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</si>
  <si>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</si>
  <si>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</si>
  <si>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</si>
  <si>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</si>
  <si>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</si>
  <si>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</si>
  <si>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</si>
  <si>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</si>
  <si>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</si>
  <si>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</si>
  <si>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</si>
  <si>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</si>
  <si>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</si>
  <si>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</si>
  <si>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</si>
  <si>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</si>
  <si>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</si>
  <si>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</si>
  <si>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</si>
  <si>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</si>
  <si>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</si>
  <si>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</si>
  <si>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</si>
  <si>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</si>
  <si>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</si>
  <si>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</si>
  <si>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</si>
  <si>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</si>
  <si>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</si>
  <si>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</si>
  <si>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</si>
  <si>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</si>
  <si>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</si>
  <si>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</si>
  <si>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</si>
  <si>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</si>
  <si>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</si>
  <si>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</si>
  <si>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</si>
  <si>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</si>
  <si>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</si>
  <si>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</si>
  <si>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</si>
  <si>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</si>
  <si>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</si>
  <si>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</si>
  <si>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</si>
  <si>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</si>
  <si>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</si>
  <si>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</si>
  <si>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</si>
  <si>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</si>
  <si>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</si>
  <si>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</si>
  <si>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</si>
  <si>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</si>
  <si>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</si>
  <si>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</si>
  <si>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</si>
  <si>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</si>
  <si>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</si>
  <si>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</si>
  <si>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</si>
  <si>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</si>
  <si>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</si>
  <si>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</si>
  <si>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</si>
  <si>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</si>
  <si>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</si>
  <si>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</si>
  <si>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</si>
  <si>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</si>
  <si>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</si>
  <si>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</si>
  <si>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</si>
  <si>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</si>
  <si>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</si>
  <si>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</si>
  <si>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</si>
  <si>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</si>
  <si>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</si>
  <si>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</si>
  <si>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</si>
  <si>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</si>
  <si>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</si>
  <si>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</si>
  <si>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</si>
  <si>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</si>
  <si>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</si>
  <si>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</si>
  <si>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</si>
  <si>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</si>
  <si>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</si>
  <si>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</si>
  <si>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</si>
  <si>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</si>
  <si>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</si>
  <si>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</si>
  <si>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</si>
  <si>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</si>
  <si>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</si>
  <si>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</si>
  <si>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</si>
  <si>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</si>
  <si>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</si>
  <si>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</si>
  <si>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</si>
  <si>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</si>
  <si>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</si>
  <si>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</si>
  <si>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</si>
  <si>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</si>
  <si>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</si>
  <si>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</si>
  <si>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</si>
  <si>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</si>
  <si>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</si>
  <si>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</si>
  <si>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</si>
  <si>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</si>
  <si>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</si>
  <si>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</si>
  <si>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</si>
  <si>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</si>
  <si>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</si>
  <si>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</si>
  <si>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</si>
  <si>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</si>
  <si>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</si>
  <si>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</si>
  <si>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</si>
  <si>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</si>
  <si>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</si>
  <si>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</si>
  <si>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</si>
  <si>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</si>
  <si>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</si>
  <si>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</si>
  <si>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</si>
  <si>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</si>
  <si>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</si>
  <si>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</si>
  <si>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</si>
  <si>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</si>
  <si>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</si>
  <si>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</si>
  <si>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</si>
  <si>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</si>
  <si>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</si>
  <si>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</si>
  <si>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</si>
  <si>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</si>
  <si>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</si>
  <si>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</si>
  <si>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</si>
  <si>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</si>
  <si>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</si>
  <si>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</si>
  <si>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</si>
  <si>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</si>
  <si>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</si>
  <si>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</si>
  <si>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</si>
  <si>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</si>
  <si>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</si>
  <si>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</si>
  <si>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</si>
  <si>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</si>
  <si>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</si>
  <si>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</si>
  <si>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</si>
  <si>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</si>
  <si>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</si>
  <si>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</si>
  <si>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</si>
  <si>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</si>
  <si>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</si>
  <si>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</si>
  <si>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</si>
  <si>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</si>
  <si>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</si>
  <si>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</si>
  <si>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</si>
  <si>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</si>
  <si>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</si>
  <si>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</si>
  <si>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</si>
  <si>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</si>
  <si>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</si>
  <si>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</si>
  <si>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</si>
  <si>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</si>
  <si>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</si>
  <si>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</si>
  <si>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</si>
  <si>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</si>
  <si>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</si>
  <si>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</si>
  <si>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</si>
  <si>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</si>
  <si>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</si>
  <si>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</si>
  <si>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</si>
  <si>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</si>
  <si>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</si>
  <si>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</si>
  <si>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</si>
  <si>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</si>
  <si>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</si>
  <si>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</si>
  <si>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</si>
  <si>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</si>
  <si>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</si>
  <si>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</si>
  <si>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</si>
  <si>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</si>
  <si>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</si>
  <si>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</si>
  <si>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</si>
  <si>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</si>
  <si>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</si>
  <si>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</si>
  <si>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</si>
  <si>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</si>
  <si>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</si>
  <si>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</si>
  <si>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</si>
  <si>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</si>
  <si>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</si>
  <si>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</si>
  <si>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</si>
  <si>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</si>
  <si>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</si>
  <si>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</si>
  <si>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</si>
  <si>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</si>
  <si>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</si>
  <si>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</si>
  <si>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</si>
  <si>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</si>
  <si>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</si>
  <si>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</si>
  <si>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</si>
  <si>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</si>
  <si>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</si>
  <si>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</si>
  <si>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</si>
  <si>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</si>
  <si>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</si>
  <si>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</si>
  <si>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</si>
  <si>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</si>
  <si>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</si>
  <si>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</si>
  <si>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</si>
  <si>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</si>
  <si>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</si>
  <si>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</si>
  <si>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</si>
  <si>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</si>
  <si>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</si>
  <si>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</si>
  <si>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</si>
  <si>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</si>
  <si>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</si>
  <si>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</si>
  <si>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</si>
  <si>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</si>
  <si>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</si>
  <si>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</si>
  <si>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</si>
  <si>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</si>
  <si>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</si>
  <si>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</si>
  <si>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</si>
  <si>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</si>
  <si>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</si>
  <si>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</si>
  <si>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</si>
  <si>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</si>
  <si>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</si>
  <si>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</si>
  <si>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</si>
  <si>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</si>
  <si>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</si>
  <si>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</si>
  <si>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</si>
  <si>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</si>
  <si>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</si>
  <si>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</si>
  <si>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</si>
  <si>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</si>
  <si>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</si>
  <si>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</si>
  <si>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</si>
  <si>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</si>
  <si>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</si>
  <si>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</si>
  <si>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</si>
  <si>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</si>
  <si>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</si>
  <si>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</si>
  <si>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</si>
  <si>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</si>
  <si>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</si>
  <si>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</si>
  <si>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</si>
  <si>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</si>
  <si>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</si>
  <si>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</si>
  <si>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</si>
  <si>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</si>
  <si>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</si>
  <si>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</si>
  <si>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</si>
  <si>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</si>
  <si>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</si>
  <si>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</si>
  <si>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</si>
  <si>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</si>
  <si>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</si>
  <si>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</si>
  <si>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</si>
  <si>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</si>
  <si>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</si>
  <si>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</si>
  <si>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</si>
  <si>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</si>
  <si>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</si>
  <si>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</si>
  <si>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</si>
  <si>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</si>
  <si>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</si>
  <si>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</si>
  <si>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</si>
  <si>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</si>
  <si>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</si>
  <si>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</si>
  <si>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</si>
  <si>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</si>
  <si>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</si>
  <si>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</si>
  <si>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</si>
  <si>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</si>
  <si>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</si>
  <si>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</si>
  <si>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</si>
  <si>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</si>
  <si>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</si>
  <si>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</si>
  <si>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</si>
  <si>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</si>
  <si>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</si>
  <si>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</si>
  <si>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</si>
  <si>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</si>
  <si>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</si>
  <si>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</si>
  <si>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</si>
  <si>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</si>
  <si>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</si>
  <si>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</si>
  <si>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</si>
  <si>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</si>
  <si>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</si>
  <si>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</si>
  <si>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</si>
  <si>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</si>
  <si>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</si>
  <si>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</si>
  <si>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</si>
  <si>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</si>
  <si>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</si>
  <si>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</si>
  <si>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</si>
  <si>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</si>
  <si>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</si>
  <si>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</si>
  <si>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</si>
  <si>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</si>
  <si>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</si>
  <si>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</si>
  <si>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</si>
  <si>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</si>
  <si>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</si>
  <si>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</si>
  <si>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</si>
  <si>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</si>
  <si>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</si>
  <si>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</si>
  <si>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</si>
  <si>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</si>
  <si>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</si>
  <si>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</si>
  <si>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</si>
  <si>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</si>
  <si>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</si>
  <si>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</si>
  <si>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</si>
  <si>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</si>
  <si>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</si>
  <si>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</si>
  <si>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</si>
  <si>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</si>
  <si>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</si>
  <si>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</si>
  <si>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</si>
  <si>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</si>
  <si>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</si>
  <si>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</si>
  <si>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</si>
  <si>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</si>
  <si>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</si>
  <si>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</si>
  <si>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</si>
  <si>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</si>
  <si>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</si>
  <si>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</si>
  <si>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</si>
  <si>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</si>
  <si>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</si>
  <si>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</si>
  <si>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</si>
  <si>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</si>
  <si>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</si>
  <si>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</si>
  <si>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</si>
  <si>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</si>
  <si>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</si>
  <si>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</si>
  <si>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</si>
  <si>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</si>
  <si>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</si>
  <si>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</si>
  <si>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</si>
  <si>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</si>
  <si>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</si>
  <si>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</si>
  <si>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</si>
  <si>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</si>
  <si>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</si>
  <si>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</si>
  <si>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</si>
  <si>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</si>
  <si>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</si>
  <si>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</si>
  <si>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</si>
  <si>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</si>
  <si>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</si>
  <si>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</si>
  <si>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</si>
  <si>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</si>
  <si>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</si>
  <si>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</si>
  <si>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</si>
  <si>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</si>
  <si>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</si>
  <si>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</si>
  <si>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</si>
  <si>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</si>
  <si>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</si>
  <si>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</si>
  <si>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</si>
  <si>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</si>
  <si>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</si>
  <si>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</si>
  <si>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</si>
  <si>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</si>
  <si>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</si>
  <si>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</si>
  <si>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</si>
  <si>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</si>
  <si>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</si>
  <si>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</si>
  <si>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</si>
  <si>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</si>
  <si>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</si>
  <si>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</si>
  <si>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</si>
  <si>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</si>
  <si>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</si>
  <si>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</si>
  <si>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</si>
  <si>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</si>
  <si>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</si>
  <si>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</si>
  <si>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</si>
  <si>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</si>
  <si>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</si>
  <si>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</si>
  <si>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</si>
  <si>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</si>
  <si>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</si>
  <si>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</si>
  <si>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</si>
  <si>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</si>
  <si>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</si>
  <si>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</si>
  <si>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</si>
  <si>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</si>
  <si>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</si>
  <si>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</si>
  <si>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</si>
  <si>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</si>
  <si>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</si>
  <si>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</si>
  <si>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</si>
  <si>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</si>
  <si>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</si>
  <si>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</si>
  <si>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</si>
  <si>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</si>
  <si>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</si>
  <si>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</si>
  <si>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</si>
  <si>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</si>
  <si>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</si>
  <si>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</si>
  <si>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</si>
  <si>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</si>
  <si>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</si>
  <si>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</si>
  <si>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</si>
  <si>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</si>
  <si>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</si>
  <si>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</si>
  <si>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</si>
  <si>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</si>
  <si>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</si>
  <si>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</si>
  <si>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</si>
  <si>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</si>
  <si>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</si>
  <si>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</si>
  <si>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</si>
  <si>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</si>
  <si>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</si>
  <si>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</si>
  <si>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</si>
  <si>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</si>
  <si>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</si>
  <si>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</si>
  <si>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</si>
  <si>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</si>
  <si>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</si>
  <si>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</si>
  <si>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</si>
  <si>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</si>
  <si>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</si>
  <si>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</si>
  <si>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</si>
  <si>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</si>
  <si>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</si>
  <si>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</si>
  <si>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</si>
  <si>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</si>
  <si>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</si>
  <si>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</si>
  <si>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</si>
  <si>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</si>
  <si>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</si>
  <si>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</si>
  <si>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</si>
  <si>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</si>
  <si>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</si>
  <si>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</si>
  <si>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</si>
  <si>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</si>
  <si>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</si>
  <si>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</si>
  <si>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</si>
  <si>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</si>
  <si>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</si>
  <si>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</si>
  <si>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</si>
  <si>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</si>
  <si>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</si>
  <si>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</si>
  <si>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</si>
  <si>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</si>
  <si>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</si>
  <si>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</si>
  <si>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</si>
  <si>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</si>
  <si>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</si>
  <si>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</si>
  <si>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</si>
  <si>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</si>
  <si>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</si>
  <si>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</si>
  <si>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</si>
  <si>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</si>
  <si>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</si>
  <si>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</si>
  <si>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</si>
  <si>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</si>
  <si>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</si>
  <si>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</si>
  <si>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</si>
  <si>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</si>
  <si>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</si>
  <si>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</si>
  <si>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</si>
  <si>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</si>
  <si>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</si>
  <si>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</si>
  <si>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</si>
  <si>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</si>
  <si>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</si>
  <si>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</si>
  <si>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</si>
  <si>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</si>
  <si>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</si>
  <si>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</si>
  <si>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</si>
  <si>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</si>
  <si>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</si>
  <si>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</si>
  <si>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</si>
  <si>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</si>
  <si>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</si>
  <si>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</si>
  <si>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</si>
  <si>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</si>
  <si>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</si>
  <si>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</si>
  <si>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</si>
  <si>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</si>
  <si>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</si>
  <si>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</si>
  <si>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</si>
  <si>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</si>
  <si>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</si>
  <si>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</si>
  <si>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</si>
  <si>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</si>
  <si>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</si>
  <si>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</si>
  <si>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</si>
  <si>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</si>
  <si>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</si>
  <si>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</si>
  <si>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</si>
  <si>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</si>
  <si>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</si>
  <si>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</si>
  <si>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</si>
  <si>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</si>
  <si>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</si>
  <si>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</si>
  <si>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</si>
  <si>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</si>
  <si>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</si>
  <si>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</si>
  <si>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</si>
  <si>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</si>
  <si>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</si>
  <si>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</si>
  <si>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</si>
  <si>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</si>
  <si>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</si>
  <si>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</si>
  <si>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</si>
  <si>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</si>
  <si>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</si>
  <si>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</si>
  <si>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</si>
  <si>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</si>
  <si>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</si>
  <si>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</si>
  <si>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</si>
  <si>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</si>
  <si>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</si>
  <si>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</si>
  <si>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</si>
  <si>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</si>
  <si>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</si>
  <si>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</si>
  <si>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</si>
  <si>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</si>
  <si>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</si>
  <si>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</si>
  <si>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</si>
  <si>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</si>
  <si>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</si>
  <si>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</si>
  <si>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</si>
  <si>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</si>
  <si>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</si>
  <si>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</si>
  <si>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</si>
  <si>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</si>
  <si>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</si>
  <si>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</si>
  <si>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</si>
  <si>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</si>
  <si>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</si>
  <si>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</si>
  <si>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</si>
  <si>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</si>
  <si>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</si>
  <si>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</si>
  <si>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</si>
  <si>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</si>
  <si>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</si>
  <si>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</si>
  <si>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</si>
  <si>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</si>
  <si>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</si>
  <si>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</si>
  <si>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</si>
  <si>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</si>
  <si>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</si>
  <si>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</si>
  <si>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</si>
  <si>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</si>
  <si>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</si>
  <si>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</si>
  <si>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</si>
  <si>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</si>
  <si>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</si>
  <si>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</si>
  <si>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</si>
  <si>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</si>
  <si>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</si>
  <si>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</si>
  <si>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</si>
  <si>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</si>
  <si>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</si>
  <si>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</si>
  <si>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</si>
  <si>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</si>
  <si>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</si>
  <si>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</si>
  <si>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</si>
  <si>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</si>
  <si>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</si>
  <si>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</si>
  <si>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</si>
  <si>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</si>
  <si>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</si>
  <si>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</si>
  <si>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</si>
  <si>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</si>
  <si>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</si>
  <si>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</si>
  <si>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</si>
  <si>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</si>
  <si>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</si>
  <si>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</si>
  <si>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</si>
  <si>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</si>
  <si>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</si>
  <si>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</si>
  <si>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</si>
  <si>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</si>
  <si>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</si>
  <si>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</si>
  <si>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</si>
  <si>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</si>
  <si>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</si>
  <si>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</si>
  <si>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</si>
  <si>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</si>
  <si>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</si>
  <si>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</si>
  <si>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</si>
  <si>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</si>
  <si>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</si>
  <si>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</si>
  <si>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</si>
  <si>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</si>
  <si>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</si>
  <si>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</si>
  <si>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</si>
  <si>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</si>
  <si>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</si>
  <si>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</si>
  <si>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</si>
  <si>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</si>
  <si>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</si>
  <si>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</si>
  <si>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</si>
  <si>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</si>
  <si>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</si>
  <si>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</si>
  <si>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</si>
  <si>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</si>
  <si>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</si>
  <si>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</si>
  <si>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</si>
  <si>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</si>
  <si>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</si>
  <si>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</si>
  <si>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</si>
  <si>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</si>
  <si>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</si>
  <si>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</si>
  <si>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</si>
  <si>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</si>
  <si>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</si>
  <si>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</si>
  <si>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</si>
  <si>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</si>
  <si>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</si>
  <si>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</si>
  <si>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</si>
  <si>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</si>
  <si>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</si>
  <si>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</si>
  <si>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</si>
  <si>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</si>
  <si>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</si>
  <si>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</si>
  <si>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</si>
  <si>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</si>
  <si>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</si>
  <si>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</si>
  <si>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</si>
  <si>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</si>
  <si>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</si>
  <si>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</si>
  <si>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</si>
  <si>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</si>
  <si>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</si>
  <si>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</si>
  <si>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</si>
  <si>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</si>
  <si>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</si>
  <si>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</si>
  <si>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</si>
  <si>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</si>
  <si>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</si>
  <si>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</si>
  <si>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</si>
  <si>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</si>
  <si>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</si>
  <si>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</si>
  <si>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</si>
  <si>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</si>
  <si>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</si>
  <si>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</si>
  <si>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</si>
  <si>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</si>
  <si>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</si>
  <si>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</si>
  <si>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</si>
  <si>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</si>
  <si>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</si>
  <si>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</si>
  <si>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</si>
  <si>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</si>
  <si>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</si>
  <si>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</si>
  <si>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</si>
  <si>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</si>
  <si>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</si>
  <si>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</si>
  <si>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</si>
  <si>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</si>
  <si>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</si>
  <si>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</si>
  <si>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</si>
  <si>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</si>
  <si>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</si>
  <si>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</si>
  <si>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</si>
  <si>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</si>
  <si>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</si>
  <si>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</si>
  <si>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</si>
  <si>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</si>
  <si>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</si>
  <si>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</si>
  <si>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</si>
  <si>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</si>
  <si>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</si>
  <si>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</si>
  <si>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</si>
  <si>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</si>
  <si>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</si>
  <si>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</si>
  <si>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</si>
  <si>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</si>
  <si>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</si>
  <si>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</si>
  <si>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</si>
  <si>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</si>
  <si>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</si>
  <si>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</si>
  <si>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</si>
  <si>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</si>
  <si>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</si>
  <si>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</si>
  <si>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</si>
  <si>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</si>
  <si>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</si>
  <si>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</si>
  <si>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</si>
  <si>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</si>
  <si>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</si>
  <si>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</si>
  <si>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</si>
  <si>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</si>
  <si>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</si>
  <si>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</si>
  <si>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</si>
  <si>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</si>
  <si>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</si>
  <si>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</si>
  <si>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</si>
  <si>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</si>
  <si>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</si>
  <si>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</si>
  <si>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</si>
  <si>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</si>
  <si>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</si>
  <si>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</si>
  <si>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</si>
  <si>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</si>
  <si>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</si>
  <si>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</si>
  <si>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</si>
  <si>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</si>
  <si>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</si>
  <si>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</si>
  <si>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</si>
  <si>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</si>
  <si>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</si>
  <si>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</si>
  <si>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</si>
  <si>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</si>
  <si>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</si>
  <si>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</si>
  <si>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</si>
  <si>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</si>
  <si>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</si>
  <si>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</si>
  <si>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</si>
  <si>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</si>
  <si>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</si>
  <si>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</si>
  <si>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</si>
  <si>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</si>
  <si>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</si>
  <si>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</si>
  <si>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</si>
  <si>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</si>
  <si>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</si>
  <si>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</si>
  <si>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</si>
  <si>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</si>
  <si>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</si>
  <si>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</si>
  <si>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</si>
  <si>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</si>
  <si>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</si>
  <si>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</si>
  <si>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</si>
  <si>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</si>
  <si>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</si>
  <si>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</si>
  <si>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</si>
  <si>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</si>
  <si>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</si>
  <si>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</si>
  <si>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</si>
  <si>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</si>
  <si>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</si>
  <si>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</si>
  <si>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</si>
  <si>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</si>
  <si>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</si>
  <si>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</si>
  <si>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</si>
  <si>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</si>
  <si>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</si>
  <si>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</si>
  <si>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</si>
  <si>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</si>
  <si>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</si>
  <si>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</si>
  <si>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</si>
  <si>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</si>
  <si>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</si>
  <si>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</si>
  <si>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</si>
  <si>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</si>
  <si>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</si>
  <si>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</si>
  <si>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</si>
  <si>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</si>
  <si>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</si>
  <si>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</si>
  <si>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</si>
  <si>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</si>
  <si>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</si>
  <si>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</si>
  <si>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</si>
  <si>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</si>
  <si>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</si>
  <si>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</si>
  <si>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</si>
  <si>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</si>
  <si>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</si>
  <si>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</si>
  <si>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</si>
  <si>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</si>
  <si>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</si>
  <si>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</si>
  <si>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</si>
  <si>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</si>
  <si>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</si>
  <si>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</si>
  <si>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</si>
  <si>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</si>
  <si>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</si>
  <si>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</si>
  <si>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</si>
  <si>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</si>
  <si>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</si>
  <si>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</si>
  <si>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</si>
  <si>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</si>
  <si>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</si>
  <si>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</si>
  <si>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</si>
  <si>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</si>
  <si>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</si>
  <si>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</si>
  <si>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</si>
  <si>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</si>
  <si>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</si>
  <si>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</si>
  <si>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</si>
  <si>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</si>
  <si>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</si>
  <si>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</si>
  <si>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</si>
  <si>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</si>
  <si>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</si>
  <si>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</si>
  <si>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</si>
  <si>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</si>
  <si>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</si>
  <si>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</si>
  <si>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</si>
  <si>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</si>
  <si>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</si>
  <si>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</si>
  <si>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</si>
  <si>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</si>
  <si>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</si>
  <si>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</si>
  <si>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</si>
  <si>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</si>
  <si>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</si>
  <si>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</si>
  <si>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</si>
  <si>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</si>
  <si>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</si>
  <si>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</si>
  <si>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</si>
  <si>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</si>
  <si>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</si>
  <si>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</si>
  <si>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</si>
  <si>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</si>
  <si>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</si>
  <si>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</si>
  <si>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</si>
  <si>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</si>
  <si>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</si>
  <si>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</si>
  <si>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</si>
  <si>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</si>
  <si>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</si>
  <si>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</si>
  <si>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</si>
  <si>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</si>
  <si>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</si>
  <si>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</si>
  <si>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</si>
  <si>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</si>
  <si>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</si>
  <si>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</si>
  <si>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</si>
  <si>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</si>
  <si>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</si>
  <si>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</si>
  <si>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</si>
  <si>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</si>
  <si>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</si>
  <si>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</si>
  <si>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</si>
  <si>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</si>
  <si>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</si>
  <si>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</si>
  <si>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</si>
  <si>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</si>
  <si>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</si>
  <si>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</si>
  <si>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</si>
  <si>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</si>
  <si>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</si>
  <si>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</si>
  <si>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</si>
  <si>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</si>
  <si>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</si>
  <si>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</si>
  <si>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</si>
  <si>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</si>
  <si>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</si>
  <si>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</si>
  <si>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</si>
  <si>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</si>
  <si>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</si>
  <si>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</si>
  <si>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</si>
  <si>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</si>
  <si>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</si>
  <si>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</si>
  <si>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</si>
  <si>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</si>
  <si>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</si>
  <si>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</si>
  <si>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</si>
  <si>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</si>
  <si>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</si>
  <si>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</si>
  <si>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</si>
  <si>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</si>
  <si>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</si>
  <si>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</si>
  <si>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</si>
  <si>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</si>
  <si>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</si>
  <si>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</si>
  <si>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</si>
  <si>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</si>
  <si>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</si>
  <si>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</si>
  <si>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</si>
  <si>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</si>
  <si>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</si>
  <si>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</si>
  <si>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</si>
  <si>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</si>
  <si>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</si>
  <si>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</si>
  <si>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</si>
  <si>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</si>
  <si>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</si>
  <si>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</si>
  <si>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</si>
  <si>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</si>
  <si>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</si>
  <si>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</si>
  <si>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</si>
  <si>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</si>
  <si>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</si>
  <si>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</si>
  <si>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</si>
  <si>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</si>
  <si>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</si>
  <si>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</si>
  <si>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</si>
  <si>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</si>
  <si>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</si>
  <si>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</si>
  <si>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</si>
  <si>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</si>
  <si>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</si>
  <si>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</si>
  <si>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</si>
  <si>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</si>
  <si>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</si>
  <si>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</si>
  <si>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</si>
  <si>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</si>
  <si>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</si>
  <si>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</si>
  <si>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</si>
  <si>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</si>
  <si>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</si>
  <si>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</si>
  <si>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</si>
  <si>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</si>
  <si>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</si>
  <si>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</si>
  <si>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</si>
  <si>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</si>
  <si>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</si>
  <si>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</si>
  <si>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</si>
  <si>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</si>
  <si>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</si>
  <si>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</si>
  <si>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</si>
  <si>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</si>
  <si>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</si>
  <si>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</si>
  <si>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</si>
  <si>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</si>
  <si>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</si>
  <si>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</si>
  <si>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</si>
  <si>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</si>
  <si>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</si>
  <si>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</si>
  <si>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</si>
  <si>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</si>
  <si>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</si>
  <si>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</si>
  <si>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</si>
  <si>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</si>
  <si>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</si>
  <si>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</si>
  <si>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</si>
  <si>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</si>
  <si>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</si>
  <si>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</si>
  <si>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</si>
  <si>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</si>
  <si>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</si>
  <si>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</si>
  <si>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</si>
  <si>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</si>
  <si>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</si>
  <si>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</si>
  <si>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</si>
  <si>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</si>
  <si>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</si>
  <si>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</si>
  <si>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</si>
  <si>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</si>
  <si>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</si>
  <si>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</si>
  <si>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</si>
  <si>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</si>
  <si>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</si>
  <si>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</si>
  <si>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</si>
  <si>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</si>
  <si>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</si>
  <si>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</si>
  <si>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</si>
  <si>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</si>
  <si>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</si>
  <si>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</si>
  <si>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</si>
  <si>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</si>
  <si>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</si>
  <si>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</si>
  <si>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</si>
  <si>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</si>
  <si>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</si>
  <si>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</si>
  <si>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</si>
  <si>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</si>
  <si>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</si>
  <si>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</si>
  <si>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</si>
  <si>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</si>
  <si>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</si>
  <si>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</si>
  <si>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</si>
  <si>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</si>
  <si>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</si>
  <si>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</si>
  <si>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</si>
  <si>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</si>
  <si>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</si>
  <si>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</si>
  <si>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</si>
  <si>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</si>
  <si>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</si>
  <si>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</si>
  <si>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</si>
  <si>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</si>
  <si>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</si>
  <si>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</si>
  <si>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</si>
  <si>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</si>
  <si>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</si>
  <si>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</si>
  <si>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</si>
  <si>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</si>
  <si>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</si>
  <si>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</si>
  <si>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</si>
  <si>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</si>
  <si>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</si>
  <si>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</si>
  <si>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</si>
  <si>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</si>
  <si>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</si>
  <si>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</si>
  <si>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</si>
  <si>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</si>
  <si>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</si>
  <si>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</si>
  <si>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</si>
  <si>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</si>
  <si>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</si>
  <si>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</si>
  <si>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</si>
  <si>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</si>
  <si>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</si>
  <si>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</si>
  <si>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</si>
  <si>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</si>
  <si>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</si>
  <si>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</si>
  <si>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</si>
  <si>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</si>
  <si>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</si>
  <si>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</si>
  <si>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</si>
  <si>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</si>
  <si>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</si>
  <si>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</si>
  <si>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</si>
  <si>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</si>
  <si>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</si>
  <si>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</si>
  <si>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</si>
  <si>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</si>
  <si>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</si>
  <si>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</si>
  <si>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</si>
  <si>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</si>
  <si>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</si>
  <si>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</si>
  <si>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</si>
  <si>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</si>
  <si>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</si>
  <si>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</si>
  <si>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</si>
  <si>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</si>
  <si>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</si>
  <si>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</si>
  <si>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</si>
  <si>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</si>
  <si>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</si>
  <si>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</si>
  <si>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</si>
  <si>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</si>
  <si>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</si>
  <si>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</si>
  <si>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</si>
  <si>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</si>
  <si>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</si>
  <si>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</si>
  <si>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</si>
  <si>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</si>
  <si>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</si>
  <si>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</si>
  <si>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</si>
  <si>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</si>
  <si>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</si>
  <si>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</si>
  <si>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</si>
  <si>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</si>
  <si>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</si>
  <si>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</si>
  <si>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</si>
  <si>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</si>
  <si>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</si>
  <si>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</si>
  <si>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</si>
  <si>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</si>
  <si>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</si>
  <si>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</si>
  <si>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</si>
  <si>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</si>
  <si>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</si>
  <si>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</si>
  <si>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</si>
  <si>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</si>
  <si>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</si>
  <si>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</si>
  <si>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</si>
  <si>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</si>
  <si>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</si>
  <si>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</si>
  <si>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</si>
  <si>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</si>
  <si>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</si>
  <si>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</si>
  <si>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</si>
  <si>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</si>
  <si>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</si>
  <si>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</si>
  <si>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</si>
  <si>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</si>
  <si>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</si>
  <si>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</si>
  <si>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</si>
  <si>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</si>
  <si>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</si>
  <si>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</si>
  <si>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</si>
  <si>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</si>
  <si>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</si>
  <si>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</si>
  <si>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</si>
  <si>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</si>
  <si>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</si>
  <si>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</si>
  <si>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</si>
  <si>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</si>
  <si>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</si>
  <si>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</si>
  <si>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</si>
  <si>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</si>
  <si>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</si>
  <si>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</si>
  <si>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</si>
  <si>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</si>
  <si>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</si>
  <si>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</si>
  <si>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</si>
  <si>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</si>
  <si>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</si>
  <si>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</si>
  <si>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</si>
  <si>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</si>
  <si>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</si>
  <si>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</si>
  <si>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</si>
  <si>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</si>
  <si>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</si>
  <si>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</si>
  <si>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</si>
  <si>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</si>
  <si>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</si>
  <si>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</si>
  <si>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</si>
  <si>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</si>
  <si>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</si>
  <si>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</si>
  <si>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</si>
  <si>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</si>
  <si>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</si>
  <si>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</si>
  <si>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</si>
  <si>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</si>
  <si>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</si>
  <si>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</si>
  <si>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</si>
  <si>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</si>
  <si>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</si>
  <si>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</si>
  <si>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</si>
  <si>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</si>
  <si>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</si>
  <si>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</si>
  <si>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</si>
  <si>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</si>
  <si>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</si>
  <si>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</si>
  <si>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</si>
  <si>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</si>
  <si>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</si>
  <si>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</si>
  <si>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</si>
  <si>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</si>
  <si>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</si>
  <si>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</si>
  <si>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</si>
  <si>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</si>
  <si>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</si>
  <si>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</si>
  <si>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</si>
  <si>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</si>
  <si>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</si>
  <si>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</si>
  <si>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</si>
  <si>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</si>
  <si>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</si>
  <si>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</si>
  <si>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</si>
  <si>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</si>
  <si>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</si>
  <si>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</si>
  <si>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</si>
  <si>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</si>
  <si>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</si>
  <si>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</si>
  <si>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</si>
  <si>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</si>
  <si>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</si>
  <si>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</si>
  <si>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</si>
  <si>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</si>
  <si>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</si>
  <si>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</si>
  <si>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</si>
  <si>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</si>
  <si>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</si>
  <si>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</si>
  <si>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</si>
  <si>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</si>
  <si>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</si>
  <si>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</si>
  <si>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</si>
  <si>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</si>
  <si>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</si>
  <si>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</si>
  <si>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</si>
  <si>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</si>
  <si>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</si>
  <si>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</si>
  <si>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</si>
  <si>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</si>
  <si>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</si>
  <si>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</si>
  <si>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</si>
  <si>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</si>
  <si>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</si>
  <si>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</si>
  <si>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</si>
  <si>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</si>
  <si>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</si>
  <si>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</si>
  <si>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</si>
  <si>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</si>
  <si>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</si>
  <si>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</si>
  <si>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</si>
  <si>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</si>
  <si>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</si>
  <si>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</si>
  <si>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</si>
  <si>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</si>
  <si>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</si>
  <si>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</si>
  <si>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</si>
  <si>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</si>
  <si>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</si>
  <si>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</si>
  <si>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</si>
  <si>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</si>
  <si>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</si>
  <si>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</si>
  <si>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</si>
  <si>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</si>
  <si>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</si>
  <si>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</si>
  <si>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</si>
  <si>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</si>
  <si>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</si>
  <si>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</si>
  <si>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</si>
  <si>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</si>
  <si>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</si>
  <si>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</si>
  <si>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</si>
  <si>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</si>
  <si>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</si>
  <si>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</si>
  <si>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</si>
  <si>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</si>
  <si>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</si>
  <si>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</si>
  <si>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</si>
  <si>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</si>
  <si>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</si>
  <si>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</si>
  <si>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</si>
  <si>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</si>
  <si>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</si>
  <si>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</si>
  <si>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</si>
  <si>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</si>
  <si>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</si>
  <si>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</si>
  <si>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</si>
  <si>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</si>
  <si>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</si>
  <si>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</si>
  <si>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</si>
  <si>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</si>
  <si>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</si>
  <si>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</si>
  <si>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</si>
  <si>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</si>
  <si>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</si>
  <si>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</si>
  <si>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</si>
  <si>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</si>
  <si>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</si>
  <si>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</si>
  <si>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</si>
  <si>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</si>
  <si>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</si>
  <si>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</si>
  <si>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</si>
  <si>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</si>
  <si>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</si>
  <si>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</si>
  <si>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</si>
  <si>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</si>
  <si>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</si>
  <si>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</si>
  <si>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</si>
  <si>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</si>
  <si>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</si>
  <si>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</si>
  <si>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</si>
  <si>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</si>
  <si>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</si>
  <si>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</si>
  <si>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</si>
  <si>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</si>
  <si>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</si>
  <si>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</si>
  <si>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</si>
  <si>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</si>
  <si>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</si>
  <si>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</si>
  <si>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</si>
  <si>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</si>
  <si>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</si>
  <si>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</si>
  <si>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</si>
  <si>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</si>
  <si>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</si>
  <si>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</si>
  <si>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</si>
  <si>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</si>
  <si>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</si>
  <si>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</si>
  <si>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</si>
  <si>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</si>
  <si>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</si>
  <si>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</si>
  <si>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</si>
  <si>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</si>
  <si>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</si>
  <si>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</si>
  <si>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</si>
  <si>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</si>
  <si>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</si>
  <si>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</si>
  <si>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</si>
  <si>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</si>
  <si>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</si>
  <si>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</si>
  <si>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</si>
  <si>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</si>
  <si>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</si>
  <si>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</si>
  <si>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</si>
  <si>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</si>
  <si>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</si>
  <si>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</si>
  <si>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</si>
  <si>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</si>
  <si>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</si>
  <si>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</si>
  <si>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</si>
  <si>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</si>
  <si>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</si>
  <si>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</si>
  <si>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</si>
  <si>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</si>
  <si>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</si>
  <si>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</si>
  <si>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</si>
  <si>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</si>
  <si>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</si>
  <si>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</si>
  <si>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</si>
  <si>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</si>
  <si>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</si>
  <si>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</si>
  <si>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</si>
  <si>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</si>
  <si>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</si>
  <si>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</si>
  <si>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</si>
  <si>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</si>
  <si>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</si>
  <si>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</si>
  <si>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</si>
  <si>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</si>
  <si>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</si>
  <si>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</si>
  <si>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</si>
  <si>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</si>
  <si>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</si>
  <si>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</si>
  <si>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</si>
  <si>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</si>
  <si>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</si>
  <si>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</si>
  <si>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</si>
  <si>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</si>
  <si>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</si>
  <si>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</si>
  <si>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</si>
  <si>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</si>
  <si>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</si>
  <si>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</si>
  <si>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</si>
  <si>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</si>
  <si>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</si>
  <si>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</si>
  <si>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</si>
  <si>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</si>
  <si>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</si>
  <si>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</si>
  <si>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</si>
  <si>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</si>
  <si>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</si>
  <si>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</si>
  <si>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</si>
  <si>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</si>
  <si>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</si>
  <si>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</si>
  <si>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</si>
  <si>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</si>
  <si>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</si>
  <si>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</si>
  <si>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</si>
  <si>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</si>
  <si>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</si>
  <si>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</si>
  <si>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</si>
  <si>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</si>
  <si>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</si>
  <si>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</si>
  <si>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</si>
  <si>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</si>
  <si>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</si>
  <si>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</si>
  <si>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</si>
  <si>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</si>
  <si>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</si>
  <si>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</si>
  <si>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</si>
  <si>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</si>
  <si>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</si>
  <si>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</si>
  <si>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</si>
  <si>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</si>
  <si>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</si>
  <si>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</si>
  <si>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</si>
  <si>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</si>
  <si>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</si>
  <si>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</si>
  <si>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</si>
  <si>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</si>
  <si>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</si>
  <si>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</si>
  <si>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</si>
  <si>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</si>
  <si>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</si>
  <si>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</si>
  <si>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</si>
  <si>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</si>
  <si>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</si>
  <si>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</si>
  <si>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</si>
  <si>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</si>
  <si>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</si>
  <si>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</si>
  <si>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</si>
  <si>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</si>
  <si>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</si>
  <si>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</si>
  <si>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</si>
  <si>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</si>
  <si>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</si>
  <si>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</si>
  <si>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</si>
  <si>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</si>
  <si>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</si>
  <si>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</si>
  <si>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</si>
  <si>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</si>
  <si>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</si>
  <si>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</si>
  <si>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</si>
  <si>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</si>
  <si>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</si>
  <si>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</si>
  <si>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</si>
  <si>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</si>
  <si>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</si>
  <si>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</si>
  <si>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</si>
  <si>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</si>
  <si>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</si>
  <si>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</si>
  <si>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</si>
  <si>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</si>
  <si>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</si>
  <si>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</si>
  <si>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</si>
  <si>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</si>
  <si>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</si>
  <si>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</si>
  <si>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</si>
  <si>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</si>
  <si>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</si>
  <si>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</si>
  <si>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</si>
  <si>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</si>
  <si>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</si>
  <si>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</si>
  <si>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</si>
  <si>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</si>
  <si>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</si>
  <si>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</si>
  <si>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</si>
  <si>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</si>
  <si>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</si>
  <si>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</si>
  <si>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</si>
  <si>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</si>
  <si>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</si>
  <si>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</si>
  <si>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</si>
  <si>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</si>
  <si>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</si>
  <si>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</si>
  <si>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</si>
  <si>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</si>
  <si>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</si>
  <si>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</si>
  <si>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</si>
  <si>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</si>
  <si>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</si>
  <si>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</si>
  <si>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</si>
  <si>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</si>
  <si>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</si>
  <si>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</si>
  <si>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</si>
  <si>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</si>
  <si>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</si>
  <si>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</si>
  <si>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</si>
  <si>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</si>
  <si>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</si>
  <si>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</si>
  <si>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</si>
  <si>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</si>
  <si>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</si>
  <si>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</si>
  <si>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</si>
  <si>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</si>
  <si>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</si>
  <si>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</si>
  <si>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</si>
  <si>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</si>
  <si>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</si>
  <si>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</si>
  <si>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</si>
  <si>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</si>
  <si>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</si>
  <si>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</si>
  <si>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</si>
  <si>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</si>
  <si>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</si>
  <si>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</si>
  <si>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</si>
  <si>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</si>
  <si>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</si>
  <si>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</si>
  <si>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</si>
  <si>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</si>
  <si>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</si>
  <si>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</si>
  <si>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</si>
  <si>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</si>
  <si>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</si>
  <si>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</si>
  <si>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</si>
  <si>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</si>
  <si>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</si>
  <si>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</si>
  <si>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</si>
  <si>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</si>
  <si>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</si>
  <si>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</si>
  <si>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</si>
  <si>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</si>
  <si>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</si>
  <si>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</si>
  <si>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</si>
  <si>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</si>
  <si>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</si>
  <si>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</si>
  <si>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</si>
  <si>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</si>
  <si>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</si>
  <si>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</si>
  <si>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</si>
  <si>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</si>
  <si>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</si>
  <si>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</si>
  <si>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</si>
  <si>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</si>
  <si>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</si>
  <si>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</si>
  <si>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</si>
  <si>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</si>
  <si>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</si>
  <si>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</si>
  <si>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</si>
  <si>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</si>
  <si>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</si>
  <si>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</si>
  <si>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</si>
  <si>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</si>
  <si>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</si>
  <si>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</si>
  <si>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</si>
  <si>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</si>
  <si>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</si>
  <si>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</si>
  <si>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</si>
  <si>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</si>
  <si>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</si>
  <si>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</si>
  <si>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</si>
  <si>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</si>
  <si>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</si>
  <si>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</si>
  <si>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</si>
  <si>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</si>
  <si>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</si>
  <si>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</si>
  <si>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</si>
  <si>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</si>
  <si>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</si>
  <si>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</si>
  <si>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</si>
  <si>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</si>
  <si>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</si>
  <si>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</si>
  <si>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</si>
  <si>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</si>
  <si>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</si>
  <si>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</si>
  <si>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</si>
  <si>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</si>
  <si>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</si>
  <si>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</si>
  <si>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</si>
  <si>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</si>
  <si>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</si>
  <si>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</si>
  <si>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</si>
  <si>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</si>
  <si>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</si>
  <si>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</si>
  <si>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</si>
  <si>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</si>
  <si>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</si>
  <si>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</si>
  <si>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</si>
  <si>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</si>
  <si>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</si>
  <si>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</si>
  <si>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</si>
  <si>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</si>
  <si>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</si>
  <si>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</si>
  <si>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</si>
  <si>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</si>
  <si>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</si>
  <si>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</si>
  <si>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</si>
  <si>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</si>
  <si>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</si>
  <si>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</si>
  <si>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</si>
  <si>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</si>
  <si>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</si>
  <si>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</si>
  <si>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</si>
  <si>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</si>
  <si>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</si>
  <si>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</si>
  <si>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</si>
  <si>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</si>
  <si>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</si>
  <si>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</si>
  <si>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</si>
  <si>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</si>
  <si>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</si>
  <si>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</si>
  <si>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</si>
  <si>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</si>
  <si>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</si>
  <si>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</si>
  <si>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</si>
  <si>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</si>
  <si>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</si>
  <si>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</si>
  <si>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</si>
  <si>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</si>
  <si>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</si>
  <si>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</si>
  <si>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</si>
  <si>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</si>
  <si>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</si>
  <si>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</si>
  <si>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</si>
  <si>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</si>
  <si>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</si>
  <si>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</si>
  <si>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</si>
  <si>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</si>
  <si>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</si>
  <si>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</si>
  <si>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</si>
  <si>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</si>
  <si>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</si>
  <si>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</si>
  <si>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</si>
  <si>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</si>
  <si>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</si>
  <si>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</si>
  <si>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</si>
  <si>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</si>
  <si>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</si>
  <si>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</si>
  <si>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</si>
  <si>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</si>
  <si>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</si>
  <si>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</si>
  <si>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</si>
  <si>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</si>
  <si>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</si>
  <si>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</si>
  <si>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</si>
  <si>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</si>
  <si>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</si>
  <si>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</si>
  <si>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</si>
  <si>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</si>
  <si>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</si>
  <si>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</si>
  <si>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</si>
  <si>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</si>
  <si>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</si>
  <si>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</si>
  <si>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</si>
  <si>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</si>
  <si>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</si>
  <si>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</si>
  <si>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</si>
  <si>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</si>
  <si>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</si>
  <si>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</si>
  <si>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</si>
  <si>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</si>
  <si>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</si>
  <si>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</si>
  <si>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</si>
  <si>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</si>
  <si>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</si>
  <si>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</si>
  <si>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</si>
  <si>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</si>
  <si>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</si>
  <si>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</si>
  <si>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</si>
  <si>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</si>
  <si>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</si>
  <si>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</si>
  <si>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</si>
  <si>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</si>
  <si>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</si>
  <si>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</si>
  <si>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</si>
  <si>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</si>
  <si>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</si>
  <si>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</si>
  <si>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</si>
  <si>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</si>
  <si>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</si>
  <si>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</si>
  <si>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</si>
  <si>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</si>
  <si>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</si>
  <si>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</si>
  <si>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</si>
  <si>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</si>
  <si>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</si>
  <si>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</si>
  <si>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</si>
  <si>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</si>
  <si>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</si>
  <si>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</si>
  <si>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</si>
  <si>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</si>
  <si>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</si>
  <si>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</si>
  <si>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</si>
  <si>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</si>
  <si>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</si>
  <si>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</si>
  <si>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</si>
  <si>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</si>
  <si>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</si>
  <si>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</si>
  <si>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</si>
  <si>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</si>
  <si>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</si>
  <si>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</si>
  <si>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</si>
  <si>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</si>
  <si>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</si>
  <si>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</si>
  <si>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</si>
  <si>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</si>
  <si>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</si>
  <si>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</si>
  <si>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</si>
  <si>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</si>
  <si>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</si>
  <si>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</si>
  <si>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</si>
  <si>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</si>
  <si>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</si>
  <si>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</si>
  <si>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</si>
  <si>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</si>
  <si>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</si>
  <si>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</si>
  <si>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</si>
  <si>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</si>
  <si>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</si>
  <si>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</si>
  <si>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</si>
  <si>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</si>
  <si>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</si>
  <si>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</si>
  <si>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</si>
  <si>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</si>
  <si>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</si>
  <si>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</si>
  <si>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</si>
  <si>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</si>
  <si>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</si>
  <si>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</si>
  <si>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</si>
  <si>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</si>
  <si>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</si>
  <si>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</si>
  <si>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</si>
  <si>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</si>
  <si>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</si>
  <si>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</si>
  <si>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</si>
  <si>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</si>
  <si>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</si>
  <si>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</si>
  <si>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</si>
  <si>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</si>
  <si>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</si>
  <si>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</si>
  <si>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</si>
  <si>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</si>
  <si>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</si>
  <si>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</si>
  <si>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</si>
  <si>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</si>
  <si>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</si>
  <si>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</si>
  <si>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</si>
  <si>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</si>
  <si>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</si>
  <si>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</si>
  <si>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</si>
  <si>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</si>
  <si>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</si>
  <si>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</si>
  <si>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</si>
  <si>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</si>
  <si>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</si>
  <si>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</si>
  <si>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</si>
  <si>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</si>
  <si>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</si>
  <si>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</si>
  <si>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</si>
  <si>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</si>
  <si>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</si>
  <si>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</si>
  <si>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</si>
  <si>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</si>
  <si>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</si>
  <si>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</si>
  <si>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</si>
  <si>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</si>
  <si>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</si>
  <si>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</si>
  <si>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</si>
  <si>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</si>
  <si>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</si>
  <si>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</si>
  <si>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</si>
  <si>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</si>
  <si>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</si>
  <si>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</si>
  <si>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</si>
  <si>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</si>
  <si>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</si>
  <si>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</si>
  <si>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</si>
  <si>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</si>
  <si>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</si>
  <si>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</si>
  <si>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</si>
  <si>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</si>
  <si>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</si>
  <si>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</si>
  <si>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</si>
  <si>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</si>
  <si>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</si>
  <si>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</si>
  <si>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</si>
  <si>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</si>
  <si>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</si>
  <si>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</si>
  <si>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</si>
  <si>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</si>
  <si>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</si>
  <si>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</si>
  <si>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</si>
  <si>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</si>
  <si>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</si>
  <si>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</si>
  <si>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</si>
  <si>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</si>
  <si>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</si>
  <si>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</si>
  <si>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</si>
  <si>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</si>
  <si>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</si>
  <si>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</si>
  <si>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</si>
  <si>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</si>
  <si>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</si>
  <si>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</si>
  <si>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</si>
  <si>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</si>
  <si>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</si>
  <si>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</si>
  <si>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</si>
  <si>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</si>
  <si>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</si>
  <si>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</si>
  <si>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</si>
  <si>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</si>
  <si>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</si>
  <si>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</si>
  <si>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</si>
  <si>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</si>
  <si>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</si>
  <si>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</si>
  <si>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</si>
  <si>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</si>
  <si>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</si>
  <si>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</si>
  <si>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</si>
  <si>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</si>
  <si>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</si>
  <si>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</si>
  <si>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</si>
  <si>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</si>
  <si>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</si>
  <si>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</si>
  <si>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</si>
  <si>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</si>
  <si>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</si>
  <si>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</si>
  <si>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</si>
  <si>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</si>
  <si>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</si>
  <si>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</si>
  <si>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</si>
  <si>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</si>
  <si>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</si>
  <si>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</si>
  <si>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</si>
  <si>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</si>
  <si>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</si>
  <si>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</si>
  <si>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</si>
  <si>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</si>
  <si>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</si>
  <si>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</si>
  <si>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</si>
  <si>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</si>
  <si>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</si>
  <si>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</si>
  <si>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</si>
  <si>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</si>
  <si>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</si>
  <si>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</si>
  <si>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</si>
  <si>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</si>
  <si>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</si>
  <si>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</si>
  <si>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</si>
  <si>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</si>
  <si>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</si>
  <si>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</si>
  <si>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</si>
  <si>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</si>
  <si>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</si>
  <si>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</si>
  <si>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</si>
  <si>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</si>
  <si>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</si>
  <si>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</si>
  <si>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</si>
  <si>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</si>
  <si>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</si>
  <si>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</si>
  <si>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</si>
  <si>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</si>
  <si>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</si>
  <si>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</si>
  <si>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</si>
  <si>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</si>
  <si>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</si>
  <si>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</si>
  <si>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</si>
  <si>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</si>
  <si>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</si>
  <si>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</si>
  <si>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</si>
  <si>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</si>
  <si>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</si>
  <si>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</si>
  <si>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</si>
  <si>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</si>
  <si>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</si>
  <si>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</si>
  <si>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</si>
  <si>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</si>
  <si>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</si>
  <si>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</si>
  <si>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</si>
  <si>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</si>
  <si>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</si>
  <si>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</si>
  <si>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</si>
  <si>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</si>
  <si>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</si>
  <si>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</si>
  <si>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</si>
  <si>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</si>
  <si>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</si>
  <si>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</si>
  <si>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</si>
  <si>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</si>
  <si>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</si>
  <si>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</si>
  <si>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</si>
  <si>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</si>
  <si>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</si>
  <si>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</si>
  <si>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</si>
  <si>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</si>
  <si>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</si>
  <si>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</si>
  <si>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</si>
  <si>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</si>
  <si>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</si>
  <si>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</si>
  <si>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</si>
  <si>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</si>
  <si>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</si>
  <si>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</si>
  <si>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</si>
  <si>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</si>
  <si>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</si>
  <si>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</si>
  <si>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</si>
  <si>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</si>
  <si>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</si>
  <si>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</si>
  <si>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</si>
  <si>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</si>
  <si>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</si>
  <si>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</si>
  <si>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</si>
  <si>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</si>
  <si>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</si>
  <si>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</si>
  <si>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</si>
  <si>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</si>
  <si>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</si>
  <si>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</si>
  <si>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</si>
  <si>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</si>
  <si>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</si>
  <si>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</si>
  <si>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</si>
  <si>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</si>
  <si>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</si>
  <si>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</si>
  <si>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</si>
  <si>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</si>
  <si>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</si>
  <si>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</si>
  <si>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</si>
  <si>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</si>
  <si>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</si>
  <si>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</si>
  <si>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</si>
  <si>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</si>
  <si>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</si>
  <si>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</si>
  <si>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</si>
  <si>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</si>
  <si>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</si>
  <si>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</si>
  <si>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</si>
  <si>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</si>
  <si>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</si>
  <si>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</si>
  <si>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</si>
  <si>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</si>
  <si>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</si>
  <si>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</si>
  <si>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</si>
  <si>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</si>
  <si>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</si>
  <si>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</si>
  <si>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</si>
  <si>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</si>
  <si>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</si>
  <si>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</si>
  <si>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</si>
  <si>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</si>
  <si>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</si>
  <si>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</si>
  <si>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</si>
  <si>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</si>
  <si>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</si>
  <si>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</si>
  <si>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</si>
  <si>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</si>
  <si>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</si>
  <si>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</si>
  <si>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</si>
  <si>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</si>
  <si>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</si>
  <si>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</si>
  <si>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</si>
  <si>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</si>
  <si>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</si>
  <si>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</si>
  <si>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</si>
  <si>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</si>
  <si>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</si>
  <si>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</si>
  <si>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</si>
  <si>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</si>
  <si>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</si>
  <si>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</si>
  <si>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</si>
  <si>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</si>
  <si>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</si>
  <si>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</si>
  <si>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</si>
  <si>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</si>
  <si>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</si>
  <si>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</si>
  <si>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</si>
  <si>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</si>
  <si>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</si>
  <si>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</si>
  <si>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</si>
  <si>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</si>
  <si>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</si>
  <si>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</si>
  <si>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</si>
  <si>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</si>
  <si>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</si>
  <si>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</si>
  <si>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</si>
  <si>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</si>
  <si>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</si>
  <si>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</si>
  <si>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</si>
  <si>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</si>
  <si>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</si>
  <si>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</si>
  <si>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</si>
  <si>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</si>
  <si>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</si>
  <si>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</si>
  <si>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</si>
  <si>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</si>
  <si>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</si>
  <si>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</si>
  <si>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</si>
  <si>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</si>
  <si>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</si>
  <si>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</si>
  <si>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</si>
  <si>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</si>
  <si>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</si>
  <si>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</si>
  <si>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</si>
  <si>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</si>
  <si>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</si>
  <si>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</si>
  <si>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</si>
  <si>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</si>
  <si>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</si>
  <si>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</si>
  <si>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</si>
  <si>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</si>
  <si>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</si>
  <si>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</si>
  <si>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</si>
  <si>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</si>
  <si>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</si>
  <si>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</si>
  <si>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</si>
  <si>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</si>
  <si>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</si>
  <si>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</si>
  <si>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</si>
  <si>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</si>
  <si>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</si>
  <si>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</si>
  <si>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</si>
  <si>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</si>
  <si>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</si>
  <si>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</si>
  <si>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</si>
  <si>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</si>
  <si>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</si>
  <si>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</si>
  <si>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</si>
  <si>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</si>
  <si>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</si>
  <si>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</si>
  <si>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</si>
  <si>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</si>
  <si>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</si>
  <si>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</si>
  <si>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</si>
  <si>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</si>
  <si>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</si>
  <si>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</si>
  <si>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</si>
  <si>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</si>
  <si>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</si>
  <si>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</si>
  <si>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</si>
  <si>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</si>
  <si>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</si>
  <si>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</si>
  <si>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</si>
  <si>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</si>
  <si>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</si>
  <si>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</si>
  <si>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</si>
  <si>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</si>
  <si>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</si>
  <si>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</si>
  <si>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</si>
  <si>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</si>
  <si>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</si>
  <si>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</si>
  <si>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</si>
  <si>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</si>
  <si>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</si>
  <si>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</si>
  <si>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</si>
  <si>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</si>
  <si>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</si>
  <si>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</si>
  <si>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</si>
  <si>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</si>
  <si>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</si>
  <si>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</si>
  <si>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</si>
  <si>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</si>
  <si>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</si>
  <si>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</si>
  <si>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</si>
  <si>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</si>
  <si>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</si>
  <si>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</si>
  <si>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</si>
  <si>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</si>
  <si>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</si>
  <si>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</si>
  <si>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</si>
  <si>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</si>
  <si>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</si>
  <si>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</si>
  <si>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</si>
  <si>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</si>
  <si>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</si>
  <si>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</si>
  <si>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</si>
  <si>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</si>
  <si>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</si>
  <si>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</si>
  <si>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</si>
  <si>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</si>
  <si>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</si>
  <si>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</si>
  <si>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</si>
  <si>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</si>
  <si>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</si>
  <si>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</si>
  <si>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</si>
  <si>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</si>
  <si>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</si>
  <si>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</si>
  <si>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</si>
  <si>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</si>
  <si>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</si>
  <si>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</si>
  <si>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</si>
  <si>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</si>
  <si>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</si>
  <si>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</si>
  <si>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</si>
  <si>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</si>
  <si>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</si>
  <si>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</si>
  <si>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</si>
  <si>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</si>
  <si>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</si>
  <si>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</si>
  <si>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</si>
  <si>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</si>
  <si>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</si>
  <si>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</si>
  <si>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</si>
  <si>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</si>
  <si>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</si>
  <si>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</si>
  <si>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</si>
  <si>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</si>
  <si>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</si>
  <si>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</si>
  <si>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</si>
  <si>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</si>
  <si>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</si>
  <si>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</si>
  <si>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</si>
  <si>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</si>
  <si>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</si>
  <si>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</si>
  <si>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</si>
  <si>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</si>
  <si>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</si>
  <si>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</si>
  <si>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</si>
  <si>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</si>
  <si>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</si>
  <si>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</si>
  <si>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</si>
  <si>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</si>
  <si>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</si>
  <si>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</si>
  <si>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</si>
  <si>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</si>
  <si>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</si>
  <si>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</si>
  <si>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</si>
  <si>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</si>
  <si>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</si>
  <si>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</si>
  <si>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</si>
  <si>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</si>
  <si>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</si>
  <si>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</si>
  <si>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</si>
  <si>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</si>
  <si>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</si>
  <si>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</si>
  <si>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</si>
  <si>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</si>
  <si>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</si>
  <si>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</si>
  <si>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</si>
  <si>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</si>
  <si>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</si>
  <si>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</si>
  <si>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</si>
  <si>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</si>
  <si>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</si>
  <si>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</si>
  <si>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</si>
  <si>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</si>
  <si>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</si>
  <si>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</si>
  <si>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</si>
  <si>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</si>
  <si>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</si>
  <si>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</si>
  <si>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</si>
  <si>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</si>
  <si>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</si>
  <si>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</si>
  <si>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</si>
  <si>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</si>
  <si>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</si>
  <si>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</si>
  <si>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</si>
  <si>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</si>
  <si>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</si>
  <si>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</si>
  <si>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</si>
  <si>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</si>
  <si>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</si>
  <si>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</si>
  <si>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</si>
  <si>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</si>
  <si>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</si>
  <si>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</si>
  <si>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</si>
  <si>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</si>
  <si>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</si>
  <si>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</si>
  <si>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</si>
  <si>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</si>
  <si>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</si>
  <si>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</si>
  <si>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</si>
  <si>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</si>
  <si>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</si>
  <si>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</si>
  <si>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</si>
  <si>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</si>
  <si>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</si>
  <si>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</si>
  <si>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</si>
  <si>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</si>
  <si>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</si>
  <si>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</si>
  <si>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</si>
  <si>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</si>
  <si>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</si>
  <si>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</si>
  <si>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</si>
  <si>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</si>
  <si>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</si>
  <si>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</si>
  <si>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</si>
  <si>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</si>
  <si>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</si>
  <si>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</si>
  <si>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</si>
  <si>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</si>
  <si>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</si>
  <si>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</si>
  <si>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</si>
  <si>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</si>
  <si>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</si>
  <si>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</si>
  <si>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</si>
  <si>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</si>
  <si>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</si>
  <si>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</si>
  <si>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</si>
  <si>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</si>
  <si>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</si>
  <si>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</si>
  <si>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</si>
  <si>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</si>
  <si>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</si>
  <si>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</si>
  <si>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</si>
  <si>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</si>
  <si>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</si>
  <si>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</si>
  <si>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</si>
  <si>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</si>
  <si>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</si>
  <si>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</si>
  <si>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</si>
  <si>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</si>
  <si>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</si>
  <si>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</si>
  <si>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</si>
  <si>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</si>
  <si>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</si>
  <si>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</si>
  <si>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</si>
  <si>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</si>
  <si>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</si>
  <si>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</si>
  <si>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</si>
  <si>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</si>
  <si>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</si>
  <si>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</si>
  <si>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</si>
  <si>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</si>
  <si>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</si>
  <si>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</si>
  <si>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</si>
  <si>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</si>
  <si>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</si>
  <si>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</si>
  <si>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</si>
  <si>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</si>
  <si>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</si>
  <si>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</si>
  <si>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</si>
  <si>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</si>
  <si>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</si>
  <si>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</si>
  <si>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</si>
  <si>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</si>
  <si>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</si>
  <si>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</si>
  <si>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</si>
  <si>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</si>
  <si>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</si>
  <si>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</si>
  <si>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</si>
  <si>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</si>
  <si>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</si>
  <si>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</si>
  <si>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</si>
  <si>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</si>
  <si>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</si>
  <si>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</si>
  <si>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</si>
  <si>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</si>
  <si>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</si>
  <si>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</si>
  <si>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</si>
  <si>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</si>
  <si>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</si>
  <si>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</si>
  <si>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</si>
  <si>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</si>
  <si>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</si>
  <si>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</si>
  <si>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</si>
  <si>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</si>
  <si>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</si>
  <si>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</si>
  <si>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</si>
  <si>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</si>
  <si>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</si>
  <si>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</si>
  <si>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</si>
  <si>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</si>
  <si>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</si>
  <si>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</si>
  <si>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</si>
  <si>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</si>
  <si>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</si>
  <si>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</si>
  <si>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</si>
  <si>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</si>
  <si>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</si>
  <si>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</si>
  <si>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</si>
  <si>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</si>
  <si>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</si>
  <si>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</si>
  <si>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</si>
  <si>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</si>
  <si>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</si>
  <si>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</si>
  <si>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</si>
  <si>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</si>
  <si>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</si>
  <si>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</si>
  <si>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</si>
  <si>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</si>
  <si>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</si>
  <si>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</si>
  <si>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</si>
  <si>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</si>
  <si>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</si>
  <si>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</si>
  <si>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</si>
  <si>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</si>
  <si>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</si>
  <si>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</si>
  <si>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</si>
  <si>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</si>
  <si>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</si>
  <si>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</si>
  <si>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</si>
  <si>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</si>
  <si>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</si>
  <si>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</si>
  <si>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</si>
  <si>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</si>
  <si>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</si>
  <si>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</si>
  <si>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</si>
  <si>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</si>
  <si>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</si>
  <si>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</si>
  <si>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</si>
  <si>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</si>
  <si>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</si>
  <si>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</si>
  <si>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</si>
  <si>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</si>
  <si>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</si>
  <si>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</si>
  <si>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</si>
  <si>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</si>
  <si>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</si>
  <si>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</si>
  <si>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</si>
  <si>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</si>
  <si>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</si>
  <si>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</si>
  <si>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</si>
  <si>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</si>
  <si>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</si>
  <si>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</si>
  <si>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</si>
  <si>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</si>
  <si>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</si>
  <si>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</si>
  <si>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</si>
  <si>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</si>
  <si>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</si>
  <si>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</si>
  <si>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</si>
  <si>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</si>
  <si>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</si>
  <si>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</si>
  <si>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</si>
  <si>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</si>
  <si>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</si>
  <si>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</si>
  <si>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</si>
  <si>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</si>
  <si>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</si>
  <si>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</si>
  <si>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</si>
  <si>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</si>
  <si>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</si>
  <si>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</si>
  <si>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</si>
  <si>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</si>
  <si>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</si>
  <si>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</si>
  <si>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</si>
  <si>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</si>
  <si>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</si>
  <si>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</si>
  <si>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</si>
  <si>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</si>
  <si>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</si>
  <si>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</si>
  <si>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</si>
  <si>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</si>
  <si>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</si>
  <si>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</si>
  <si>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</si>
  <si>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</si>
  <si>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</si>
  <si>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</si>
  <si>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</si>
  <si>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</si>
  <si>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</si>
  <si>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</si>
  <si>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</si>
  <si>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</si>
  <si>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</si>
  <si>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</si>
  <si>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</si>
  <si>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</si>
  <si>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</si>
  <si>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</si>
  <si>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</si>
  <si>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</si>
  <si>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</si>
  <si>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</si>
  <si>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</si>
  <si>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</si>
  <si>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</si>
  <si>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</si>
  <si>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</si>
  <si>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</si>
  <si>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</si>
  <si>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</si>
  <si>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</si>
  <si>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</si>
  <si>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</si>
  <si>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</si>
  <si>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</si>
  <si>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</si>
  <si>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</si>
  <si>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</si>
  <si>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</si>
  <si>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</si>
  <si>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</si>
  <si>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</si>
  <si>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</si>
  <si>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</si>
  <si>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</si>
  <si>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</si>
  <si>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</si>
  <si>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</si>
  <si>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</si>
  <si>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</si>
  <si>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</si>
  <si>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</si>
  <si>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</si>
  <si>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</si>
  <si>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</si>
  <si>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</si>
  <si>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</si>
  <si>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</si>
  <si>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</si>
  <si>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</si>
  <si>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</si>
  <si>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</si>
  <si>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</si>
  <si>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</si>
  <si>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</si>
  <si>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</si>
  <si>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</si>
  <si>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</si>
  <si>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</si>
  <si>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</si>
  <si>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</si>
  <si>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</si>
  <si>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</si>
  <si>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</si>
  <si>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</si>
  <si>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</si>
  <si>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</si>
  <si>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</si>
  <si>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</si>
  <si>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</si>
  <si>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</si>
  <si>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</si>
  <si>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</si>
  <si>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</si>
  <si>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</si>
  <si>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</si>
  <si>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</si>
  <si>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</si>
  <si>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</si>
  <si>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</si>
  <si>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</si>
  <si>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</si>
  <si>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</si>
  <si>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</si>
  <si>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</si>
  <si>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</si>
  <si>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</si>
  <si>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</si>
  <si>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</si>
  <si>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</si>
  <si>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</si>
  <si>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</si>
  <si>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</si>
  <si>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</si>
  <si>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</si>
  <si>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</si>
  <si>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</si>
  <si>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</si>
  <si>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</si>
  <si>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</si>
  <si>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</si>
  <si>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</si>
  <si>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</si>
  <si>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</si>
  <si>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</si>
  <si>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</si>
  <si>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</si>
  <si>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</si>
  <si>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</si>
  <si>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</si>
  <si>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</si>
  <si>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</si>
  <si>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</si>
  <si>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</si>
  <si>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</si>
  <si>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</si>
  <si>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</si>
  <si>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</si>
  <si>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</si>
  <si>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</si>
  <si>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</si>
  <si>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</si>
  <si>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</si>
  <si>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</si>
  <si>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</si>
  <si>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</si>
  <si>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</si>
  <si>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</si>
  <si>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</si>
  <si>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</si>
  <si>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</si>
  <si>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</si>
  <si>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</si>
  <si>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</si>
  <si>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</si>
  <si>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</si>
  <si>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</si>
  <si>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</si>
  <si>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</si>
  <si>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</si>
  <si>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</si>
  <si>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</si>
  <si>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</si>
  <si>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</si>
  <si>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</si>
  <si>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</si>
  <si>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</si>
  <si>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</si>
  <si>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</si>
  <si>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</si>
  <si>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</si>
  <si>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</si>
  <si>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</si>
  <si>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</si>
  <si>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</si>
  <si>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</si>
  <si>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</si>
  <si>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</si>
  <si>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</si>
  <si>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</si>
  <si>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</si>
  <si>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</si>
  <si>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</si>
  <si>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</si>
  <si>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</si>
  <si>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</si>
  <si>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</si>
  <si>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</si>
  <si>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</si>
  <si>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</si>
  <si>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</si>
  <si>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</si>
  <si>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</si>
  <si>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</si>
  <si>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</si>
  <si>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</si>
  <si>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</si>
  <si>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</si>
  <si>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</si>
  <si>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</si>
  <si>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</si>
  <si>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</si>
  <si>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</si>
  <si>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</si>
  <si>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</si>
  <si>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</si>
  <si>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</si>
  <si>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</si>
  <si>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</si>
  <si>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</si>
  <si>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</si>
  <si>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</si>
  <si>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</si>
  <si>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</si>
  <si>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</si>
  <si>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</si>
  <si>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</si>
  <si>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</si>
  <si>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</si>
  <si>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</si>
  <si>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</si>
  <si>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</si>
  <si>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</si>
  <si>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</si>
  <si>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</si>
  <si>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</si>
  <si>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</si>
  <si>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</si>
  <si>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</si>
  <si>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</si>
  <si>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</si>
  <si>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</si>
  <si>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</si>
  <si>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</si>
  <si>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</si>
  <si>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</si>
  <si>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</si>
  <si>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</si>
  <si>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</si>
  <si>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</si>
  <si>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</si>
  <si>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</si>
  <si>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</si>
  <si>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</si>
  <si>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</si>
  <si>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</si>
  <si>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</si>
  <si>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</si>
  <si>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</si>
  <si>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</si>
  <si>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</si>
  <si>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</si>
  <si>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</si>
  <si>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</si>
  <si>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</si>
  <si>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</si>
  <si>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</si>
  <si>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</si>
  <si>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</si>
  <si>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</si>
  <si>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</si>
  <si>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</si>
  <si>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</si>
  <si>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</si>
  <si>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</si>
  <si>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</si>
  <si>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</si>
  <si>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</si>
  <si>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</si>
  <si>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</si>
  <si>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</si>
  <si>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</si>
  <si>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</si>
  <si>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</si>
  <si>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</si>
  <si>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</si>
  <si>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</si>
  <si>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</si>
  <si>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</si>
  <si>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</si>
  <si>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</si>
  <si>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</si>
  <si>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</si>
  <si>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</si>
  <si>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</si>
  <si>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</si>
  <si>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</si>
  <si>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</si>
  <si>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</si>
  <si>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</si>
  <si>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</si>
  <si>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</si>
  <si>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</si>
  <si>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</si>
  <si>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</si>
  <si>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</si>
  <si>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</si>
  <si>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</si>
  <si>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</si>
  <si>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</si>
  <si>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</si>
  <si>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</si>
  <si>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</si>
  <si>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</si>
  <si>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</si>
  <si>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</si>
  <si>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</si>
  <si>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</si>
  <si>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</si>
  <si>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</si>
  <si>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</si>
  <si>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</si>
  <si>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</si>
  <si>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</si>
  <si>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</si>
  <si>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</si>
  <si>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</si>
  <si>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</si>
  <si>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</si>
  <si>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</si>
  <si>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</si>
  <si>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</si>
  <si>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</si>
  <si>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</si>
  <si>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</si>
  <si>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</si>
  <si>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</si>
  <si>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</si>
  <si>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</si>
  <si>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</si>
  <si>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</si>
  <si>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</si>
  <si>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</si>
  <si>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</si>
  <si>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</si>
  <si>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</si>
  <si>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</si>
  <si>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</si>
  <si>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</si>
  <si>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</si>
  <si>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</si>
  <si>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</si>
  <si>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</si>
  <si>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</si>
  <si>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</si>
  <si>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</si>
  <si>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</si>
  <si>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</si>
  <si>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</si>
  <si>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</si>
  <si>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</si>
  <si>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</si>
  <si>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</si>
  <si>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</si>
  <si>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</si>
  <si>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</si>
  <si>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</si>
  <si>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</si>
  <si>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</si>
  <si>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</si>
  <si>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</si>
  <si>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</si>
  <si>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</si>
  <si>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</si>
  <si>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</si>
  <si>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</si>
  <si>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</si>
  <si>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</si>
  <si>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</si>
  <si>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</si>
  <si>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</si>
  <si>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</si>
  <si>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</si>
  <si>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</si>
  <si>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</si>
  <si>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</si>
  <si>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</si>
  <si>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</si>
  <si>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</si>
  <si>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</si>
  <si>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</si>
  <si>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</si>
  <si>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</si>
  <si>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</si>
  <si>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</si>
  <si>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</si>
  <si>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</si>
  <si>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</si>
  <si>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</si>
  <si>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</si>
  <si>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</si>
  <si>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</si>
  <si>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</si>
  <si>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</si>
  <si>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</si>
  <si>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</si>
  <si>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</si>
  <si>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</si>
  <si>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</si>
  <si>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</si>
  <si>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</si>
  <si>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</si>
  <si>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</si>
  <si>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</si>
  <si>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</si>
  <si>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</si>
  <si>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</si>
  <si>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</si>
  <si>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</si>
  <si>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</si>
  <si>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</si>
  <si>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</si>
  <si>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</si>
  <si>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</si>
  <si>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</si>
  <si>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</si>
  <si>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</si>
  <si>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</si>
  <si>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</si>
  <si>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</si>
  <si>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</si>
  <si>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</si>
  <si>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</si>
  <si>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</si>
  <si>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</si>
  <si>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</si>
  <si>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</si>
  <si>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</si>
  <si>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</si>
  <si>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</si>
  <si>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</si>
  <si>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</si>
  <si>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</si>
  <si>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</si>
  <si>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</si>
  <si>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</si>
  <si>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</si>
  <si>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</si>
  <si>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</si>
  <si>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</si>
  <si>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</si>
  <si>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</si>
  <si>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</si>
  <si>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</si>
  <si>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</si>
  <si>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</si>
  <si>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</si>
  <si>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</si>
  <si>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</si>
  <si>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</si>
  <si>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</si>
  <si>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</si>
  <si>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</si>
  <si>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</si>
  <si>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</si>
  <si>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</si>
  <si>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</si>
  <si>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</si>
  <si>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</si>
  <si>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</si>
  <si>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</si>
  <si>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</si>
  <si>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</si>
  <si>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</si>
  <si>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</si>
  <si>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</si>
  <si>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</si>
  <si>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</si>
  <si>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</si>
  <si>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</si>
  <si>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</si>
  <si>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</si>
  <si>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</si>
  <si>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</si>
  <si>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</si>
  <si>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</si>
  <si>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</si>
  <si>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</si>
  <si>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</si>
  <si>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</si>
  <si>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</si>
  <si>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</si>
  <si>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</si>
  <si>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</si>
  <si>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</si>
  <si>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</si>
  <si>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</si>
  <si>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</si>
  <si>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</si>
  <si>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</si>
  <si>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</si>
  <si>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</si>
  <si>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</si>
  <si>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</si>
  <si>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</si>
  <si>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</si>
  <si>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</si>
  <si>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</si>
  <si>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</si>
  <si>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</si>
  <si>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</si>
  <si>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</si>
  <si>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</si>
  <si>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</si>
  <si>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</si>
  <si>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</si>
  <si>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</si>
  <si>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</si>
  <si>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</si>
  <si>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</si>
  <si>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</si>
  <si>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</si>
  <si>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</si>
  <si>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</si>
  <si>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</si>
  <si>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</si>
  <si>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</si>
  <si>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</si>
  <si>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</si>
  <si>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</si>
  <si>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</si>
  <si>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</si>
  <si>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</si>
  <si>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</si>
  <si>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</si>
  <si>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</si>
  <si>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</si>
  <si>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</si>
  <si>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</si>
  <si>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</si>
  <si>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</si>
  <si>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</si>
  <si>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</si>
  <si>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</si>
  <si>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</si>
  <si>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</si>
  <si>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</si>
  <si>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</si>
  <si>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</si>
  <si>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</si>
  <si>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</si>
  <si>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</si>
  <si>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</si>
  <si>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</si>
  <si>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</si>
  <si>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</si>
  <si>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</si>
  <si>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</si>
  <si>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</si>
  <si>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</si>
  <si>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</si>
  <si>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</si>
  <si>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</si>
  <si>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</si>
  <si>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</si>
  <si>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</si>
  <si>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</si>
  <si>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</si>
  <si>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</si>
  <si>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</si>
  <si>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</si>
  <si>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</si>
  <si>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</si>
  <si>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</si>
  <si>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</si>
  <si>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</si>
  <si>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</si>
  <si>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</si>
  <si>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</si>
  <si>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</si>
  <si>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</si>
  <si>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</si>
  <si>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</si>
  <si>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</si>
  <si>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</si>
  <si>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</si>
  <si>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</si>
  <si>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</si>
  <si>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</si>
  <si>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</si>
  <si>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</si>
  <si>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</si>
  <si>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</si>
  <si>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</si>
  <si>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</si>
  <si>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</si>
  <si>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</si>
  <si>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</si>
  <si>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</si>
  <si>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</si>
  <si>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</si>
  <si>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</si>
  <si>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</si>
  <si>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</si>
  <si>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</si>
  <si>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</si>
  <si>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</si>
  <si>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</si>
  <si>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</si>
  <si>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</si>
  <si>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</si>
  <si>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</si>
  <si>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</si>
  <si>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</si>
  <si>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</si>
  <si>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</si>
  <si>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</si>
  <si>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</si>
  <si>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</si>
  <si>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</si>
  <si>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</si>
  <si>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</si>
  <si>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</si>
  <si>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</si>
  <si>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</si>
  <si>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</si>
  <si>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</si>
  <si>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</si>
  <si>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</si>
  <si>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</si>
  <si>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</si>
  <si>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</si>
  <si>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</si>
  <si>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</si>
  <si>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</si>
  <si>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</si>
  <si>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</si>
  <si>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</si>
  <si>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</si>
  <si>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</si>
  <si>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</si>
  <si>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</si>
  <si>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</si>
  <si>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</si>
  <si>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</si>
  <si>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</si>
  <si>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</si>
  <si>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</si>
  <si>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</si>
  <si>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</si>
  <si>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</si>
  <si>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</si>
  <si>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</si>
  <si>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</si>
  <si>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</si>
  <si>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</si>
  <si>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</si>
  <si>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</si>
  <si>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</si>
  <si>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</si>
  <si>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</si>
  <si>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</si>
  <si>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</si>
  <si>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</si>
  <si>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</si>
  <si>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</si>
  <si>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</si>
  <si>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</si>
  <si>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</si>
  <si>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</si>
  <si>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</si>
  <si>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</si>
  <si>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</si>
  <si>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</si>
  <si>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</si>
  <si>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</si>
  <si>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</si>
  <si>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</si>
  <si>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</si>
  <si>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</si>
  <si>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</si>
  <si>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</si>
  <si>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</si>
  <si>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</si>
  <si>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</si>
  <si>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</si>
  <si>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</si>
  <si>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</si>
  <si>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</si>
  <si>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</si>
  <si>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</si>
  <si>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</si>
  <si>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</si>
  <si>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</si>
  <si>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</si>
  <si>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</si>
  <si>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</si>
  <si>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</si>
  <si>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</si>
  <si>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</si>
  <si>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</si>
  <si>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</si>
  <si>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</si>
  <si>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</si>
  <si>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</si>
  <si>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</si>
  <si>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</si>
  <si>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</si>
  <si>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</si>
  <si>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</si>
  <si>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</si>
  <si>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</si>
  <si>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</si>
  <si>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</si>
  <si>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</si>
  <si>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</si>
  <si>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</si>
  <si>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</si>
  <si>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</si>
  <si>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</si>
  <si>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</si>
  <si>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</si>
  <si>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</si>
  <si>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</si>
  <si>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</si>
  <si>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</si>
  <si>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</si>
  <si>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</si>
  <si>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</si>
  <si>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</si>
  <si>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</si>
  <si>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</si>
  <si>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</si>
  <si>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</si>
  <si>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</si>
  <si>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</si>
  <si>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</si>
  <si>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</si>
  <si>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</si>
  <si>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</si>
  <si>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</si>
  <si>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</si>
  <si>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</si>
  <si>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</si>
  <si>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</si>
  <si>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</si>
  <si>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</si>
  <si>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</si>
  <si>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</si>
  <si>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</si>
  <si>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</si>
  <si>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</si>
  <si>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</si>
  <si>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</si>
  <si>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</si>
  <si>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</si>
  <si>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</si>
  <si>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</si>
  <si>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</si>
  <si>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</si>
  <si>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</si>
  <si>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</si>
  <si>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</si>
  <si>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</si>
  <si>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</si>
  <si>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</si>
  <si>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</si>
  <si>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</si>
  <si>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</si>
  <si>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</si>
  <si>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</si>
  <si>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</si>
  <si>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</si>
  <si>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</si>
  <si>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</si>
  <si>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</si>
  <si>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</si>
  <si>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</si>
  <si>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</si>
  <si>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</si>
  <si>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</si>
  <si>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</si>
  <si>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</si>
  <si>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</si>
  <si>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</si>
  <si>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</si>
  <si>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</si>
  <si>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</si>
  <si>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</si>
  <si>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</si>
  <si>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</si>
  <si>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</si>
  <si>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</si>
  <si>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</si>
  <si>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</si>
  <si>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</si>
  <si>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</si>
  <si>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</si>
  <si>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</si>
  <si>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</si>
  <si>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</si>
  <si>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</si>
  <si>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</si>
  <si>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</si>
  <si>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</si>
  <si>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</si>
  <si>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</si>
  <si>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</si>
  <si>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</si>
  <si>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</si>
  <si>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</si>
  <si>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</si>
  <si>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</si>
  <si>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</si>
  <si>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</si>
  <si>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</si>
  <si>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</si>
  <si>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</si>
  <si>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</si>
  <si>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</si>
  <si>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</si>
  <si>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</si>
  <si>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</si>
  <si>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</si>
  <si>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</si>
  <si>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</si>
  <si>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</si>
  <si>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</si>
  <si>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</si>
  <si>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</si>
  <si>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</si>
  <si>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</si>
  <si>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</si>
  <si>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</si>
  <si>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</si>
  <si>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</si>
  <si>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</si>
  <si>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</si>
  <si>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</si>
  <si>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</si>
  <si>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</si>
  <si>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</si>
  <si>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</si>
  <si>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</si>
  <si>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</si>
  <si>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</si>
  <si>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</si>
  <si>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</si>
  <si>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</si>
  <si>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</si>
  <si>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</si>
  <si>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</si>
  <si>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</si>
  <si>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</si>
  <si>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</si>
  <si>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</si>
  <si>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</si>
  <si>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</si>
  <si>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</si>
  <si>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</si>
  <si>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</si>
  <si>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</si>
  <si>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</si>
  <si>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</si>
  <si>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</si>
  <si>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</si>
  <si>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</si>
  <si>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</si>
  <si>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</si>
  <si>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</si>
  <si>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</si>
  <si>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</si>
  <si>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</si>
  <si>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</si>
  <si>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</si>
  <si>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</si>
  <si>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</si>
  <si>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</si>
  <si>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</si>
  <si>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</si>
  <si>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</si>
  <si>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</si>
  <si>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</si>
  <si>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</si>
  <si>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</si>
  <si>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</si>
  <si>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</si>
  <si>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</si>
  <si>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</si>
  <si>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</si>
  <si>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</si>
  <si>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</si>
  <si>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</si>
  <si>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</si>
  <si>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</si>
  <si>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</si>
  <si>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</si>
  <si>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</si>
  <si>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</si>
  <si>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</si>
  <si>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</si>
  <si>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</si>
  <si>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</si>
  <si>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</si>
  <si>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</si>
  <si>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</si>
  <si>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</si>
  <si>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</si>
  <si>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</si>
  <si>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</si>
  <si>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</si>
  <si>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</si>
  <si>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</si>
  <si>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</si>
  <si>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</si>
  <si>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</si>
  <si>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</si>
  <si>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</si>
  <si>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</si>
  <si>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</si>
  <si>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</si>
  <si>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</si>
  <si>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</si>
  <si>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</si>
  <si>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</si>
  <si>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</si>
  <si>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</si>
  <si>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</si>
  <si>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</si>
  <si>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</si>
  <si>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</si>
  <si>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</si>
  <si>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</si>
  <si>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</si>
  <si>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</si>
  <si>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</si>
  <si>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</si>
  <si>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</si>
  <si>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</si>
  <si>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</si>
  <si>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</si>
  <si>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</si>
  <si>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</si>
  <si>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</si>
  <si>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</si>
  <si>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</si>
  <si>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</si>
  <si>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</si>
  <si>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</si>
  <si>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</si>
  <si>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</si>
  <si>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</si>
  <si>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</si>
  <si>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</si>
  <si>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</si>
  <si>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</si>
  <si>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</si>
  <si>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</si>
  <si>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</si>
  <si>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</si>
  <si>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</si>
  <si>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</si>
  <si>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</si>
  <si>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</si>
  <si>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</si>
  <si>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</si>
  <si>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</si>
  <si>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</si>
  <si>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</si>
  <si>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</si>
  <si>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</si>
  <si>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</si>
  <si>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</si>
  <si>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</si>
  <si>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</si>
  <si>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</si>
  <si>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</si>
  <si>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</si>
  <si>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</si>
  <si>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</si>
  <si>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</si>
  <si>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</si>
  <si>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</si>
  <si>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</si>
  <si>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</si>
  <si>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</si>
  <si>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</si>
  <si>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</si>
  <si>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</si>
  <si>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</si>
  <si>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</si>
  <si>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</si>
  <si>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</si>
  <si>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</si>
  <si>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</si>
  <si>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</si>
  <si>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</si>
  <si>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</si>
  <si>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</si>
  <si>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</si>
  <si>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</si>
  <si>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</si>
  <si>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</si>
  <si>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</si>
  <si>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</si>
  <si>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</si>
  <si>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</si>
  <si>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</si>
  <si>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</si>
  <si>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</si>
  <si>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</si>
  <si>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</si>
  <si>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</si>
  <si>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</si>
  <si>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</si>
  <si>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</si>
  <si>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</si>
  <si>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</si>
  <si>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</si>
  <si>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</si>
  <si>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</si>
  <si>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</si>
  <si>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</si>
  <si>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</si>
  <si>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</si>
  <si>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</si>
  <si>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</si>
  <si>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</si>
  <si>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</si>
  <si>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</si>
  <si>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</si>
  <si>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</si>
  <si>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</si>
  <si>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</si>
  <si>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</si>
  <si>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</si>
  <si>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</si>
  <si>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</si>
  <si>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</si>
  <si>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</si>
  <si>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</si>
  <si>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</si>
  <si>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</si>
  <si>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</si>
  <si>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</si>
  <si>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</si>
  <si>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</si>
  <si>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</si>
  <si>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</si>
  <si>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</si>
  <si>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</si>
  <si>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</si>
  <si>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</si>
  <si>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</si>
  <si>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</si>
  <si>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</si>
  <si>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</si>
  <si>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</si>
  <si>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</si>
  <si>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</si>
  <si>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</si>
  <si>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</si>
  <si>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</si>
  <si>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</si>
  <si>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</si>
  <si>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</si>
  <si>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</si>
  <si>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</si>
  <si>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</si>
  <si>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</si>
  <si>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</si>
  <si>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</si>
  <si>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</si>
  <si>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</si>
  <si>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</si>
  <si>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</si>
  <si>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</si>
  <si>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</si>
  <si>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</si>
  <si>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</si>
  <si>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</si>
  <si>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</si>
  <si>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</si>
  <si>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</si>
  <si>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</si>
  <si>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</si>
  <si>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</si>
  <si>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</si>
  <si>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</si>
  <si>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</si>
  <si>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</si>
  <si>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</si>
  <si>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</si>
  <si>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</si>
  <si>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</si>
  <si>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</si>
  <si>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</si>
  <si>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</si>
  <si>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</si>
  <si>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</si>
  <si>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</si>
  <si>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</si>
  <si>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</si>
  <si>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</si>
  <si>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</si>
  <si>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</si>
  <si>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</si>
  <si>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</si>
  <si>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</si>
  <si>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</si>
  <si>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</si>
  <si>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</si>
  <si>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</si>
  <si>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</si>
  <si>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</si>
  <si>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</si>
  <si>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</si>
  <si>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</si>
  <si>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</si>
  <si>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</si>
  <si>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</si>
  <si>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</si>
  <si>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</si>
  <si>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</si>
  <si>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</si>
  <si>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</si>
  <si>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</si>
  <si>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</si>
  <si>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</si>
  <si>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</si>
  <si>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</si>
  <si>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</si>
  <si>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</si>
  <si>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</si>
  <si>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</si>
  <si>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</si>
  <si>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</si>
  <si>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</si>
  <si>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</si>
  <si>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</si>
  <si>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</si>
  <si>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</si>
  <si>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</si>
  <si>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</si>
  <si>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</si>
  <si>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</si>
  <si>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</si>
  <si>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</si>
  <si>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</si>
  <si>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</si>
  <si>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</si>
  <si>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</si>
  <si>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</si>
  <si>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</si>
  <si>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</si>
  <si>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</si>
  <si>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</si>
  <si>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</si>
  <si>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</si>
  <si>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</si>
  <si>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</si>
  <si>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</si>
  <si>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</si>
  <si>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</si>
  <si>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</si>
  <si>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</si>
  <si>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</si>
  <si>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</si>
  <si>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</si>
  <si>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</si>
  <si>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</si>
  <si>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</si>
  <si>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</si>
  <si>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</si>
  <si>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</si>
  <si>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</si>
  <si>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</si>
  <si>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</si>
  <si>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</si>
  <si>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</si>
  <si>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</si>
  <si>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</si>
  <si>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</si>
  <si>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</si>
  <si>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</si>
  <si>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</si>
  <si>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</si>
  <si>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</si>
  <si>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</si>
  <si>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</si>
  <si>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</si>
  <si>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</si>
  <si>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</si>
  <si>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</si>
  <si>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</si>
  <si>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</si>
  <si>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</si>
  <si>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</si>
  <si>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</si>
  <si>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</si>
  <si>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</si>
  <si>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</si>
  <si>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</si>
  <si>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</si>
  <si>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</si>
  <si>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</si>
  <si>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</si>
  <si>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</si>
  <si>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</si>
  <si>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</si>
  <si>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</si>
  <si>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</si>
  <si>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</si>
  <si>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</si>
  <si>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</si>
  <si>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</si>
  <si>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</si>
  <si>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</si>
  <si>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</si>
  <si>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</si>
  <si>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</si>
  <si>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</si>
  <si>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</si>
  <si>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</si>
  <si>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</si>
  <si>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</si>
  <si>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</si>
  <si>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</si>
  <si>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</si>
  <si>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</si>
  <si>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</si>
  <si>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</si>
  <si>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</si>
  <si>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</si>
  <si>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</si>
  <si>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</si>
  <si>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</si>
  <si>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</si>
  <si>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</si>
  <si>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</si>
  <si>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</si>
  <si>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</si>
  <si>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</si>
  <si>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</si>
  <si>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</si>
  <si>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</si>
  <si>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</si>
  <si>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</si>
  <si>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</si>
  <si>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</si>
  <si>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</si>
  <si>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</si>
  <si>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</si>
  <si>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</si>
  <si>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</si>
  <si>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</si>
  <si>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</si>
  <si>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</si>
  <si>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</si>
  <si>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</si>
  <si>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</si>
  <si>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</si>
  <si>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</si>
  <si>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</si>
  <si>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</si>
  <si>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</si>
  <si>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</si>
  <si>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</si>
  <si>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</si>
  <si>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</si>
  <si>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</si>
  <si>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</si>
  <si>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</si>
  <si>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</si>
  <si>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</si>
  <si>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</si>
  <si>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</si>
  <si>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</si>
  <si>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</si>
  <si>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</si>
  <si>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</si>
  <si>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</si>
  <si>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</si>
  <si>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</si>
  <si>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</si>
  <si>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</si>
  <si>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</si>
  <si>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</si>
  <si>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</si>
  <si>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</si>
  <si>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</si>
  <si>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</si>
  <si>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</si>
  <si>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</si>
  <si>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</si>
  <si>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</si>
  <si>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</si>
  <si>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</si>
  <si>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</si>
  <si>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</si>
  <si>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</si>
  <si>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</si>
  <si>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</si>
  <si>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</si>
  <si>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</si>
  <si>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</si>
  <si>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</si>
  <si>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</si>
  <si>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</si>
  <si>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</si>
  <si>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</si>
  <si>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</si>
  <si>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</si>
  <si>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</si>
  <si>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</si>
  <si>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</si>
  <si>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</si>
  <si>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</si>
  <si>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</si>
  <si>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</si>
  <si>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</si>
  <si>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</si>
  <si>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</si>
  <si>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</si>
  <si>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</si>
  <si>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</si>
  <si>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</si>
  <si>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</si>
  <si>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</si>
  <si>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</si>
  <si>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</si>
  <si>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</si>
  <si>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</si>
  <si>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</si>
  <si>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</si>
  <si>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</si>
  <si>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</si>
  <si>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</si>
  <si>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</si>
  <si>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</si>
  <si>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</si>
  <si>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</si>
  <si>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</si>
  <si>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</si>
  <si>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</si>
  <si>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</si>
  <si>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</si>
  <si>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</si>
  <si>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</si>
  <si>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</si>
  <si>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</si>
  <si>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</si>
  <si>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</si>
  <si>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</si>
  <si>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</si>
  <si>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</si>
  <si>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</si>
  <si>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</si>
  <si>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</si>
  <si>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</si>
  <si>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</si>
  <si>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</si>
  <si>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</si>
  <si>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</si>
  <si>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</si>
  <si>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</si>
  <si>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</si>
  <si>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</si>
  <si>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</si>
  <si>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</si>
  <si>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</si>
  <si>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</si>
  <si>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</si>
  <si>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</si>
  <si>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</si>
  <si>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</si>
  <si>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</si>
  <si>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</si>
  <si>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</si>
  <si>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</si>
  <si>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</si>
  <si>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</si>
  <si>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</si>
  <si>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</si>
  <si>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</si>
  <si>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</si>
  <si>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</si>
  <si>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</si>
  <si>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</si>
  <si>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</si>
  <si>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</si>
  <si>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</si>
  <si>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</si>
  <si>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</si>
  <si>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</si>
  <si>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</si>
  <si>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</si>
  <si>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</si>
  <si>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</si>
  <si>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</si>
  <si>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</si>
  <si>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</si>
  <si>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</si>
  <si>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</si>
  <si>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</si>
  <si>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</si>
  <si>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</si>
  <si>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</si>
  <si>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</si>
  <si>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</si>
  <si>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</si>
  <si>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</si>
  <si>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</si>
  <si>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</si>
  <si>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</si>
  <si>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</si>
  <si>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</si>
  <si>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</si>
  <si>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</si>
  <si>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</si>
  <si>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</si>
  <si>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</si>
  <si>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</si>
  <si>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</si>
  <si>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</si>
  <si>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</si>
  <si>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</si>
  <si>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</si>
  <si>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</si>
  <si>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</si>
  <si>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</si>
  <si>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</si>
  <si>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</si>
  <si>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</si>
  <si>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</si>
  <si>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</si>
  <si>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</si>
  <si>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</si>
  <si>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</si>
  <si>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</si>
  <si>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</si>
  <si>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</si>
  <si>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</si>
  <si>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</si>
  <si>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</si>
  <si>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</si>
  <si>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</si>
  <si>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</si>
  <si>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</si>
  <si>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</si>
  <si>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</si>
  <si>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</si>
  <si>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</si>
  <si>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</si>
  <si>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</si>
  <si>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</si>
  <si>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</si>
  <si>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</si>
  <si>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</si>
  <si>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</si>
  <si>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</si>
  <si>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</si>
  <si>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</si>
  <si>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</si>
  <si>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</si>
  <si>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</si>
  <si>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</si>
  <si>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</si>
  <si>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</si>
  <si>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</si>
  <si>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</si>
  <si>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</si>
  <si>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</si>
  <si>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</si>
  <si>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</si>
  <si>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</si>
  <si>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</si>
  <si>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</si>
  <si>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</si>
  <si>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</si>
  <si>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</si>
  <si>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</si>
  <si>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</si>
  <si>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</si>
  <si>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</si>
  <si>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</si>
  <si>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</si>
  <si>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</si>
  <si>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</si>
  <si>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</si>
  <si>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</si>
  <si>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</si>
  <si>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</si>
  <si>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</si>
  <si>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</si>
  <si>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</si>
  <si>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</si>
  <si>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</si>
  <si>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</si>
  <si>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</si>
  <si>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</si>
  <si>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</si>
  <si>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</si>
  <si>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</si>
  <si>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</si>
  <si>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</si>
  <si>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</si>
  <si>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</si>
  <si>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</si>
  <si>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</si>
  <si>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</si>
  <si>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</si>
  <si>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</si>
  <si>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</si>
  <si>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</si>
  <si>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</si>
  <si>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</si>
  <si>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</si>
  <si>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</si>
  <si>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</si>
  <si>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</si>
  <si>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</si>
  <si>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</si>
  <si>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</si>
  <si>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</si>
  <si>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</si>
  <si>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</si>
  <si>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</si>
  <si>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</si>
  <si>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</si>
  <si>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</si>
  <si>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</si>
  <si>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</si>
  <si>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</si>
  <si>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</si>
  <si>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</si>
  <si>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</si>
  <si>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</si>
  <si>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</si>
  <si>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</si>
  <si>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</si>
  <si>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</si>
  <si>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</si>
  <si>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</si>
  <si>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</si>
  <si>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</si>
  <si>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</si>
  <si>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</si>
  <si>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</si>
  <si>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</si>
  <si>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</si>
  <si>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</si>
  <si>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</si>
  <si>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</si>
  <si>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</si>
  <si>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</si>
  <si>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</si>
  <si>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</si>
  <si>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</si>
  <si>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</si>
  <si>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</si>
  <si>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</si>
  <si>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</si>
  <si>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</si>
  <si>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</si>
  <si>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</si>
  <si>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</si>
  <si>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</si>
  <si>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</si>
  <si>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</si>
  <si>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</si>
  <si>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</si>
  <si>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</si>
  <si>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</si>
  <si>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</si>
  <si>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</si>
  <si>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</si>
  <si>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</si>
  <si>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</si>
  <si>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</si>
  <si>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</si>
  <si>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</si>
  <si>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</si>
  <si>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</si>
  <si>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</si>
  <si>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</si>
  <si>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</si>
  <si>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</si>
  <si>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</si>
  <si>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</si>
  <si>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</si>
  <si>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</si>
  <si>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</si>
  <si>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</si>
  <si>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</si>
  <si>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</si>
  <si>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</si>
  <si>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</si>
  <si>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</si>
  <si>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</si>
  <si>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</si>
  <si>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</si>
  <si>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</si>
  <si>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</si>
  <si>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</si>
  <si>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</si>
  <si>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</si>
  <si>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</si>
  <si>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</si>
  <si>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</si>
  <si>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</si>
  <si>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</si>
  <si>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</si>
  <si>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</si>
  <si>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</si>
  <si>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</si>
  <si>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</si>
  <si>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</si>
  <si>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</si>
  <si>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</si>
  <si>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</si>
  <si>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</si>
  <si>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</si>
  <si>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</si>
  <si>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</si>
  <si>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</si>
  <si>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</si>
  <si>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</si>
  <si>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</si>
  <si>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</si>
  <si>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</si>
  <si>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</si>
  <si>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</si>
  <si>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</si>
  <si>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</si>
  <si>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</si>
  <si>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</si>
  <si>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</si>
  <si>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</si>
  <si>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</si>
  <si>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</si>
  <si>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</si>
  <si>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</si>
  <si>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</si>
  <si>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</si>
  <si>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</si>
  <si>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</si>
  <si>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</si>
  <si>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</si>
  <si>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</si>
  <si>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</si>
  <si>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</si>
  <si>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</si>
  <si>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</si>
  <si>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</si>
  <si>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</si>
  <si>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</si>
  <si>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</si>
  <si>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</si>
  <si>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</si>
  <si>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</si>
  <si>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</si>
  <si>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</si>
  <si>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</si>
  <si>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</si>
  <si>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</si>
  <si>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</si>
  <si>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</si>
  <si>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</si>
  <si>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</si>
  <si>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</si>
  <si>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</si>
  <si>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</si>
  <si>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</si>
  <si>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</si>
  <si>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</si>
  <si>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</si>
  <si>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</si>
  <si>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</si>
  <si>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</si>
  <si>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</si>
  <si>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</si>
  <si>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</si>
  <si>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</si>
  <si>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</si>
  <si>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</si>
  <si>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</si>
  <si>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</si>
  <si>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</si>
  <si>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</si>
  <si>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</si>
  <si>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</si>
  <si>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</si>
  <si>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</si>
  <si>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</si>
  <si>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</si>
  <si>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</si>
  <si>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</si>
  <si>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</si>
  <si>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</si>
  <si>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</si>
  <si>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</si>
  <si>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</si>
  <si>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</si>
  <si>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</si>
  <si>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</si>
  <si>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</si>
  <si>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</si>
  <si>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</si>
  <si>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</si>
  <si>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</si>
  <si>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</si>
  <si>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</si>
  <si>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</si>
  <si>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</si>
  <si>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</si>
  <si>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</si>
  <si>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</si>
  <si>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</si>
  <si>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</si>
  <si>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</si>
  <si>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</si>
  <si>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</si>
  <si>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</si>
  <si>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</si>
  <si>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</si>
  <si>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</si>
  <si>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</si>
  <si>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</si>
  <si>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</si>
  <si>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</si>
  <si>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</si>
  <si>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</si>
  <si>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</si>
  <si>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</si>
  <si>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</si>
  <si>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</si>
  <si>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</si>
  <si>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</si>
  <si>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</si>
  <si>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</si>
  <si>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</si>
  <si>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</si>
  <si>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</si>
  <si>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</si>
  <si>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</si>
  <si>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</si>
  <si>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</si>
  <si>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</si>
  <si>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</si>
  <si>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</si>
  <si>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</si>
  <si>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</si>
  <si>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</si>
  <si>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</si>
  <si>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</si>
  <si>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</si>
  <si>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</si>
  <si>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</si>
  <si>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</si>
  <si>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</si>
  <si>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</si>
  <si>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</si>
  <si>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</si>
  <si>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</si>
  <si>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</si>
  <si>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</si>
  <si>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</si>
  <si>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</si>
  <si>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</si>
  <si>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</si>
  <si>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</si>
  <si>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</si>
  <si>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</si>
  <si>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</si>
  <si>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</si>
  <si>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</si>
  <si>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</si>
  <si>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</si>
  <si>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</si>
  <si>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</si>
  <si>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</si>
  <si>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</si>
  <si>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</si>
  <si>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</si>
  <si>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</si>
  <si>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</si>
  <si>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</si>
  <si>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</si>
  <si>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</si>
  <si>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</si>
  <si>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</si>
  <si>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</si>
  <si>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</si>
  <si>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</si>
  <si>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</si>
  <si>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</si>
  <si>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</si>
  <si>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</si>
  <si>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</si>
  <si>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</si>
  <si>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</si>
  <si>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</si>
  <si>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</si>
  <si>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</si>
  <si>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</si>
  <si>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</si>
  <si>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</si>
  <si>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</si>
  <si>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</si>
  <si>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</si>
  <si>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</si>
  <si>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</si>
  <si>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</si>
  <si>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</si>
  <si>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</si>
  <si>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</si>
  <si>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</si>
  <si>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</si>
  <si>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</si>
  <si>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</si>
  <si>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</si>
  <si>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</si>
  <si>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</si>
  <si>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</si>
  <si>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</si>
  <si>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</si>
  <si>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</si>
  <si>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</si>
  <si>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</si>
  <si>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</si>
  <si>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</si>
  <si>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</si>
  <si>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</si>
  <si>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</si>
  <si>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</si>
  <si>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</si>
  <si>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</si>
  <si>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</si>
  <si>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</si>
  <si>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</si>
  <si>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</si>
  <si>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</si>
  <si>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</si>
  <si>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</si>
  <si>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</si>
  <si>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</si>
  <si>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</si>
  <si>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</si>
  <si>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</si>
  <si>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</si>
  <si>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</si>
  <si>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</si>
  <si>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</si>
  <si>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</si>
  <si>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</si>
  <si>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</si>
  <si>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</si>
  <si>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</si>
  <si>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</si>
  <si>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</si>
  <si>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</si>
  <si>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</si>
  <si>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</si>
  <si>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</si>
  <si>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</si>
  <si>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</si>
  <si>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</si>
  <si>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</si>
  <si>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</si>
  <si>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</si>
  <si>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</si>
  <si>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</si>
  <si>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</si>
  <si>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</si>
  <si>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</si>
  <si>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</si>
  <si>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</si>
  <si>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</si>
  <si>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</si>
  <si>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</si>
  <si>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</si>
  <si>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</si>
  <si>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</si>
  <si>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</si>
  <si>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</si>
  <si>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</si>
  <si>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</si>
  <si>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</si>
  <si>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</si>
  <si>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</si>
  <si>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</si>
  <si>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</si>
  <si>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</si>
  <si>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</si>
  <si>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</si>
  <si>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</si>
  <si>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</si>
  <si>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</si>
  <si>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</si>
  <si>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</si>
  <si>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</si>
  <si>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</si>
  <si>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</si>
  <si>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</si>
  <si>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</si>
  <si>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</si>
  <si>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</si>
  <si>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</si>
  <si>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</si>
  <si>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</si>
  <si>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</si>
  <si>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</si>
  <si>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</si>
  <si>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</si>
  <si>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</si>
  <si>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</si>
  <si>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</si>
  <si>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</si>
  <si>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</si>
  <si>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</si>
  <si>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</si>
  <si>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</si>
  <si>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</si>
  <si>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</si>
  <si>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</si>
  <si>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</si>
  <si>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</si>
  <si>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</si>
  <si>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</si>
  <si>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</si>
  <si>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</si>
  <si>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</si>
  <si>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</si>
  <si>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</si>
  <si>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</si>
  <si>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</si>
  <si>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</si>
  <si>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</si>
  <si>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</si>
  <si>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</si>
  <si>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</si>
  <si>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</si>
  <si>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</si>
  <si>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</si>
  <si>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</si>
  <si>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</si>
  <si>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</si>
  <si>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</si>
  <si>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</si>
  <si>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</si>
  <si>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</si>
  <si>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</si>
  <si>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</si>
  <si>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</si>
  <si>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</si>
  <si>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</si>
  <si>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</si>
  <si>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</si>
  <si>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</si>
  <si>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</si>
  <si>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</si>
  <si>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</si>
  <si>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</si>
  <si>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</si>
  <si>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</si>
  <si>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</si>
  <si>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</si>
  <si>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</si>
  <si>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</si>
  <si>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</si>
  <si>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</si>
  <si>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</si>
  <si>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</si>
  <si>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</si>
  <si>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</si>
  <si>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</si>
  <si>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</si>
  <si>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</si>
  <si>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</si>
  <si>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</si>
  <si>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</si>
  <si>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</si>
  <si>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</si>
  <si>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</si>
  <si>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</si>
  <si>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</si>
  <si>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</si>
  <si>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</si>
  <si>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</si>
  <si>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</si>
  <si>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</si>
  <si>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</si>
  <si>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</si>
  <si>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</si>
  <si>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</si>
  <si>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</si>
  <si>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</si>
  <si>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</si>
  <si>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</si>
  <si>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</si>
  <si>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</si>
  <si>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</si>
  <si>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</si>
  <si>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</si>
  <si>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</si>
  <si>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</si>
  <si>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</si>
  <si>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</si>
  <si>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</si>
  <si>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</si>
  <si>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</si>
  <si>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</si>
  <si>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</si>
  <si>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</si>
  <si>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</si>
  <si>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</si>
  <si>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</si>
  <si>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</si>
  <si>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</si>
  <si>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</si>
  <si>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</si>
  <si>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</si>
  <si>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</si>
  <si>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</si>
  <si>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</si>
  <si>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</si>
  <si>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</si>
  <si>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</si>
  <si>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</si>
  <si>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</si>
  <si>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</si>
  <si>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</si>
  <si>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</si>
  <si>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</si>
  <si>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</si>
  <si>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</si>
  <si>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</si>
  <si>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</si>
  <si>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</si>
  <si>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</si>
  <si>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</si>
  <si>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</si>
  <si>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</si>
  <si>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</si>
  <si>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</si>
  <si>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</si>
  <si>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</si>
  <si>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</si>
  <si>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</si>
  <si>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</si>
  <si>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</si>
  <si>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</si>
  <si>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</si>
  <si>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</si>
  <si>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</si>
  <si>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</si>
  <si>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</si>
  <si>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</si>
  <si>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</si>
  <si>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</si>
  <si>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</si>
  <si>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</si>
  <si>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</si>
  <si>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</si>
  <si>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</si>
  <si>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</si>
  <si>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</si>
  <si>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</si>
  <si>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</si>
  <si>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</si>
  <si>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</si>
  <si>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</si>
  <si>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</si>
  <si>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</si>
  <si>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</si>
  <si>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</si>
  <si>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</si>
  <si>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</si>
  <si>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</si>
  <si>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</si>
  <si>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</si>
  <si>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</si>
  <si>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</si>
  <si>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</si>
  <si>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</si>
  <si>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</si>
  <si>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</si>
  <si>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</si>
  <si>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</si>
  <si>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</si>
  <si>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</si>
  <si>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</si>
  <si>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</si>
  <si>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</si>
  <si>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</si>
  <si>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</si>
  <si>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</si>
  <si>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</si>
  <si>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</si>
  <si>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</si>
  <si>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</si>
  <si>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</si>
  <si>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</si>
  <si>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</si>
  <si>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</si>
  <si>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</si>
  <si>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</si>
  <si>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</si>
  <si>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</si>
  <si>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</si>
  <si>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</si>
  <si>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</si>
  <si>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</si>
  <si>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</si>
  <si>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</si>
  <si>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</si>
  <si>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</si>
  <si>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</si>
  <si>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</si>
  <si>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</si>
  <si>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</si>
  <si>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</si>
  <si>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</si>
  <si>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</si>
  <si>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</si>
  <si>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</si>
  <si>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</si>
  <si>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</si>
  <si>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</si>
  <si>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</si>
  <si>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</si>
  <si>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</si>
  <si>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</si>
  <si>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</si>
  <si>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</si>
  <si>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</si>
  <si>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</si>
  <si>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</si>
  <si>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</si>
  <si>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</si>
  <si>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</si>
  <si>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</si>
  <si>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</si>
  <si>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</si>
  <si>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</si>
  <si>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</si>
  <si>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</si>
  <si>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</si>
  <si>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</si>
  <si>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</si>
  <si>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</si>
  <si>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</si>
  <si>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</si>
  <si>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</si>
  <si>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</si>
  <si>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</si>
  <si>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</si>
  <si>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</si>
  <si>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</si>
  <si>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</si>
  <si>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</si>
  <si>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</si>
  <si>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</si>
  <si>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</si>
  <si>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</si>
  <si>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</si>
  <si>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</si>
  <si>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</si>
  <si>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</si>
  <si>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</si>
  <si>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</si>
  <si>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</si>
  <si>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</si>
  <si>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</si>
  <si>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</si>
  <si>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</si>
  <si>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</si>
  <si>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</si>
  <si>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</si>
  <si>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</si>
  <si>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</si>
  <si>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</si>
  <si>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</si>
  <si>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</si>
  <si>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</si>
  <si>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</si>
  <si>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</si>
  <si>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</si>
  <si>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</si>
  <si>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</si>
  <si>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</si>
  <si>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</si>
  <si>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</si>
  <si>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</si>
  <si>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</si>
  <si>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</si>
  <si>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</si>
  <si>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</si>
  <si>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</si>
  <si>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</si>
  <si>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</si>
  <si>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</si>
  <si>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</si>
  <si>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</si>
  <si>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</si>
  <si>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</si>
  <si>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</si>
  <si>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</si>
  <si>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</si>
  <si>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</si>
  <si>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</si>
  <si>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</si>
  <si>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</si>
  <si>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</si>
  <si>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</si>
  <si>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</si>
  <si>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</si>
  <si>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</si>
  <si>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</si>
  <si>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</si>
  <si>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</si>
  <si>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</si>
  <si>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</si>
  <si>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</si>
  <si>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</si>
  <si>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</si>
  <si>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</si>
  <si>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</si>
  <si>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</si>
  <si>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</si>
  <si>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</si>
  <si>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</si>
  <si>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</si>
  <si>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</si>
  <si>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</si>
  <si>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</si>
  <si>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</si>
  <si>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</si>
  <si>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</si>
  <si>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</si>
  <si>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</si>
  <si>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</si>
  <si>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</si>
  <si>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</si>
  <si>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</si>
  <si>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</si>
  <si>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</si>
  <si>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</si>
  <si>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</si>
  <si>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</si>
  <si>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</si>
  <si>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</si>
  <si>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</si>
  <si>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</si>
  <si>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</si>
  <si>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</si>
  <si>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</si>
  <si>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</si>
  <si>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</si>
  <si>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</si>
  <si>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</si>
  <si>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</si>
  <si>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</si>
  <si>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</si>
  <si>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</si>
  <si>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</si>
  <si>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</si>
  <si>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</si>
  <si>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</si>
  <si>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</si>
  <si>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</si>
  <si>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</si>
  <si>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</si>
  <si>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</si>
  <si>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</si>
  <si>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</si>
  <si>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</si>
  <si>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</si>
  <si>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</si>
  <si>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</si>
  <si>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</si>
  <si>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</si>
  <si>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</si>
  <si>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</si>
  <si>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</si>
  <si>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</si>
  <si>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</si>
  <si>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</si>
  <si>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</si>
  <si>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</si>
  <si>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</si>
  <si>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</si>
  <si>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</si>
  <si>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</si>
  <si>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</si>
  <si>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</si>
  <si>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</si>
  <si>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</si>
  <si>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</si>
  <si>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</si>
  <si>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</si>
  <si>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</si>
  <si>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</si>
  <si>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</si>
  <si>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</si>
  <si>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</si>
  <si>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</si>
  <si>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</si>
  <si>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</si>
  <si>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</si>
  <si>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</si>
  <si>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</si>
  <si>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</si>
  <si>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</si>
  <si>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</si>
  <si>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</si>
  <si>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</si>
  <si>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</si>
  <si>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</si>
  <si>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</si>
  <si>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</si>
  <si>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</si>
  <si>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</si>
  <si>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</si>
  <si>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</si>
  <si>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</si>
  <si>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</si>
  <si>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</si>
  <si>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</si>
  <si>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</si>
  <si>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</si>
  <si>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</si>
  <si>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</si>
  <si>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</si>
  <si>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</si>
  <si>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</si>
  <si>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</si>
  <si>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</si>
  <si>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</si>
  <si>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</si>
  <si>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</si>
  <si>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</si>
  <si>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</si>
  <si>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</si>
  <si>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</si>
  <si>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</si>
  <si>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</si>
  <si>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</si>
  <si>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</si>
  <si>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</si>
  <si>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</si>
  <si>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</si>
  <si>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</si>
  <si>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</si>
  <si>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</si>
  <si>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</si>
  <si>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</si>
  <si>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</si>
  <si>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</si>
  <si>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</si>
  <si>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</si>
  <si>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</si>
  <si>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</si>
  <si>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</si>
  <si>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</si>
  <si>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</si>
  <si>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</si>
  <si>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</si>
  <si>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</si>
  <si>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</si>
  <si>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</si>
  <si>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</si>
  <si>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</si>
  <si>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</si>
  <si>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</si>
  <si>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</si>
  <si>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</si>
  <si>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</si>
  <si>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</si>
  <si>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</si>
  <si>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</si>
  <si>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</si>
  <si>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</si>
  <si>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</si>
  <si>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</si>
  <si>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</si>
  <si>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</si>
  <si>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</si>
  <si>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</si>
  <si>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</si>
  <si>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</si>
  <si>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</si>
  <si>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</si>
  <si>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</si>
  <si>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</si>
  <si>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</si>
  <si>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</si>
  <si>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</si>
  <si>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</si>
  <si>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</si>
  <si>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</si>
  <si>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</si>
  <si>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</si>
  <si>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</si>
  <si>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</si>
  <si>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</si>
  <si>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</si>
  <si>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</si>
  <si>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</si>
  <si>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</si>
  <si>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</si>
  <si>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</si>
  <si>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</si>
  <si>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</si>
  <si>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</si>
  <si>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</si>
  <si>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</si>
  <si>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</si>
  <si>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</si>
  <si>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</si>
  <si>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</si>
  <si>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</si>
  <si>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</si>
  <si>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</si>
  <si>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</si>
  <si>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</si>
  <si>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</si>
  <si>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</si>
  <si>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</si>
  <si>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</si>
  <si>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</si>
  <si>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</si>
  <si>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</si>
  <si>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</si>
  <si>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</si>
  <si>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</si>
  <si>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</si>
  <si>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</si>
  <si>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</si>
  <si>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</si>
  <si>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</si>
  <si>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</si>
  <si>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</si>
  <si>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</si>
  <si>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</si>
  <si>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</si>
  <si>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</si>
  <si>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</si>
  <si>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</si>
  <si>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</si>
  <si>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</si>
  <si>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</si>
  <si>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</si>
  <si>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</si>
  <si>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</si>
  <si>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</si>
  <si>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</si>
  <si>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</si>
  <si>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</si>
  <si>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</si>
  <si>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</si>
  <si>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</si>
  <si>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</si>
  <si>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</si>
  <si>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</si>
  <si>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</si>
  <si>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</si>
  <si>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</si>
  <si>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</si>
  <si>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</si>
  <si>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</si>
  <si>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</si>
  <si>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</si>
  <si>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</si>
  <si>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</si>
  <si>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</si>
  <si>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</si>
  <si>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</si>
  <si>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</si>
  <si>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</si>
  <si>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</si>
  <si>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</si>
  <si>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</si>
  <si>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</si>
  <si>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</si>
  <si>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</si>
  <si>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</si>
  <si>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</si>
  <si>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</si>
  <si>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</si>
  <si>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</si>
  <si>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</si>
  <si>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</si>
  <si>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</si>
  <si>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</si>
  <si>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</si>
  <si>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</si>
  <si>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</si>
  <si>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</si>
  <si>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</si>
  <si>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</si>
  <si>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</si>
  <si>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</si>
  <si>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</si>
  <si>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</si>
  <si>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</si>
  <si>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</si>
  <si>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</si>
  <si>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</si>
  <si>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</si>
  <si>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</si>
  <si>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</si>
  <si>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</si>
  <si>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</si>
  <si>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</si>
  <si>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</si>
  <si>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</si>
  <si>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</si>
  <si>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</si>
  <si>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</si>
  <si>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</si>
  <si>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</si>
  <si>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</si>
  <si>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</si>
  <si>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</si>
  <si>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</si>
  <si>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</si>
  <si>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</si>
  <si>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</si>
  <si>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</si>
  <si>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</si>
  <si>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</si>
  <si>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</si>
  <si>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</si>
  <si>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</si>
  <si>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</si>
  <si>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</si>
  <si>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</si>
  <si>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</si>
  <si>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</si>
  <si>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</si>
  <si>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</si>
  <si>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</si>
  <si>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</si>
  <si>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</si>
  <si>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</si>
  <si>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</si>
  <si>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</si>
  <si>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</si>
  <si>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</si>
  <si>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</si>
  <si>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</si>
  <si>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</si>
  <si>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</si>
  <si>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</si>
  <si>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</si>
  <si>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</si>
  <si>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</si>
  <si>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</si>
  <si>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</si>
  <si>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</si>
  <si>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</si>
  <si>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</si>
  <si>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</si>
  <si>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</si>
  <si>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</si>
  <si>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</si>
  <si>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</si>
  <si>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</si>
  <si>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</si>
  <si>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</si>
  <si>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</si>
  <si>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</si>
  <si>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</si>
  <si>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</si>
  <si>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</si>
  <si>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</si>
  <si>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</si>
  <si>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</si>
  <si>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</si>
  <si>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</si>
  <si>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</si>
  <si>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</si>
  <si>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</si>
  <si>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</si>
  <si>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</si>
  <si>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</si>
  <si>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</si>
  <si>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</si>
  <si>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</si>
  <si>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</si>
  <si>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</si>
  <si>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</si>
  <si>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</si>
  <si>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</si>
  <si>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</si>
  <si>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</si>
  <si>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</si>
  <si>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</si>
  <si>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</si>
  <si>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</si>
  <si>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</si>
  <si>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</si>
  <si>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</si>
  <si>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</si>
  <si>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</si>
  <si>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</si>
  <si>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</si>
  <si>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</si>
  <si>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</si>
  <si>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</si>
  <si>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</si>
  <si>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</si>
  <si>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</si>
  <si>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</si>
  <si>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</si>
  <si>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</si>
  <si>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</si>
  <si>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</si>
  <si>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</si>
  <si>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</si>
  <si>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</si>
  <si>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</si>
  <si>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</si>
  <si>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</si>
  <si>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</si>
  <si>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</si>
  <si>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</si>
  <si>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</si>
  <si>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</si>
  <si>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</si>
  <si>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</si>
  <si>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</si>
  <si>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</si>
  <si>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</si>
  <si>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</si>
  <si>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</si>
  <si>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</si>
  <si>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</si>
  <si>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</si>
  <si>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</si>
  <si>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</si>
  <si>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</si>
  <si>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</si>
  <si>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</si>
  <si>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</si>
  <si>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</si>
  <si>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</si>
  <si>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</si>
  <si>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</si>
  <si>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</si>
  <si>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</si>
  <si>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</si>
  <si>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</si>
  <si>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</si>
  <si>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</si>
  <si>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</si>
  <si>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</si>
  <si>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</si>
  <si>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</si>
  <si>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</si>
  <si>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</si>
  <si>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</si>
  <si>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</si>
  <si>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</si>
  <si>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</si>
  <si>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</si>
  <si>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</si>
  <si>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</si>
  <si>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</si>
  <si>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</si>
  <si>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</si>
  <si>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</si>
  <si>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</si>
  <si>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</si>
  <si>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</si>
  <si>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</si>
  <si>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</si>
  <si>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</si>
  <si>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</si>
  <si>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</si>
  <si>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</si>
  <si>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</si>
  <si>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</si>
  <si>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</si>
  <si>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</si>
  <si>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</si>
  <si>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</si>
  <si>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</si>
  <si>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</si>
  <si>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</si>
  <si>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</si>
  <si>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</si>
  <si>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</si>
  <si>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</si>
  <si>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</si>
  <si>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</si>
  <si>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</si>
  <si>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</si>
  <si>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</si>
  <si>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</si>
  <si>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</si>
  <si>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</si>
  <si>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</si>
  <si>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</si>
  <si>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</si>
  <si>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</si>
  <si>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</si>
  <si>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</si>
  <si>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</si>
  <si>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</si>
  <si>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</si>
  <si>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</si>
  <si>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</si>
  <si>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</si>
  <si>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</si>
  <si>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</si>
  <si>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</si>
  <si>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</si>
  <si>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</si>
  <si>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</si>
  <si>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</si>
  <si>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</si>
  <si>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</si>
  <si>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</si>
  <si>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</si>
  <si>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</si>
  <si>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</si>
  <si>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</si>
  <si>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</si>
  <si>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</si>
  <si>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</si>
  <si>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</si>
  <si>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</si>
  <si>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</si>
  <si>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</si>
  <si>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</si>
  <si>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</si>
  <si>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</si>
  <si>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</si>
  <si>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</si>
  <si>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</si>
  <si>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</si>
  <si>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</si>
  <si>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</si>
  <si>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</si>
  <si>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</si>
  <si>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</si>
  <si>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</si>
  <si>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</si>
  <si>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</si>
  <si>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</si>
  <si>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</si>
  <si>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</si>
  <si>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</si>
  <si>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</si>
  <si>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</si>
  <si>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</si>
  <si>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</si>
  <si>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</si>
  <si>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</si>
  <si>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</si>
  <si>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</si>
  <si>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</si>
  <si>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</si>
  <si>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</si>
  <si>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</si>
  <si>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</si>
  <si>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</si>
  <si>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</si>
  <si>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</si>
  <si>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</si>
  <si>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</si>
  <si>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</si>
  <si>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</si>
  <si>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</si>
  <si>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</si>
  <si>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</si>
  <si>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</si>
  <si>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</si>
  <si>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</si>
  <si>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</si>
  <si>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</si>
  <si>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</si>
  <si>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</si>
  <si>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</si>
  <si>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</si>
  <si>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</si>
  <si>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</si>
  <si>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</si>
  <si>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</si>
  <si>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</si>
  <si>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</si>
  <si>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</si>
  <si>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</si>
  <si>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</si>
  <si>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</si>
  <si>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</si>
  <si>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</si>
  <si>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</si>
  <si>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</si>
  <si>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</si>
  <si>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</si>
  <si>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</si>
  <si>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</si>
  <si>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</si>
  <si>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</si>
  <si>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</si>
  <si>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</si>
  <si>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</si>
  <si>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</si>
  <si>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</si>
  <si>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</si>
  <si>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</si>
  <si>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</si>
  <si>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</si>
  <si>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</si>
  <si>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</si>
  <si>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</si>
  <si>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</si>
  <si>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</si>
  <si>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</si>
  <si>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</si>
  <si>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</si>
  <si>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</si>
  <si>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</si>
  <si>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</si>
  <si>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</si>
  <si>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</si>
  <si>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</si>
  <si>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</si>
  <si>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</si>
  <si>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</si>
  <si>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</si>
  <si>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</si>
  <si>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</si>
  <si>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</si>
  <si>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</si>
  <si>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</si>
  <si>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</si>
  <si>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</si>
  <si>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</si>
  <si>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</si>
  <si>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</si>
  <si>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</si>
  <si>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</si>
  <si>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</si>
  <si>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</si>
  <si>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</si>
  <si>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</si>
  <si>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</si>
  <si>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</si>
  <si>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</si>
  <si>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</si>
  <si>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</si>
  <si>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</si>
  <si>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</si>
  <si>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</si>
  <si>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</si>
  <si>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</si>
  <si>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</si>
  <si>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</si>
  <si>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</si>
  <si>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</si>
  <si>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</si>
  <si>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</si>
  <si>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</si>
  <si>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</si>
  <si>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</si>
  <si>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</si>
  <si>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</si>
  <si>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</si>
  <si>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</si>
  <si>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</si>
  <si>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</si>
  <si>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</si>
  <si>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</si>
  <si>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</si>
  <si>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</si>
  <si>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</si>
  <si>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</si>
  <si>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</si>
  <si>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</si>
  <si>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</si>
  <si>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</si>
  <si>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</si>
  <si>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</si>
  <si>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</si>
  <si>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</si>
  <si>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</si>
  <si>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</si>
  <si>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</si>
  <si>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</si>
  <si>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</si>
  <si>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</si>
  <si>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</si>
  <si>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</si>
  <si>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</si>
  <si>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</si>
  <si>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</si>
  <si>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</si>
  <si>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</si>
  <si>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</si>
  <si>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</si>
  <si>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</si>
  <si>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</si>
  <si>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</si>
  <si>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</si>
  <si>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</si>
  <si>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</si>
  <si>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</si>
  <si>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</si>
  <si>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</si>
  <si>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</si>
  <si>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</si>
  <si>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</si>
  <si>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</si>
  <si>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</si>
  <si>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</si>
  <si>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</si>
  <si>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</si>
  <si>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</si>
  <si>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</si>
  <si>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</si>
  <si>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</si>
  <si>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</si>
  <si>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</si>
  <si>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</si>
  <si>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</si>
  <si>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</si>
  <si>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</si>
  <si>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</si>
  <si>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</si>
  <si>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</si>
  <si>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</si>
  <si>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</si>
  <si>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</si>
  <si>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</si>
  <si>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</si>
  <si>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</si>
  <si>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</si>
  <si>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</si>
  <si>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</si>
  <si>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</si>
  <si>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</si>
  <si>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</si>
  <si>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</si>
  <si>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</si>
  <si>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</si>
  <si>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</si>
  <si>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</si>
  <si>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</si>
  <si>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</si>
  <si>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</si>
  <si>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</si>
  <si>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</si>
  <si>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</si>
  <si>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</si>
  <si>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</si>
  <si>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</si>
  <si>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</si>
  <si>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</si>
  <si>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</si>
  <si>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</si>
  <si>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</si>
  <si>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</si>
  <si>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</si>
  <si>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</si>
  <si>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</si>
  <si>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</si>
  <si>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</si>
  <si>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</si>
  <si>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</si>
  <si>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</si>
  <si>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</si>
  <si>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</si>
  <si>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</si>
  <si>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</si>
  <si>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</si>
  <si>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</si>
  <si>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</si>
  <si>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</si>
  <si>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</si>
  <si>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</si>
  <si>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</si>
  <si>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</si>
  <si>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</si>
  <si>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</si>
  <si>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</si>
  <si>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</si>
  <si>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</si>
  <si>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</si>
  <si>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</si>
  <si>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</si>
  <si>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</si>
  <si>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</si>
  <si>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</si>
  <si>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</si>
  <si>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</si>
  <si>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</si>
  <si>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</si>
  <si>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</si>
  <si>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</si>
  <si>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</si>
  <si>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</si>
  <si>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</si>
  <si>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</si>
  <si>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</si>
  <si>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</si>
  <si>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</si>
  <si>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</si>
  <si>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</si>
  <si>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</si>
  <si>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</si>
  <si>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</si>
  <si>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</si>
  <si>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</si>
  <si>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</si>
  <si>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</si>
  <si>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</si>
  <si>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</si>
  <si>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</si>
  <si>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</si>
  <si>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</si>
  <si>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</si>
  <si>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</si>
  <si>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</si>
  <si>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</si>
  <si>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</si>
  <si>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</si>
  <si>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</si>
  <si>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</si>
  <si>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</si>
  <si>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</si>
  <si>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</si>
  <si>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</si>
  <si>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</si>
  <si>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</si>
  <si>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</si>
  <si>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</si>
  <si>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</si>
  <si>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</si>
  <si>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</si>
  <si>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</si>
  <si>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</si>
  <si>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</si>
  <si>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</si>
  <si>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</si>
  <si>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</si>
  <si>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</si>
  <si>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</si>
  <si>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</si>
  <si>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</si>
  <si>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</si>
  <si>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</si>
  <si>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</si>
  <si>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</si>
  <si>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</si>
  <si>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</si>
  <si>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</si>
  <si>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</si>
  <si>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</si>
  <si>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</si>
  <si>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</si>
  <si>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</si>
  <si>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</si>
  <si>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</si>
  <si>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</si>
  <si>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</si>
  <si>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</si>
  <si>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</si>
  <si>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</si>
  <si>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</si>
  <si>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</si>
  <si>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</si>
  <si>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</si>
  <si>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</si>
  <si>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</si>
  <si>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</si>
  <si>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</si>
  <si>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</si>
  <si>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</si>
  <si>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</si>
  <si>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</si>
  <si>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</si>
  <si>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</si>
  <si>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</si>
  <si>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</si>
  <si>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</si>
  <si>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</si>
  <si>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</si>
  <si>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</si>
  <si>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</si>
  <si>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</si>
  <si>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</si>
  <si>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</si>
  <si>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</si>
  <si>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</si>
  <si>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</si>
  <si>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</si>
  <si>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</si>
  <si>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</si>
  <si>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</si>
  <si>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</si>
  <si>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</si>
  <si>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</si>
  <si>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</si>
  <si>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</si>
  <si>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</si>
  <si>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</si>
  <si>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</si>
  <si>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</si>
  <si>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</si>
  <si>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</si>
  <si>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</si>
  <si>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</si>
  <si>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</si>
  <si>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</si>
  <si>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</si>
  <si>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</si>
  <si>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</si>
  <si>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</si>
  <si>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</si>
  <si>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</si>
  <si>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</si>
  <si>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</si>
  <si>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</si>
  <si>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</si>
  <si>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</si>
  <si>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</si>
  <si>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</si>
  <si>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</si>
  <si>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</si>
  <si>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</si>
  <si>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</si>
  <si>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</si>
  <si>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</si>
  <si>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</si>
  <si>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</si>
  <si>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</si>
  <si>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</si>
  <si>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</si>
  <si>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</si>
  <si>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</si>
  <si>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</si>
  <si>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</si>
  <si>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</si>
  <si>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</si>
  <si>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</si>
  <si>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</si>
  <si>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</si>
  <si>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</si>
  <si>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</si>
  <si>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</si>
  <si>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</si>
  <si>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</si>
  <si>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</si>
  <si>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</si>
  <si>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</si>
  <si>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</si>
  <si>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</si>
  <si>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</si>
  <si>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</si>
  <si>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</si>
  <si>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</si>
  <si>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</si>
  <si>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</si>
  <si>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</si>
  <si>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</si>
  <si>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</si>
  <si>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</si>
  <si>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</si>
  <si>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</si>
  <si>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</si>
  <si>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</si>
  <si>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</si>
  <si>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</si>
  <si>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</si>
  <si>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</si>
  <si>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</si>
  <si>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</si>
  <si>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</si>
  <si>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</si>
  <si>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</si>
  <si>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</si>
  <si>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</si>
  <si>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</si>
  <si>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</si>
  <si>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</si>
  <si>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</si>
  <si>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</si>
  <si>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</si>
  <si>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</si>
  <si>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</si>
  <si>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</si>
  <si>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</si>
  <si>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</si>
  <si>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</si>
  <si>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</si>
  <si>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</si>
  <si>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</si>
  <si>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</si>
  <si>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</si>
  <si>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</si>
  <si>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</si>
  <si>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</si>
  <si>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</si>
  <si>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</si>
  <si>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</si>
  <si>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</si>
  <si>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</si>
  <si>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</si>
  <si>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</si>
  <si>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</si>
  <si>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</si>
  <si>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</si>
  <si>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</si>
  <si>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</si>
  <si>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</si>
  <si>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</si>
  <si>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</si>
  <si>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</si>
  <si>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</si>
  <si>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</si>
  <si>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</si>
  <si>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</si>
  <si>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</si>
  <si>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</si>
  <si>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</si>
  <si>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</si>
  <si>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</si>
  <si>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</si>
  <si>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</si>
  <si>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</si>
  <si>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</si>
  <si>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</si>
  <si>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</si>
  <si>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</si>
  <si>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</si>
  <si>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</si>
  <si>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</si>
  <si>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</si>
  <si>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</si>
  <si>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</si>
  <si>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</si>
  <si>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</si>
  <si>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</si>
  <si>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</si>
  <si>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</si>
  <si>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</si>
  <si>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</si>
  <si>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</si>
  <si>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</si>
  <si>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</si>
  <si>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</si>
  <si>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</si>
  <si>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</si>
  <si>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</si>
  <si>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</si>
  <si>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</si>
  <si>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</si>
  <si>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</si>
  <si>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</si>
  <si>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</si>
  <si>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</si>
  <si>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</si>
  <si>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</si>
  <si>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</si>
  <si>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</si>
  <si>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</si>
  <si>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</si>
  <si>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</si>
  <si>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</si>
  <si>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</si>
  <si>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</si>
  <si>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</si>
  <si>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</si>
  <si>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</si>
  <si>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</si>
  <si>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</si>
  <si>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</si>
  <si>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</si>
  <si>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</si>
  <si>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</si>
  <si>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</si>
  <si>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</si>
  <si>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</si>
  <si>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</si>
  <si>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</si>
  <si>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</si>
  <si>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</si>
  <si>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</si>
  <si>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</si>
  <si>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</si>
  <si>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</si>
  <si>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</si>
  <si>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</si>
  <si>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</si>
  <si>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</si>
  <si>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</si>
  <si>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</si>
  <si>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</si>
  <si>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</si>
  <si>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</si>
  <si>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</si>
  <si>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</si>
  <si>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</si>
  <si>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</si>
  <si>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</si>
  <si>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</si>
  <si>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</si>
  <si>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</si>
  <si>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</si>
  <si>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</si>
  <si>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</si>
  <si>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</si>
  <si>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</si>
  <si>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</si>
  <si>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</si>
  <si>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</si>
  <si>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</si>
  <si>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</si>
  <si>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</si>
  <si>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</si>
  <si>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</si>
  <si>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</si>
  <si>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</si>
  <si>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</si>
  <si>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</si>
  <si>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</si>
  <si>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</si>
  <si>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</si>
  <si>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</si>
  <si>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</si>
  <si>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</si>
  <si>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</si>
  <si>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</si>
  <si>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</si>
  <si>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</si>
  <si>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</si>
  <si>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</si>
  <si>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</si>
  <si>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</si>
  <si>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</si>
  <si>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</si>
  <si>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</si>
  <si>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</si>
  <si>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</si>
  <si>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</si>
  <si>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</si>
  <si>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</si>
  <si>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</si>
  <si>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</si>
  <si>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</si>
  <si>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</si>
  <si>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</si>
  <si>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</si>
  <si>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</si>
  <si>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</si>
  <si>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</si>
  <si>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</si>
  <si>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</si>
  <si>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</si>
  <si>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</si>
  <si>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</si>
  <si>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</si>
  <si>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</si>
  <si>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</si>
  <si>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</si>
  <si>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</si>
  <si>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</si>
  <si>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</si>
  <si>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</si>
  <si>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</si>
  <si>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</si>
  <si>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</si>
  <si>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</si>
  <si>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</si>
  <si>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</si>
  <si>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</si>
  <si>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</si>
  <si>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</si>
  <si>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</si>
  <si>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</si>
  <si>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</si>
  <si>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</si>
  <si>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</si>
  <si>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</si>
  <si>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</si>
  <si>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</si>
  <si>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</si>
  <si>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</si>
  <si>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</si>
  <si>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</si>
  <si>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</si>
  <si>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</si>
  <si>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</si>
  <si>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</si>
  <si>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</si>
  <si>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</si>
  <si>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</si>
  <si>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</si>
  <si>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</si>
  <si>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</si>
  <si>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</si>
  <si>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</si>
  <si>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</si>
  <si>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</si>
  <si>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</si>
  <si>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</si>
  <si>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</si>
  <si>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</si>
  <si>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</si>
  <si>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</si>
  <si>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</si>
  <si>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</si>
  <si>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</si>
  <si>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</si>
  <si>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</si>
  <si>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</si>
  <si>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</si>
  <si>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</si>
  <si>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</si>
  <si>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</si>
  <si>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</si>
  <si>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</si>
  <si>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</si>
  <si>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</si>
  <si>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</si>
  <si>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</si>
  <si>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</si>
  <si>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</si>
  <si>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</si>
  <si>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</si>
  <si>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</si>
  <si>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</si>
  <si>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</si>
  <si>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</si>
  <si>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</si>
  <si>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</si>
  <si>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</si>
  <si>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</si>
  <si>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</si>
  <si>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</si>
  <si>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</si>
  <si>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</si>
  <si>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</si>
  <si>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</si>
  <si>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</si>
  <si>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</si>
  <si>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</si>
  <si>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</si>
  <si>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</si>
  <si>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</si>
  <si>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</si>
  <si>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</si>
  <si>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</si>
  <si>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</si>
  <si>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</si>
  <si>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</si>
  <si>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</si>
  <si>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</si>
  <si>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</si>
  <si>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</si>
  <si>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</si>
  <si>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</si>
  <si>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</si>
  <si>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</si>
  <si>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</si>
  <si>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</si>
  <si>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</si>
  <si>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</si>
  <si>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</si>
  <si>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</si>
  <si>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</si>
  <si>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</si>
  <si>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</si>
  <si>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</si>
  <si>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</si>
  <si>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</si>
  <si>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</si>
  <si>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</si>
  <si>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</si>
  <si>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</si>
  <si>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</si>
  <si>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</si>
  <si>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</si>
  <si>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</si>
  <si>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</si>
  <si>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</si>
  <si>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</si>
  <si>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</si>
  <si>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</si>
  <si>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</si>
  <si>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</si>
  <si>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</si>
  <si>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</si>
  <si>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</si>
  <si>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</si>
  <si>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</si>
  <si>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</si>
  <si>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</si>
  <si>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</si>
  <si>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</si>
  <si>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</si>
  <si>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</si>
  <si>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</si>
  <si>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</si>
  <si>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</si>
  <si>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</si>
  <si>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</si>
  <si>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</si>
  <si>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</si>
  <si>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</si>
  <si>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</si>
  <si>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</si>
  <si>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</si>
  <si>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</si>
  <si>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</si>
  <si>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</si>
  <si>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</si>
  <si>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</si>
  <si>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</si>
  <si>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</si>
  <si>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</si>
  <si>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</si>
  <si>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</si>
  <si>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</si>
  <si>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</si>
  <si>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</si>
  <si>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</si>
  <si>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</si>
  <si>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</si>
  <si>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</si>
  <si>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</si>
  <si>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</si>
  <si>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</si>
  <si>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</si>
  <si>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</si>
  <si>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</si>
  <si>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</si>
  <si>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</si>
  <si>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</si>
  <si>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</si>
  <si>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</si>
  <si>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</si>
  <si>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</si>
  <si>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</si>
  <si>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</si>
  <si>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</si>
  <si>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</si>
  <si>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</si>
  <si>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</si>
  <si>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</si>
  <si>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</si>
  <si>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</si>
  <si>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</si>
  <si>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</si>
  <si>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</si>
  <si>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</si>
  <si>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</si>
  <si>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</si>
  <si>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</si>
  <si>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</si>
  <si>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</si>
  <si>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</si>
  <si>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</si>
  <si>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</si>
  <si>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</si>
  <si>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</si>
  <si>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</si>
  <si>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</si>
  <si>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</si>
  <si>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</si>
  <si>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</si>
  <si>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</si>
  <si>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</si>
  <si>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</si>
  <si>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</si>
  <si>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</si>
  <si>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</si>
  <si>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</si>
  <si>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</si>
  <si>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</si>
  <si>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</si>
  <si>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</si>
  <si>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</si>
  <si>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</si>
  <si>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</si>
  <si>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</si>
  <si>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</si>
  <si>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</si>
  <si>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</si>
  <si>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</si>
  <si>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</si>
  <si>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</si>
  <si>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</si>
  <si>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</si>
  <si>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</si>
  <si>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</si>
  <si>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</si>
  <si>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</si>
  <si>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</si>
  <si>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</si>
  <si>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</si>
  <si>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</si>
  <si>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</si>
  <si>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</si>
  <si>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</si>
  <si>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</si>
  <si>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</si>
  <si>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</si>
  <si>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</si>
  <si>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</si>
  <si>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</si>
  <si>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</si>
  <si>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</si>
  <si>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</si>
  <si>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</si>
  <si>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</si>
  <si>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</si>
  <si>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</si>
  <si>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</si>
  <si>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</si>
  <si>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</si>
  <si>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</si>
  <si>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</si>
  <si>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</si>
  <si>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</si>
  <si>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</si>
  <si>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</si>
  <si>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</si>
  <si>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</si>
  <si>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</si>
  <si>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</si>
  <si>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</si>
  <si>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</si>
  <si>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</si>
  <si>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</si>
  <si>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</si>
  <si>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</si>
  <si>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</si>
  <si>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</si>
  <si>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</si>
  <si>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</si>
  <si>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</si>
  <si>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</si>
  <si>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</si>
  <si>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</si>
  <si>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</si>
  <si>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</si>
  <si>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</si>
  <si>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</si>
  <si>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</si>
  <si>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</si>
  <si>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</si>
  <si>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</si>
  <si>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</si>
  <si>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</si>
  <si>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</si>
  <si>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</si>
  <si>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</si>
  <si>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</si>
  <si>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</si>
  <si>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</si>
  <si>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</si>
  <si>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</si>
  <si>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</si>
  <si>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</si>
  <si>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</si>
  <si>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</si>
  <si>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</si>
  <si>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</si>
  <si>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</si>
  <si>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</si>
  <si>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</si>
  <si>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</si>
  <si>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</si>
  <si>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</si>
  <si>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</si>
  <si>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</si>
  <si>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</si>
  <si>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</si>
  <si>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</si>
  <si>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</si>
  <si>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</si>
  <si>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</si>
  <si>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</si>
  <si>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</si>
  <si>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</si>
  <si>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</si>
  <si>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</si>
  <si>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</si>
  <si>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</si>
  <si>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</si>
  <si>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</si>
  <si>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</si>
  <si>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</si>
  <si>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</si>
  <si>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</si>
  <si>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</si>
  <si>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</si>
  <si>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</si>
  <si>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</si>
  <si>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</si>
  <si>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</si>
  <si>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</si>
  <si>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</si>
  <si>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</si>
  <si>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</si>
  <si>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</si>
  <si>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</si>
  <si>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</si>
  <si>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</si>
  <si>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</si>
  <si>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</si>
  <si>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</si>
  <si>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</si>
  <si>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</si>
  <si>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</si>
  <si>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</si>
  <si>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</si>
  <si>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</si>
  <si>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</si>
  <si>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</si>
  <si>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</si>
  <si>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</si>
  <si>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</si>
  <si>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</si>
  <si>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</si>
  <si>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</si>
  <si>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</si>
  <si>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</si>
  <si>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</si>
  <si>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</si>
  <si>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</si>
  <si>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</si>
  <si>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</si>
  <si>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</si>
  <si>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</si>
  <si>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</si>
  <si>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</si>
  <si>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</si>
  <si>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</si>
  <si>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</si>
  <si>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</si>
  <si>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</si>
  <si>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</si>
  <si>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</si>
  <si>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</si>
  <si>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</si>
  <si>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</si>
  <si>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</si>
  <si>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</si>
  <si>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</si>
  <si>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</si>
  <si>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</si>
  <si>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</si>
  <si>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</si>
  <si>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</si>
  <si>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</si>
  <si>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</si>
  <si>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</si>
  <si>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</si>
  <si>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</si>
  <si>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</si>
  <si>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</si>
  <si>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</si>
  <si>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</si>
  <si>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</si>
  <si>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</si>
  <si>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</si>
  <si>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</si>
  <si>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</si>
  <si>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</si>
  <si>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</si>
  <si>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</si>
  <si>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</si>
  <si>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</si>
  <si>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</si>
  <si>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</si>
  <si>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</si>
  <si>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</si>
  <si>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</si>
  <si>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</si>
  <si>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</si>
  <si>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</si>
  <si>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</si>
  <si>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</si>
  <si>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</si>
  <si>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</si>
  <si>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</si>
  <si>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</si>
  <si>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</si>
  <si>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</si>
  <si>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</si>
  <si>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</si>
  <si>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</si>
  <si>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</si>
  <si>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</si>
  <si>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</si>
  <si>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</si>
  <si>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</si>
  <si>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</si>
  <si>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</si>
  <si>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</si>
  <si>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</si>
  <si>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</si>
  <si>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</si>
  <si>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</si>
  <si>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</si>
  <si>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</si>
  <si>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</si>
  <si>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</si>
  <si>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</si>
  <si>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</si>
  <si>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</si>
  <si>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</si>
  <si>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</si>
  <si>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</si>
  <si>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</si>
  <si>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</si>
  <si>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</si>
  <si>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</si>
  <si>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</si>
  <si>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</si>
  <si>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</si>
  <si>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</si>
  <si>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</si>
  <si>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</si>
  <si>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</si>
  <si>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</si>
  <si>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</si>
  <si>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</si>
  <si>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</si>
  <si>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</si>
  <si>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</si>
  <si>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</si>
  <si>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</si>
  <si>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</si>
  <si>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</si>
  <si>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</si>
  <si>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</si>
  <si>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</si>
  <si>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</si>
  <si>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</si>
  <si>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</si>
  <si>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</si>
  <si>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</si>
  <si>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</si>
  <si>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</si>
  <si>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</si>
  <si>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</si>
  <si>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</si>
  <si>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</si>
  <si>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</si>
  <si>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</si>
  <si>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</si>
  <si>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</si>
  <si>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</si>
  <si>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</si>
  <si>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</si>
  <si>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</si>
  <si>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</si>
  <si>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</si>
  <si>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</si>
  <si>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</si>
  <si>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</si>
  <si>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</si>
  <si>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</si>
  <si>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</si>
  <si>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</si>
  <si>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</si>
  <si>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</si>
  <si>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</si>
  <si>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</si>
  <si>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</si>
  <si>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</si>
  <si>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</si>
  <si>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</si>
  <si>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</si>
  <si>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</si>
  <si>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</si>
  <si>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</si>
  <si>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</si>
  <si>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</si>
  <si>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</si>
  <si>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</si>
  <si>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</si>
  <si>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</si>
  <si>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</si>
  <si>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</si>
  <si>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</si>
  <si>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</si>
  <si>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</si>
  <si>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</si>
  <si>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</si>
  <si>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</si>
  <si>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</si>
  <si>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</si>
  <si>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</si>
  <si>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</si>
  <si>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</si>
  <si>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</si>
  <si>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</si>
  <si>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</si>
  <si>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</si>
  <si>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</si>
  <si>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</si>
  <si>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</si>
  <si>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</si>
  <si>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</si>
  <si>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</si>
  <si>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</si>
  <si>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</si>
  <si>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</si>
  <si>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</si>
  <si>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</si>
  <si>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</si>
  <si>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</si>
  <si>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</si>
  <si>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</si>
  <si>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</si>
  <si>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</si>
  <si>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</si>
  <si>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</si>
  <si>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</si>
  <si>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</si>
  <si>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</si>
  <si>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</si>
  <si>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</si>
  <si>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</si>
  <si>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</si>
  <si>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</si>
  <si>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</si>
  <si>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</si>
  <si>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</si>
  <si>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</si>
  <si>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</si>
  <si>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</si>
  <si>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</si>
  <si>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</si>
  <si>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</si>
  <si>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</si>
  <si>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</si>
  <si>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</si>
  <si>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</si>
  <si>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</si>
  <si>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</si>
  <si>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</si>
  <si>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</si>
  <si>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</si>
  <si>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</si>
  <si>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</si>
  <si>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</si>
  <si>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</si>
  <si>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</si>
  <si>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</si>
  <si>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</si>
  <si>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</si>
  <si>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</si>
  <si>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</si>
  <si>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</si>
  <si>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</si>
  <si>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</si>
  <si>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</si>
  <si>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</si>
  <si>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</si>
  <si>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</si>
  <si>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</si>
  <si>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</si>
  <si>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</si>
  <si>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</si>
  <si>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</si>
  <si>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</si>
  <si>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</si>
  <si>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</si>
  <si>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</si>
  <si>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</si>
  <si>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</si>
  <si>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</si>
  <si>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</si>
  <si>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</si>
  <si>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</si>
  <si>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</si>
  <si>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</si>
  <si>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</si>
  <si>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</si>
  <si>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</si>
  <si>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</si>
  <si>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</si>
  <si>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</si>
  <si>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</si>
  <si>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</si>
  <si>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</si>
  <si>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</si>
  <si>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</si>
  <si>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</si>
  <si>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</si>
  <si>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</si>
  <si>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</si>
  <si>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</si>
  <si>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</si>
  <si>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</si>
  <si>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</si>
  <si>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</si>
  <si>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</si>
  <si>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</si>
  <si>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</si>
  <si>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</si>
  <si>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</si>
  <si>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</si>
  <si>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</si>
  <si>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</si>
  <si>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</si>
  <si>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</si>
  <si>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</si>
  <si>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</si>
  <si>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</si>
  <si>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</si>
  <si>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</si>
  <si>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</si>
  <si>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</si>
  <si>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</si>
  <si>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</si>
  <si>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</si>
  <si>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</si>
  <si>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</si>
  <si>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</si>
  <si>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</si>
  <si>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</si>
  <si>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</si>
  <si>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</si>
  <si>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</si>
  <si>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</si>
  <si>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</si>
  <si>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</si>
  <si>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</si>
  <si>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</si>
  <si>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</si>
  <si>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</si>
  <si>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</si>
  <si>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</si>
  <si>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</si>
  <si>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</si>
  <si>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</si>
  <si>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</si>
  <si>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</si>
  <si>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</si>
  <si>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</si>
  <si>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</si>
  <si>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</si>
  <si>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</si>
  <si>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</si>
  <si>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</si>
  <si>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</si>
  <si>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</si>
  <si>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</si>
  <si>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</si>
  <si>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</si>
  <si>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</si>
  <si>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</si>
  <si>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</si>
  <si>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</si>
  <si>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</si>
  <si>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</si>
  <si>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</si>
  <si>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</si>
  <si>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</si>
  <si>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</si>
  <si>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</si>
  <si>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</si>
  <si>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</si>
  <si>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</si>
  <si>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</si>
  <si>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</si>
  <si>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</si>
  <si>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</si>
  <si>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</si>
  <si>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</si>
  <si>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</si>
  <si>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</si>
  <si>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</si>
  <si>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</si>
  <si>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</si>
  <si>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</si>
  <si>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</si>
  <si>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</si>
  <si>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</si>
  <si>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</si>
  <si>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</si>
  <si>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</si>
  <si>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</si>
  <si>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</si>
  <si>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</si>
  <si>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</si>
  <si>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</si>
  <si>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</si>
  <si>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</si>
  <si>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</si>
  <si>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</si>
  <si>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</si>
  <si>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</si>
  <si>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</si>
  <si>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</si>
  <si>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</si>
  <si>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</si>
  <si>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</si>
  <si>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</si>
  <si>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</si>
  <si>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</si>
  <si>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</si>
  <si>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</si>
  <si>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</si>
  <si>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</si>
  <si>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</si>
  <si>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</si>
  <si>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</si>
  <si>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</si>
  <si>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</si>
  <si>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</si>
  <si>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</si>
  <si>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</si>
  <si>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</si>
  <si>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</si>
  <si>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</si>
  <si>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</si>
  <si>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</si>
  <si>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</si>
  <si>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</si>
  <si>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</si>
  <si>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</si>
  <si>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</si>
  <si>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</si>
  <si>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</si>
  <si>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</si>
  <si>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</si>
  <si>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</si>
  <si>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</si>
  <si>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</si>
  <si>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</si>
  <si>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</si>
  <si>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</si>
  <si>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</si>
  <si>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</si>
  <si>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</si>
  <si>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</si>
  <si>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</si>
  <si>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</si>
  <si>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</si>
  <si>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</si>
  <si>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</si>
  <si>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</si>
  <si>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</si>
  <si>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</si>
  <si>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</si>
  <si>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</si>
  <si>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</si>
  <si>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</si>
  <si>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</si>
  <si>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</si>
  <si>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</si>
  <si>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</si>
  <si>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</si>
  <si>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</si>
  <si>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</si>
  <si>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</si>
  <si>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</si>
  <si>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</si>
  <si>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</si>
  <si>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</si>
  <si>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</si>
  <si>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</si>
  <si>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</si>
  <si>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</si>
  <si>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</si>
  <si>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</si>
  <si>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</si>
  <si>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</si>
  <si>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</si>
  <si>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</si>
  <si>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</si>
  <si>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</si>
  <si>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</si>
  <si>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</si>
  <si>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</si>
  <si>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</si>
  <si>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</si>
  <si>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</si>
  <si>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</si>
  <si>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</si>
  <si>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</si>
  <si>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</si>
  <si>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</si>
  <si>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</si>
  <si>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</si>
  <si>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</si>
  <si>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</si>
  <si>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</si>
  <si>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</si>
  <si>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</si>
  <si>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</si>
  <si>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</si>
  <si>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</si>
  <si>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</si>
  <si>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</si>
  <si>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</si>
  <si>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</si>
  <si>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</si>
  <si>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</si>
  <si>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</si>
  <si>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</si>
  <si>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</si>
  <si>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</si>
  <si>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</si>
  <si>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</si>
  <si>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</si>
  <si>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</si>
  <si>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</si>
  <si>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</si>
  <si>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</si>
  <si>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</si>
  <si>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</si>
  <si>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</si>
  <si>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</si>
  <si>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</si>
  <si>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</si>
  <si>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</si>
  <si>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</si>
  <si>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</si>
  <si>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</si>
  <si>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</si>
  <si>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</si>
  <si>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</si>
  <si>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</si>
  <si>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</si>
  <si>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</si>
  <si>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</si>
  <si>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</si>
  <si>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</si>
  <si>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</si>
  <si>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</si>
  <si>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</si>
  <si>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</si>
  <si>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</si>
  <si>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</si>
  <si>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</si>
  <si>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</si>
  <si>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</si>
  <si>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</si>
  <si>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</si>
  <si>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</si>
  <si>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</si>
  <si>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</si>
  <si>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</si>
  <si>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</si>
  <si>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</si>
  <si>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</si>
  <si>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</si>
  <si>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</si>
  <si>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</si>
  <si>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</si>
  <si>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</si>
  <si>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</si>
  <si>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</si>
  <si>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</si>
  <si>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</si>
  <si>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</si>
  <si>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</si>
  <si>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</si>
  <si>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</si>
  <si>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</si>
  <si>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</si>
  <si>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</si>
  <si>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</si>
  <si>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</si>
  <si>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</si>
  <si>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</si>
  <si>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</si>
  <si>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</si>
  <si>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</si>
  <si>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</si>
  <si>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</si>
  <si>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</si>
  <si>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</si>
  <si>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</si>
  <si>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</si>
  <si>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</si>
  <si>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</si>
  <si>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</si>
  <si>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</si>
  <si>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</si>
  <si>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</si>
  <si>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</si>
  <si>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</si>
  <si>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</si>
  <si>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</si>
  <si>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</si>
  <si>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</si>
  <si>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</si>
  <si>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</si>
  <si>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</si>
  <si>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</si>
  <si>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</si>
  <si>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</si>
  <si>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</si>
  <si>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</si>
  <si>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</si>
  <si>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</si>
  <si>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</si>
  <si>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</si>
  <si>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</si>
  <si>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</si>
  <si>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</si>
  <si>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</si>
  <si>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</si>
  <si>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</si>
  <si>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</si>
  <si>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</si>
  <si>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</si>
  <si>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</si>
  <si>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</si>
  <si>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</si>
  <si>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</si>
  <si>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</si>
  <si>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</si>
  <si>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</si>
  <si>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</si>
  <si>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</si>
  <si>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</si>
  <si>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</si>
  <si>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</si>
  <si>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</si>
  <si>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</si>
  <si>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</si>
  <si>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</si>
  <si>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</si>
  <si>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</si>
  <si>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</si>
  <si>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</si>
  <si>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</si>
  <si>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</si>
  <si>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</si>
  <si>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</si>
  <si>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</si>
  <si>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</si>
  <si>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</si>
  <si>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</si>
  <si>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</si>
  <si>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</si>
  <si>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</si>
  <si>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</si>
  <si>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</si>
  <si>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</si>
  <si>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</si>
  <si>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</si>
  <si>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</si>
  <si>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</si>
  <si>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</si>
  <si>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</si>
  <si>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</si>
  <si>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</si>
  <si>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</si>
  <si>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</si>
  <si>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</si>
  <si>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</si>
  <si>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</si>
  <si>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</si>
  <si>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</si>
  <si>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</si>
  <si>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</si>
  <si>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</si>
  <si>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</si>
  <si>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</si>
  <si>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</si>
  <si>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</si>
  <si>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</si>
  <si>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</si>
  <si>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</si>
  <si>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</si>
  <si>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</si>
  <si>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</si>
  <si>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</si>
  <si>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</si>
  <si>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</si>
  <si>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</si>
  <si>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</si>
  <si>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</si>
  <si>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</si>
  <si>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</si>
  <si>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</si>
  <si>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</si>
  <si>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</si>
  <si>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</si>
  <si>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</si>
  <si>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</si>
  <si>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</si>
  <si>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</si>
  <si>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</si>
  <si>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</si>
  <si>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</si>
  <si>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</si>
  <si>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</si>
  <si>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</si>
  <si>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</si>
  <si>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</si>
  <si>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</si>
  <si>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</si>
  <si>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</si>
  <si>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</si>
  <si>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</si>
  <si>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</si>
  <si>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</si>
  <si>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</si>
  <si>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</si>
  <si>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</si>
  <si>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</si>
  <si>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</si>
  <si>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</si>
  <si>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</si>
  <si>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</si>
  <si>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</si>
  <si>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</si>
  <si>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</si>
  <si>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</si>
  <si>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</si>
  <si>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</si>
  <si>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</si>
  <si>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</si>
  <si>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</si>
  <si>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</si>
  <si>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</si>
  <si>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</si>
  <si>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</si>
  <si>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</si>
  <si>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</si>
  <si>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</si>
  <si>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</si>
  <si>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</si>
  <si>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</si>
  <si>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</si>
  <si>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</si>
  <si>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</si>
  <si>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</si>
  <si>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</si>
  <si>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</si>
  <si>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</si>
  <si>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</si>
  <si>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</si>
  <si>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</si>
  <si>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</si>
  <si>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</si>
  <si>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</si>
  <si>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</si>
  <si>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</si>
  <si>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</si>
  <si>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</si>
  <si>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</si>
  <si>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</si>
  <si>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</si>
  <si>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</si>
  <si>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</si>
  <si>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</si>
  <si>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</si>
  <si>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</si>
  <si>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</si>
  <si>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</si>
  <si>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</si>
  <si>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</si>
  <si>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</si>
  <si>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</si>
  <si>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</si>
  <si>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</si>
  <si>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</si>
  <si>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</si>
  <si>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</si>
  <si>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</si>
  <si>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</si>
  <si>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</si>
  <si>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</si>
  <si>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</si>
  <si>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</si>
  <si>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</si>
  <si>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</si>
  <si>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</si>
  <si>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</si>
  <si>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</si>
  <si>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</si>
  <si>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</si>
  <si>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</si>
  <si>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</si>
  <si>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</si>
  <si>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</si>
  <si>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</si>
  <si>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</si>
  <si>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</si>
  <si>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</si>
  <si>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</si>
  <si>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</si>
  <si>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</si>
  <si>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</si>
  <si>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</si>
  <si>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</si>
  <si>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</si>
  <si>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</si>
  <si>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</si>
  <si>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</si>
  <si>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</si>
  <si>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</si>
  <si>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</si>
  <si>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</si>
  <si>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</si>
  <si>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</si>
  <si>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</si>
  <si>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</si>
  <si>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</si>
  <si>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</si>
  <si>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</si>
  <si>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</si>
  <si>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</si>
  <si>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</si>
  <si>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</si>
  <si>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</si>
  <si>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</si>
  <si>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</si>
  <si>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</si>
  <si>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</si>
  <si>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</si>
  <si>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</si>
  <si>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</si>
  <si>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</si>
  <si>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</si>
  <si>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</si>
  <si>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</si>
  <si>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</si>
  <si>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</si>
  <si>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</si>
  <si>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</si>
  <si>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</si>
  <si>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</si>
  <si>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</si>
  <si>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</si>
  <si>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</si>
  <si>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</si>
  <si>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</si>
  <si>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</si>
  <si>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</si>
  <si>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</si>
  <si>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</si>
  <si>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</si>
  <si>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</si>
  <si>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</si>
  <si>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</si>
  <si>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</si>
  <si>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</si>
  <si>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</si>
  <si>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</si>
  <si>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</si>
  <si>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</si>
  <si>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</si>
  <si>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</si>
  <si>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</si>
  <si>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</si>
  <si>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</si>
  <si>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</si>
  <si>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</si>
  <si>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</si>
  <si>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</si>
  <si>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</si>
  <si>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</si>
  <si>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</si>
  <si>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</si>
  <si>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</si>
  <si>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</si>
  <si>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</si>
  <si>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</si>
  <si>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</si>
  <si>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</si>
  <si>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</si>
  <si>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</si>
  <si>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</si>
  <si>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</si>
  <si>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</si>
  <si>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</si>
  <si>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</si>
  <si>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</si>
  <si>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</si>
  <si>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</si>
  <si>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</si>
  <si>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</si>
  <si>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</si>
  <si>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</si>
  <si>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</si>
  <si>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</si>
  <si>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</si>
  <si>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</si>
  <si>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</si>
  <si>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</si>
  <si>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</si>
  <si>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</si>
  <si>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</si>
  <si>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</si>
  <si>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</si>
  <si>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</si>
  <si>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</si>
  <si>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</si>
  <si>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</si>
  <si>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</si>
  <si>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</si>
  <si>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</si>
  <si>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</si>
  <si>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</si>
  <si>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</si>
  <si>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</si>
  <si>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</si>
  <si>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</si>
  <si>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</si>
  <si>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</si>
  <si>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</si>
  <si>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</si>
  <si>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</si>
  <si>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</si>
  <si>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</si>
  <si>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</si>
  <si>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</si>
  <si>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</si>
  <si>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</si>
  <si>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</si>
  <si>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</si>
  <si>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</si>
  <si>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</si>
  <si>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</si>
  <si>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</si>
  <si>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</si>
  <si>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</si>
  <si>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</si>
  <si>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</si>
  <si>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</si>
  <si>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</si>
  <si>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</si>
  <si>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</si>
  <si>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</si>
  <si>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</si>
  <si>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</si>
  <si>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</si>
  <si>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</si>
  <si>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</si>
  <si>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</si>
  <si>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</si>
  <si>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</si>
  <si>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</si>
  <si>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</si>
  <si>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</si>
  <si>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</si>
  <si>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</si>
  <si>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</si>
  <si>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</si>
  <si>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</si>
  <si>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</si>
  <si>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</si>
  <si>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</si>
  <si>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</si>
  <si>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</si>
  <si>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</si>
  <si>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</si>
  <si>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</si>
  <si>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</si>
  <si>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</si>
  <si>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</si>
  <si>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</si>
  <si>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</si>
  <si>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</si>
  <si>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</si>
  <si>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</si>
  <si>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</si>
  <si>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</si>
  <si>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</si>
  <si>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</si>
  <si>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</si>
  <si>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</si>
  <si>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</si>
  <si>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</si>
  <si>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</si>
  <si>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</si>
  <si>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</si>
  <si>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</si>
  <si>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</si>
  <si>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</si>
  <si>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</si>
  <si>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</si>
  <si>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</si>
  <si>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</si>
  <si>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</si>
  <si>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</si>
  <si>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</si>
  <si>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</si>
  <si>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</si>
  <si>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</si>
  <si>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</si>
  <si>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</si>
  <si>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</si>
  <si>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</si>
  <si>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</si>
  <si>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</si>
  <si>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</si>
  <si>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</si>
  <si>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</si>
  <si>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</si>
  <si>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</si>
  <si>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</si>
  <si>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</si>
  <si>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</si>
  <si>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</si>
  <si>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</si>
  <si>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</si>
  <si>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</si>
  <si>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</si>
  <si>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</si>
  <si>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</si>
  <si>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</si>
  <si>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</si>
  <si>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</si>
  <si>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</si>
  <si>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</si>
  <si>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</si>
  <si>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</si>
  <si>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</si>
  <si>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</si>
  <si>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</si>
  <si>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</si>
  <si>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</si>
  <si>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</si>
  <si>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</si>
  <si>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</si>
  <si>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</si>
  <si>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</si>
  <si>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</si>
  <si>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</si>
  <si>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</si>
  <si>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</si>
  <si>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</si>
  <si>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</si>
  <si>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</si>
  <si>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</si>
  <si>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</si>
  <si>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</si>
  <si>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</si>
  <si>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</si>
  <si>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</si>
  <si>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</si>
  <si>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</si>
  <si>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</si>
  <si>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</si>
  <si>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</si>
  <si>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</si>
  <si>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</si>
  <si>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</si>
  <si>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</si>
  <si>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</si>
  <si>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</si>
  <si>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</si>
  <si>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</si>
  <si>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</si>
  <si>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</si>
  <si>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</si>
  <si>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</si>
  <si>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</si>
  <si>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</si>
  <si>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</si>
  <si>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</si>
  <si>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</si>
  <si>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</si>
  <si>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</si>
  <si>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</si>
  <si>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</si>
  <si>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</si>
  <si>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</si>
  <si>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</si>
  <si>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</si>
  <si>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</si>
  <si>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</si>
  <si>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</si>
  <si>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</si>
  <si>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</si>
  <si>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</si>
  <si>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</si>
  <si>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</si>
  <si>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</si>
  <si>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</si>
  <si>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</si>
  <si>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</si>
  <si>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</si>
  <si>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</si>
  <si>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</si>
  <si>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</si>
  <si>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</si>
  <si>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</si>
  <si>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</si>
  <si>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</si>
  <si>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</si>
  <si>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</si>
  <si>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</si>
  <si>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</si>
  <si>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</si>
  <si>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</si>
  <si>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</si>
  <si>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</si>
  <si>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</si>
  <si>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</si>
  <si>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</si>
  <si>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</si>
  <si>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</si>
  <si>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</si>
  <si>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</si>
  <si>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</si>
  <si>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</si>
  <si>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</si>
  <si>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</si>
  <si>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</si>
  <si>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</si>
  <si>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</si>
  <si>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</si>
  <si>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</si>
  <si>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</si>
  <si>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</si>
  <si>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</si>
  <si>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</si>
  <si>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</si>
  <si>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</si>
  <si>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</si>
  <si>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</si>
  <si>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</si>
  <si>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</si>
  <si>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</si>
  <si>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</si>
  <si>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</si>
  <si>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</si>
  <si>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</si>
  <si>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</si>
  <si>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</si>
  <si>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</si>
  <si>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</si>
  <si>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</si>
  <si>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</si>
  <si>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</si>
  <si>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</si>
  <si>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</si>
  <si>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</si>
  <si>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</si>
  <si>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</si>
  <si>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</si>
  <si>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</si>
  <si>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</si>
  <si>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</si>
  <si>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</si>
  <si>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</si>
  <si>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</si>
  <si>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</si>
  <si>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</si>
  <si>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</si>
  <si>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</si>
  <si>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</si>
  <si>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</si>
  <si>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</si>
  <si>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</si>
  <si>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</si>
  <si>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</si>
  <si>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</si>
  <si>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</si>
  <si>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</si>
  <si>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</si>
  <si>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</si>
  <si>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</si>
  <si>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</si>
  <si>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</si>
  <si>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</si>
  <si>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</si>
  <si>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</si>
  <si>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</si>
  <si>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</si>
  <si>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</si>
  <si>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</si>
  <si>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</si>
  <si>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</si>
  <si>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</si>
  <si>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</si>
  <si>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</si>
  <si>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</si>
  <si>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</si>
  <si>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</si>
  <si>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</si>
  <si>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</si>
  <si>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</si>
  <si>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</si>
  <si>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</si>
  <si>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</si>
  <si>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</si>
  <si>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</si>
  <si>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</si>
  <si>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</si>
  <si>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</si>
  <si>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</si>
  <si>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</si>
  <si>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</si>
  <si>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</si>
  <si>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</si>
  <si>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</si>
  <si>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</si>
  <si>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</si>
  <si>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</si>
  <si>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</si>
  <si>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</si>
  <si>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</si>
  <si>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</si>
  <si>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</si>
  <si>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</si>
  <si>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</si>
  <si>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</si>
  <si>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</si>
  <si>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</si>
  <si>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</si>
  <si>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</si>
  <si>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</si>
  <si>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</si>
  <si>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</si>
  <si>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</si>
  <si>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</si>
  <si>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</si>
  <si>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</si>
  <si>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</si>
  <si>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</si>
  <si>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</si>
  <si>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</si>
  <si>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</si>
  <si>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</si>
  <si>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</si>
  <si>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</si>
  <si>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</si>
  <si>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</si>
  <si>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</si>
  <si>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</si>
  <si>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</si>
  <si>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</si>
  <si>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</si>
  <si>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</si>
  <si>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</si>
  <si>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</si>
  <si>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</si>
  <si>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</si>
  <si>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</si>
  <si>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</si>
  <si>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</si>
  <si>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</si>
  <si>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</si>
  <si>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</si>
  <si>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</si>
  <si>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</si>
  <si>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</si>
  <si>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</si>
  <si>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</si>
  <si>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</si>
  <si>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</si>
  <si>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</si>
  <si>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</si>
  <si>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</si>
  <si>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</si>
  <si>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</si>
  <si>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</si>
  <si>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</si>
  <si>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</si>
  <si>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</si>
  <si>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</si>
  <si>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</si>
  <si>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</si>
  <si>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</si>
  <si>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</si>
  <si>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</si>
  <si>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</si>
  <si>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</si>
  <si>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</si>
  <si>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</si>
  <si>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</si>
  <si>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</si>
  <si>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</si>
  <si>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</si>
  <si>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</si>
  <si>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</si>
  <si>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</si>
  <si>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</si>
  <si>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</si>
  <si>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</si>
  <si>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</si>
  <si>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</si>
  <si>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</si>
  <si>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</si>
  <si>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</si>
  <si>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</si>
  <si>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</si>
  <si>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</si>
  <si>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</si>
  <si>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</si>
  <si>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</si>
  <si>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</si>
  <si>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</si>
  <si>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</si>
  <si>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</si>
  <si>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</si>
  <si>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</si>
  <si>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</si>
  <si>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</si>
  <si>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</si>
  <si>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</si>
  <si>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</si>
  <si>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</si>
  <si>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</si>
  <si>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</si>
  <si>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</si>
  <si>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</si>
  <si>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</si>
  <si>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</si>
  <si>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</si>
  <si>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</si>
  <si>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</si>
  <si>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</si>
  <si>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</si>
  <si>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</si>
  <si>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</si>
  <si>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</si>
  <si>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</si>
  <si>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</si>
  <si>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</si>
  <si>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</si>
  <si>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</si>
  <si>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</si>
  <si>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</si>
  <si>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</si>
  <si>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</si>
  <si>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</si>
  <si>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</si>
  <si>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</si>
  <si>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</si>
  <si>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</si>
  <si>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</si>
  <si>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</si>
  <si>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</si>
  <si>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</si>
  <si>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</si>
  <si>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</si>
  <si>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</si>
  <si>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</si>
  <si>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</si>
  <si>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</si>
  <si>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</si>
  <si>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</si>
  <si>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</si>
  <si>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</si>
  <si>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</si>
  <si>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</si>
  <si>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</si>
  <si>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</si>
  <si>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</si>
  <si>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</si>
  <si>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</si>
  <si>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</si>
  <si>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</si>
  <si>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</si>
  <si>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</si>
  <si>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</si>
  <si>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</si>
  <si>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</si>
  <si>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</si>
  <si>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</si>
  <si>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</si>
  <si>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</si>
  <si>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</si>
  <si>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</si>
  <si>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</si>
  <si>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</si>
  <si>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</si>
  <si>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</si>
  <si>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</si>
  <si>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</si>
  <si>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</si>
  <si>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</si>
  <si>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</si>
  <si>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</si>
  <si>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</si>
  <si>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</si>
  <si>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</si>
  <si>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</si>
  <si>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</si>
  <si>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</si>
  <si>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</si>
  <si>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</si>
  <si>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</si>
  <si>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</si>
  <si>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</si>
  <si>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</si>
  <si>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</si>
  <si>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</si>
  <si>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</si>
  <si>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</si>
  <si>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</si>
  <si>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</si>
  <si>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</si>
  <si>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</si>
  <si>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</si>
  <si>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</si>
  <si>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</si>
  <si>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</si>
  <si>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</si>
  <si>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</si>
  <si>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</si>
  <si>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</si>
  <si>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</si>
  <si>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</si>
  <si>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</si>
  <si>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</si>
  <si>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</si>
  <si>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</si>
  <si>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</si>
  <si>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</si>
  <si>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</si>
  <si>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</si>
  <si>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</si>
  <si>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</si>
  <si>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</si>
  <si>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</si>
  <si>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</si>
  <si>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</si>
  <si>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</si>
  <si>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</si>
  <si>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</si>
  <si>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</si>
  <si>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</si>
  <si>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</si>
  <si>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</si>
  <si>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</si>
  <si>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</si>
  <si>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</si>
  <si>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</si>
  <si>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</si>
  <si>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</si>
  <si>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</si>
  <si>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</si>
  <si>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</si>
  <si>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</si>
  <si>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</si>
  <si>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</si>
  <si>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</si>
  <si>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</si>
  <si>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</si>
  <si>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</si>
  <si>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</si>
  <si>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</si>
  <si>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</si>
  <si>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</si>
  <si>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</si>
  <si>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</si>
  <si>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</si>
  <si>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</si>
  <si>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</si>
  <si>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</si>
  <si>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</si>
  <si>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</si>
  <si>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</si>
  <si>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</si>
  <si>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</si>
  <si>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</si>
  <si>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</si>
  <si>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</si>
  <si>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</si>
  <si>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</si>
  <si>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</si>
  <si>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</si>
  <si>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</si>
  <si>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</si>
  <si>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</si>
  <si>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</si>
  <si>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</si>
  <si>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</si>
  <si>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</si>
  <si>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</si>
  <si>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</si>
  <si>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</si>
  <si>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</si>
  <si>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</si>
  <si>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</si>
  <si>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</si>
  <si>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</si>
  <si>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</si>
  <si>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</si>
  <si>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</si>
  <si>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</si>
  <si>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</si>
  <si>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</si>
  <si>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</si>
  <si>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</si>
  <si>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</si>
  <si>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</si>
  <si>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</si>
  <si>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</si>
  <si>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</si>
  <si>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</si>
  <si>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</si>
  <si>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</si>
  <si>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</si>
  <si>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</si>
  <si>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</si>
  <si>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</si>
  <si>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</si>
  <si>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</si>
  <si>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</si>
  <si>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</si>
  <si>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</si>
  <si>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</si>
  <si>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</si>
  <si>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</si>
  <si>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</si>
  <si>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</si>
  <si>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</si>
  <si>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</si>
  <si>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</si>
  <si>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</si>
  <si>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</si>
  <si>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</si>
  <si>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</si>
  <si>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</si>
  <si>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</si>
  <si>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</si>
  <si>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</si>
  <si>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</si>
  <si>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</si>
  <si>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</si>
  <si>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</si>
  <si>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</si>
  <si>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</si>
  <si>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</si>
  <si>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</si>
  <si>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</si>
  <si>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</si>
  <si>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</si>
  <si>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</si>
  <si>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</si>
  <si>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</si>
  <si>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</si>
  <si>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</si>
  <si>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</si>
  <si>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</si>
  <si>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</si>
  <si>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</si>
  <si>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</si>
  <si>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</si>
  <si>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</si>
  <si>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</si>
  <si>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</si>
  <si>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</si>
  <si>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</si>
  <si>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</si>
  <si>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</si>
  <si>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</si>
  <si>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</si>
  <si>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</si>
  <si>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</si>
  <si>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</si>
  <si>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</si>
  <si>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</si>
  <si>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</si>
  <si>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</si>
  <si>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</si>
  <si>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</si>
  <si>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</si>
  <si>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</si>
  <si>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</si>
  <si>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</si>
  <si>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</si>
  <si>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</si>
  <si>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</si>
  <si>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</si>
  <si>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</si>
  <si>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</si>
  <si>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</si>
  <si>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</si>
  <si>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</si>
  <si>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</si>
  <si>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</si>
  <si>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</si>
  <si>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</si>
  <si>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</si>
  <si>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</si>
  <si>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</si>
  <si>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</si>
  <si>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</si>
  <si>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3 Въезд на базу\E33149364_8_20260128T130845Z.jpg</t>
  </si>
  <si>
    <t>ср 28.01.2026 — 13:08:45</t>
  </si>
  <si>
    <t>E33149364_8_20260129T121721Z.jpg</t>
  </si>
  <si>
    <t>3 Въезд на базу\E33149364_8_20260129T121721Z.jpg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</si>
  <si>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</si>
  <si>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</si>
  <si>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</si>
  <si>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</si>
  <si>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</si>
  <si>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</si>
  <si>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</si>
  <si>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</si>
  <si>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</si>
  <si>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</si>
  <si>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</si>
  <si>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</si>
  <si>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</si>
  <si>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</si>
  <si>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</si>
  <si>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</si>
  <si>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</si>
  <si>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</si>
  <si>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</si>
  <si>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</si>
  <si>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</si>
  <si>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</si>
  <si>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</si>
  <si>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</si>
  <si>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</si>
  <si>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</si>
  <si>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</si>
  <si>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</si>
  <si>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</si>
  <si>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</si>
  <si>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</si>
  <si>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</si>
  <si>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</si>
  <si>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</si>
  <si>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</si>
  <si>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</si>
  <si>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</si>
  <si>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</si>
  <si>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</si>
  <si>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</si>
  <si>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</si>
  <si>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</si>
  <si>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</si>
  <si>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</si>
  <si>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</si>
  <si>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</si>
  <si>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</si>
  <si>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9 Ангар пилорама\E33149364_1_20260128T091635Z.jpg</t>
  </si>
  <si>
    <t>ср 28.01.2026 — 09:16:35</t>
  </si>
  <si>
    <t>E33149364_1_20260128T100012Z.jpg</t>
  </si>
  <si>
    <t>9 Ангар пилорама\E33149364_1_20260128T100012Z.jpg</t>
  </si>
  <si>
    <t>ср 28.01.2026 — 10:00:12</t>
  </si>
  <si>
    <t>E33149364_1_20260128T100740Z.jpg</t>
  </si>
  <si>
    <t>9 Ангар пилорама\E33149364_1_20260128T100740Z.jpg</t>
  </si>
  <si>
    <t>ср 28.01.2026 — 10:07:40</t>
  </si>
  <si>
    <t>E33149364_1_20260128T100806Z.jpg</t>
  </si>
  <si>
    <t>9 Ангар пилорама\E33149364_1_20260128T100806Z.jpg</t>
  </si>
  <si>
    <t>ср 28.01.2026 — 10:08:06</t>
  </si>
  <si>
    <t>E33149364_1_20260128T153940Z.jpg</t>
  </si>
  <si>
    <t>9 Ангар пилорама\E33149364_1_20260128T153940Z.jpg</t>
  </si>
  <si>
    <t>ср 28.01.2026 — 15:39:40</t>
  </si>
  <si>
    <t>E33149364_1_20260128T154144Z.jpg</t>
  </si>
  <si>
    <t>9 Ангар пилорама\E33149364_1_20260128T154144Z.jpg</t>
  </si>
  <si>
    <t>ср 28.01.2026 — 15:41:44</t>
  </si>
  <si>
    <t>E33149364_1_20260128T212719Z.jpg</t>
  </si>
  <si>
    <t>9 Ангар пилорама\E33149364_1_20260128T212719Z.jpg</t>
  </si>
  <si>
    <t>ср 28.01.2026 — 21:27:19</t>
  </si>
  <si>
    <t>E33149364_1_20260129T104017Z.jpg</t>
  </si>
  <si>
    <t>9 Ангар пилорама\E33149364_1_20260129T104017Z.jpg</t>
  </si>
  <si>
    <t>чт 29.01.2026 — 10:40:17</t>
  </si>
  <si>
    <t>E33149364_1_20260129T115723Z.jpg</t>
  </si>
  <si>
    <t>9 Ангар пилорама\E33149364_1_20260129T115723Z.jpg</t>
  </si>
  <si>
    <t>чт 29.01.2026 — 11:57:23</t>
  </si>
  <si>
    <t>E33149364_1_20260129T123118Z.jpg</t>
  </si>
  <si>
    <t>9 Ангар пилорама\E33149364_1_20260129T123118Z.jpg</t>
  </si>
  <si>
    <t>чт 29.01.2026 — 12:31:18</t>
  </si>
  <si>
    <t>E33149364_1_20260129T125259Z.jpg</t>
  </si>
  <si>
    <t>9 Ангар пилорама\E33149364_1_20260129T125259Z.jpg</t>
  </si>
  <si>
    <t>чт 29.01.2026 — 12:52:59</t>
  </si>
  <si>
    <t>E33149364_1_20260129T160108Z.jpg</t>
  </si>
  <si>
    <t>9 Ангар пилорама\E33149364_1_20260129T160108Z.jpg</t>
  </si>
  <si>
    <t>чт 29.01.2026 — 16:01:08</t>
  </si>
  <si>
    <t>E33149364_3_20260128T100809Z.jpg</t>
  </si>
  <si>
    <t>10 Сушилка навес\E33149364_3_20260128T100809Z.jpg</t>
  </si>
  <si>
    <t>ср 28.01.2026 — 10:08:09</t>
  </si>
  <si>
    <t>E33149364_3_20260128T145004Z.jpg</t>
  </si>
  <si>
    <t>10 Сушилка навес\E33149364_3_20260128T145004Z.jpg</t>
  </si>
  <si>
    <t>ср 28.01.2026 — 14:50:04</t>
  </si>
  <si>
    <t>E33149364_3_20260128T153954Z.jpg</t>
  </si>
  <si>
    <t>10 Сушилка навес\E33149364_3_20260128T153954Z.jpg</t>
  </si>
  <si>
    <t>ср 28.01.2026 — 15:39:54</t>
  </si>
  <si>
    <t>E33149364_3_20260129T124710Z.jpg</t>
  </si>
  <si>
    <t>10 Сушилка навес\E33149364_3_20260129T124710Z.jpg</t>
  </si>
  <si>
    <t>чт 29.01.2026 — 12:47:10</t>
  </si>
  <si>
    <t>E33149364_3_20260129T140358Z.jpg</t>
  </si>
  <si>
    <t>10 Сушилка навес\E33149364_3_20260129T140358Z.jpg</t>
  </si>
  <si>
    <t>чт 29.01.2026 — 14:03:58</t>
  </si>
  <si>
    <t>E33149364_3_20260129T140823Z.jpg</t>
  </si>
  <si>
    <t>10 Сушилка навес\E33149364_3_20260129T140823Z.jpg</t>
  </si>
  <si>
    <t>чт 29.01.2026 — 14:08:23</t>
  </si>
  <si>
    <t>E33149364_3_20260129T150331Z.jpg</t>
  </si>
  <si>
    <t>10 Сушилка навес\E33149364_3_20260129T150331Z.jpg</t>
  </si>
  <si>
    <t>чт 29.01.2026 — 15:03:31</t>
  </si>
  <si>
    <t>E33149364_3_20260129T151234Z.jpg</t>
  </si>
  <si>
    <t>10 Сушилка навес\E33149364_3_20260129T151234Z.jpg</t>
  </si>
  <si>
    <t>чт 29.01.2026 — 15:12:34</t>
  </si>
  <si>
    <t>E33149364_3_20260129T164124Z.jpg</t>
  </si>
  <si>
    <t>10 Сушилка навес\E33149364_3_20260129T164124Z.jpg</t>
  </si>
  <si>
    <t>чт 29.01.2026 — 16:41:24</t>
  </si>
  <si>
    <t>E33149364_3_20260129T170550Z.jpg</t>
  </si>
  <si>
    <t>10 Сушилка навес\E33149364_3_20260129T170550Z.jpg</t>
  </si>
  <si>
    <t>чт 29.01.2026 — 17:05:50</t>
  </si>
  <si>
    <t>E33149364_4_20260128T153939Z.jpg</t>
  </si>
  <si>
    <t>11 С ангара на базу\E33149364_4_20260128T153939Z.jpg</t>
  </si>
  <si>
    <t>ср 28.01.2026 — 15:39:39</t>
  </si>
  <si>
    <t>E33149364_4_20260129T161142Z.jpg</t>
  </si>
  <si>
    <t>11 С ангара на базу\E33149364_4_20260129T161142Z.jpg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</si>
  <si>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</si>
  <si>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</si>
  <si>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</si>
  <si>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</si>
  <si>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</si>
  <si>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</si>
  <si>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</si>
  <si>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</si>
  <si>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</si>
  <si>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</si>
  <si>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</si>
  <si>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</si>
  <si>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</si>
  <si>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</si>
  <si>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</si>
  <si>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</si>
  <si>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</si>
  <si>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</si>
  <si>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</si>
  <si>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</si>
  <si>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</si>
  <si>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</si>
  <si>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</si>
  <si>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</si>
  <si>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</si>
  <si>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</si>
  <si>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</si>
  <si>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</si>
  <si>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</si>
  <si>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</si>
  <si>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</si>
  <si>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</si>
  <si>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2 Пилорама поката\E33149364_7_20260130T134217Z.jpg</t>
  </si>
  <si>
    <t>пт 30.01.2026 — 13:42:17</t>
  </si>
  <si>
    <t>E33149364_7_20260130T134723Z.jpg</t>
  </si>
  <si>
    <t>2 Пилорама поката\E33149364_7_20260130T134723Z.jpg</t>
  </si>
  <si>
    <t>пт 30.01.2026 — 13:47:23</t>
  </si>
  <si>
    <t>E33149364_8_20260130T103758Z.jpg</t>
  </si>
  <si>
    <t>3 Въезд на базу\E33149364_8_20260130T103758Z.jpg</t>
  </si>
  <si>
    <t>пт 30.01.2026 — 10:37:58</t>
  </si>
  <si>
    <t>E33149364_8_20260130T175152Z.jpg</t>
  </si>
  <si>
    <t>3 Въезд на базу\E33149364_8_20260130T175152Z.jpg</t>
  </si>
  <si>
    <t>пт 30.01.2026 — 17:51:52</t>
  </si>
  <si>
    <t>E33149364_6_20260130T084530Z.jpg</t>
  </si>
  <si>
    <t>1 Ангар Склад 2 въезд\E33149364_6_20260130T084530Z.jpg</t>
  </si>
  <si>
    <t>пт 30.01.2026 — 08:45:30</t>
  </si>
  <si>
    <t>E33149364_6_20260130T091943Z.jpg</t>
  </si>
  <si>
    <t>1 Ангар Склад 2 въезд\E33149364_6_20260130T091943Z.jpg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</si>
  <si>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</si>
  <si>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</si>
  <si>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</si>
  <si>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</si>
  <si>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</si>
  <si>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</si>
  <si>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</si>
  <si>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</si>
  <si>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</si>
  <si>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</si>
  <si>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</si>
  <si>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</si>
  <si>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</si>
  <si>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</si>
  <si>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</si>
  <si>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</si>
  <si>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</si>
  <si>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8 Рейсмус\E33149364_2_20260130T091624Z.jpg</t>
  </si>
  <si>
    <t>пт 30.01.2026 — 09:16:24</t>
  </si>
  <si>
    <t>E33149364_2_20260130T115317Z.jpg</t>
  </si>
  <si>
    <t>8 Рейсмус\E33149364_2_20260130T115317Z.jpg</t>
  </si>
  <si>
    <t>пт 30.01.2026 — 11:53:17</t>
  </si>
  <si>
    <t>E33149364_2_20260130T121450Z.jpg</t>
  </si>
  <si>
    <t>8 Рейсмус\E33149364_2_20260130T121450Z.jpg</t>
  </si>
  <si>
    <t>пт 30.01.2026 — 12:14:50</t>
  </si>
  <si>
    <t>E33149364_2_20260130T145910Z.jpg</t>
  </si>
  <si>
    <t>8 Рейсмус\E33149364_2_20260130T145910Z.jpg</t>
  </si>
  <si>
    <t>пт 30.01.2026 — 14:59:10</t>
  </si>
  <si>
    <t>E33149364_2_20260130T152222Z.jpg</t>
  </si>
  <si>
    <t>8 Рейсмус\E33149364_2_20260130T152222Z.jpg</t>
  </si>
  <si>
    <t>пт 30.01.2026 — 15:22:22</t>
  </si>
  <si>
    <t>E33149364_2_20260130T152527Z.jpg</t>
  </si>
  <si>
    <t>8 Рейсмус\E33149364_2_20260130T152527Z.jpg</t>
  </si>
  <si>
    <t>пт 30.01.2026 — 15:25:27</t>
  </si>
  <si>
    <t>E33149364_2_20260130T153803Z.jpg</t>
  </si>
  <si>
    <t>8 Рейсмус\E33149364_2_20260130T153803Z.jpg</t>
  </si>
  <si>
    <t>пт 30.01.2026 — 15:38:03</t>
  </si>
  <si>
    <t>E33149364_2_20260130T162000Z.jpg</t>
  </si>
  <si>
    <t>8 Рейсмус\E33149364_2_20260130T162000Z.jpg</t>
  </si>
  <si>
    <t>пт 30.01.2026 — 16:20:00</t>
  </si>
  <si>
    <t>E33149364_1_20260130T093449Z.jpg</t>
  </si>
  <si>
    <t>9 Ангар пилорама\E33149364_1_20260130T093449Z.jpg</t>
  </si>
  <si>
    <t>пт 30.01.2026 — 09:34:49</t>
  </si>
  <si>
    <t>E33149364_1_20260130T095645Z.jpg</t>
  </si>
  <si>
    <t>9 Ангар пилорама\E33149364_1_20260130T095645Z.jpg</t>
  </si>
  <si>
    <t>пт 30.01.2026 — 09:56:45</t>
  </si>
  <si>
    <t>E33149364_1_20260130T172001Z.jpg</t>
  </si>
  <si>
    <t>9 Ангар пилорама\E33149364_1_20260130T172001Z.jpg</t>
  </si>
  <si>
    <t>пт 30.01.2026 — 17:20:01</t>
  </si>
  <si>
    <t>E33149364_3_20260130T090022Z.jpg</t>
  </si>
  <si>
    <t>10 Сушилка навес\E33149364_3_20260130T090022Z.jpg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</si>
  <si>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</si>
  <si>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</si>
  <si>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</si>
  <si>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</si>
  <si>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</si>
  <si>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</si>
  <si>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</si>
  <si>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</si>
  <si>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</si>
  <si>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</si>
  <si>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</si>
  <si>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</si>
  <si>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</si>
  <si>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</si>
  <si>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10 Сушилка навес\E33149364_3_20260130T091340Z.jpg</t>
  </si>
  <si>
    <t>пт 30.01.2026 — 09:13:40</t>
  </si>
  <si>
    <t>E33149364_3_20260130T095133Z.jpg</t>
  </si>
  <si>
    <t>10 Сушилка навес\E33149364_3_20260130T095133Z.jpg</t>
  </si>
  <si>
    <t>пт 30.01.2026 — 09:51:33</t>
  </si>
  <si>
    <t>E33149364_3_20260130T134205Z.jpg</t>
  </si>
  <si>
    <t>10 Сушилка навес\E33149364_3_20260130T134205Z.jpg</t>
  </si>
  <si>
    <t>пт 30.01.2026 — 13:42:05</t>
  </si>
  <si>
    <t>E33149364_3_20260130T134746Z.jpg</t>
  </si>
  <si>
    <t>10 Сушилка навес\E33149364_3_20260130T134746Z.jpg</t>
  </si>
  <si>
    <t>пт 30.01.2026 — 13:47:46</t>
  </si>
  <si>
    <t>E33149364_3_20260130T143328Z.jpg</t>
  </si>
  <si>
    <t>10 Сушилка навес\E33149364_3_20260130T143328Z.jpg</t>
  </si>
  <si>
    <t>пт 30.01.2026 — 14:33:28</t>
  </si>
  <si>
    <t>E33149364_3_20260130T212848Z.jpg</t>
  </si>
  <si>
    <t>10 Сушилка навес\E33149364_3_20260130T212848Z.jpg</t>
  </si>
  <si>
    <t>пт 30.01.2026 — 21:28:48</t>
  </si>
  <si>
    <t>E33149364_4_20260130T170742Z.jpg</t>
  </si>
  <si>
    <t>11 С ангара на базу\E33149364_4_20260130T170742Z.jpg</t>
  </si>
  <si>
    <t>пт 30.01.2026 — 17:07:42</t>
  </si>
  <si>
    <t>E33149364_4_20260130T172509Z.jpg</t>
  </si>
  <si>
    <t>11 С ангара на базу\E33149364_4_20260130T172509Z.jpg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</si>
  <si>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</si>
  <si>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</si>
  <si>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</si>
  <si>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</si>
  <si>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</si>
  <si>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</si>
  <si>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</si>
  <si>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</si>
  <si>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</si>
  <si>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</si>
  <si>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</si>
  <si>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</si>
  <si>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</si>
  <si>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</si>
  <si>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</si>
  <si>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</si>
  <si>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</si>
  <si>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1 Ангар Склад 2 въезд\E33149364_6_20260131T114200Z.jpg</t>
  </si>
  <si>
    <t>сб 31.01.2026 — 11:42:00</t>
  </si>
  <si>
    <t>E33149364_6_20260131T120943Z.jpg</t>
  </si>
  <si>
    <t>1 Ангар Склад 2 въезд\E33149364_6_20260131T120943Z.jpg</t>
  </si>
  <si>
    <t>сб 31.01.2026 — 12:09:43</t>
  </si>
  <si>
    <t>E33149364_6_20260131T172238Z.jpg</t>
  </si>
  <si>
    <t>1 Ангар Склад 2 въезд\E33149364_6_20260131T172238Z.jpg</t>
  </si>
  <si>
    <t>сб 31.01.2026 — 17:22:38</t>
  </si>
  <si>
    <t>E33149364_6_20260201T160321Z.jpg</t>
  </si>
  <si>
    <t>1 Ангар Склад 2 въезд\E33149364_6_20260201T160321Z.jpg</t>
  </si>
  <si>
    <t>вс 01.02.2026 — 16:03:21</t>
  </si>
  <si>
    <t>E33149364_7_20260131T084147Z.jpg</t>
  </si>
  <si>
    <t>2 Пилорама поката\E33149364_7_20260131T084147Z.jpg</t>
  </si>
  <si>
    <t>сб 31.01.2026 — 08:41:47</t>
  </si>
  <si>
    <t>E33149364_7_20260201T172242Z.jpg</t>
  </si>
  <si>
    <t>2 Пилорама поката\E33149364_7_20260201T172242Z.jpg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</si>
  <si>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</si>
  <si>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</si>
  <si>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</si>
  <si>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</si>
  <si>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</si>
  <si>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</si>
  <si>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</si>
  <si>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</si>
  <si>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</si>
  <si>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</si>
  <si>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</si>
  <si>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</si>
  <si>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</si>
  <si>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</si>
  <si>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8 Рейсмус\E33149364_2_20260131T114838Z.jpg</t>
  </si>
  <si>
    <t>сб 31.01.2026 — 11:48:38</t>
  </si>
  <si>
    <t>E33149364_2_20260201T114844Z.jpg</t>
  </si>
  <si>
    <t>8 Рейсмус\E33149364_2_20260201T114844Z.jpg</t>
  </si>
  <si>
    <t>вс 01.02.2026 — 11:48:44</t>
  </si>
  <si>
    <t>E33149364_1_20260131T120701Z.jpg</t>
  </si>
  <si>
    <t>9 Ангар пилорама\E33149364_1_20260131T120701Z.jpg</t>
  </si>
  <si>
    <t>сб 31.01.2026 — 12:07:01</t>
  </si>
  <si>
    <t>E33149364_1_20260201T122350Z.jpg</t>
  </si>
  <si>
    <t>9 Ангар пилорама\E33149364_1_20260201T122350Z.jpg</t>
  </si>
  <si>
    <t>вс 01.02.2026 — 12:23:50</t>
  </si>
  <si>
    <t>E33149364_4_20260131T183137Z.jpg</t>
  </si>
  <si>
    <t>11 С ангара на базу\E33149364_4_20260131T183137Z.jpg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</si>
  <si>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</si>
  <si>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</si>
  <si>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</si>
  <si>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</si>
  <si>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</si>
  <si>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</si>
  <si>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</si>
  <si>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</si>
  <si>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3 Въезд на базу\E33149364_8_20260131T114212Z.jpg</t>
  </si>
  <si>
    <t>сб 31.01.2026 — 11:42:12</t>
  </si>
  <si>
    <t>E33149364_8_20260201T172346Z.jpg</t>
  </si>
  <si>
    <t>3 Въезд на базу\E33149364_8_20260201T172346Z.jpg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</si>
  <si>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</si>
  <si>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</si>
  <si>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</si>
  <si>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</si>
  <si>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</si>
  <si>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</si>
  <si>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</si>
  <si>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</si>
  <si>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</si>
  <si>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</si>
  <si>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</si>
  <si>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</si>
  <si>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</si>
  <si>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</si>
  <si>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</si>
  <si>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</si>
  <si>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</si>
  <si>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</si>
  <si>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</si>
  <si>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</si>
  <si>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</si>
  <si>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</si>
  <si>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</si>
  <si>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</si>
  <si>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</si>
  <si>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</si>
  <si>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</si>
  <si>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</si>
  <si>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</si>
  <si>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</si>
  <si>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</si>
  <si>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</si>
  <si>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</si>
  <si>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</si>
  <si>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</si>
  <si>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</si>
  <si>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</si>
  <si>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</si>
  <si>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</si>
  <si>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</si>
  <si>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</si>
  <si>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</si>
  <si>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</si>
  <si>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</si>
  <si>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10 Сушилка навес\E33149364_3_20260131T120735Z.jpg</t>
  </si>
  <si>
    <t>сб 31.01.2026 — 12:07:35</t>
  </si>
  <si>
    <t>E33149364_3_20260201T123215Z.jpg</t>
  </si>
  <si>
    <t>10 Сушилка навес\E33149364_3_20260201T123215Z.jpg</t>
  </si>
  <si>
    <t>вс 01.02.2026 — 12:32:15</t>
  </si>
  <si>
    <t>E33149364_3_20260201T124520Z.jpg</t>
  </si>
  <si>
    <t>10 Сушилка навес\E33149364_3_20260201T124520Z.jpg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</si>
  <si>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</si>
  <si>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</si>
  <si>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</si>
  <si>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</si>
  <si>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</si>
  <si>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</si>
  <si>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</si>
  <si>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</si>
  <si>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</si>
  <si>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</si>
  <si>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</si>
  <si>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</si>
  <si>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</si>
  <si>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</si>
  <si>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</si>
  <si>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</si>
  <si>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</si>
  <si>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</si>
  <si>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</si>
  <si>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11 С ангара на базу\E33149364_4_20260201T183137Z.jpg</t>
  </si>
  <si>
    <t>вс 01.02.2026 — 18:31:37</t>
  </si>
  <si>
    <t>нет записей камеры</t>
  </si>
  <si>
    <t>E33149364_7_20260202T155935Z.jpg</t>
  </si>
  <si>
    <t>2 Пилорама поката\E33149364_7_20260202T155935Z.jpg</t>
  </si>
  <si>
    <t>пн 02.02.2026 — 15:59:35</t>
  </si>
  <si>
    <t>E33149364_7_20260203T144526Z.jpg</t>
  </si>
  <si>
    <t>2 Пилорама поката\E33149364_7_20260203T144526Z.jpg</t>
  </si>
  <si>
    <t>вт 03.02.2026 — 14:45:26</t>
  </si>
  <si>
    <t>E33149364_6_20260202T171915Z.jpg</t>
  </si>
  <si>
    <t>1 Ангар Склад 2 въезд\E33149364_6_20260202T171915Z.jpg</t>
  </si>
  <si>
    <t>пн 02.02.2026 — 17:19:15</t>
  </si>
  <si>
    <t>E33149364_6_20260203T104127Z.jpg</t>
  </si>
  <si>
    <t>1 Ангар Склад 2 въезд\E33149364_6_20260203T104127Z.jpg</t>
  </si>
  <si>
    <t>вт 03.02.2026 — 10:41:27</t>
  </si>
  <si>
    <t>E33149364_6_20260203T133708Z.jpg</t>
  </si>
  <si>
    <t>1 Ангар Склад 2 въезд\E33149364_6_20260203T133708Z.jpg</t>
  </si>
  <si>
    <t>вт 03.02.2026 — 13:37:08</t>
  </si>
  <si>
    <t>E33149364_6_20260203T190330Z.jpg</t>
  </si>
  <si>
    <t>1 Ангар Склад 2 въезд\E33149364_6_20260203T190330Z.jpg</t>
  </si>
  <si>
    <t>вт 03.02.2026 — 19:03:30</t>
  </si>
  <si>
    <t>E33149364_6_20260203T200535Z.jpg</t>
  </si>
  <si>
    <t>1 Ангар Склад 2 въезд\E33149364_6_20260203T200535Z.jpg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</si>
  <si>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</si>
  <si>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</si>
  <si>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</si>
  <si>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</si>
  <si>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</si>
  <si>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</si>
  <si>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</si>
  <si>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</si>
  <si>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</si>
  <si>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</si>
  <si>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</si>
  <si>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</si>
  <si>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</si>
  <si>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</si>
  <si>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3 Въезд на базу\E33149364_8_20260202T101543Z.jpg</t>
  </si>
  <si>
    <t>пн 02.02.2026 — 10:15:43</t>
  </si>
  <si>
    <t>E33149364_8_20260203T104152Z.jpg</t>
  </si>
  <si>
    <t>3 Въезд на базу\E33149364_8_20260203T104152Z.jpg</t>
  </si>
  <si>
    <t>вт 03.02.2026 — 10:41:52</t>
  </si>
  <si>
    <t>E33149364_8_20260203T164927Z.jpg</t>
  </si>
  <si>
    <t>3 Въезд на базу\E33149364_8_20260203T164927Z.jpg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</si>
  <si>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</si>
  <si>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</si>
  <si>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</si>
  <si>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</si>
  <si>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</si>
  <si>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</si>
  <si>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</si>
  <si>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</si>
  <si>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</si>
  <si>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</si>
  <si>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</si>
  <si>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</si>
  <si>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</si>
  <si>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</si>
  <si>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</si>
  <si>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</si>
  <si>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</si>
  <si>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</si>
  <si>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</si>
  <si>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</si>
  <si>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8 Рейсмус\E33149364_2_20260202T092619Z.jpg</t>
  </si>
  <si>
    <t>пн 02.02.2026 — 09:26:19</t>
  </si>
  <si>
    <t>E33149364_2_20260202T115135Z.jpg</t>
  </si>
  <si>
    <t>8 Рейсмус\E33149364_2_20260202T115135Z.jpg</t>
  </si>
  <si>
    <t>пн 02.02.2026 — 11:51:35</t>
  </si>
  <si>
    <t>E33149364_2_20260202T153232Z.jpg</t>
  </si>
  <si>
    <t>8 Рейсмус\E33149364_2_20260202T153232Z.jpg</t>
  </si>
  <si>
    <t>пн 02.02.2026 — 15:32:32</t>
  </si>
  <si>
    <t>E33149364_2_20260202T163141Z.jpg</t>
  </si>
  <si>
    <t>8 Рейсмус\E33149364_2_20260202T163141Z.jpg</t>
  </si>
  <si>
    <t>пн 02.02.2026 — 16:31:41</t>
  </si>
  <si>
    <t>E33149364_2_20260203T122136Z.jpg</t>
  </si>
  <si>
    <t>8 Рейсмус\E33149364_2_20260203T122136Z.jpg</t>
  </si>
  <si>
    <t>вт 03.02.2026 — 12:21:36</t>
  </si>
  <si>
    <t>E33149364_2_20260203T153729Z.jpg</t>
  </si>
  <si>
    <t>8 Рейсмус\E33149364_2_20260203T153729Z.jpg</t>
  </si>
  <si>
    <t>вт 03.02.2026 — 15:37:29</t>
  </si>
  <si>
    <t>E33149364_2_20260203T154737Z.jpg</t>
  </si>
  <si>
    <t>8 Рейсмус\E33149364_2_20260203T154737Z.jpg</t>
  </si>
  <si>
    <t>вт 03.02.2026 — 15:47:37</t>
  </si>
  <si>
    <t>E33149364_2_20260203T210330Z.jpg</t>
  </si>
  <si>
    <t>8 Рейсмус\E33149364_2_20260203T210330Z.jpg</t>
  </si>
  <si>
    <t>вт 03.02.2026 — 21:03:30</t>
  </si>
  <si>
    <t>E33149364_2_20260203T215006Z.jpg</t>
  </si>
  <si>
    <t>8 Рейсмус\E33149364_2_20260203T215006Z.jpg</t>
  </si>
  <si>
    <t>вт 03.02.2026 — 21:50:06</t>
  </si>
  <si>
    <t>E33149364_1_20260202T093049Z.jpg</t>
  </si>
  <si>
    <t>9 Ангар пилорама\E33149364_1_20260202T093049Z.jpg</t>
  </si>
  <si>
    <t>пн 02.02.2026 — 09:30:49</t>
  </si>
  <si>
    <t>E33149364_1_20260202T094403Z.jpg</t>
  </si>
  <si>
    <t>9 Ангар пилорама\E33149364_1_20260202T094403Z.jpg</t>
  </si>
  <si>
    <t>пн 02.02.2026 — 09:44:03</t>
  </si>
  <si>
    <t>E33149364_1_20260202T095914Z.jpg</t>
  </si>
  <si>
    <t>9 Ангар пилорама\E33149364_1_20260202T095914Z.jpg</t>
  </si>
  <si>
    <t>пн 02.02.2026 — 09:59:14</t>
  </si>
  <si>
    <t>E33149364_1_20260202T225644Z.jpg</t>
  </si>
  <si>
    <t>9 Ангар пилорама\E33149364_1_20260202T225644Z.jpg</t>
  </si>
  <si>
    <t>пн 02.02.2026 — 22:56:44</t>
  </si>
  <si>
    <t>E33149364_1_20260203T122518Z.jpg</t>
  </si>
  <si>
    <t>9 Ангар пилорама\E33149364_1_20260203T122518Z.jpg</t>
  </si>
  <si>
    <t>вт 03.02.2026 — 12:25:18</t>
  </si>
  <si>
    <t>E33149364_1_20260203T123538Z.jpg</t>
  </si>
  <si>
    <t>9 Ангар пилорама\E33149364_1_20260203T123538Z.jpg</t>
  </si>
  <si>
    <t>вт 03.02.2026 — 12:35:38</t>
  </si>
  <si>
    <t>E33149364_1_20260203T151606Z.jpg</t>
  </si>
  <si>
    <t>9 Ангар пилорама\E33149364_1_20260203T151606Z.jpg</t>
  </si>
  <si>
    <t>вт 03.02.2026 — 15:16:06</t>
  </si>
  <si>
    <t>E33149364_1_20260203T163036Z.jpg</t>
  </si>
  <si>
    <t>9 Ангар пилорама\E33149364_1_20260203T163036Z.jpg</t>
  </si>
  <si>
    <t>вт 03.02.2026 — 16:30:36</t>
  </si>
  <si>
    <t>E33149364_1_20260203T213906Z.jpg</t>
  </si>
  <si>
    <t>9 Ангар пилорама\E33149364_1_20260203T213906Z.jpg</t>
  </si>
  <si>
    <t>вт 03.02.2026 — 21:39:06</t>
  </si>
  <si>
    <t>E33149364_3_20260202T092657Z.jpg</t>
  </si>
  <si>
    <t>10 Сушилка навес\E33149364_3_20260202T092657Z.jpg</t>
  </si>
  <si>
    <t>пн 02.02.2026 — 09:26:57</t>
  </si>
  <si>
    <t>E33149364_3_20260202T094346Z.jpg</t>
  </si>
  <si>
    <t>10 Сушилка навес\E33149364_3_20260202T094346Z.jpg</t>
  </si>
  <si>
    <t>пн 02.02.2026 — 09:43:46</t>
  </si>
  <si>
    <t>E33149364_3_20260202T100046Z.jpg</t>
  </si>
  <si>
    <t>10 Сушилка навес\E33149364_3_20260202T100046Z.jpg</t>
  </si>
  <si>
    <t>пн 02.02.2026 — 10:00:46</t>
  </si>
  <si>
    <t>E33149364_3_20260202T115235Z.jpg</t>
  </si>
  <si>
    <t>10 Сушилка навес\E33149364_3_20260202T115235Z.jpg</t>
  </si>
  <si>
    <t>пн 02.02.2026 — 11:52:35</t>
  </si>
  <si>
    <t>E33149364_3_20260203T110411Z.jpg</t>
  </si>
  <si>
    <t>10 Сушилка навес\E33149364_3_20260203T110411Z.jpg</t>
  </si>
  <si>
    <t>вт 03.02.2026 — 11:04:11</t>
  </si>
  <si>
    <t>E33149364_3_20260203T131924Z.jpg</t>
  </si>
  <si>
    <t>10 Сушилка навес\E33149364_3_20260203T131924Z.jpg</t>
  </si>
  <si>
    <t>вт 03.02.2026 — 13:19:24</t>
  </si>
  <si>
    <t>E33149364_3_20260203T142624Z.jpg</t>
  </si>
  <si>
    <t>10 Сушилка навес\E33149364_3_20260203T142624Z.jpg</t>
  </si>
  <si>
    <t>вт 03.02.2026 — 14:26:24</t>
  </si>
  <si>
    <t>E33149364_3_20260203T143305Z.jpg</t>
  </si>
  <si>
    <t>10 Сушилка навес\E33149364_3_20260203T143305Z.jpg</t>
  </si>
  <si>
    <t>вт 03.02.2026 — 14:33:05</t>
  </si>
  <si>
    <t>E33149364_3_20260203T152121Z.jpg</t>
  </si>
  <si>
    <t>10 Сушилка навес\E33149364_3_20260203T152121Z.jpg</t>
  </si>
  <si>
    <t>вт 03.02.2026 — 15:21:21</t>
  </si>
  <si>
    <t>E33149364_3_20260203T161002Z.jpg</t>
  </si>
  <si>
    <t>10 Сушилка навес\E33149364_3_20260203T161002Z.jpg</t>
  </si>
  <si>
    <t>вт 03.02.2026 — 16:10:02</t>
  </si>
  <si>
    <t>E33149364_4_20260202T161957Z.jpg</t>
  </si>
  <si>
    <t>11 С ангара на базу\E33149364_4_20260202T161957Z.jpg</t>
  </si>
  <si>
    <t>пн 02.02.2026 — 16:19:57</t>
  </si>
  <si>
    <t>E33149364_4_20260203T112617Z.jpg</t>
  </si>
  <si>
    <t>11 С ангара на базу\E33149364_4_20260203T112617Z.jpg</t>
  </si>
  <si>
    <t>вт 03.02.2026 — 11:26:17</t>
  </si>
  <si>
    <t>E33149364_4_20260203T112928Z.jpg</t>
  </si>
  <si>
    <t>11 С ангара на базу\E33149364_4_20260203T112928Z.jpg</t>
  </si>
  <si>
    <t>вт 03.02.2026 — 11:29:28</t>
  </si>
  <si>
    <t>E33149364_4_20260203T113157Z.jpg</t>
  </si>
  <si>
    <t>11 С ангара на базу\E33149364_4_20260203T113157Z.jpg</t>
  </si>
  <si>
    <t>вт 03.02.2026 — 11:31:57</t>
  </si>
  <si>
    <t>E33149364_4_20260203T113428Z.jpg</t>
  </si>
  <si>
    <t>11 С ангара на базу\E33149364_4_20260203T113428Z.jpg</t>
  </si>
  <si>
    <t>вт 03.02.2026 — 11:34:28</t>
  </si>
  <si>
    <t>E33149364_4_20260203T113841Z.jpg</t>
  </si>
  <si>
    <t>11 С ангара на базу\E33149364_4_20260203T113841Z.jpg</t>
  </si>
  <si>
    <t>вт 03.02.2026 — 11:38:41</t>
  </si>
  <si>
    <t>E33149364_4_20260203T114130Z.jpg</t>
  </si>
  <si>
    <t>11 С ангара на базу\E33149364_4_20260203T114130Z.jpg</t>
  </si>
  <si>
    <t>вт 03.02.2026 — 11:41:30</t>
  </si>
  <si>
    <t>E33149364_4_20260203T114648Z.jpg</t>
  </si>
  <si>
    <t>11 С ангара на базу\E33149364_4_20260203T114648Z.jpg</t>
  </si>
  <si>
    <t>вт 03.02.2026 — 11:46:48</t>
  </si>
  <si>
    <t>E33149364_4_20260203T114956Z.jpg</t>
  </si>
  <si>
    <t>11 С ангара на базу\E33149364_4_20260203T114956Z.jpg</t>
  </si>
  <si>
    <t>вт 03.02.2026 — 11:49:56</t>
  </si>
  <si>
    <t>E33149364_4_20260203T115307Z.jpg</t>
  </si>
  <si>
    <t>11 С ангара на базу\E33149364_4_20260203T115307Z.jpg</t>
  </si>
  <si>
    <t>вт 03.02.2026 — 11:53:07</t>
  </si>
  <si>
    <t>E33149364_4_20260203T120119Z.jpg</t>
  </si>
  <si>
    <t>11 С ангара на базу\E33149364_4_20260203T120119Z.jpg</t>
  </si>
  <si>
    <t>вт 03.02.2026 — 12:01:19</t>
  </si>
  <si>
    <t>E33149364_4_20260203T120344Z.jpg</t>
  </si>
  <si>
    <t>11 С ангара на базу\E33149364_4_20260203T120344Z.jpg</t>
  </si>
  <si>
    <t>вт 03.02.2026 — 12:03:44</t>
  </si>
  <si>
    <t>E33149364_4_20260203T120622Z.jpg</t>
  </si>
  <si>
    <t>11 С ангара на базу\E33149364_4_20260203T120622Z.jpg</t>
  </si>
  <si>
    <t>вт 03.02.2026 — 12:06:22</t>
  </si>
  <si>
    <t>E33149364_4_20260203T121657Z.jpg</t>
  </si>
  <si>
    <t>11 С ангара на базу\E33149364_4_20260203T121657Z.jpg</t>
  </si>
  <si>
    <t>вт 03.02.2026 — 12:16:57</t>
  </si>
  <si>
    <t>E33149364_4_20260203T122129Z.jpg</t>
  </si>
  <si>
    <t>11 С ангара на базу\E33149364_4_20260203T122129Z.jpg</t>
  </si>
  <si>
    <t>вт 03.02.2026 — 12:21:29</t>
  </si>
  <si>
    <t>E33149364_4_20260203T122510Z.jpg</t>
  </si>
  <si>
    <t>11 С ангара на базу\E33149364_4_20260203T122510Z.jpg</t>
  </si>
  <si>
    <t>вт 03.02.2026 — 12:25:10</t>
  </si>
  <si>
    <t>E33149364_4_20260203T122753Z.jpg</t>
  </si>
  <si>
    <t>11 С ангара на базу\E33149364_4_20260203T122753Z.jpg</t>
  </si>
  <si>
    <t>вт 03.02.2026 — 12:27:53</t>
  </si>
  <si>
    <t>E33149364_4_20260203T123139Z.jpg</t>
  </si>
  <si>
    <t>11 С ангара на базу\E33149364_4_20260203T123139Z.jpg</t>
  </si>
  <si>
    <t>вт 03.02.2026 — 12:31:39</t>
  </si>
  <si>
    <t>E33149364_4_20260203T123245Z.jpg</t>
  </si>
  <si>
    <t>11 С ангара на базу\E33149364_4_20260203T123245Z.jpg</t>
  </si>
  <si>
    <t>вт 03.02.2026 — 12:32:45</t>
  </si>
  <si>
    <t>E33149364_4_20260203T123655Z.jpg</t>
  </si>
  <si>
    <t>11 С ангара на базу\E33149364_4_20260203T123655Z.jpg</t>
  </si>
  <si>
    <t>вт 03.02.2026 — 12:36:55</t>
  </si>
  <si>
    <t>E33149364_4_20260203T123800Z.jpg</t>
  </si>
  <si>
    <t>11 С ангара на базу\E33149364_4_20260203T123800Z.jpg</t>
  </si>
  <si>
    <t>вт 03.02.2026 — 12:38:00</t>
  </si>
  <si>
    <t>E33149364_4_20260203T124059Z.jpg</t>
  </si>
  <si>
    <t>11 С ангара на базу\E33149364_4_20260203T124059Z.jpg</t>
  </si>
  <si>
    <t>вт 03.02.2026 — 12:40:59</t>
  </si>
  <si>
    <t>E33149364_4_20260203T124859Z.jpg</t>
  </si>
  <si>
    <t>11 С ангара на базу\E33149364_4_20260203T124859Z.jpg</t>
  </si>
  <si>
    <t>вт 03.02.2026 — 12:48:59</t>
  </si>
  <si>
    <t>E33149364_4_20260203T125047Z.jpg</t>
  </si>
  <si>
    <t>11 С ангара на базу\E33149364_4_20260203T125047Z.jpg</t>
  </si>
  <si>
    <t>вт 03.02.2026 — 12:50:47</t>
  </si>
  <si>
    <t>E33149364_4_20260203T125349Z.jpg</t>
  </si>
  <si>
    <t>11 С ангара на базу\E33149364_4_20260203T125349Z.jpg</t>
  </si>
  <si>
    <t>вт 03.02.2026 — 12:53:49</t>
  </si>
  <si>
    <t>E33149364_4_20260203T131857Z.jpg</t>
  </si>
  <si>
    <t>11 С ангара на базу\E33149364_4_20260203T131857Z.jpg</t>
  </si>
  <si>
    <t>вт 03.02.2026 — 13:18:57</t>
  </si>
  <si>
    <t>E33149364_4_20260203T150435Z.jpg</t>
  </si>
  <si>
    <t>11 С ангара на базу\E33149364_4_20260203T150435Z.jpg</t>
  </si>
  <si>
    <t>вт 03.02.2026 — 15:04:35</t>
  </si>
  <si>
    <t>E33149364_4_20260203T151120Z.jpg</t>
  </si>
  <si>
    <t>11 С ангара на базу\E33149364_4_20260203T151120Z.jpg</t>
  </si>
  <si>
    <t>вт 03.02.2026 — 15:11:20</t>
  </si>
  <si>
    <t>E33149364_4_20260203T152811Z.jpg</t>
  </si>
  <si>
    <t>11 С ангара на базу\E33149364_4_20260203T152811Z.jpg</t>
  </si>
  <si>
    <t>вт 03.02.2026 — 15:28:11</t>
  </si>
  <si>
    <t>E33149364_4_20260203T153607Z.jpg</t>
  </si>
  <si>
    <t>11 С ангара на базу\E33149364_4_20260203T153607Z.jpg</t>
  </si>
  <si>
    <t>вт 03.02.2026 — 15:36:07</t>
  </si>
  <si>
    <t>E33149364_4_20260203T163620Z.jpg</t>
  </si>
  <si>
    <t>11 С ангара на базу\E33149364_4_20260203T163620Z.jpg</t>
  </si>
  <si>
    <t>вт 03.02.2026 — 16:36:20</t>
  </si>
  <si>
    <t>E33149364_4_20260203T170703Z.jpg</t>
  </si>
  <si>
    <t>11 С ангара на базу\E33149364_4_20260203T170703Z.jpg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</si>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</sst>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833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40" tableType="queryTable" totalsRowShown="0">
  <autoFilter ref="A1:N240" xr:uid="{B468AF39-21AE-47BD-BA18-EADB2FC1D520}"/>
  <tableColumns count="14">
    <tableColumn id="11" xr3:uid="{6F8E650D-029B-40AD-86B4-92C160128A4F}" uniqueName="11" name="День нед" queryTableFieldId="39" dataDxfId="822"/>
    <tableColumn id="8" xr3:uid="{7C2AA400-8F21-45B7-B47D-9CF2CFB5DD00}" uniqueName="8" name="Дата" queryTableFieldId="19" dataDxfId="821"/>
    <tableColumn id="9" xr3:uid="{7CB7ABF0-C98D-49E4-A494-985A43D5F40F}" uniqueName="9" name="Время" queryTableFieldId="20" dataDxfId="820"/>
    <tableColumn id="5" xr3:uid="{613A944B-9245-4C6D-9CCE-5037AD552DED}" uniqueName="5" name="Событие" queryTableFieldId="27" dataDxfId="819"/>
    <tableColumn id="7" xr3:uid="{FFEA85A5-3527-4483-91CE-57F760AB9F33}" uniqueName="7" name="Объект" queryTableFieldId="29" dataDxfId="818"/>
    <tableColumn id="10" xr3:uid="{A2E2C27E-C1B2-4B74-A427-E1854B0E2C76}" uniqueName="10" name="Груз" queryTableFieldId="30" dataDxfId="81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816"/>
    <tableColumn id="4" xr3:uid="{B2B57637-8A7D-4C5F-A6F8-E38F3EA43620}" uniqueName="4" name="Name" queryTableFieldId="14" dataDxfId="815"/>
    <tableColumn id="1" xr3:uid="{79275791-6385-434B-9F1B-8BDC003824A7}" uniqueName="1" name="Folder Path" queryTableFieldId="11" dataDxfId="81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81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81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70" tableType="queryTable" totalsRowShown="0">
  <autoFilter ref="A1:M270" xr:uid="{B468AF39-21AE-47BD-BA18-EADB2FC1D520}"/>
  <tableColumns count="13">
    <tableColumn id="11" xr3:uid="{6804E693-7D64-41A5-9B58-B7D348C4DC92}" uniqueName="11" name="День нед" queryTableFieldId="39" dataDxfId="811"/>
    <tableColumn id="8" xr3:uid="{40827FD9-94EC-4CF6-B212-59CF3E913897}" uniqueName="8" name="Дата" queryTableFieldId="19" dataDxfId="810"/>
    <tableColumn id="9" xr3:uid="{1F8E8ADE-5BFB-4171-9A0A-859E22042D3B}" uniqueName="9" name="Время" queryTableFieldId="20" dataDxfId="809"/>
    <tableColumn id="5" xr3:uid="{9D19F2E1-3C70-4F2F-8ED7-6D41C17A9366}" uniqueName="5" name="Событие" queryTableFieldId="27" dataDxfId="808"/>
    <tableColumn id="7" xr3:uid="{8C8CC69A-BA0A-4417-AE7D-B89E26F69F9B}" uniqueName="7" name="Объект" queryTableFieldId="29" dataDxfId="807"/>
    <tableColumn id="10" xr3:uid="{375C36FB-077D-4AA3-B6F7-74ACE46C2638}" uniqueName="10" name="Груз" queryTableFieldId="30" dataDxfId="80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805"/>
    <tableColumn id="4" xr3:uid="{4A5BB282-D54C-4C68-A1D9-B3A819F9FCF6}" uniqueName="4" name="Name" queryTableFieldId="14" dataDxfId="804"/>
    <tableColumn id="1" xr3:uid="{7BD19058-41FF-4EFE-8283-68501A5B1623}" uniqueName="1" name="Folder Path" queryTableFieldId="11" dataDxfId="80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80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49" tableType="queryTable" totalsRowShown="0">
  <autoFilter ref="A1:M149" xr:uid="{B468AF39-21AE-47BD-BA18-EADB2FC1D520}"/>
  <tableColumns count="13">
    <tableColumn id="11" xr3:uid="{8C7989A8-AE95-4BFB-859E-9F3F94DCD873}" uniqueName="11" name="День нед" queryTableFieldId="39" dataDxfId="801"/>
    <tableColumn id="8" xr3:uid="{B651DAE5-1AB7-4761-9820-CB58DA0D9C46}" uniqueName="8" name="Дата" queryTableFieldId="19" dataDxfId="800"/>
    <tableColumn id="9" xr3:uid="{22B6AE73-6E8B-4F81-B85C-3D141AD4D773}" uniqueName="9" name="Время" queryTableFieldId="20" dataDxfId="799"/>
    <tableColumn id="5" xr3:uid="{CB5AF0FF-A861-4F29-BFD9-751A47066C68}" uniqueName="5" name="Событие" queryTableFieldId="27" dataDxfId="798"/>
    <tableColumn id="7" xr3:uid="{63916370-0910-4B95-ABB4-D88865AA9E43}" uniqueName="7" name="Объект" queryTableFieldId="29" dataDxfId="797"/>
    <tableColumn id="10" xr3:uid="{DDC7656E-7390-4778-A2CE-EEC7AC518263}" uniqueName="10" name="Груз" queryTableFieldId="30" dataDxfId="796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795"/>
    <tableColumn id="4" xr3:uid="{96665EED-E1B8-437C-869A-35CB5BA419D3}" uniqueName="4" name="Name" queryTableFieldId="14" dataDxfId="794"/>
    <tableColumn id="1" xr3:uid="{1F225BD8-B59D-4058-9D99-17124C1F38FB}" uniqueName="1" name="Folder Path" queryTableFieldId="11" dataDxfId="793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792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72" tableType="queryTable" totalsRowShown="0">
  <tableColumns count="13">
    <tableColumn id="11" xr3:uid="{F25D1388-C4DF-49FB-9BF5-0132CEDCCAEA}" uniqueName="11" name="День нед" queryTableFieldId="39" dataDxfId="791"/>
    <tableColumn id="8" xr3:uid="{9EDCCA26-9FD6-4F66-9134-186F89CA663B}" uniqueName="8" name="Дата" queryTableFieldId="19" dataDxfId="790"/>
    <tableColumn id="9" xr3:uid="{FB005DB9-8D3C-48A5-94F1-246606C665DD}" uniqueName="9" name="Время" queryTableFieldId="20" dataDxfId="789"/>
    <tableColumn id="5" xr3:uid="{6D19407C-64CF-4FC5-95E7-163AA12EB226}" uniqueName="5" name="Событие" queryTableFieldId="27" dataDxfId="788"/>
    <tableColumn id="7" xr3:uid="{007BF834-0BCB-4416-8941-11DA4EDFCE5B}" uniqueName="7" name="Объект" queryTableFieldId="29" dataDxfId="787"/>
    <tableColumn id="10" xr3:uid="{E896F002-4451-441D-B0CB-52AD69A6E5C3}" uniqueName="10" name="Груз" queryTableFieldId="30" dataDxfId="78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785"/>
    <tableColumn id="4" xr3:uid="{9F6560FA-27F8-4BE9-BA58-3B0E40F582E5}" uniqueName="4" name="Name" queryTableFieldId="14" dataDxfId="784"/>
    <tableColumn id="1" xr3:uid="{44892CD0-9118-4535-9434-E49462140346}" uniqueName="1" name="Folder Path" queryTableFieldId="11" dataDxfId="78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78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08" tableType="queryTable" totalsRowShown="0">
  <tableColumns count="13">
    <tableColumn id="11" xr3:uid="{390CB009-E9E0-4C0F-93C3-AF6B408B816B}" uniqueName="11" name="День нед" queryTableFieldId="39" dataDxfId="832"/>
    <tableColumn id="8" xr3:uid="{E0A1C296-A368-479C-9A74-85306B3C03D4}" uniqueName="8" name="Дата" queryTableFieldId="19" dataDxfId="831"/>
    <tableColumn id="9" xr3:uid="{86401298-83EB-49D3-ACBA-E743586F5CCB}" uniqueName="9" name="Время" queryTableFieldId="20" dataDxfId="830"/>
    <tableColumn id="5" xr3:uid="{FFB4F03A-A400-4544-A729-2375A1F7D5E8}" uniqueName="5" name="Событие" queryTableFieldId="27" dataDxfId="829"/>
    <tableColumn id="7" xr3:uid="{D96DCF3C-D325-4D0C-94A1-DBE97CC5C9DC}" uniqueName="7" name="Объект" queryTableFieldId="29" dataDxfId="828"/>
    <tableColumn id="10" xr3:uid="{76D99262-42F5-447E-95AC-9C2A84BF344C}" uniqueName="10" name="Груз" queryTableFieldId="30" dataDxfId="827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826"/>
    <tableColumn id="4" xr3:uid="{D16AEB37-7A8A-406F-8ED7-B8D53BAA9BD9}" uniqueName="4" name="Name" queryTableFieldId="14" dataDxfId="825"/>
    <tableColumn id="1" xr3:uid="{1746BE5F-089A-476F-AE8D-5F2B27E9AEEA}" uniqueName="1" name="Folder Path" queryTableFieldId="11" dataDxfId="824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823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28" tableType="queryTable" totalsRowShown="0">
  <tableColumns count="13">
    <tableColumn id="11" xr3:uid="{45D23538-AB74-404E-8577-E2B7A36436AF}" uniqueName="11" name="День нед" queryTableFieldId="39" dataDxfId="781"/>
    <tableColumn id="8" xr3:uid="{40B01B94-168F-4547-A2BC-AA7F91350AB3}" uniqueName="8" name="Дата" queryTableFieldId="19" dataDxfId="780"/>
    <tableColumn id="9" xr3:uid="{A2C94EFB-3081-4BA9-85C2-DFF0455AFA43}" uniqueName="9" name="Время" queryTableFieldId="20" dataDxfId="779"/>
    <tableColumn id="5" xr3:uid="{244D3D34-C9EC-4B9C-BE81-12A0C0BB4342}" uniqueName="5" name="Событие" queryTableFieldId="27" dataDxfId="778"/>
    <tableColumn id="7" xr3:uid="{C449A112-E8A8-4956-B85C-2BA12316F170}" uniqueName="7" name="Объект" queryTableFieldId="29" dataDxfId="777"/>
    <tableColumn id="10" xr3:uid="{C8411557-C312-4542-93DA-DF5949399E11}" uniqueName="10" name="Груз" queryTableFieldId="30" dataDxfId="77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775"/>
    <tableColumn id="4" xr3:uid="{6A396D44-0898-4737-A4C1-8D6D40981793}" uniqueName="4" name="Name" queryTableFieldId="14" dataDxfId="774"/>
    <tableColumn id="1" xr3:uid="{328F21C9-48B9-4081-9B8C-BBD168BD38D1}" uniqueName="1" name="Folder Path" queryTableFieldId="11" dataDxfId="77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77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62" tableType="queryTable" totalsRowShown="0">
  <tableColumns count="13">
    <tableColumn id="11" xr3:uid="{2311EAC9-4673-4BE2-ADB0-E8CEB0BD9945}" uniqueName="11" name="День нед" queryTableFieldId="39" dataDxfId="771"/>
    <tableColumn id="8" xr3:uid="{F1C9804A-F8E7-4755-B717-859265C587A2}" uniqueName="8" name="Дата" queryTableFieldId="19" dataDxfId="770"/>
    <tableColumn id="9" xr3:uid="{1C2BA522-8D4F-4713-849C-1F60357B476E}" uniqueName="9" name="Время" queryTableFieldId="20" dataDxfId="769"/>
    <tableColumn id="5" xr3:uid="{6E084A00-DC62-4E93-8ABC-4651FD4D2408}" uniqueName="5" name="Событие" queryTableFieldId="27" dataDxfId="768"/>
    <tableColumn id="7" xr3:uid="{C9F6EF14-DBE7-4655-9D20-5B253923C11E}" uniqueName="7" name="Объект" queryTableFieldId="29" dataDxfId="767"/>
    <tableColumn id="10" xr3:uid="{0ADEC0F9-9FE9-4E92-BD38-0B8CDDE1BDBD}" uniqueName="10" name="Груз" queryTableFieldId="30" dataDxfId="766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765"/>
    <tableColumn id="4" xr3:uid="{FE606B6B-0A78-44A2-B44F-54FBA553BAD6}" uniqueName="4" name="Name" queryTableFieldId="14" dataDxfId="764"/>
    <tableColumn id="1" xr3:uid="{34274AB2-665A-4EF1-8C79-4944C9C122A7}" uniqueName="1" name="Folder Path" queryTableFieldId="11" dataDxfId="763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76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80" tableType="queryTable" totalsRowShown="0">
  <tableColumns count="13">
    <tableColumn id="11" xr3:uid="{72CE202A-C56C-4D63-9F9F-0DFF72BB5190}" uniqueName="11" name="День нед" queryTableFieldId="39" dataDxfId="761"/>
    <tableColumn id="8" xr3:uid="{0D9F5C4C-70B0-46E2-9E29-649E206B6616}" uniqueName="8" name="Дата" queryTableFieldId="19" dataDxfId="760"/>
    <tableColumn id="9" xr3:uid="{7C8561D4-BD7D-493F-BC95-213F2D55F3FD}" uniqueName="9" name="Время" queryTableFieldId="20" dataDxfId="759"/>
    <tableColumn id="5" xr3:uid="{E48795B2-2732-4E4A-81E8-B1585581420B}" uniqueName="5" name="Событие" queryTableFieldId="27" dataDxfId="758"/>
    <tableColumn id="7" xr3:uid="{F684EE24-0636-4EC2-AB94-A65EA5355534}" uniqueName="7" name="Объект" queryTableFieldId="29" dataDxfId="757"/>
    <tableColumn id="10" xr3:uid="{0C1B5273-277F-4438-B52D-9F868AD13DEE}" uniqueName="10" name="Груз" queryTableFieldId="30" dataDxfId="756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755"/>
    <tableColumn id="4" xr3:uid="{729433F6-F4FD-435B-851D-D34CC9060068}" uniqueName="4" name="Name" queryTableFieldId="14" dataDxfId="754"/>
    <tableColumn id="1" xr3:uid="{7A9B9B80-B872-4A82-9D9D-98A75E20F89B}" uniqueName="1" name="Folder Path" queryTableFieldId="11" dataDxfId="753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752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81" tableType="queryTable" totalsRowShown="0">
  <tableColumns count="13">
    <tableColumn id="11" xr3:uid="{2CE691F0-1D02-41BD-8E81-7716875609CD}" uniqueName="11" name="День нед" queryTableFieldId="39" dataDxfId="751"/>
    <tableColumn id="8" xr3:uid="{1A2A3B97-F602-468E-8AD3-5DD492638A71}" uniqueName="8" name="Дата" queryTableFieldId="19" dataDxfId="750"/>
    <tableColumn id="9" xr3:uid="{E8725BDD-FF6C-47C3-9100-825160B93721}" uniqueName="9" name="Время" queryTableFieldId="20" dataDxfId="749"/>
    <tableColumn id="5" xr3:uid="{F68EB906-7F6F-4765-A5C8-9B40064179BE}" uniqueName="5" name="Событие" queryTableFieldId="27" dataDxfId="748"/>
    <tableColumn id="7" xr3:uid="{812FE0F9-0D7E-497C-893A-B104BA069155}" uniqueName="7" name="Объект" queryTableFieldId="29" dataDxfId="747"/>
    <tableColumn id="10" xr3:uid="{1679E688-A047-4936-9EBC-9BDCFEA4CD95}" uniqueName="10" name="Груз" queryTableFieldId="30" dataDxfId="74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745"/>
    <tableColumn id="4" xr3:uid="{F9F7F55E-2CCF-4A6B-892F-1C76C0668832}" uniqueName="4" name="Name" queryTableFieldId="14" dataDxfId="744"/>
    <tableColumn id="1" xr3:uid="{0AF9B05B-8D0E-4B8A-81D0-358A18429CE8}" uniqueName="1" name="Folder Path" queryTableFieldId="11" dataDxfId="74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742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12" tableType="queryTable" totalsRowShown="0">
  <tableColumns count="13">
    <tableColumn id="11" xr3:uid="{96A6BDDB-7ED5-4607-80F3-3FD842EAEE0A}" uniqueName="11" name="День нед" queryTableFieldId="39" dataDxfId="741"/>
    <tableColumn id="8" xr3:uid="{FBEC9ECA-BD5C-442E-BB86-7CCAEF9464D2}" uniqueName="8" name="Дата" queryTableFieldId="19" dataDxfId="740"/>
    <tableColumn id="9" xr3:uid="{68242AF7-BC60-4380-843B-35A6CC4A66E6}" uniqueName="9" name="Время" queryTableFieldId="20" dataDxfId="739"/>
    <tableColumn id="5" xr3:uid="{C98BCFD6-9DE9-4A28-B769-F5737933429D}" uniqueName="5" name="Событие" queryTableFieldId="27" dataDxfId="738"/>
    <tableColumn id="7" xr3:uid="{4D44F8D4-93A4-4851-894E-AC8CDD93BD71}" uniqueName="7" name="Объект" queryTableFieldId="29" dataDxfId="737"/>
    <tableColumn id="10" xr3:uid="{0A838B00-A88A-40EE-A542-7E8E08968D89}" uniqueName="10" name="Груз" queryTableFieldId="30" dataDxfId="73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735"/>
    <tableColumn id="4" xr3:uid="{4FA2E248-D5A3-4824-875F-C328FA9AC2F9}" uniqueName="4" name="Name" queryTableFieldId="14" dataDxfId="734"/>
    <tableColumn id="1" xr3:uid="{B01A6B83-82C4-4172-AD5B-D2AF410DBE1B}" uniqueName="1" name="Folder Path" queryTableFieldId="11" dataDxfId="73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73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98" tableType="queryTable" totalsRowShown="0">
  <tableColumns count="13">
    <tableColumn id="11" xr3:uid="{2AD64508-44AB-4871-8C82-4C5A1E5A5DD2}" uniqueName="11" name="День нед" queryTableFieldId="39" dataDxfId="731"/>
    <tableColumn id="8" xr3:uid="{C788117B-4896-492B-97B3-B2502F0537D8}" uniqueName="8" name="Дата" queryTableFieldId="19" dataDxfId="730"/>
    <tableColumn id="9" xr3:uid="{E3EF5757-6705-492A-BD76-A47D414757C0}" uniqueName="9" name="Время" queryTableFieldId="20" dataDxfId="729"/>
    <tableColumn id="5" xr3:uid="{EF049B28-F832-4F3D-AB4F-3C396920BF5B}" uniqueName="5" name="Событие" queryTableFieldId="27" dataDxfId="728"/>
    <tableColumn id="7" xr3:uid="{DDB63E42-2809-4377-A568-A326109989E9}" uniqueName="7" name="Объект" queryTableFieldId="29" dataDxfId="727"/>
    <tableColumn id="10" xr3:uid="{A4FCF3D3-582A-4DEF-8FB8-9D050C82517D}" uniqueName="10" name="Груз" queryTableFieldId="30" dataDxfId="72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725"/>
    <tableColumn id="4" xr3:uid="{DA63B8EC-3587-40B4-A86A-92B91C78723D}" uniqueName="4" name="Name" queryTableFieldId="14" dataDxfId="724"/>
    <tableColumn id="1" xr3:uid="{360C7476-DEC6-4377-8E95-D472C6673B12}" uniqueName="1" name="Folder Path" queryTableFieldId="11" dataDxfId="72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72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81" tableType="queryTable" totalsRowShown="0">
  <tableColumns count="13">
    <tableColumn id="11" xr3:uid="{C40005DE-8CA6-428A-9DF2-E715CC943F02}" uniqueName="11" name="День нед" queryTableFieldId="39" dataDxfId="721"/>
    <tableColumn id="8" xr3:uid="{55C75F47-F14F-483C-9C7A-95288D9463D6}" uniqueName="8" name="Дата" queryTableFieldId="19" dataDxfId="720"/>
    <tableColumn id="9" xr3:uid="{79D3981C-638A-4D64-BACB-D64D85DAC855}" uniqueName="9" name="Время" queryTableFieldId="20" dataDxfId="719"/>
    <tableColumn id="5" xr3:uid="{B0B848B5-29B2-4292-89A5-7DE5A2F72D15}" uniqueName="5" name="Событие" queryTableFieldId="27" dataDxfId="718"/>
    <tableColumn id="7" xr3:uid="{A9E0C8AC-2336-4969-BC3E-110E6C33529C}" uniqueName="7" name="Объект" queryTableFieldId="29" dataDxfId="717"/>
    <tableColumn id="10" xr3:uid="{F8691CA5-2689-452F-9550-C52E06B35BD6}" uniqueName="10" name="Груз" queryTableFieldId="30" dataDxfId="71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15"/>
    <tableColumn id="4" xr3:uid="{E9716AC2-8439-4E67-8698-BA6CD84F7B9C}" uniqueName="4" name="Name" queryTableFieldId="14" dataDxfId="714"/>
    <tableColumn id="1" xr3:uid="{9AB30DEC-91E3-4633-A156-B937B586CECB}" uniqueName="1" name="Folder Path" queryTableFieldId="11" dataDxfId="71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71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59" tableType="queryTable" totalsRowShown="0">
  <tableColumns count="13">
    <tableColumn id="11" xr3:uid="{B21CFC33-55C8-4073-BBD2-E0A5154A10D6}" uniqueName="11" name="День нед" queryTableFieldId="39" dataDxfId="711"/>
    <tableColumn id="8" xr3:uid="{004370C0-0D3C-4162-A392-32C741C3A58B}" uniqueName="8" name="Дата" queryTableFieldId="19" dataDxfId="710"/>
    <tableColumn id="9" xr3:uid="{6537DA5E-247D-44FB-ACE3-933B3C9B9408}" uniqueName="9" name="Время" queryTableFieldId="20" dataDxfId="709"/>
    <tableColumn id="5" xr3:uid="{4FA9309D-407E-48C1-B1F9-C33DEA7645B1}" uniqueName="5" name="Событие" queryTableFieldId="27" dataDxfId="708"/>
    <tableColumn id="7" xr3:uid="{76E54E9E-D730-4C99-9BF5-96E9384FF63C}" uniqueName="7" name="Объект" queryTableFieldId="29" dataDxfId="707"/>
    <tableColumn id="10" xr3:uid="{B9F78DE2-7938-486B-9BE2-F824D0E7A6C4}" uniqueName="10" name="Груз" queryTableFieldId="30" dataDxfId="70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705"/>
    <tableColumn id="4" xr3:uid="{921D28C1-5761-48A7-B447-6A4446F87545}" uniqueName="4" name="Name" queryTableFieldId="14" dataDxfId="704"/>
    <tableColumn id="1" xr3:uid="{F1A648C1-8DB5-4DEF-B011-BD85E17FCAA3}" uniqueName="1" name="Folder Path" queryTableFieldId="11" dataDxfId="70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70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632" totalsRowShown="0">
  <autoFilter ref="A1:G3632" xr:uid="{803833C3-A4ED-4039-95A7-46694D1CE00F}">
    <filterColumn colId="6">
      <filters>
        <filter val="Крыльцо офиса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32" tableType="queryTable" totalsRowShown="0">
  <autoFilter ref="A1:M232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1"/>
    <tableColumn id="3" xr3:uid="{8C3702C1-E43C-496C-A204-7587B7ED5C05}" uniqueName="3" name="Время" queryTableFieldId="3" dataDxfId="10"/>
    <tableColumn id="4" xr3:uid="{C16264D0-558B-425C-8205-E671C6E3EB9E}" uniqueName="4" name="Событие" queryTableFieldId="4" dataDxfId="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"/>
    <tableColumn id="10" xr3:uid="{37082223-0A57-495F-97B8-0BCE1F173A2E}" uniqueName="10" name="Folder Path" queryTableFieldId="10" dataDxfId="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38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40"/>
  <sheetViews>
    <sheetView zoomScale="90" zoomScaleNormal="90" workbookViewId="0">
      <pane ySplit="1" topLeftCell="A224" activePane="bottomLeft" state="frozen"/>
      <selection pane="bottomLeft" activeCell="E238" sqref="E238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s="8" t="s">
        <v>2004</v>
      </c>
      <c r="E147" s="8"/>
      <c r="F147" s="8"/>
      <c r="H147" s="8"/>
      <c r="I147" s="8" t="s">
        <v>7418</v>
      </c>
      <c r="J147" s="8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s="8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s="8" t="s">
        <v>91</v>
      </c>
      <c r="E148" s="8" t="s">
        <v>7706</v>
      </c>
      <c r="F148" s="8" t="s">
        <v>60</v>
      </c>
      <c r="H148" s="8"/>
      <c r="I148" s="8" t="s">
        <v>7421</v>
      </c>
      <c r="J148" s="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s="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s="8" t="s">
        <v>62</v>
      </c>
      <c r="E149" s="8" t="s">
        <v>7706</v>
      </c>
      <c r="F149" s="8" t="s">
        <v>51</v>
      </c>
      <c r="H149" s="8"/>
      <c r="I149" s="8" t="s">
        <v>7424</v>
      </c>
      <c r="J149" s="8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s="8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7427</v>
      </c>
      <c r="J150" s="8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s="8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s="8" t="s">
        <v>91</v>
      </c>
      <c r="E151" s="8" t="s">
        <v>4193</v>
      </c>
      <c r="F151" s="8" t="s">
        <v>51</v>
      </c>
      <c r="H151" s="8"/>
      <c r="I151" s="8" t="s">
        <v>7430</v>
      </c>
      <c r="J151" s="8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s="8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7433</v>
      </c>
      <c r="J152" s="8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s="8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s="8" t="s">
        <v>62</v>
      </c>
      <c r="E153" s="8" t="s">
        <v>4193</v>
      </c>
      <c r="F153" s="8" t="s">
        <v>4240</v>
      </c>
      <c r="H153" s="8"/>
      <c r="I153" s="8" t="s">
        <v>7436</v>
      </c>
      <c r="J153" s="8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s="8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s="8" t="s">
        <v>91</v>
      </c>
      <c r="E154" s="8" t="s">
        <v>4193</v>
      </c>
      <c r="F154" s="8" t="s">
        <v>5076</v>
      </c>
      <c r="H154" s="8"/>
      <c r="I154" s="8" t="s">
        <v>7723</v>
      </c>
      <c r="J154" s="8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s="8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s="8" t="s">
        <v>62</v>
      </c>
      <c r="E155" s="8" t="s">
        <v>4193</v>
      </c>
      <c r="F155" s="8" t="s">
        <v>5076</v>
      </c>
      <c r="H155" s="8"/>
      <c r="I155" s="8" t="s">
        <v>7726</v>
      </c>
      <c r="J155" s="8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s="8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s="8" t="s">
        <v>64</v>
      </c>
      <c r="E156" s="8" t="s">
        <v>4193</v>
      </c>
      <c r="F156" s="8" t="s">
        <v>5076</v>
      </c>
      <c r="H156" s="8"/>
      <c r="I156" s="8" t="s">
        <v>7890</v>
      </c>
      <c r="J156" s="8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s="8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s="8" t="s">
        <v>85</v>
      </c>
      <c r="E157" s="8" t="s">
        <v>4193</v>
      </c>
      <c r="F157" s="8" t="s">
        <v>5076</v>
      </c>
      <c r="H157" s="8"/>
      <c r="I157" s="8" t="s">
        <v>7893</v>
      </c>
      <c r="J157" s="8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s="8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s="8" t="s">
        <v>91</v>
      </c>
      <c r="E158" s="8" t="s">
        <v>6329</v>
      </c>
      <c r="F158" s="8" t="s">
        <v>5076</v>
      </c>
      <c r="H158" s="8"/>
      <c r="I158" s="8" t="s">
        <v>7896</v>
      </c>
      <c r="J158" s="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s="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s="8" t="s">
        <v>62</v>
      </c>
      <c r="E159" s="8" t="s">
        <v>6329</v>
      </c>
      <c r="F159" s="8" t="s">
        <v>5076</v>
      </c>
      <c r="H159" s="8"/>
      <c r="I159" s="8" t="s">
        <v>7899</v>
      </c>
      <c r="J159" s="8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s="8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s="8" t="s">
        <v>91</v>
      </c>
      <c r="E160" s="8" t="s">
        <v>4193</v>
      </c>
      <c r="F160" s="8" t="s">
        <v>5076</v>
      </c>
      <c r="H160" s="8"/>
      <c r="I160" s="8" t="s">
        <v>7902</v>
      </c>
      <c r="J160" s="8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s="8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s="8" t="s">
        <v>62</v>
      </c>
      <c r="E161" s="8" t="s">
        <v>4193</v>
      </c>
      <c r="F161" s="8" t="s">
        <v>5076</v>
      </c>
      <c r="H161" s="8"/>
      <c r="I161" s="8" t="s">
        <v>7905</v>
      </c>
      <c r="J161" s="8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s="8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s="8" t="s">
        <v>8040</v>
      </c>
      <c r="E162" s="8" t="s">
        <v>4193</v>
      </c>
      <c r="F162" s="8" t="s">
        <v>5076</v>
      </c>
      <c r="H162" s="8"/>
      <c r="I162" s="8" t="s">
        <v>7908</v>
      </c>
      <c r="J162" s="8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s="8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s="8" t="s">
        <v>64</v>
      </c>
      <c r="E163" s="8" t="s">
        <v>4193</v>
      </c>
      <c r="F163" s="8" t="s">
        <v>5076</v>
      </c>
      <c r="H163" s="8"/>
      <c r="I163" s="8" t="s">
        <v>7911</v>
      </c>
      <c r="J163" s="8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s="8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s="8" t="s">
        <v>62</v>
      </c>
      <c r="E164" s="8" t="s">
        <v>6190</v>
      </c>
      <c r="F164" s="8" t="s">
        <v>51</v>
      </c>
      <c r="H164" s="8"/>
      <c r="I164" s="8" t="s">
        <v>7914</v>
      </c>
      <c r="J164" s="8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s="8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s="8" t="s">
        <v>85</v>
      </c>
      <c r="E165" s="8" t="s">
        <v>4193</v>
      </c>
      <c r="F165" s="8" t="s">
        <v>5076</v>
      </c>
      <c r="H165" s="8"/>
      <c r="I165" s="8" t="s">
        <v>7917</v>
      </c>
      <c r="J165" s="8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s="8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s="8" t="s">
        <v>91</v>
      </c>
      <c r="E166" s="8" t="s">
        <v>8041</v>
      </c>
      <c r="F166" s="8"/>
      <c r="H166" s="8"/>
      <c r="I166" s="8" t="s">
        <v>7920</v>
      </c>
      <c r="J166" s="8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s="8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s="8" t="s">
        <v>62</v>
      </c>
      <c r="E167" s="8" t="s">
        <v>8041</v>
      </c>
      <c r="F167" s="8"/>
      <c r="H167" s="8"/>
      <c r="I167" s="8" t="s">
        <v>7923</v>
      </c>
      <c r="J167" s="8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s="8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s="8" t="s">
        <v>91</v>
      </c>
      <c r="E168" s="8" t="s">
        <v>6190</v>
      </c>
      <c r="F168" s="8" t="s">
        <v>51</v>
      </c>
      <c r="H168" s="8"/>
      <c r="I168" s="8" t="s">
        <v>7926</v>
      </c>
      <c r="J168" s="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s="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8054</v>
      </c>
      <c r="J169" s="8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s="8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8057</v>
      </c>
      <c r="J170" s="8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s="8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s="8" t="s">
        <v>91</v>
      </c>
      <c r="E171" s="8" t="s">
        <v>70</v>
      </c>
      <c r="F171" s="8" t="s">
        <v>5076</v>
      </c>
      <c r="H171" s="8"/>
      <c r="I171" s="8" t="s">
        <v>8060</v>
      </c>
      <c r="J171" s="8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s="8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s="8" t="s">
        <v>62</v>
      </c>
      <c r="E172" s="8" t="s">
        <v>70</v>
      </c>
      <c r="F172" s="8" t="s">
        <v>5076</v>
      </c>
      <c r="H172" s="8"/>
      <c r="I172" s="8" t="s">
        <v>8063</v>
      </c>
      <c r="J172" s="8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s="8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s="8" t="s">
        <v>62</v>
      </c>
      <c r="E173" s="8" t="s">
        <v>6190</v>
      </c>
      <c r="F173" s="8" t="s">
        <v>51</v>
      </c>
      <c r="H173" s="8"/>
      <c r="I173" s="8" t="s">
        <v>8066</v>
      </c>
      <c r="J173" s="8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s="8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s="8" t="s">
        <v>91</v>
      </c>
      <c r="E174" s="8" t="s">
        <v>6190</v>
      </c>
      <c r="F174" s="8" t="s">
        <v>51</v>
      </c>
      <c r="H174" s="8"/>
      <c r="I174" s="8" t="s">
        <v>8069</v>
      </c>
      <c r="J174" s="8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s="8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s="8" t="s">
        <v>2004</v>
      </c>
      <c r="E175" s="8"/>
      <c r="F175" s="8"/>
      <c r="H175" s="8"/>
      <c r="I175" s="8" t="s">
        <v>8072</v>
      </c>
      <c r="J175" s="8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s="8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s="8" t="s">
        <v>2004</v>
      </c>
      <c r="E176" s="8"/>
      <c r="F176" s="8"/>
      <c r="H176" s="8"/>
      <c r="I176" s="8" t="s">
        <v>8075</v>
      </c>
      <c r="J176" s="8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s="8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s="8" t="s">
        <v>2004</v>
      </c>
      <c r="E177" s="8"/>
      <c r="F177" s="8"/>
      <c r="H177" s="8"/>
      <c r="I177" s="8" t="s">
        <v>8372</v>
      </c>
      <c r="J177" s="8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s="8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s="8" t="s">
        <v>91</v>
      </c>
      <c r="E178" s="8" t="s">
        <v>8483</v>
      </c>
      <c r="F178" s="8"/>
      <c r="H178" s="8"/>
      <c r="I178" s="8" t="s">
        <v>8375</v>
      </c>
      <c r="J178" s="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s="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s="8" t="s">
        <v>62</v>
      </c>
      <c r="E179" s="8" t="s">
        <v>8483</v>
      </c>
      <c r="F179" s="8"/>
      <c r="H179" s="8"/>
      <c r="I179" s="8" t="s">
        <v>8378</v>
      </c>
      <c r="J179" s="8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s="8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s="8" t="s">
        <v>2004</v>
      </c>
      <c r="E180" s="8"/>
      <c r="F180" s="8"/>
      <c r="H180" s="8"/>
      <c r="I180" s="8" t="s">
        <v>8381</v>
      </c>
      <c r="J180" s="8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s="8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s="8" t="s">
        <v>2004</v>
      </c>
      <c r="E181" s="8"/>
      <c r="F181" s="8"/>
      <c r="H181" s="8"/>
      <c r="I181" s="8" t="s">
        <v>8505</v>
      </c>
      <c r="J181" s="8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s="8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s="8" t="s">
        <v>91</v>
      </c>
      <c r="E182" s="8" t="s">
        <v>8799</v>
      </c>
      <c r="F182" s="8"/>
      <c r="H182" s="8"/>
      <c r="I182" s="8" t="s">
        <v>8508</v>
      </c>
      <c r="J182" s="8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s="8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s="8" t="s">
        <v>62</v>
      </c>
      <c r="E183" s="8" t="s">
        <v>8799</v>
      </c>
      <c r="F183" s="8"/>
      <c r="H183" s="8"/>
      <c r="I183" s="8" t="s">
        <v>8511</v>
      </c>
      <c r="J183" s="8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s="8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s="8" t="s">
        <v>2004</v>
      </c>
      <c r="E184" s="8"/>
      <c r="F184" s="8"/>
      <c r="H184" s="8"/>
      <c r="I184" s="8" t="s">
        <v>8514</v>
      </c>
      <c r="J184" s="8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s="8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s="8" t="s">
        <v>91</v>
      </c>
      <c r="E185" s="8" t="s">
        <v>8352</v>
      </c>
      <c r="F185" s="8"/>
      <c r="H185" s="8"/>
      <c r="I185" s="8" t="s">
        <v>8517</v>
      </c>
      <c r="J185" s="8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s="8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s="8" t="s">
        <v>62</v>
      </c>
      <c r="E186" s="8" t="s">
        <v>8352</v>
      </c>
      <c r="F186" s="8"/>
      <c r="H186" s="8"/>
      <c r="I186" s="8" t="s">
        <v>8520</v>
      </c>
      <c r="J186" s="8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s="8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s="8" t="s">
        <v>91</v>
      </c>
      <c r="E187" s="8" t="s">
        <v>8800</v>
      </c>
      <c r="F187" s="8"/>
      <c r="H187" s="8"/>
      <c r="I187" s="8" t="s">
        <v>8523</v>
      </c>
      <c r="J187" s="8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s="8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s="8" t="s">
        <v>62</v>
      </c>
      <c r="E188" s="8" t="s">
        <v>8800</v>
      </c>
      <c r="F188" s="8"/>
      <c r="H188" s="8"/>
      <c r="I188" s="8" t="s">
        <v>8526</v>
      </c>
      <c r="J188" s="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s="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s="8" t="s">
        <v>91</v>
      </c>
      <c r="E189" s="8" t="s">
        <v>8801</v>
      </c>
      <c r="F189" s="8"/>
      <c r="H189" s="8"/>
      <c r="I189" s="8" t="s">
        <v>8529</v>
      </c>
      <c r="J189" s="8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s="8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s="8" t="s">
        <v>62</v>
      </c>
      <c r="E190" s="8" t="s">
        <v>8801</v>
      </c>
      <c r="F190" s="8"/>
      <c r="H190" s="8"/>
      <c r="I190" s="8" t="s">
        <v>8532</v>
      </c>
      <c r="J190" s="8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s="8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s="8" t="s">
        <v>91</v>
      </c>
      <c r="E191" s="8" t="s">
        <v>8801</v>
      </c>
      <c r="F191" s="8"/>
      <c r="H191" s="8"/>
      <c r="I191" s="8" t="s">
        <v>8535</v>
      </c>
      <c r="J191" s="8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s="8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s="8" t="s">
        <v>91</v>
      </c>
      <c r="E192" s="8" t="s">
        <v>8802</v>
      </c>
      <c r="F192" s="8"/>
      <c r="H192" s="8"/>
      <c r="I192" s="8" t="s">
        <v>8538</v>
      </c>
      <c r="J192" s="8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s="8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s="8" t="s">
        <v>62</v>
      </c>
      <c r="E193" s="8" t="s">
        <v>8802</v>
      </c>
      <c r="F193" s="8"/>
      <c r="H193" s="8"/>
      <c r="I193" s="8" t="s">
        <v>8541</v>
      </c>
      <c r="J193" s="8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s="8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s="8" t="s">
        <v>62</v>
      </c>
      <c r="E194" s="8" t="s">
        <v>8801</v>
      </c>
      <c r="F194" s="8"/>
      <c r="H194" s="8"/>
      <c r="I194" s="8" t="s">
        <v>8544</v>
      </c>
      <c r="J194" s="8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s="8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s="8" t="s">
        <v>2004</v>
      </c>
      <c r="E195" s="8"/>
      <c r="F195" s="8"/>
      <c r="H195" s="8"/>
      <c r="I195" s="8" t="s">
        <v>8547</v>
      </c>
      <c r="J195" s="8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s="8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s="8" t="s">
        <v>91</v>
      </c>
      <c r="E196" s="8" t="s">
        <v>8800</v>
      </c>
      <c r="F196" s="8"/>
      <c r="H196" s="8"/>
      <c r="I196" s="8" t="s">
        <v>8550</v>
      </c>
      <c r="J196" s="8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s="8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s="8" t="s">
        <v>62</v>
      </c>
      <c r="E197" s="8" t="s">
        <v>8800</v>
      </c>
      <c r="F197" s="8"/>
      <c r="H197" s="8"/>
      <c r="I197" s="8" t="s">
        <v>8553</v>
      </c>
      <c r="J197" s="8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s="8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s="8" t="s">
        <v>2004</v>
      </c>
      <c r="E198" s="8"/>
      <c r="F198" s="8"/>
      <c r="H198" s="8" t="s">
        <v>9186</v>
      </c>
      <c r="I198" s="8" t="s">
        <v>8852</v>
      </c>
      <c r="J198" s="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s="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s="8" t="s">
        <v>91</v>
      </c>
      <c r="E199" s="8" t="s">
        <v>9187</v>
      </c>
      <c r="F199" s="8" t="s">
        <v>51</v>
      </c>
      <c r="H199" s="8"/>
      <c r="I199" s="8" t="s">
        <v>8855</v>
      </c>
      <c r="J199" s="8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s="8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s="8" t="s">
        <v>62</v>
      </c>
      <c r="E200" s="8" t="s">
        <v>9187</v>
      </c>
      <c r="F200" s="8" t="s">
        <v>9188</v>
      </c>
      <c r="H200" s="8"/>
      <c r="I200" s="8" t="s">
        <v>8858</v>
      </c>
      <c r="J200" s="8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s="8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s="8" t="s">
        <v>91</v>
      </c>
      <c r="E201" s="8" t="s">
        <v>4193</v>
      </c>
      <c r="F201" s="8" t="s">
        <v>5076</v>
      </c>
      <c r="H201" s="8"/>
      <c r="I201" s="8" t="s">
        <v>9243</v>
      </c>
      <c r="J201" s="8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s="8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s="8" t="s">
        <v>62</v>
      </c>
      <c r="E202" s="8" t="s">
        <v>4193</v>
      </c>
      <c r="F202" s="8" t="s">
        <v>5076</v>
      </c>
      <c r="H202" s="8"/>
      <c r="I202" s="8" t="s">
        <v>9246</v>
      </c>
      <c r="J202" s="8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s="8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s="8" t="s">
        <v>2004</v>
      </c>
      <c r="E203" s="8"/>
      <c r="F203" s="8"/>
      <c r="H203" s="8"/>
      <c r="I203" s="8" t="s">
        <v>9249</v>
      </c>
      <c r="J203" s="8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s="8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s="8" t="s">
        <v>62</v>
      </c>
      <c r="E204" s="8" t="s">
        <v>8352</v>
      </c>
      <c r="F204" s="8" t="s">
        <v>2944</v>
      </c>
      <c r="H204" s="8" t="s">
        <v>9336</v>
      </c>
      <c r="I204" s="8" t="s">
        <v>9252</v>
      </c>
      <c r="J204" s="8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s="8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s="8" t="s">
        <v>91</v>
      </c>
      <c r="E205" s="8" t="s">
        <v>6656</v>
      </c>
      <c r="F205" s="8" t="s">
        <v>51</v>
      </c>
      <c r="H205" s="8"/>
      <c r="I205" s="8" t="s">
        <v>9591</v>
      </c>
      <c r="J205" s="8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s="8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s="8" t="s">
        <v>62</v>
      </c>
      <c r="E206" s="8" t="s">
        <v>6656</v>
      </c>
      <c r="F206" s="8" t="s">
        <v>4240</v>
      </c>
      <c r="H206" s="8"/>
      <c r="I206" s="8" t="s">
        <v>9594</v>
      </c>
      <c r="J206" s="8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s="8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s="8" t="s">
        <v>91</v>
      </c>
      <c r="E207" s="8" t="s">
        <v>9683</v>
      </c>
      <c r="F207" s="8"/>
      <c r="H207" s="8"/>
      <c r="I207" s="8" t="s">
        <v>9597</v>
      </c>
      <c r="J207" s="8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s="8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s="8" t="s">
        <v>91</v>
      </c>
      <c r="E208" s="8" t="s">
        <v>6656</v>
      </c>
      <c r="F208" s="8" t="s">
        <v>51</v>
      </c>
      <c r="H208" s="8"/>
      <c r="I208" s="8" t="s">
        <v>9600</v>
      </c>
      <c r="J208" s="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s="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s="8" t="s">
        <v>62</v>
      </c>
      <c r="E209" s="8" t="s">
        <v>9683</v>
      </c>
      <c r="F209" s="8"/>
      <c r="H209" s="8"/>
      <c r="I209" s="8" t="s">
        <v>9603</v>
      </c>
      <c r="J209" s="8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s="8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s="8" t="s">
        <v>62</v>
      </c>
      <c r="E210" s="8" t="s">
        <v>6656</v>
      </c>
      <c r="F210" s="8" t="s">
        <v>9684</v>
      </c>
      <c r="H210" s="8"/>
      <c r="I210" s="8" t="s">
        <v>9606</v>
      </c>
      <c r="J210" s="8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s="8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s="8" t="s">
        <v>2004</v>
      </c>
      <c r="E211" s="8"/>
      <c r="F211" s="8"/>
      <c r="H211" s="8"/>
      <c r="I211" s="8" t="s">
        <v>9609</v>
      </c>
      <c r="J211" s="8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s="8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s="8" t="s">
        <v>2004</v>
      </c>
      <c r="E212" s="8"/>
      <c r="F212" s="8"/>
      <c r="H212" s="8"/>
      <c r="I212" s="8" t="s">
        <v>9708</v>
      </c>
      <c r="J212" s="8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s="8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s="8" t="s">
        <v>2004</v>
      </c>
      <c r="E213" s="8"/>
      <c r="F213" s="8"/>
      <c r="H213" s="8"/>
      <c r="I213" s="8" t="s">
        <v>9711</v>
      </c>
      <c r="J213" s="8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s="8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s="8" t="s">
        <v>2004</v>
      </c>
      <c r="E214" s="8"/>
      <c r="F214" s="8"/>
      <c r="H214" s="8"/>
      <c r="I214" s="8" t="s">
        <v>9927</v>
      </c>
      <c r="J214" s="8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s="8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s="8" t="s">
        <v>91</v>
      </c>
      <c r="E215" s="8" t="s">
        <v>4193</v>
      </c>
      <c r="F215" s="8" t="s">
        <v>5076</v>
      </c>
      <c r="H215" s="8"/>
      <c r="I215" s="8" t="s">
        <v>9930</v>
      </c>
      <c r="J215" s="8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s="8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s="8" t="s">
        <v>62</v>
      </c>
      <c r="E216" s="8" t="s">
        <v>4193</v>
      </c>
      <c r="F216" s="8" t="s">
        <v>5076</v>
      </c>
      <c r="H216" s="8"/>
      <c r="I216" s="8" t="s">
        <v>9933</v>
      </c>
      <c r="J216" s="8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s="8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s="8" t="s">
        <v>91</v>
      </c>
      <c r="E217" s="8" t="s">
        <v>10164</v>
      </c>
      <c r="F217" s="8" t="s">
        <v>60</v>
      </c>
      <c r="H217" s="8"/>
      <c r="I217" s="8" t="s">
        <v>10158</v>
      </c>
      <c r="J217" s="8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s="8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s="8" t="s">
        <v>62</v>
      </c>
      <c r="E218" s="8" t="s">
        <v>10164</v>
      </c>
      <c r="F218" s="8" t="s">
        <v>51</v>
      </c>
      <c r="H218" s="8"/>
      <c r="I218" s="8" t="s">
        <v>10161</v>
      </c>
      <c r="J218" s="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s="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s="8" t="s">
        <v>91</v>
      </c>
      <c r="E219" s="8" t="s">
        <v>10165</v>
      </c>
      <c r="F219" s="8" t="s">
        <v>60</v>
      </c>
      <c r="H219" s="8"/>
      <c r="I219" s="8" t="s">
        <v>10143</v>
      </c>
      <c r="J219" s="8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s="8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s="8" t="s">
        <v>91</v>
      </c>
      <c r="E220" s="8" t="s">
        <v>10166</v>
      </c>
      <c r="F220" s="8"/>
      <c r="H220" s="8"/>
      <c r="I220" s="8" t="s">
        <v>10146</v>
      </c>
      <c r="J220" s="8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s="8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s="8" t="s">
        <v>62</v>
      </c>
      <c r="E221" s="8" t="s">
        <v>10165</v>
      </c>
      <c r="F221" s="8" t="s">
        <v>10167</v>
      </c>
      <c r="G221">
        <v>1</v>
      </c>
      <c r="H221" s="8"/>
      <c r="I221" s="8" t="s">
        <v>10149</v>
      </c>
      <c r="J221" s="8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s="8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s="8" t="s">
        <v>62</v>
      </c>
      <c r="E222" s="8" t="s">
        <v>10166</v>
      </c>
      <c r="F222" s="8"/>
      <c r="H222" s="8"/>
      <c r="I222" s="8" t="s">
        <v>10152</v>
      </c>
      <c r="J222" s="8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s="8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s="8" t="s">
        <v>62</v>
      </c>
      <c r="E223" s="8" t="s">
        <v>9520</v>
      </c>
      <c r="F223" s="8" t="s">
        <v>58</v>
      </c>
      <c r="H223" s="9" t="s">
        <v>9336</v>
      </c>
      <c r="I223" s="8" t="s">
        <v>10155</v>
      </c>
      <c r="J223" s="8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s="8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s="8" t="s">
        <v>2004</v>
      </c>
      <c r="E224" s="8"/>
      <c r="F224" s="8"/>
      <c r="H224" s="8"/>
      <c r="I224" s="8" t="s">
        <v>10452</v>
      </c>
      <c r="J224" s="8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s="8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s="8" t="s">
        <v>2004</v>
      </c>
      <c r="E225" s="8"/>
      <c r="F225" s="8"/>
      <c r="H225" s="8"/>
      <c r="I225" s="8" t="s">
        <v>10455</v>
      </c>
      <c r="J225" s="8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s="8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s="8" t="s">
        <v>2004</v>
      </c>
      <c r="E226" s="8"/>
      <c r="F226" s="8"/>
      <c r="H226" s="8"/>
      <c r="I226" s="8" t="s">
        <v>10534</v>
      </c>
      <c r="J226" s="8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s="8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s="8" t="s">
        <v>2004</v>
      </c>
      <c r="E227" s="8"/>
      <c r="F227" s="8"/>
      <c r="H227" s="8"/>
      <c r="I227" s="8" t="s">
        <v>10537</v>
      </c>
      <c r="J227" s="8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s="8" t="str">
        <f>VLOOKUP(склад2въезд[[#This Row],[Name]], СпрСобытий!$F:$G, 2, FALSE)</f>
        <v>Ангар Склад 2 въезд</v>
      </c>
    </row>
    <row r="228" spans="1:14" x14ac:dyDescent="0.25">
      <c r="A228" s="2" t="s">
        <v>15</v>
      </c>
      <c r="B228" s="4">
        <v>46050</v>
      </c>
      <c r="C228" s="5">
        <v>0.71953703703703709</v>
      </c>
      <c r="D228" s="8" t="s">
        <v>2004</v>
      </c>
      <c r="E228" s="8"/>
      <c r="F228" s="8"/>
      <c r="H228" s="8"/>
      <c r="I228" s="8" t="s">
        <v>10716</v>
      </c>
      <c r="J228" s="8" t="s">
        <v>2981</v>
      </c>
      <c r="K228" t="s">
        <v>10717</v>
      </c>
      <c r="L228" t="s">
        <v>10718</v>
      </c>
      <c r="M228" s="3" t="str">
        <f>HYPERLINK(склад2въезд[[#This Row],[RelativePath]])</f>
        <v>1 Ангар Склад 2 въезд\E33149364_6_20260128T171608Z.jpg</v>
      </c>
      <c r="N228" s="8" t="str">
        <f>VLOOKUP(склад2въезд[[#This Row],[Name]], СпрСобытий!$F:$G, 2, FALSE)</f>
        <v>Ангар Склад 2 въезд</v>
      </c>
    </row>
    <row r="229" spans="1:14" x14ac:dyDescent="0.25">
      <c r="A229" s="2" t="s">
        <v>16</v>
      </c>
      <c r="B229" s="4">
        <v>46051</v>
      </c>
      <c r="C229" s="5">
        <v>0.4944560185185185</v>
      </c>
      <c r="D229" s="8" t="s">
        <v>62</v>
      </c>
      <c r="E229" s="8" t="s">
        <v>10884</v>
      </c>
      <c r="F229" s="8" t="s">
        <v>58</v>
      </c>
      <c r="G229">
        <v>4</v>
      </c>
      <c r="H229" s="8" t="s">
        <v>9336</v>
      </c>
      <c r="I229" s="8" t="s">
        <v>10719</v>
      </c>
      <c r="J229" s="8" t="s">
        <v>2981</v>
      </c>
      <c r="K229" t="s">
        <v>10720</v>
      </c>
      <c r="L229" t="s">
        <v>10721</v>
      </c>
      <c r="M229" s="3" t="str">
        <f>HYPERLINK(склад2въезд[[#This Row],[RelativePath]])</f>
        <v>1 Ангар Склад 2 въезд\E33149364_6_20260129T115201Z.jpg</v>
      </c>
      <c r="N229" s="8" t="str">
        <f>VLOOKUP(склад2въезд[[#This Row],[Name]], СпрСобытий!$F:$G, 2, FALSE)</f>
        <v>Ангар Склад 2 въезд</v>
      </c>
    </row>
    <row r="230" spans="1:14" x14ac:dyDescent="0.25">
      <c r="A230" s="2" t="s">
        <v>17</v>
      </c>
      <c r="B230" s="4">
        <v>46052</v>
      </c>
      <c r="C230" s="5">
        <v>0.36493055555555554</v>
      </c>
      <c r="D230" s="8" t="s">
        <v>91</v>
      </c>
      <c r="E230" s="8" t="s">
        <v>70</v>
      </c>
      <c r="F230" s="8" t="s">
        <v>5076</v>
      </c>
      <c r="H230" s="8"/>
      <c r="I230" s="8" t="s">
        <v>10902</v>
      </c>
      <c r="J230" s="8" t="s">
        <v>2981</v>
      </c>
      <c r="K230" t="s">
        <v>10903</v>
      </c>
      <c r="L230" t="s">
        <v>10904</v>
      </c>
      <c r="M230" s="3" t="str">
        <f>HYPERLINK(склад2въезд[[#This Row],[RelativePath]])</f>
        <v>1 Ангар Склад 2 въезд\E33149364_6_20260130T084530Z.jpg</v>
      </c>
      <c r="N230" s="8" t="str">
        <f>VLOOKUP(склад2въезд[[#This Row],[Name]], СпрСобытий!$F:$G, 2, FALSE)</f>
        <v>Ангар Склад 2 въезд</v>
      </c>
    </row>
    <row r="231" spans="1:14" x14ac:dyDescent="0.25">
      <c r="A231" s="2" t="s">
        <v>17</v>
      </c>
      <c r="B231" s="4">
        <v>46052</v>
      </c>
      <c r="C231" s="5">
        <v>0.38869212962962962</v>
      </c>
      <c r="D231" s="8" t="s">
        <v>62</v>
      </c>
      <c r="E231" s="8" t="s">
        <v>70</v>
      </c>
      <c r="F231" s="8" t="s">
        <v>5093</v>
      </c>
      <c r="H231" s="8"/>
      <c r="I231" s="8" t="s">
        <v>10905</v>
      </c>
      <c r="J231" s="8" t="s">
        <v>2981</v>
      </c>
      <c r="K231" t="s">
        <v>10906</v>
      </c>
      <c r="L231" t="s">
        <v>10907</v>
      </c>
      <c r="M231" s="3" t="str">
        <f>HYPERLINK(склад2въезд[[#This Row],[RelativePath]])</f>
        <v>1 Ангар Склад 2 въезд\E33149364_6_20260130T091943Z.jpg</v>
      </c>
      <c r="N231" s="8" t="str">
        <f>VLOOKUP(склад2въезд[[#This Row],[Name]], СпрСобытий!$F:$G, 2, FALSE)</f>
        <v>Ангар Склад 2 въезд</v>
      </c>
    </row>
    <row r="232" spans="1:14" x14ac:dyDescent="0.25">
      <c r="A232" s="2" t="s">
        <v>18</v>
      </c>
      <c r="B232" s="4">
        <v>46053</v>
      </c>
      <c r="C232" s="5">
        <v>0.48749999999999999</v>
      </c>
      <c r="D232" s="8" t="s">
        <v>91</v>
      </c>
      <c r="E232" s="8" t="s">
        <v>11124</v>
      </c>
      <c r="F232" s="8"/>
      <c r="H232" s="8"/>
      <c r="I232" s="8" t="s">
        <v>11010</v>
      </c>
      <c r="J232" s="8" t="s">
        <v>2981</v>
      </c>
      <c r="K232" t="s">
        <v>11011</v>
      </c>
      <c r="L232" t="s">
        <v>11012</v>
      </c>
      <c r="M232" s="3" t="str">
        <f>HYPERLINK(склад2въезд[[#This Row],[RelativePath]])</f>
        <v>1 Ангар Склад 2 въезд\E33149364_6_20260131T114200Z.jpg</v>
      </c>
      <c r="N232" s="8" t="str">
        <f>VLOOKUP(склад2въезд[[#This Row],[Name]], СпрСобытий!$F:$G, 2, FALSE)</f>
        <v>Ангар Склад 2 въезд</v>
      </c>
    </row>
    <row r="233" spans="1:14" x14ac:dyDescent="0.25">
      <c r="A233" s="2" t="s">
        <v>18</v>
      </c>
      <c r="B233" s="4">
        <v>46053</v>
      </c>
      <c r="C233" s="5">
        <v>0.5067476851851852</v>
      </c>
      <c r="D233" s="8" t="s">
        <v>62</v>
      </c>
      <c r="E233" s="8" t="s">
        <v>11124</v>
      </c>
      <c r="F233" s="8" t="s">
        <v>53</v>
      </c>
      <c r="G233">
        <v>11</v>
      </c>
      <c r="H233" s="8"/>
      <c r="I233" s="8" t="s">
        <v>11013</v>
      </c>
      <c r="J233" s="8" t="s">
        <v>2981</v>
      </c>
      <c r="K233" t="s">
        <v>11014</v>
      </c>
      <c r="L233" t="s">
        <v>11015</v>
      </c>
      <c r="M233" s="3" t="str">
        <f>HYPERLINK(склад2въезд[[#This Row],[RelativePath]])</f>
        <v>1 Ангар Склад 2 въезд\E33149364_6_20260131T120943Z.jpg</v>
      </c>
      <c r="N233" s="8" t="str">
        <f>VLOOKUP(склад2въезд[[#This Row],[Name]], СпрСобытий!$F:$G, 2, FALSE)</f>
        <v>Ангар Склад 2 въезд</v>
      </c>
    </row>
    <row r="234" spans="1:14" x14ac:dyDescent="0.25">
      <c r="A234" s="2" t="s">
        <v>18</v>
      </c>
      <c r="B234" s="4">
        <v>46053</v>
      </c>
      <c r="C234" s="5">
        <v>0.7240509259259259</v>
      </c>
      <c r="D234" s="8" t="s">
        <v>91</v>
      </c>
      <c r="E234" s="8" t="s">
        <v>11125</v>
      </c>
      <c r="F234" s="8"/>
      <c r="H234" s="8"/>
      <c r="I234" s="8" t="s">
        <v>11016</v>
      </c>
      <c r="J234" s="8" t="s">
        <v>2981</v>
      </c>
      <c r="K234" t="s">
        <v>11017</v>
      </c>
      <c r="L234" t="s">
        <v>11018</v>
      </c>
      <c r="M234" s="3" t="str">
        <f>HYPERLINK(склад2въезд[[#This Row],[RelativePath]])</f>
        <v>1 Ангар Склад 2 въезд\E33149364_6_20260131T172238Z.jpg</v>
      </c>
      <c r="N234" s="8" t="str">
        <f>VLOOKUP(склад2въезд[[#This Row],[Name]], СпрСобытий!$F:$G, 2, FALSE)</f>
        <v>Ангар Склад 2 въезд</v>
      </c>
    </row>
    <row r="235" spans="1:14" x14ac:dyDescent="0.25">
      <c r="A235" s="2" t="s">
        <v>22</v>
      </c>
      <c r="B235" s="4">
        <v>46054</v>
      </c>
      <c r="C235" s="5">
        <v>0.66899305555555555</v>
      </c>
      <c r="D235" s="8" t="s">
        <v>2004</v>
      </c>
      <c r="E235" s="8"/>
      <c r="F235" s="8"/>
      <c r="H235" s="8"/>
      <c r="I235" s="8" t="s">
        <v>11019</v>
      </c>
      <c r="J235" s="8" t="s">
        <v>2981</v>
      </c>
      <c r="K235" t="s">
        <v>11020</v>
      </c>
      <c r="L235" t="s">
        <v>11021</v>
      </c>
      <c r="M235" s="3" t="str">
        <f>HYPERLINK(склад2въезд[[#This Row],[RelativePath]])</f>
        <v>1 Ангар Склад 2 въезд\E33149364_6_20260201T160321Z.jpg</v>
      </c>
      <c r="N235" s="8" t="str">
        <f>VLOOKUP(склад2въезд[[#This Row],[Name]], СпрСобытий!$F:$G, 2, FALSE)</f>
        <v>Ангар Склад 2 въезд</v>
      </c>
    </row>
    <row r="236" spans="1:14" x14ac:dyDescent="0.25">
      <c r="A236" s="2" t="s">
        <v>13</v>
      </c>
      <c r="B236" s="4">
        <v>46055</v>
      </c>
      <c r="C236" s="5">
        <v>0.72170138888888891</v>
      </c>
      <c r="D236" s="8" t="s">
        <v>2004</v>
      </c>
      <c r="E236" s="8"/>
      <c r="F236" s="8"/>
      <c r="H236" s="8"/>
      <c r="I236" s="8" t="s">
        <v>11145</v>
      </c>
      <c r="J236" s="8" t="s">
        <v>2981</v>
      </c>
      <c r="K236" t="s">
        <v>11146</v>
      </c>
      <c r="L236" t="s">
        <v>11147</v>
      </c>
      <c r="M236" s="3" t="str">
        <f>HYPERLINK(склад2въезд[[#This Row],[RelativePath]])</f>
        <v>1 Ангар Склад 2 въезд\E33149364_6_20260202T171915Z.jpg</v>
      </c>
      <c r="N236" s="8" t="str">
        <f>VLOOKUP(склад2въезд[[#This Row],[Name]], СпрСобытий!$F:$G, 2, FALSE)</f>
        <v>Ангар Склад 2 въезд</v>
      </c>
    </row>
    <row r="237" spans="1:14" x14ac:dyDescent="0.25">
      <c r="A237" s="2" t="s">
        <v>14</v>
      </c>
      <c r="B237" s="4">
        <v>46056</v>
      </c>
      <c r="C237" s="5">
        <v>0.44545138888888891</v>
      </c>
      <c r="D237" s="8" t="s">
        <v>91</v>
      </c>
      <c r="E237" s="8" t="s">
        <v>11412</v>
      </c>
      <c r="F237" s="8" t="s">
        <v>60</v>
      </c>
      <c r="H237" s="8"/>
      <c r="I237" s="8" t="s">
        <v>11148</v>
      </c>
      <c r="J237" s="8" t="s">
        <v>2981</v>
      </c>
      <c r="K237" t="s">
        <v>11149</v>
      </c>
      <c r="L237" t="s">
        <v>11150</v>
      </c>
      <c r="M237" s="3" t="str">
        <f>HYPERLINK(склад2въезд[[#This Row],[RelativePath]])</f>
        <v>1 Ангар Склад 2 въезд\E33149364_6_20260203T104127Z.jpg</v>
      </c>
      <c r="N237" s="8" t="str">
        <f>VLOOKUP(склад2въезд[[#This Row],[Name]], СпрСобытий!$F:$G, 2, FALSE)</f>
        <v>Ангар Склад 2 въезд</v>
      </c>
    </row>
    <row r="238" spans="1:14" x14ac:dyDescent="0.25">
      <c r="A238" s="2" t="s">
        <v>14</v>
      </c>
      <c r="B238" s="4">
        <v>46056</v>
      </c>
      <c r="C238" s="5">
        <v>0.56745370370370374</v>
      </c>
      <c r="D238" s="8" t="s">
        <v>62</v>
      </c>
      <c r="E238" s="8" t="s">
        <v>11412</v>
      </c>
      <c r="F238" s="8" t="s">
        <v>51</v>
      </c>
      <c r="H238" s="8"/>
      <c r="I238" s="8" t="s">
        <v>11151</v>
      </c>
      <c r="J238" s="8" t="s">
        <v>2981</v>
      </c>
      <c r="K238" t="s">
        <v>11152</v>
      </c>
      <c r="L238" t="s">
        <v>11153</v>
      </c>
      <c r="M238" s="3" t="str">
        <f>HYPERLINK(склад2въезд[[#This Row],[RelativePath]])</f>
        <v>1 Ангар Склад 2 въезд\E33149364_6_20260203T133708Z.jpg</v>
      </c>
      <c r="N238" s="8" t="str">
        <f>VLOOKUP(склад2въезд[[#This Row],[Name]], СпрСобытий!$F:$G, 2, FALSE)</f>
        <v>Ангар Склад 2 въезд</v>
      </c>
    </row>
    <row r="239" spans="1:14" x14ac:dyDescent="0.25">
      <c r="A239" s="2" t="s">
        <v>14</v>
      </c>
      <c r="B239" s="4">
        <v>46056</v>
      </c>
      <c r="C239" s="5">
        <v>0.79409722222222223</v>
      </c>
      <c r="D239" s="8" t="s">
        <v>62</v>
      </c>
      <c r="E239" s="8" t="s">
        <v>6190</v>
      </c>
      <c r="F239" s="8" t="s">
        <v>11413</v>
      </c>
      <c r="H239" s="8"/>
      <c r="I239" s="8" t="s">
        <v>11154</v>
      </c>
      <c r="J239" s="8" t="s">
        <v>2981</v>
      </c>
      <c r="K239" t="s">
        <v>11155</v>
      </c>
      <c r="L239" t="s">
        <v>11156</v>
      </c>
      <c r="M239" s="3" t="str">
        <f>HYPERLINK(склад2въезд[[#This Row],[RelativePath]])</f>
        <v>1 Ангар Склад 2 въезд\E33149364_6_20260203T190330Z.jpg</v>
      </c>
      <c r="N239" s="8" t="str">
        <f>VLOOKUP(склад2въезд[[#This Row],[Name]], СпрСобытий!$F:$G, 2, FALSE)</f>
        <v>Ангар Склад 2 въезд</v>
      </c>
    </row>
    <row r="240" spans="1:14" x14ac:dyDescent="0.25">
      <c r="A240" s="2" t="s">
        <v>14</v>
      </c>
      <c r="B240" s="4">
        <v>46056</v>
      </c>
      <c r="C240" s="5">
        <v>0.83721064814814816</v>
      </c>
      <c r="D240" s="8" t="s">
        <v>91</v>
      </c>
      <c r="E240" s="8" t="s">
        <v>6190</v>
      </c>
      <c r="F240" s="8"/>
      <c r="H240" s="8"/>
      <c r="I240" s="8" t="s">
        <v>11157</v>
      </c>
      <c r="J240" s="8" t="s">
        <v>2981</v>
      </c>
      <c r="K240" t="s">
        <v>11158</v>
      </c>
      <c r="L240" t="s">
        <v>11159</v>
      </c>
      <c r="M240" s="3" t="str">
        <f>HYPERLINK(склад2въезд[[#This Row],[RelativePath]])</f>
        <v>1 Ангар Склад 2 въезд\E33149364_6_20260203T200535Z.jpg</v>
      </c>
      <c r="N240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41:E254 D241:D251 G2:H240 D2:E240">
    <cfRule type="containsText" dxfId="701" priority="23" operator="containsText" text="Выезд с территории">
      <formula>NOT(ISERROR(SEARCH("Выезд с территории",D2)))</formula>
    </cfRule>
  </conditionalFormatting>
  <conditionalFormatting sqref="F2:F728">
    <cfRule type="notContainsText" dxfId="700" priority="21" operator="notContains" text="порожний">
      <formula>ISERROR(SEARCH("порожний",F2))</formula>
    </cfRule>
  </conditionalFormatting>
  <conditionalFormatting sqref="E2:E254">
    <cfRule type="containsText" dxfId="699" priority="12" operator="containsText" text="Газель базы">
      <formula>NOT(ISERROR(SEARCH("Газель базы",E2)))</formula>
    </cfRule>
    <cfRule type="containsText" dxfId="698" priority="13" operator="containsText" text="Погрузчик базы">
      <formula>NOT(ISERROR(SEARCH("Погрузчик базы",E2)))</formula>
    </cfRule>
  </conditionalFormatting>
  <conditionalFormatting sqref="E2:E254">
    <cfRule type="containsText" dxfId="697" priority="11" operator="containsText" text="Трактор базы">
      <formula>NOT(ISERROR(SEARCH("Трактор базы",E2)))</formula>
    </cfRule>
  </conditionalFormatting>
  <conditionalFormatting sqref="A2:C240">
    <cfRule type="expression" dxfId="696" priority="9">
      <formula>$A2="пн"</formula>
    </cfRule>
  </conditionalFormatting>
  <conditionalFormatting sqref="A2:C242">
    <cfRule type="expression" dxfId="695" priority="3">
      <formula>$A2="вс"</formula>
    </cfRule>
    <cfRule type="expression" dxfId="694" priority="4">
      <formula>$A2="сб"</formula>
    </cfRule>
    <cfRule type="expression" dxfId="693" priority="5">
      <formula>$A2="пт"</formula>
    </cfRule>
    <cfRule type="expression" dxfId="692" priority="6">
      <formula>$A2="чт"</formula>
    </cfRule>
    <cfRule type="expression" dxfId="691" priority="7">
      <formula>$A2="ср"</formula>
    </cfRule>
    <cfRule type="expression" dxfId="690" priority="8">
      <formula>$A2="вт"</formula>
    </cfRule>
  </conditionalFormatting>
  <conditionalFormatting sqref="D2:D251">
    <cfRule type="containsText" dxfId="68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1">
    <cfRule type="containsText" dxfId="68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70"/>
  <sheetViews>
    <sheetView topLeftCell="C1" zoomScale="90" zoomScaleNormal="90" workbookViewId="0">
      <pane ySplit="1" topLeftCell="A252" activePane="bottomLeft" state="frozen"/>
      <selection pane="bottomLeft" activeCell="I269" sqref="I269:I270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s="8" t="s">
        <v>2004</v>
      </c>
      <c r="E184" s="8" t="s">
        <v>8</v>
      </c>
      <c r="F184" s="8"/>
      <c r="H184" s="8"/>
      <c r="I184" s="8" t="s">
        <v>7439</v>
      </c>
      <c r="J184" s="8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s="8" t="s">
        <v>2004</v>
      </c>
      <c r="E185" s="8" t="s">
        <v>8</v>
      </c>
      <c r="F185" s="8"/>
      <c r="H185" s="8"/>
      <c r="I185" s="8" t="s">
        <v>7442</v>
      </c>
      <c r="J185" s="8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s="8" t="s">
        <v>2004</v>
      </c>
      <c r="E186" s="8" t="s">
        <v>8</v>
      </c>
      <c r="F186" s="8"/>
      <c r="H186" s="8"/>
      <c r="I186" s="8" t="s">
        <v>7720</v>
      </c>
      <c r="J186" s="8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s="8" t="s">
        <v>1606</v>
      </c>
      <c r="E187" s="8" t="s">
        <v>4193</v>
      </c>
      <c r="F187" s="8" t="s">
        <v>5076</v>
      </c>
      <c r="H187" s="8"/>
      <c r="I187" s="8" t="s">
        <v>7872</v>
      </c>
      <c r="J187" s="8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s="8" t="s">
        <v>6171</v>
      </c>
      <c r="E188" s="8" t="s">
        <v>4193</v>
      </c>
      <c r="F188" s="8" t="s">
        <v>5076</v>
      </c>
      <c r="H188" s="8" t="s">
        <v>5474</v>
      </c>
      <c r="I188" s="8" t="s">
        <v>7875</v>
      </c>
      <c r="J188" s="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s="8" t="s">
        <v>650</v>
      </c>
      <c r="E189" s="8" t="s">
        <v>4193</v>
      </c>
      <c r="F189" s="8" t="s">
        <v>5076</v>
      </c>
      <c r="H189" s="8"/>
      <c r="I189" s="8" t="s">
        <v>7878</v>
      </c>
      <c r="J189" s="8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s="8" t="s">
        <v>8042</v>
      </c>
      <c r="E190" s="8" t="s">
        <v>6329</v>
      </c>
      <c r="F190" s="8" t="s">
        <v>5076</v>
      </c>
      <c r="H190" s="8"/>
      <c r="I190" s="8" t="s">
        <v>7881</v>
      </c>
      <c r="J190" s="8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s="8" t="s">
        <v>1606</v>
      </c>
      <c r="E191" s="8" t="s">
        <v>4193</v>
      </c>
      <c r="F191" s="8" t="s">
        <v>5076</v>
      </c>
      <c r="H191" s="8"/>
      <c r="I191" s="8" t="s">
        <v>7884</v>
      </c>
      <c r="J191" s="8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s="8" t="s">
        <v>650</v>
      </c>
      <c r="E192" s="8" t="s">
        <v>4193</v>
      </c>
      <c r="F192" s="8" t="s">
        <v>5076</v>
      </c>
      <c r="H192" s="8"/>
      <c r="I192" s="8" t="s">
        <v>7887</v>
      </c>
      <c r="J192" s="8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s="8" t="s">
        <v>533</v>
      </c>
      <c r="E193" s="8" t="s">
        <v>531</v>
      </c>
      <c r="F193" s="8" t="s">
        <v>1621</v>
      </c>
      <c r="H193" s="8" t="s">
        <v>1620</v>
      </c>
      <c r="I193" s="8" t="s">
        <v>8078</v>
      </c>
      <c r="J193" s="8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s="8" t="s">
        <v>2004</v>
      </c>
      <c r="E194" s="8" t="s">
        <v>8</v>
      </c>
      <c r="F194" s="8"/>
      <c r="H194" s="8"/>
      <c r="I194" s="8" t="s">
        <v>8081</v>
      </c>
      <c r="J194" s="8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s="8" t="s">
        <v>2004</v>
      </c>
      <c r="E195" s="8" t="s">
        <v>8</v>
      </c>
      <c r="F195" s="8"/>
      <c r="H195" s="8"/>
      <c r="I195" s="8" t="s">
        <v>8084</v>
      </c>
      <c r="J195" s="8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s="8" t="s">
        <v>2004</v>
      </c>
      <c r="E196" s="8" t="s">
        <v>8</v>
      </c>
      <c r="F196" s="8"/>
      <c r="H196" s="8"/>
      <c r="I196" s="8" t="s">
        <v>8087</v>
      </c>
      <c r="J196" s="8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s="8" t="s">
        <v>2004</v>
      </c>
      <c r="E197" s="8" t="s">
        <v>8</v>
      </c>
      <c r="F197" s="8"/>
      <c r="H197" s="8"/>
      <c r="I197" s="8" t="s">
        <v>8363</v>
      </c>
      <c r="J197" s="8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s="8" t="s">
        <v>2004</v>
      </c>
      <c r="E198" s="8" t="s">
        <v>8</v>
      </c>
      <c r="F198" s="8"/>
      <c r="H198" s="8"/>
      <c r="I198" s="8" t="s">
        <v>8366</v>
      </c>
      <c r="J198" s="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s="8" t="s">
        <v>2004</v>
      </c>
      <c r="E199" s="8" t="s">
        <v>8</v>
      </c>
      <c r="F199" s="8"/>
      <c r="H199" s="8"/>
      <c r="I199" s="8" t="s">
        <v>8369</v>
      </c>
      <c r="J199" s="8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s="8" t="s">
        <v>2004</v>
      </c>
      <c r="E200" s="8" t="s">
        <v>8</v>
      </c>
      <c r="F200" s="8"/>
      <c r="H200" s="8"/>
      <c r="I200" s="8" t="s">
        <v>8484</v>
      </c>
      <c r="J200" s="8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s="8" t="s">
        <v>2004</v>
      </c>
      <c r="E201" s="8" t="s">
        <v>8</v>
      </c>
      <c r="F201" s="8"/>
      <c r="H201" s="8"/>
      <c r="I201" s="8" t="s">
        <v>8487</v>
      </c>
      <c r="J201" s="8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s="8" t="s">
        <v>2004</v>
      </c>
      <c r="E202" s="8" t="s">
        <v>8</v>
      </c>
      <c r="F202" s="8"/>
      <c r="H202" s="8"/>
      <c r="I202" s="8" t="s">
        <v>8490</v>
      </c>
      <c r="J202" s="8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s="8" t="s">
        <v>2004</v>
      </c>
      <c r="E203" s="8" t="s">
        <v>8</v>
      </c>
      <c r="F203" s="8"/>
      <c r="H203" s="8"/>
      <c r="I203" s="8" t="s">
        <v>8493</v>
      </c>
      <c r="J203" s="8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s="8" t="s">
        <v>2004</v>
      </c>
      <c r="E204" s="8" t="s">
        <v>8</v>
      </c>
      <c r="F204" s="8"/>
      <c r="H204" s="8"/>
      <c r="I204" s="8" t="s">
        <v>8496</v>
      </c>
      <c r="J204" s="8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s="8" t="s">
        <v>2004</v>
      </c>
      <c r="E205" s="8" t="s">
        <v>8</v>
      </c>
      <c r="F205" s="8"/>
      <c r="H205" s="8"/>
      <c r="I205" s="8" t="s">
        <v>8499</v>
      </c>
      <c r="J205" s="8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s="8" t="s">
        <v>2004</v>
      </c>
      <c r="E206" s="8" t="s">
        <v>8</v>
      </c>
      <c r="F206" s="8"/>
      <c r="H206" s="8"/>
      <c r="I206" s="8" t="s">
        <v>8502</v>
      </c>
      <c r="J206" s="8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s="8" t="s">
        <v>4221</v>
      </c>
      <c r="E207" s="8" t="s">
        <v>86</v>
      </c>
      <c r="F207" s="8" t="s">
        <v>4240</v>
      </c>
      <c r="H207" s="8" t="s">
        <v>1620</v>
      </c>
      <c r="I207" s="8" t="s">
        <v>8828</v>
      </c>
      <c r="J207" s="8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s="8" t="s">
        <v>4221</v>
      </c>
      <c r="E208" s="8" t="s">
        <v>86</v>
      </c>
      <c r="F208" s="8" t="s">
        <v>4240</v>
      </c>
      <c r="H208" s="8" t="s">
        <v>4236</v>
      </c>
      <c r="I208" s="8" t="s">
        <v>8831</v>
      </c>
      <c r="J208" s="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s="8" t="s">
        <v>158</v>
      </c>
      <c r="E209" s="8" t="s">
        <v>86</v>
      </c>
      <c r="F209" s="8" t="s">
        <v>60</v>
      </c>
      <c r="G209">
        <v>3</v>
      </c>
      <c r="H209" s="8" t="s">
        <v>3075</v>
      </c>
      <c r="I209" s="8" t="s">
        <v>8834</v>
      </c>
      <c r="J209" s="8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s="8" t="s">
        <v>158</v>
      </c>
      <c r="E210" s="8" t="s">
        <v>86</v>
      </c>
      <c r="F210" s="8" t="s">
        <v>60</v>
      </c>
      <c r="G210">
        <v>2</v>
      </c>
      <c r="H210" s="8" t="s">
        <v>3075</v>
      </c>
      <c r="I210" s="8" t="s">
        <v>8837</v>
      </c>
      <c r="J210" s="8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s="8" t="s">
        <v>158</v>
      </c>
      <c r="E211" s="8" t="s">
        <v>86</v>
      </c>
      <c r="F211" s="8" t="s">
        <v>60</v>
      </c>
      <c r="G211">
        <v>1</v>
      </c>
      <c r="H211" s="8" t="s">
        <v>3075</v>
      </c>
      <c r="I211" s="8" t="s">
        <v>8840</v>
      </c>
      <c r="J211" s="8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s="8" t="s">
        <v>4221</v>
      </c>
      <c r="E212" s="8" t="s">
        <v>86</v>
      </c>
      <c r="F212" s="8" t="s">
        <v>9189</v>
      </c>
      <c r="H212" s="8" t="s">
        <v>1620</v>
      </c>
      <c r="I212" s="8" t="s">
        <v>8843</v>
      </c>
      <c r="J212" s="8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s="8" t="s">
        <v>4221</v>
      </c>
      <c r="E213" s="8" t="s">
        <v>86</v>
      </c>
      <c r="F213" s="8" t="s">
        <v>9189</v>
      </c>
      <c r="H213" s="8" t="s">
        <v>2936</v>
      </c>
      <c r="I213" s="8" t="s">
        <v>8846</v>
      </c>
      <c r="J213" s="8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s="8" t="s">
        <v>158</v>
      </c>
      <c r="E214" s="8" t="s">
        <v>86</v>
      </c>
      <c r="F214" s="8" t="s">
        <v>60</v>
      </c>
      <c r="G214">
        <v>1</v>
      </c>
      <c r="H214" s="8" t="s">
        <v>3075</v>
      </c>
      <c r="I214" s="8" t="s">
        <v>8849</v>
      </c>
      <c r="J214" s="8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s="8" t="s">
        <v>1606</v>
      </c>
      <c r="E215" s="8" t="s">
        <v>4193</v>
      </c>
      <c r="F215" s="8"/>
      <c r="H215" s="8"/>
      <c r="I215" s="8" t="s">
        <v>9213</v>
      </c>
      <c r="J215" s="8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s="8" t="s">
        <v>9337</v>
      </c>
      <c r="E216" s="8" t="s">
        <v>4193</v>
      </c>
      <c r="F216" s="8"/>
      <c r="H216" s="8"/>
      <c r="I216" s="8" t="s">
        <v>9216</v>
      </c>
      <c r="J216" s="8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s="8" t="s">
        <v>9337</v>
      </c>
      <c r="E217" s="8" t="s">
        <v>4193</v>
      </c>
      <c r="F217" s="8"/>
      <c r="H217" s="8" t="s">
        <v>9338</v>
      </c>
      <c r="I217" s="8" t="s">
        <v>9219</v>
      </c>
      <c r="J217" s="8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s="8" t="s">
        <v>9337</v>
      </c>
      <c r="E218" s="8" t="s">
        <v>4193</v>
      </c>
      <c r="F218" s="8" t="s">
        <v>9339</v>
      </c>
      <c r="H218" s="8" t="s">
        <v>9340</v>
      </c>
      <c r="I218" s="8" t="s">
        <v>9222</v>
      </c>
      <c r="J218" s="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s="8" t="s">
        <v>650</v>
      </c>
      <c r="E219" s="8" t="s">
        <v>4193</v>
      </c>
      <c r="F219" s="8"/>
      <c r="H219" s="8"/>
      <c r="I219" s="8" t="s">
        <v>9225</v>
      </c>
      <c r="J219" s="8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s="8" t="s">
        <v>2004</v>
      </c>
      <c r="E220" s="8" t="s">
        <v>8</v>
      </c>
      <c r="F220" s="8"/>
      <c r="H220" s="8"/>
      <c r="I220" s="8" t="s">
        <v>9228</v>
      </c>
      <c r="J220" s="8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s="8" t="s">
        <v>533</v>
      </c>
      <c r="E221" s="8" t="s">
        <v>531</v>
      </c>
      <c r="F221" s="8" t="s">
        <v>2929</v>
      </c>
      <c r="H221" s="8"/>
      <c r="I221" s="8" t="s">
        <v>9231</v>
      </c>
      <c r="J221" s="8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s="8" t="s">
        <v>533</v>
      </c>
      <c r="E222" s="8" t="s">
        <v>531</v>
      </c>
      <c r="F222" s="8" t="s">
        <v>2929</v>
      </c>
      <c r="H222" s="8" t="s">
        <v>2936</v>
      </c>
      <c r="I222" s="8" t="s">
        <v>9234</v>
      </c>
      <c r="J222" s="8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s="8" t="s">
        <v>9341</v>
      </c>
      <c r="E223" s="8" t="s">
        <v>9342</v>
      </c>
      <c r="F223" s="8"/>
      <c r="H223" s="8" t="s">
        <v>6531</v>
      </c>
      <c r="I223" s="8" t="s">
        <v>9237</v>
      </c>
      <c r="J223" s="8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s="8" t="s">
        <v>1606</v>
      </c>
      <c r="E224" s="8" t="s">
        <v>6656</v>
      </c>
      <c r="F224" s="8" t="s">
        <v>51</v>
      </c>
      <c r="H224" s="8"/>
      <c r="I224" s="8" t="s">
        <v>9570</v>
      </c>
      <c r="J224" s="8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s="8" t="s">
        <v>650</v>
      </c>
      <c r="E225" s="8" t="s">
        <v>6656</v>
      </c>
      <c r="F225" s="8" t="s">
        <v>4240</v>
      </c>
      <c r="H225" s="8"/>
      <c r="I225" s="8" t="s">
        <v>9573</v>
      </c>
      <c r="J225" s="8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s="8" t="s">
        <v>1606</v>
      </c>
      <c r="E226" s="8" t="s">
        <v>6656</v>
      </c>
      <c r="F226" s="8" t="s">
        <v>51</v>
      </c>
      <c r="H226" s="8"/>
      <c r="I226" s="8" t="s">
        <v>9576</v>
      </c>
      <c r="J226" s="8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s="8" t="s">
        <v>650</v>
      </c>
      <c r="E227" s="8" t="s">
        <v>6656</v>
      </c>
      <c r="F227" s="8" t="s">
        <v>9684</v>
      </c>
      <c r="H227" s="8"/>
      <c r="I227" s="8" t="s">
        <v>9579</v>
      </c>
      <c r="J227" s="8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s="8" t="s">
        <v>2004</v>
      </c>
      <c r="E228" s="8" t="s">
        <v>8</v>
      </c>
      <c r="F228" s="8"/>
      <c r="H228" s="8"/>
      <c r="I228" s="8" t="s">
        <v>9582</v>
      </c>
      <c r="J228" s="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s="8" t="s">
        <v>2004</v>
      </c>
      <c r="E229" s="8" t="s">
        <v>8</v>
      </c>
      <c r="F229" s="8"/>
      <c r="H229" s="8"/>
      <c r="I229" s="8" t="s">
        <v>9714</v>
      </c>
      <c r="J229" s="8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s="8" t="s">
        <v>2004</v>
      </c>
      <c r="E230" s="8" t="s">
        <v>8</v>
      </c>
      <c r="F230" s="8"/>
      <c r="H230" s="8"/>
      <c r="I230" s="8" t="s">
        <v>9717</v>
      </c>
      <c r="J230" s="8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s="8" t="s">
        <v>1606</v>
      </c>
      <c r="E231" s="8" t="s">
        <v>10140</v>
      </c>
      <c r="F231" s="8"/>
      <c r="H231" s="8" t="s">
        <v>5474</v>
      </c>
      <c r="I231" s="8" t="s">
        <v>9915</v>
      </c>
      <c r="J231" s="8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s="8" t="s">
        <v>650</v>
      </c>
      <c r="E232" s="8" t="s">
        <v>10140</v>
      </c>
      <c r="F232" s="8"/>
      <c r="H232" s="8"/>
      <c r="I232" s="8" t="s">
        <v>9918</v>
      </c>
      <c r="J232" s="8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s="8" t="s">
        <v>1606</v>
      </c>
      <c r="E233" s="8" t="s">
        <v>4193</v>
      </c>
      <c r="F233" s="8"/>
      <c r="H233" s="8" t="s">
        <v>5474</v>
      </c>
      <c r="I233" s="8" t="s">
        <v>9921</v>
      </c>
      <c r="J233" s="8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s="8" t="s">
        <v>650</v>
      </c>
      <c r="E234" s="8" t="s">
        <v>4193</v>
      </c>
      <c r="F234" s="8"/>
      <c r="H234" s="8"/>
      <c r="I234" s="8" t="s">
        <v>9924</v>
      </c>
      <c r="J234" s="8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s="8" t="s">
        <v>1606</v>
      </c>
      <c r="E235" s="8" t="s">
        <v>10166</v>
      </c>
      <c r="F235" s="8" t="s">
        <v>5076</v>
      </c>
      <c r="H235" s="8"/>
      <c r="I235" s="8" t="s">
        <v>10168</v>
      </c>
      <c r="J235" s="8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s="8" t="s">
        <v>6171</v>
      </c>
      <c r="E236" s="8" t="s">
        <v>10166</v>
      </c>
      <c r="F236" s="8" t="s">
        <v>5076</v>
      </c>
      <c r="H236" s="8" t="s">
        <v>5474</v>
      </c>
      <c r="I236" s="8" t="s">
        <v>10171</v>
      </c>
      <c r="J236" s="8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s="8" t="s">
        <v>650</v>
      </c>
      <c r="E237" s="8" t="s">
        <v>10166</v>
      </c>
      <c r="F237" s="8" t="s">
        <v>5076</v>
      </c>
      <c r="H237" s="8"/>
      <c r="I237" s="8" t="s">
        <v>10174</v>
      </c>
      <c r="J237" s="8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s="8" t="s">
        <v>2004</v>
      </c>
      <c r="E238" s="8" t="s">
        <v>8</v>
      </c>
      <c r="F238" s="8"/>
      <c r="H238" s="8"/>
      <c r="I238" s="8" t="s">
        <v>10446</v>
      </c>
      <c r="J238" s="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s="8" t="s">
        <v>2004</v>
      </c>
      <c r="E239" s="8" t="s">
        <v>8</v>
      </c>
      <c r="F239" s="8"/>
      <c r="H239" s="8"/>
      <c r="I239" s="8" t="s">
        <v>10449</v>
      </c>
      <c r="J239" s="8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s="8" t="s">
        <v>2004</v>
      </c>
      <c r="E240" s="8" t="s">
        <v>8</v>
      </c>
      <c r="F240" s="8"/>
      <c r="H240" s="8"/>
      <c r="I240" s="8" t="s">
        <v>10528</v>
      </c>
      <c r="J240" s="8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s="8" t="s">
        <v>2004</v>
      </c>
      <c r="E241" s="8" t="s">
        <v>8</v>
      </c>
      <c r="F241" s="8"/>
      <c r="H241" s="8"/>
      <c r="I241" s="8" t="s">
        <v>10531</v>
      </c>
      <c r="J241" s="8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  <row r="242" spans="1:13" x14ac:dyDescent="0.25">
      <c r="A242" s="2" t="s">
        <v>15</v>
      </c>
      <c r="B242" s="4">
        <v>46050</v>
      </c>
      <c r="C242" s="5">
        <v>0.61832175925925925</v>
      </c>
      <c r="D242" s="8" t="s">
        <v>158</v>
      </c>
      <c r="E242" s="8" t="s">
        <v>1607</v>
      </c>
      <c r="F242" s="8" t="s">
        <v>2929</v>
      </c>
      <c r="G242">
        <v>1</v>
      </c>
      <c r="H242" s="8" t="s">
        <v>3075</v>
      </c>
      <c r="I242" s="8" t="s">
        <v>10641</v>
      </c>
      <c r="J242" s="8" t="s">
        <v>2989</v>
      </c>
      <c r="K242" t="s">
        <v>10642</v>
      </c>
      <c r="L242" t="s">
        <v>10643</v>
      </c>
      <c r="M242" s="3" t="str">
        <f>HYPERLINK(склад2въезд14[[#This Row],[RelativePath]])</f>
        <v>2 Пилорама поката\E33149364_7_20260128T145023Z.jpg</v>
      </c>
    </row>
    <row r="243" spans="1:13" x14ac:dyDescent="0.25">
      <c r="A243" s="2" t="s">
        <v>15</v>
      </c>
      <c r="B243" s="4">
        <v>46050</v>
      </c>
      <c r="C243" s="5">
        <v>0.6216666666666667</v>
      </c>
      <c r="D243" s="8" t="s">
        <v>158</v>
      </c>
      <c r="E243" s="8" t="s">
        <v>1607</v>
      </c>
      <c r="F243" s="8" t="s">
        <v>2929</v>
      </c>
      <c r="G243">
        <v>1</v>
      </c>
      <c r="H243" s="8" t="s">
        <v>3075</v>
      </c>
      <c r="I243" s="8" t="s">
        <v>10644</v>
      </c>
      <c r="J243" s="8" t="s">
        <v>2989</v>
      </c>
      <c r="K243" t="s">
        <v>10645</v>
      </c>
      <c r="L243" t="s">
        <v>10646</v>
      </c>
      <c r="M243" s="3" t="str">
        <f>HYPERLINK(склад2въезд14[[#This Row],[RelativePath]])</f>
        <v>2 Пилорама поката\E33149364_7_20260128T145512Z.jpg</v>
      </c>
    </row>
    <row r="244" spans="1:13" x14ac:dyDescent="0.25">
      <c r="A244" s="2" t="s">
        <v>15</v>
      </c>
      <c r="B244" s="4">
        <v>46050</v>
      </c>
      <c r="C244" s="5">
        <v>0.62906249999999997</v>
      </c>
      <c r="D244" s="8" t="s">
        <v>158</v>
      </c>
      <c r="E244" s="8" t="s">
        <v>1607</v>
      </c>
      <c r="F244" s="8" t="s">
        <v>2929</v>
      </c>
      <c r="G244">
        <v>1</v>
      </c>
      <c r="H244" s="8" t="s">
        <v>3075</v>
      </c>
      <c r="I244" s="8" t="s">
        <v>10647</v>
      </c>
      <c r="J244" s="8" t="s">
        <v>2989</v>
      </c>
      <c r="K244" t="s">
        <v>10648</v>
      </c>
      <c r="L244" t="s">
        <v>10649</v>
      </c>
      <c r="M244" s="3" t="str">
        <f>HYPERLINK(склад2въезд14[[#This Row],[RelativePath]])</f>
        <v>2 Пилорама поката\E33149364_7_20260128T150551Z.jpg</v>
      </c>
    </row>
    <row r="245" spans="1:13" x14ac:dyDescent="0.25">
      <c r="A245" s="2" t="s">
        <v>15</v>
      </c>
      <c r="B245" s="4">
        <v>46050</v>
      </c>
      <c r="C245" s="5">
        <v>0.64170138888888884</v>
      </c>
      <c r="D245" s="8" t="s">
        <v>158</v>
      </c>
      <c r="E245" s="8" t="s">
        <v>1607</v>
      </c>
      <c r="F245" s="8" t="s">
        <v>2929</v>
      </c>
      <c r="G245">
        <v>1</v>
      </c>
      <c r="H245" s="8" t="s">
        <v>3075</v>
      </c>
      <c r="I245" s="8" t="s">
        <v>10650</v>
      </c>
      <c r="J245" s="8" t="s">
        <v>2989</v>
      </c>
      <c r="K245" t="s">
        <v>10651</v>
      </c>
      <c r="L245" t="s">
        <v>10652</v>
      </c>
      <c r="M245" s="3" t="str">
        <f>HYPERLINK(склад2въезд14[[#This Row],[RelativePath]])</f>
        <v>2 Пилорама поката\E33149364_7_20260128T152403Z.jpg</v>
      </c>
    </row>
    <row r="246" spans="1:13" x14ac:dyDescent="0.25">
      <c r="A246" s="2" t="s">
        <v>16</v>
      </c>
      <c r="B246" s="4">
        <v>46051</v>
      </c>
      <c r="C246" s="5">
        <v>0.47310185185185183</v>
      </c>
      <c r="D246" s="8" t="s">
        <v>289</v>
      </c>
      <c r="E246" s="8" t="s">
        <v>10884</v>
      </c>
      <c r="F246" s="8" t="s">
        <v>2929</v>
      </c>
      <c r="G246">
        <v>1</v>
      </c>
      <c r="H246" s="8"/>
      <c r="I246" s="8" t="s">
        <v>10653</v>
      </c>
      <c r="J246" s="8" t="s">
        <v>2989</v>
      </c>
      <c r="K246" t="s">
        <v>10654</v>
      </c>
      <c r="L246" t="s">
        <v>10655</v>
      </c>
      <c r="M246" s="3" t="str">
        <f>HYPERLINK(склад2въезд14[[#This Row],[RelativePath]])</f>
        <v>2 Пилорама поката\E33149364_7_20260129T112116Z.jpg</v>
      </c>
    </row>
    <row r="247" spans="1:13" x14ac:dyDescent="0.25">
      <c r="A247" s="2" t="s">
        <v>16</v>
      </c>
      <c r="B247" s="4">
        <v>46051</v>
      </c>
      <c r="C247" s="5">
        <v>0.47327546296296297</v>
      </c>
      <c r="D247" s="8" t="s">
        <v>289</v>
      </c>
      <c r="E247" s="8" t="s">
        <v>10884</v>
      </c>
      <c r="F247" s="8" t="s">
        <v>2929</v>
      </c>
      <c r="G247">
        <v>1</v>
      </c>
      <c r="H247" s="8" t="s">
        <v>2936</v>
      </c>
      <c r="I247" s="8" t="s">
        <v>10656</v>
      </c>
      <c r="J247" s="8" t="s">
        <v>2989</v>
      </c>
      <c r="K247" t="s">
        <v>10657</v>
      </c>
      <c r="L247" t="s">
        <v>10658</v>
      </c>
      <c r="M247" s="3" t="str">
        <f>HYPERLINK(склад2въезд14[[#This Row],[RelativePath]])</f>
        <v>2 Пилорама поката\E33149364_7_20260129T112131Z.jpg</v>
      </c>
    </row>
    <row r="248" spans="1:13" x14ac:dyDescent="0.25">
      <c r="A248" s="2" t="s">
        <v>16</v>
      </c>
      <c r="B248" s="4">
        <v>46051</v>
      </c>
      <c r="C248" s="5">
        <v>0.47359953703703705</v>
      </c>
      <c r="D248" s="8" t="s">
        <v>289</v>
      </c>
      <c r="E248" s="8" t="s">
        <v>10884</v>
      </c>
      <c r="F248" s="8" t="s">
        <v>2929</v>
      </c>
      <c r="G248">
        <v>1</v>
      </c>
      <c r="H248" s="8" t="s">
        <v>2936</v>
      </c>
      <c r="I248" s="8" t="s">
        <v>10659</v>
      </c>
      <c r="J248" s="8" t="s">
        <v>2989</v>
      </c>
      <c r="K248" t="s">
        <v>10660</v>
      </c>
      <c r="L248" t="s">
        <v>10661</v>
      </c>
      <c r="M248" s="3" t="str">
        <f>HYPERLINK(склад2въезд14[[#This Row],[RelativePath]])</f>
        <v>2 Пилорама поката\E33149364_7_20260129T112159Z.jpg</v>
      </c>
    </row>
    <row r="249" spans="1:13" x14ac:dyDescent="0.25">
      <c r="A249" s="2" t="s">
        <v>16</v>
      </c>
      <c r="B249" s="4">
        <v>46051</v>
      </c>
      <c r="C249" s="5">
        <v>0.4737615740740741</v>
      </c>
      <c r="D249" s="8" t="s">
        <v>289</v>
      </c>
      <c r="E249" s="8" t="s">
        <v>10884</v>
      </c>
      <c r="F249" s="8" t="s">
        <v>2929</v>
      </c>
      <c r="G249">
        <v>1</v>
      </c>
      <c r="H249" s="8" t="s">
        <v>2936</v>
      </c>
      <c r="I249" s="8" t="s">
        <v>10662</v>
      </c>
      <c r="J249" s="8" t="s">
        <v>2989</v>
      </c>
      <c r="K249" t="s">
        <v>10663</v>
      </c>
      <c r="L249" t="s">
        <v>10664</v>
      </c>
      <c r="M249" s="3" t="str">
        <f>HYPERLINK(склад2въезд14[[#This Row],[RelativePath]])</f>
        <v>2 Пилорама поката\E33149364_7_20260129T112213Z.jpg</v>
      </c>
    </row>
    <row r="250" spans="1:13" x14ac:dyDescent="0.25">
      <c r="A250" s="2" t="s">
        <v>16</v>
      </c>
      <c r="B250" s="4">
        <v>46051</v>
      </c>
      <c r="C250" s="5">
        <v>0.47636574074074073</v>
      </c>
      <c r="D250" s="8" t="s">
        <v>650</v>
      </c>
      <c r="E250" s="8" t="s">
        <v>10884</v>
      </c>
      <c r="F250" s="8" t="s">
        <v>58</v>
      </c>
      <c r="H250" s="8" t="s">
        <v>9336</v>
      </c>
      <c r="I250" s="8" t="s">
        <v>10665</v>
      </c>
      <c r="J250" s="8" t="s">
        <v>2989</v>
      </c>
      <c r="K250" t="s">
        <v>10666</v>
      </c>
      <c r="L250" t="s">
        <v>10667</v>
      </c>
      <c r="M250" s="3" t="str">
        <f>HYPERLINK(склад2въезд14[[#This Row],[RelativePath]])</f>
        <v>2 Пилорама поката\E33149364_7_20260129T112558Z.jpg</v>
      </c>
    </row>
    <row r="251" spans="1:13" x14ac:dyDescent="0.25">
      <c r="A251" s="2" t="s">
        <v>16</v>
      </c>
      <c r="B251" s="4">
        <v>46051</v>
      </c>
      <c r="C251" s="5">
        <v>0.53287037037037033</v>
      </c>
      <c r="D251" s="8" t="s">
        <v>158</v>
      </c>
      <c r="E251" s="8" t="s">
        <v>1607</v>
      </c>
      <c r="F251" s="8" t="s">
        <v>2929</v>
      </c>
      <c r="G251">
        <v>1</v>
      </c>
      <c r="H251" s="8" t="s">
        <v>3075</v>
      </c>
      <c r="I251" s="8" t="s">
        <v>10668</v>
      </c>
      <c r="J251" s="8" t="s">
        <v>2989</v>
      </c>
      <c r="K251" t="s">
        <v>10669</v>
      </c>
      <c r="L251" t="s">
        <v>10670</v>
      </c>
      <c r="M251" s="3" t="str">
        <f>HYPERLINK(склад2въезд14[[#This Row],[RelativePath]])</f>
        <v>2 Пилорама поката\E33149364_7_20260129T124720Z.jpg</v>
      </c>
    </row>
    <row r="252" spans="1:13" x14ac:dyDescent="0.25">
      <c r="A252" s="2" t="s">
        <v>16</v>
      </c>
      <c r="B252" s="4">
        <v>46051</v>
      </c>
      <c r="C252" s="5">
        <v>0.58918981481481481</v>
      </c>
      <c r="D252" s="8" t="s">
        <v>158</v>
      </c>
      <c r="E252" s="8" t="s">
        <v>1607</v>
      </c>
      <c r="F252" s="8" t="s">
        <v>2929</v>
      </c>
      <c r="G252">
        <v>2</v>
      </c>
      <c r="H252" s="8" t="s">
        <v>3075</v>
      </c>
      <c r="I252" s="8" t="s">
        <v>10671</v>
      </c>
      <c r="J252" s="8" t="s">
        <v>2989</v>
      </c>
      <c r="K252" t="s">
        <v>10672</v>
      </c>
      <c r="L252" t="s">
        <v>10673</v>
      </c>
      <c r="M252" s="3" t="str">
        <f>HYPERLINK(склад2въезд14[[#This Row],[RelativePath]])</f>
        <v>2 Пилорама поката\E33149364_7_20260129T140826Z.jpg</v>
      </c>
    </row>
    <row r="253" spans="1:13" x14ac:dyDescent="0.25">
      <c r="A253" s="2" t="s">
        <v>16</v>
      </c>
      <c r="B253" s="4">
        <v>46051</v>
      </c>
      <c r="C253" s="5">
        <v>0.58928240740740745</v>
      </c>
      <c r="D253" s="8" t="s">
        <v>158</v>
      </c>
      <c r="E253" s="8" t="s">
        <v>1607</v>
      </c>
      <c r="F253" s="8" t="s">
        <v>2929</v>
      </c>
      <c r="G253">
        <v>2</v>
      </c>
      <c r="H253" s="8" t="s">
        <v>3075</v>
      </c>
      <c r="I253" s="8" t="s">
        <v>10674</v>
      </c>
      <c r="J253" s="8" t="s">
        <v>2989</v>
      </c>
      <c r="K253" t="s">
        <v>10675</v>
      </c>
      <c r="L253" t="s">
        <v>10676</v>
      </c>
      <c r="M253" s="3" t="str">
        <f>HYPERLINK(склад2въезд14[[#This Row],[RelativePath]])</f>
        <v>2 Пилорама поката\E33149364_7_20260129T140834Z.jpg</v>
      </c>
    </row>
    <row r="254" spans="1:13" x14ac:dyDescent="0.25">
      <c r="A254" s="2" t="s">
        <v>16</v>
      </c>
      <c r="B254" s="4">
        <v>46051</v>
      </c>
      <c r="C254" s="5">
        <v>0.59119212962962964</v>
      </c>
      <c r="D254" s="8" t="s">
        <v>158</v>
      </c>
      <c r="E254" s="8" t="s">
        <v>1607</v>
      </c>
      <c r="F254" s="8" t="s">
        <v>2929</v>
      </c>
      <c r="G254">
        <v>2</v>
      </c>
      <c r="H254" s="8" t="s">
        <v>3075</v>
      </c>
      <c r="I254" s="8" t="s">
        <v>10677</v>
      </c>
      <c r="J254" s="8" t="s">
        <v>2989</v>
      </c>
      <c r="K254" t="s">
        <v>10678</v>
      </c>
      <c r="L254" t="s">
        <v>10679</v>
      </c>
      <c r="M254" s="3" t="str">
        <f>HYPERLINK(склад2въезд14[[#This Row],[RelativePath]])</f>
        <v>2 Пилорама поката\E33149364_7_20260129T141119Z.jpg</v>
      </c>
    </row>
    <row r="255" spans="1:13" x14ac:dyDescent="0.25">
      <c r="A255" s="2" t="s">
        <v>16</v>
      </c>
      <c r="B255" s="4">
        <v>46051</v>
      </c>
      <c r="C255" s="5">
        <v>0.6272106481481482</v>
      </c>
      <c r="D255" s="8" t="s">
        <v>533</v>
      </c>
      <c r="E255" s="8" t="s">
        <v>531</v>
      </c>
      <c r="F255" s="8" t="s">
        <v>2929</v>
      </c>
      <c r="H255" s="8" t="s">
        <v>10885</v>
      </c>
      <c r="I255" s="8" t="s">
        <v>10683</v>
      </c>
      <c r="J255" s="8" t="s">
        <v>2989</v>
      </c>
      <c r="K255" t="s">
        <v>10684</v>
      </c>
      <c r="L255" t="s">
        <v>10685</v>
      </c>
      <c r="M255" s="3" t="str">
        <f>HYPERLINK(склад2въезд14[[#This Row],[RelativePath]])</f>
        <v>2 Пилорама поката\E33149364_7_20260129T150311Z.jpg</v>
      </c>
    </row>
    <row r="256" spans="1:13" x14ac:dyDescent="0.25">
      <c r="A256" s="2" t="s">
        <v>16</v>
      </c>
      <c r="B256" s="4">
        <v>46051</v>
      </c>
      <c r="C256" s="5">
        <v>0.6338773148148148</v>
      </c>
      <c r="D256" s="8" t="s">
        <v>533</v>
      </c>
      <c r="E256" s="8" t="s">
        <v>531</v>
      </c>
      <c r="F256" s="8" t="s">
        <v>2929</v>
      </c>
      <c r="H256" s="8" t="s">
        <v>10885</v>
      </c>
      <c r="I256" s="8" t="s">
        <v>10689</v>
      </c>
      <c r="J256" s="8" t="s">
        <v>2989</v>
      </c>
      <c r="K256" t="s">
        <v>10690</v>
      </c>
      <c r="L256" t="s">
        <v>10691</v>
      </c>
      <c r="M256" s="3" t="str">
        <f>HYPERLINK(склад2въезд14[[#This Row],[RelativePath]])</f>
        <v>2 Пилорама поката\E33149364_7_20260129T151247Z.jpg</v>
      </c>
    </row>
    <row r="257" spans="1:13" x14ac:dyDescent="0.25">
      <c r="A257" s="2" t="s">
        <v>16</v>
      </c>
      <c r="B257" s="4">
        <v>46051</v>
      </c>
      <c r="C257" s="5">
        <v>0.65055555555555555</v>
      </c>
      <c r="D257" s="8" t="s">
        <v>533</v>
      </c>
      <c r="E257" s="8" t="s">
        <v>531</v>
      </c>
      <c r="F257" s="8" t="s">
        <v>2929</v>
      </c>
      <c r="H257" s="8" t="s">
        <v>10885</v>
      </c>
      <c r="I257" s="8" t="s">
        <v>10692</v>
      </c>
      <c r="J257" s="8" t="s">
        <v>2989</v>
      </c>
      <c r="K257" t="s">
        <v>10693</v>
      </c>
      <c r="L257" t="s">
        <v>10694</v>
      </c>
      <c r="M257" s="3" t="str">
        <f>HYPERLINK(склад2въезд14[[#This Row],[RelativePath]])</f>
        <v>2 Пилорама поката\E33149364_7_20260129T153648Z.jpg</v>
      </c>
    </row>
    <row r="258" spans="1:13" x14ac:dyDescent="0.25">
      <c r="A258" s="2" t="s">
        <v>16</v>
      </c>
      <c r="B258" s="4">
        <v>46051</v>
      </c>
      <c r="C258" s="5">
        <v>0.66958333333333331</v>
      </c>
      <c r="D258" s="8" t="s">
        <v>533</v>
      </c>
      <c r="E258" s="8" t="s">
        <v>531</v>
      </c>
      <c r="F258" s="8" t="s">
        <v>2929</v>
      </c>
      <c r="H258" s="8" t="s">
        <v>10885</v>
      </c>
      <c r="I258" s="8" t="s">
        <v>10698</v>
      </c>
      <c r="J258" s="8" t="s">
        <v>2989</v>
      </c>
      <c r="K258" t="s">
        <v>10699</v>
      </c>
      <c r="L258" t="s">
        <v>10700</v>
      </c>
      <c r="M258" s="3" t="str">
        <f>HYPERLINK(склад2въезд14[[#This Row],[RelativePath]])</f>
        <v>2 Пилорама поката\E33149364_7_20260129T160412Z.jpg</v>
      </c>
    </row>
    <row r="259" spans="1:13" x14ac:dyDescent="0.25">
      <c r="A259" s="2" t="s">
        <v>16</v>
      </c>
      <c r="B259" s="4">
        <v>46051</v>
      </c>
      <c r="C259" s="5">
        <v>0.69520833333333332</v>
      </c>
      <c r="D259" s="8" t="s">
        <v>533</v>
      </c>
      <c r="E259" s="8" t="s">
        <v>531</v>
      </c>
      <c r="F259" s="8" t="s">
        <v>2929</v>
      </c>
      <c r="H259" s="8" t="s">
        <v>10885</v>
      </c>
      <c r="I259" s="8" t="s">
        <v>10701</v>
      </c>
      <c r="J259" s="8" t="s">
        <v>2989</v>
      </c>
      <c r="K259" t="s">
        <v>10702</v>
      </c>
      <c r="L259" t="s">
        <v>10703</v>
      </c>
      <c r="M259" s="3" t="str">
        <f>HYPERLINK(склад2въезд14[[#This Row],[RelativePath]])</f>
        <v>2 Пилорама поката\E33149364_7_20260129T164106Z.jpg</v>
      </c>
    </row>
    <row r="260" spans="1:13" x14ac:dyDescent="0.25">
      <c r="A260" s="2" t="s">
        <v>16</v>
      </c>
      <c r="B260" s="4">
        <v>46051</v>
      </c>
      <c r="C260" s="5">
        <v>0.69732638888888887</v>
      </c>
      <c r="D260" s="8" t="s">
        <v>533</v>
      </c>
      <c r="E260" s="8" t="s">
        <v>531</v>
      </c>
      <c r="F260" s="8" t="s">
        <v>2929</v>
      </c>
      <c r="H260" s="8" t="s">
        <v>10885</v>
      </c>
      <c r="I260" s="8" t="s">
        <v>10707</v>
      </c>
      <c r="J260" s="8" t="s">
        <v>2989</v>
      </c>
      <c r="K260" t="s">
        <v>10708</v>
      </c>
      <c r="L260" t="s">
        <v>10709</v>
      </c>
      <c r="M260" s="3" t="str">
        <f>HYPERLINK(склад2въезд14[[#This Row],[RelativePath]])</f>
        <v>2 Пилорама поката\E33149364_7_20260129T164409Z.jpg</v>
      </c>
    </row>
    <row r="261" spans="1:13" x14ac:dyDescent="0.25">
      <c r="A261" s="2" t="s">
        <v>16</v>
      </c>
      <c r="B261" s="4">
        <v>46051</v>
      </c>
      <c r="C261" s="5">
        <v>0.62516203703703699</v>
      </c>
      <c r="D261" s="8" t="s">
        <v>533</v>
      </c>
      <c r="E261" s="8" t="s">
        <v>531</v>
      </c>
      <c r="F261" s="8" t="s">
        <v>2929</v>
      </c>
      <c r="H261" s="8" t="s">
        <v>10885</v>
      </c>
      <c r="I261" s="8" t="s">
        <v>10680</v>
      </c>
      <c r="J261" s="8" t="s">
        <v>2989</v>
      </c>
      <c r="K261" t="s">
        <v>10681</v>
      </c>
      <c r="L261" t="s">
        <v>10682</v>
      </c>
      <c r="M261" s="3" t="str">
        <f>HYPERLINK(склад2въезд14[[#This Row],[RelativePath]])</f>
        <v>2 Пилорама поката\E33149364_7_20260129T150014Z.jpg</v>
      </c>
    </row>
    <row r="262" spans="1:13" x14ac:dyDescent="0.25">
      <c r="A262" s="2" t="s">
        <v>16</v>
      </c>
      <c r="B262" s="4">
        <v>46051</v>
      </c>
      <c r="C262" s="5">
        <v>0.63146990740740738</v>
      </c>
      <c r="D262" s="8" t="s">
        <v>533</v>
      </c>
      <c r="E262" s="8" t="s">
        <v>531</v>
      </c>
      <c r="F262" s="8" t="s">
        <v>2929</v>
      </c>
      <c r="H262" s="8" t="s">
        <v>10885</v>
      </c>
      <c r="I262" s="8" t="s">
        <v>10686</v>
      </c>
      <c r="J262" s="8" t="s">
        <v>2989</v>
      </c>
      <c r="K262" t="s">
        <v>10687</v>
      </c>
      <c r="L262" t="s">
        <v>10688</v>
      </c>
      <c r="M262" s="3" t="str">
        <f>HYPERLINK(склад2въезд14[[#This Row],[RelativePath]])</f>
        <v>2 Пилорама поката\E33149364_7_20260129T150919Z.jpg</v>
      </c>
    </row>
    <row r="263" spans="1:13" x14ac:dyDescent="0.25">
      <c r="A263" s="2" t="s">
        <v>16</v>
      </c>
      <c r="B263" s="4">
        <v>46051</v>
      </c>
      <c r="C263" s="5">
        <v>0.66751157407407402</v>
      </c>
      <c r="D263" s="8" t="s">
        <v>533</v>
      </c>
      <c r="E263" s="8" t="s">
        <v>531</v>
      </c>
      <c r="F263" s="8" t="s">
        <v>2929</v>
      </c>
      <c r="H263" s="8" t="s">
        <v>10885</v>
      </c>
      <c r="I263" s="8" t="s">
        <v>10695</v>
      </c>
      <c r="J263" s="8" t="s">
        <v>2989</v>
      </c>
      <c r="K263" t="s">
        <v>10696</v>
      </c>
      <c r="L263" t="s">
        <v>10697</v>
      </c>
      <c r="M263" s="3" t="str">
        <f>HYPERLINK(склад2въезд14[[#This Row],[RelativePath]])</f>
        <v>2 Пилорама поката\E33149364_7_20260129T160113Z.jpg</v>
      </c>
    </row>
    <row r="264" spans="1:13" x14ac:dyDescent="0.25">
      <c r="A264" s="2" t="s">
        <v>16</v>
      </c>
      <c r="B264" s="4">
        <v>46051</v>
      </c>
      <c r="C264" s="5">
        <v>0.69696759259259256</v>
      </c>
      <c r="D264" s="8" t="s">
        <v>533</v>
      </c>
      <c r="E264" s="8" t="s">
        <v>531</v>
      </c>
      <c r="F264" s="8" t="s">
        <v>2929</v>
      </c>
      <c r="H264" s="8" t="s">
        <v>10885</v>
      </c>
      <c r="I264" s="8" t="s">
        <v>10704</v>
      </c>
      <c r="J264" s="8" t="s">
        <v>2989</v>
      </c>
      <c r="K264" t="s">
        <v>10705</v>
      </c>
      <c r="L264" t="s">
        <v>10706</v>
      </c>
      <c r="M264" s="3" t="str">
        <f>HYPERLINK(склад2въезд14[[#This Row],[RelativePath]])</f>
        <v>2 Пилорама поката\E33149364_7_20260129T164338Z.jpg</v>
      </c>
    </row>
    <row r="265" spans="1:13" x14ac:dyDescent="0.25">
      <c r="A265" s="2" t="s">
        <v>17</v>
      </c>
      <c r="B265" s="4">
        <v>46052</v>
      </c>
      <c r="C265" s="5">
        <v>0.57103009259259263</v>
      </c>
      <c r="D265" s="8" t="s">
        <v>1606</v>
      </c>
      <c r="E265" s="8" t="s">
        <v>10140</v>
      </c>
      <c r="F265" s="8"/>
      <c r="H265" s="8"/>
      <c r="I265" s="8" t="s">
        <v>10890</v>
      </c>
      <c r="J265" s="8" t="s">
        <v>2989</v>
      </c>
      <c r="K265" t="s">
        <v>10891</v>
      </c>
      <c r="L265" t="s">
        <v>10892</v>
      </c>
      <c r="M265" s="3" t="str">
        <f>HYPERLINK(склад2въезд14[[#This Row],[RelativePath]])</f>
        <v>2 Пилорама поката\E33149364_7_20260130T134217Z.jpg</v>
      </c>
    </row>
    <row r="266" spans="1:13" x14ac:dyDescent="0.25">
      <c r="A266" s="2" t="s">
        <v>17</v>
      </c>
      <c r="B266" s="4">
        <v>46052</v>
      </c>
      <c r="C266" s="5">
        <v>0.5745717592592593</v>
      </c>
      <c r="D266" s="8" t="s">
        <v>650</v>
      </c>
      <c r="E266" s="8" t="s">
        <v>10140</v>
      </c>
      <c r="F266" s="8"/>
      <c r="H266" s="8"/>
      <c r="I266" s="8" t="s">
        <v>10893</v>
      </c>
      <c r="J266" s="8" t="s">
        <v>2989</v>
      </c>
      <c r="K266" t="s">
        <v>10894</v>
      </c>
      <c r="L266" t="s">
        <v>10895</v>
      </c>
      <c r="M266" s="3" t="str">
        <f>HYPERLINK(склад2въезд14[[#This Row],[RelativePath]])</f>
        <v>2 Пилорама поката\E33149364_7_20260130T134723Z.jpg</v>
      </c>
    </row>
    <row r="267" spans="1:13" x14ac:dyDescent="0.25">
      <c r="A267" s="2" t="s">
        <v>18</v>
      </c>
      <c r="B267" s="4">
        <v>46053</v>
      </c>
      <c r="C267" s="5">
        <v>0.36234953703703704</v>
      </c>
      <c r="D267" s="8" t="s">
        <v>2004</v>
      </c>
      <c r="E267" s="8" t="s">
        <v>8</v>
      </c>
      <c r="F267" s="8"/>
      <c r="H267" s="8"/>
      <c r="I267" s="8" t="s">
        <v>11022</v>
      </c>
      <c r="J267" s="8" t="s">
        <v>2989</v>
      </c>
      <c r="K267" t="s">
        <v>11023</v>
      </c>
      <c r="L267" t="s">
        <v>11024</v>
      </c>
      <c r="M267" s="3" t="str">
        <f>HYPERLINK(склад2въезд14[[#This Row],[RelativePath]])</f>
        <v>2 Пилорама поката\E33149364_7_20260131T084147Z.jpg</v>
      </c>
    </row>
    <row r="268" spans="1:13" x14ac:dyDescent="0.25">
      <c r="A268" s="2" t="s">
        <v>22</v>
      </c>
      <c r="B268" s="4">
        <v>46054</v>
      </c>
      <c r="C268" s="5">
        <v>0.72409722222222217</v>
      </c>
      <c r="D268" s="8" t="s">
        <v>2004</v>
      </c>
      <c r="E268" s="8" t="s">
        <v>8</v>
      </c>
      <c r="F268" s="8"/>
      <c r="H268" s="8"/>
      <c r="I268" s="8" t="s">
        <v>11025</v>
      </c>
      <c r="J268" s="8" t="s">
        <v>2989</v>
      </c>
      <c r="K268" t="s">
        <v>11026</v>
      </c>
      <c r="L268" t="s">
        <v>11027</v>
      </c>
      <c r="M268" s="3" t="str">
        <f>HYPERLINK(склад2въезд14[[#This Row],[RelativePath]])</f>
        <v>2 Пилорама поката\E33149364_7_20260201T172242Z.jpg</v>
      </c>
    </row>
    <row r="269" spans="1:13" x14ac:dyDescent="0.25">
      <c r="A269" s="2" t="s">
        <v>13</v>
      </c>
      <c r="B269" s="4">
        <v>46055</v>
      </c>
      <c r="C269" s="5">
        <v>0.66637731481481477</v>
      </c>
      <c r="D269" s="8" t="s">
        <v>2004</v>
      </c>
      <c r="E269" s="8" t="s">
        <v>8</v>
      </c>
      <c r="F269" s="8"/>
      <c r="H269" s="8"/>
      <c r="I269" s="8" t="s">
        <v>11139</v>
      </c>
      <c r="J269" s="8" t="s">
        <v>2989</v>
      </c>
      <c r="K269" t="s">
        <v>11140</v>
      </c>
      <c r="L269" t="s">
        <v>11141</v>
      </c>
      <c r="M269" s="3" t="str">
        <f>HYPERLINK(склад2въезд14[[#This Row],[RelativePath]])</f>
        <v>2 Пилорама поката\E33149364_7_20260202T155935Z.jpg</v>
      </c>
    </row>
    <row r="270" spans="1:13" x14ac:dyDescent="0.25">
      <c r="A270" s="2" t="s">
        <v>14</v>
      </c>
      <c r="B270" s="4">
        <v>46056</v>
      </c>
      <c r="C270" s="5">
        <v>0.61488425925925927</v>
      </c>
      <c r="D270" s="8" t="s">
        <v>4</v>
      </c>
      <c r="E270" s="8" t="s">
        <v>10140</v>
      </c>
      <c r="F270" s="8"/>
      <c r="H270" s="8"/>
      <c r="I270" s="8" t="s">
        <v>11142</v>
      </c>
      <c r="J270" s="8" t="s">
        <v>2989</v>
      </c>
      <c r="K270" t="s">
        <v>11143</v>
      </c>
      <c r="L270" t="s">
        <v>11144</v>
      </c>
      <c r="M270" s="3" t="str">
        <f>HYPERLINK(склад2въезд14[[#This Row],[RelativePath]])</f>
        <v>2 Пилорама поката\E33149364_7_20260203T144526Z.jpg</v>
      </c>
    </row>
  </sheetData>
  <conditionalFormatting sqref="D271:D281 E271:E284 G2:H270 D2:E270">
    <cfRule type="containsText" dxfId="687" priority="14" operator="containsText" text="Выезд с территории">
      <formula>NOT(ISERROR(SEARCH("Выезд с территории",D2)))</formula>
    </cfRule>
  </conditionalFormatting>
  <conditionalFormatting sqref="F2:F270">
    <cfRule type="notContainsText" dxfId="686" priority="13" operator="notContains" text="порожний">
      <formula>ISERROR(SEARCH("порожний",F2))</formula>
    </cfRule>
  </conditionalFormatting>
  <conditionalFormatting sqref="E2:E284">
    <cfRule type="containsText" dxfId="685" priority="11" operator="containsText" text="Газель базы">
      <formula>NOT(ISERROR(SEARCH("Газель базы",E2)))</formula>
    </cfRule>
    <cfRule type="containsText" dxfId="684" priority="12" operator="containsText" text="Погрузчик базы">
      <formula>NOT(ISERROR(SEARCH("Погрузчик базы",E2)))</formula>
    </cfRule>
  </conditionalFormatting>
  <conditionalFormatting sqref="E2:E284">
    <cfRule type="containsText" dxfId="683" priority="10" operator="containsText" text="Трактор базы">
      <formula>NOT(ISERROR(SEARCH("Трактор базы",E2)))</formula>
    </cfRule>
  </conditionalFormatting>
  <conditionalFormatting sqref="A2:C270">
    <cfRule type="expression" dxfId="682" priority="9">
      <formula>$A2="пн"</formula>
    </cfRule>
  </conditionalFormatting>
  <conditionalFormatting sqref="A2:C272">
    <cfRule type="expression" dxfId="681" priority="3">
      <formula>$A2="вс"</formula>
    </cfRule>
    <cfRule type="expression" dxfId="680" priority="4">
      <formula>$A2="сб"</formula>
    </cfRule>
    <cfRule type="expression" dxfId="679" priority="5">
      <formula>$A2="пт"</formula>
    </cfRule>
    <cfRule type="expression" dxfId="678" priority="6">
      <formula>$A2="чт"</formula>
    </cfRule>
    <cfRule type="expression" dxfId="677" priority="7">
      <formula>$A2="ср"</formula>
    </cfRule>
    <cfRule type="expression" dxfId="676" priority="8">
      <formula>$A2="вт"</formula>
    </cfRule>
  </conditionalFormatting>
  <conditionalFormatting sqref="D2:D281">
    <cfRule type="containsText" dxfId="67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1">
    <cfRule type="containsText" dxfId="67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49"/>
  <sheetViews>
    <sheetView zoomScale="90" zoomScaleNormal="90" workbookViewId="0">
      <pane ySplit="1" topLeftCell="A137" activePane="bottomLeft" state="frozen"/>
      <selection pane="bottomLeft" activeCell="I147" sqref="I147:I149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7478</v>
      </c>
      <c r="J96" s="8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7706</v>
      </c>
      <c r="F97" s="8" t="s">
        <v>60</v>
      </c>
      <c r="H97" s="8"/>
      <c r="I97" s="8" t="s">
        <v>7481</v>
      </c>
      <c r="J97" s="8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7706</v>
      </c>
      <c r="F98" s="8" t="s">
        <v>51</v>
      </c>
      <c r="H98" s="8"/>
      <c r="I98" s="8" t="s">
        <v>7484</v>
      </c>
      <c r="J98" s="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7487</v>
      </c>
      <c r="J99" s="8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s="8" t="s">
        <v>289</v>
      </c>
      <c r="E100" s="8" t="s">
        <v>2927</v>
      </c>
      <c r="F100" s="8" t="s">
        <v>7169</v>
      </c>
      <c r="H100" s="8"/>
      <c r="I100" s="8" t="s">
        <v>7819</v>
      </c>
      <c r="J100" s="8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s="8" t="s">
        <v>289</v>
      </c>
      <c r="E101" s="8" t="s">
        <v>2927</v>
      </c>
      <c r="F101" s="8" t="s">
        <v>7169</v>
      </c>
      <c r="H101" s="8" t="s">
        <v>2936</v>
      </c>
      <c r="I101" s="8" t="s">
        <v>7822</v>
      </c>
      <c r="J101" s="8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s="8" t="s">
        <v>289</v>
      </c>
      <c r="E102" s="8" t="s">
        <v>2927</v>
      </c>
      <c r="F102" s="8" t="s">
        <v>7169</v>
      </c>
      <c r="H102" s="8" t="s">
        <v>2936</v>
      </c>
      <c r="I102" s="8" t="s">
        <v>7825</v>
      </c>
      <c r="J102" s="8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s="8" t="s">
        <v>2004</v>
      </c>
      <c r="E103" s="8" t="s">
        <v>8</v>
      </c>
      <c r="F103" s="8"/>
      <c r="H103" s="8"/>
      <c r="I103" s="8" t="s">
        <v>7944</v>
      </c>
      <c r="J103" s="8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s="8" t="s">
        <v>2004</v>
      </c>
      <c r="E104" s="8" t="s">
        <v>8</v>
      </c>
      <c r="F104" s="8"/>
      <c r="H104" s="8"/>
      <c r="I104" s="8" t="s">
        <v>7947</v>
      </c>
      <c r="J104" s="8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s="8" t="s">
        <v>4</v>
      </c>
      <c r="E105" s="8" t="s">
        <v>531</v>
      </c>
      <c r="F105" s="8"/>
      <c r="H105" s="8"/>
      <c r="I105" s="8" t="s">
        <v>7950</v>
      </c>
      <c r="J105" s="8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s="8" t="s">
        <v>2004</v>
      </c>
      <c r="E106" s="8" t="s">
        <v>8</v>
      </c>
      <c r="F106" s="8"/>
      <c r="H106" s="8"/>
      <c r="I106" s="8" t="s">
        <v>7953</v>
      </c>
      <c r="J106" s="8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s="8" t="s">
        <v>2004</v>
      </c>
      <c r="E107" s="8" t="s">
        <v>8</v>
      </c>
      <c r="F107" s="8"/>
      <c r="H107" s="8"/>
      <c r="I107" s="8" t="s">
        <v>8108</v>
      </c>
      <c r="J107" s="8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s="8" t="s">
        <v>2004</v>
      </c>
      <c r="E108" s="8" t="s">
        <v>8</v>
      </c>
      <c r="F108" s="8"/>
      <c r="H108" s="8"/>
      <c r="I108" s="8" t="s">
        <v>8111</v>
      </c>
      <c r="J108" s="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s="8" t="s">
        <v>2004</v>
      </c>
      <c r="E109" s="8" t="s">
        <v>8</v>
      </c>
      <c r="F109" s="8"/>
      <c r="H109" s="8"/>
      <c r="I109" s="8" t="s">
        <v>8114</v>
      </c>
      <c r="J109" s="8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s="8" t="s">
        <v>2004</v>
      </c>
      <c r="E110" s="8" t="s">
        <v>8</v>
      </c>
      <c r="F110" s="8"/>
      <c r="H110" s="8"/>
      <c r="I110" s="8" t="s">
        <v>8117</v>
      </c>
      <c r="J110" s="8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s="8" t="s">
        <v>2004</v>
      </c>
      <c r="E111" s="8" t="s">
        <v>8</v>
      </c>
      <c r="F111" s="8"/>
      <c r="H111" s="8"/>
      <c r="I111" s="8" t="s">
        <v>8384</v>
      </c>
      <c r="J111" s="8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s="8" t="s">
        <v>2004</v>
      </c>
      <c r="E112" s="8" t="s">
        <v>8</v>
      </c>
      <c r="F112" s="8"/>
      <c r="H112" s="8"/>
      <c r="I112" s="8" t="s">
        <v>8387</v>
      </c>
      <c r="J112" s="8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s="8" t="s">
        <v>2004</v>
      </c>
      <c r="E113" s="8" t="s">
        <v>8</v>
      </c>
      <c r="F113" s="8"/>
      <c r="H113" s="8"/>
      <c r="I113" s="8" t="s">
        <v>8390</v>
      </c>
      <c r="J113" s="8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s="8" t="s">
        <v>2004</v>
      </c>
      <c r="E114" s="8" t="s">
        <v>8</v>
      </c>
      <c r="F114" s="8"/>
      <c r="H114" s="8"/>
      <c r="I114" s="8" t="s">
        <v>8619</v>
      </c>
      <c r="J114" s="8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s="8" t="s">
        <v>4</v>
      </c>
      <c r="E115" s="8" t="s">
        <v>8803</v>
      </c>
      <c r="F115" s="8"/>
      <c r="H115" s="8"/>
      <c r="I115" s="8" t="s">
        <v>8622</v>
      </c>
      <c r="J115" s="8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s="8" t="s">
        <v>4</v>
      </c>
      <c r="E116" s="8" t="s">
        <v>8803</v>
      </c>
      <c r="F116" s="8"/>
      <c r="H116" s="8"/>
      <c r="I116" s="8" t="s">
        <v>8625</v>
      </c>
      <c r="J116" s="8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s="8" t="s">
        <v>4</v>
      </c>
      <c r="E117" s="8" t="s">
        <v>8803</v>
      </c>
      <c r="F117" s="8"/>
      <c r="H117" s="8"/>
      <c r="I117" s="8" t="s">
        <v>8628</v>
      </c>
      <c r="J117" s="8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s="8" t="s">
        <v>4</v>
      </c>
      <c r="E118" s="8" t="s">
        <v>8803</v>
      </c>
      <c r="F118" s="8"/>
      <c r="H118" s="8"/>
      <c r="I118" s="8" t="s">
        <v>8631</v>
      </c>
      <c r="J118" s="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s="8" t="s">
        <v>4</v>
      </c>
      <c r="E119" s="8" t="s">
        <v>8803</v>
      </c>
      <c r="F119" s="8"/>
      <c r="H119" s="8"/>
      <c r="I119" s="8" t="s">
        <v>8634</v>
      </c>
      <c r="J119" s="8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s="8" t="s">
        <v>2004</v>
      </c>
      <c r="E120" s="8" t="s">
        <v>8</v>
      </c>
      <c r="F120" s="8"/>
      <c r="H120" s="8"/>
      <c r="I120" s="8" t="s">
        <v>8637</v>
      </c>
      <c r="J120" s="8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s="8" t="s">
        <v>4</v>
      </c>
      <c r="E121" s="8" t="s">
        <v>8803</v>
      </c>
      <c r="F121" s="8"/>
      <c r="H121" s="8"/>
      <c r="I121" s="8" t="s">
        <v>8975</v>
      </c>
      <c r="J121" s="8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s="8" t="s">
        <v>289</v>
      </c>
      <c r="E122" s="8" t="s">
        <v>9187</v>
      </c>
      <c r="F122" s="8" t="s">
        <v>9188</v>
      </c>
      <c r="H122" s="8"/>
      <c r="I122" s="8" t="s">
        <v>8979</v>
      </c>
      <c r="J122" s="8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s="8" t="s">
        <v>289</v>
      </c>
      <c r="E123" s="8" t="s">
        <v>9187</v>
      </c>
      <c r="F123" s="8" t="s">
        <v>9188</v>
      </c>
      <c r="H123" s="8" t="s">
        <v>2936</v>
      </c>
      <c r="I123" s="8" t="s">
        <v>8982</v>
      </c>
      <c r="J123" s="8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s="8" t="s">
        <v>4</v>
      </c>
      <c r="E124" s="8" t="s">
        <v>8803</v>
      </c>
      <c r="F124" s="8"/>
      <c r="H124" s="8"/>
      <c r="I124" s="8" t="s">
        <v>8985</v>
      </c>
      <c r="J124" s="8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s="8" t="s">
        <v>4</v>
      </c>
      <c r="E125" s="8" t="s">
        <v>8803</v>
      </c>
      <c r="F125" s="8"/>
      <c r="H125" s="8"/>
      <c r="I125" s="8" t="s">
        <v>9240</v>
      </c>
      <c r="J125" s="8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s="8" t="s">
        <v>4</v>
      </c>
      <c r="E126" s="8" t="s">
        <v>8803</v>
      </c>
      <c r="F126" s="8"/>
      <c r="H126" s="8"/>
      <c r="I126" s="8" t="s">
        <v>9343</v>
      </c>
      <c r="J126" s="8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s="8" t="s">
        <v>4</v>
      </c>
      <c r="E127" s="8" t="s">
        <v>8803</v>
      </c>
      <c r="F127" s="8"/>
      <c r="H127" s="8"/>
      <c r="I127" s="8" t="s">
        <v>9346</v>
      </c>
      <c r="J127" s="8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s="8" t="s">
        <v>4</v>
      </c>
      <c r="E128" s="8" t="s">
        <v>8803</v>
      </c>
      <c r="F128" s="8"/>
      <c r="H128" s="8"/>
      <c r="I128" s="8" t="s">
        <v>9349</v>
      </c>
      <c r="J128" s="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s="8" t="s">
        <v>4</v>
      </c>
      <c r="E129" s="8" t="s">
        <v>9685</v>
      </c>
      <c r="F129" s="8"/>
      <c r="H129" s="8"/>
      <c r="I129" s="8" t="s">
        <v>9585</v>
      </c>
      <c r="J129" s="8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s="8" t="s">
        <v>2004</v>
      </c>
      <c r="E130" s="8" t="s">
        <v>8</v>
      </c>
      <c r="F130" s="8"/>
      <c r="H130" s="8"/>
      <c r="I130" s="8" t="s">
        <v>9588</v>
      </c>
      <c r="J130" s="8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s="8" t="s">
        <v>4</v>
      </c>
      <c r="E131" s="8" t="s">
        <v>8803</v>
      </c>
      <c r="F131" s="8"/>
      <c r="H131" s="8"/>
      <c r="I131" s="8" t="s">
        <v>9720</v>
      </c>
      <c r="J131" s="8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s="8" t="s">
        <v>4</v>
      </c>
      <c r="E132" s="8" t="s">
        <v>8803</v>
      </c>
      <c r="F132" s="8"/>
      <c r="H132" s="8"/>
      <c r="I132" s="8" t="s">
        <v>9723</v>
      </c>
      <c r="J132" s="8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s="8" t="s">
        <v>4</v>
      </c>
      <c r="E133" s="8" t="s">
        <v>8803</v>
      </c>
      <c r="F133" s="8"/>
      <c r="H133" s="8"/>
      <c r="I133" s="8" t="s">
        <v>9951</v>
      </c>
      <c r="J133" s="8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s="8" t="s">
        <v>4</v>
      </c>
      <c r="E134" s="8" t="s">
        <v>8803</v>
      </c>
      <c r="F134" s="8"/>
      <c r="H134" s="8"/>
      <c r="I134" s="8" t="s">
        <v>9954</v>
      </c>
      <c r="J134" s="8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s="8" t="s">
        <v>4</v>
      </c>
      <c r="E135" s="8" t="s">
        <v>8803</v>
      </c>
      <c r="F135" s="8"/>
      <c r="H135" s="8"/>
      <c r="I135" s="8" t="s">
        <v>9957</v>
      </c>
      <c r="J135" s="8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s="8" t="s">
        <v>4</v>
      </c>
      <c r="E136" s="8" t="s">
        <v>8803</v>
      </c>
      <c r="F136" s="8"/>
      <c r="H136" s="8"/>
      <c r="I136" s="8" t="s">
        <v>10177</v>
      </c>
      <c r="J136" s="8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s="8" t="s">
        <v>2004</v>
      </c>
      <c r="E137" s="8" t="s">
        <v>8</v>
      </c>
      <c r="F137" s="8"/>
      <c r="H137" s="8"/>
      <c r="I137" s="8" t="s">
        <v>10525</v>
      </c>
      <c r="J137" s="8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s="8" t="s">
        <v>2004</v>
      </c>
      <c r="E138" s="8" t="s">
        <v>8</v>
      </c>
      <c r="F138" s="8"/>
      <c r="H138" s="8"/>
      <c r="I138" s="8" t="s">
        <v>10491</v>
      </c>
      <c r="J138" s="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s="8" t="s">
        <v>4</v>
      </c>
      <c r="E139" s="8" t="s">
        <v>8803</v>
      </c>
      <c r="F139" s="8"/>
      <c r="H139" s="8"/>
      <c r="I139" s="8" t="s">
        <v>10558</v>
      </c>
      <c r="J139" s="8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s="8" t="s">
        <v>4</v>
      </c>
      <c r="E140" s="8" t="s">
        <v>8803</v>
      </c>
      <c r="F140" s="8"/>
      <c r="H140" s="8"/>
      <c r="I140" s="8" t="s">
        <v>10561</v>
      </c>
      <c r="J140" s="8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  <row r="141" spans="1:13" x14ac:dyDescent="0.25">
      <c r="A141" s="2" t="s">
        <v>15</v>
      </c>
      <c r="B141" s="4">
        <v>46050</v>
      </c>
      <c r="C141" s="5">
        <v>0.54774305555555558</v>
      </c>
      <c r="D141" s="8" t="s">
        <v>4</v>
      </c>
      <c r="E141" s="8" t="s">
        <v>8803</v>
      </c>
      <c r="F141" s="8"/>
      <c r="H141" s="8"/>
      <c r="I141" s="8" t="s">
        <v>10737</v>
      </c>
      <c r="J141" s="8" t="s">
        <v>2990</v>
      </c>
      <c r="K141" t="s">
        <v>10738</v>
      </c>
      <c r="L141" t="s">
        <v>10739</v>
      </c>
      <c r="M141" s="3" t="str">
        <f>HYPERLINK(склад2въезд18[[#This Row],[RelativePath]])</f>
        <v>3 Въезд на базу\E33149364_8_20260128T130845Z.jpg</v>
      </c>
    </row>
    <row r="142" spans="1:13" x14ac:dyDescent="0.25">
      <c r="A142" s="2" t="s">
        <v>16</v>
      </c>
      <c r="B142" s="4">
        <v>46051</v>
      </c>
      <c r="C142" s="5">
        <v>0.51204861111111111</v>
      </c>
      <c r="D142" s="8" t="s">
        <v>4</v>
      </c>
      <c r="E142" s="8" t="s">
        <v>8803</v>
      </c>
      <c r="F142" s="8"/>
      <c r="H142" s="8"/>
      <c r="I142" s="8" t="s">
        <v>10740</v>
      </c>
      <c r="J142" s="8" t="s">
        <v>2990</v>
      </c>
      <c r="K142" t="s">
        <v>10741</v>
      </c>
      <c r="L142" t="s">
        <v>10742</v>
      </c>
      <c r="M142" s="3" t="str">
        <f>HYPERLINK(склад2въезд18[[#This Row],[RelativePath]])</f>
        <v>3 Въезд на базу\E33149364_8_20260129T121721Z.jpg</v>
      </c>
    </row>
    <row r="143" spans="1:13" x14ac:dyDescent="0.25">
      <c r="A143" s="2" t="s">
        <v>17</v>
      </c>
      <c r="B143" s="4">
        <v>46052</v>
      </c>
      <c r="C143" s="5">
        <v>0.4430324074074074</v>
      </c>
      <c r="D143" s="8" t="s">
        <v>4</v>
      </c>
      <c r="E143" s="8" t="s">
        <v>8803</v>
      </c>
      <c r="F143" s="8"/>
      <c r="H143" s="8"/>
      <c r="I143" s="8" t="s">
        <v>10896</v>
      </c>
      <c r="J143" s="8" t="s">
        <v>2990</v>
      </c>
      <c r="K143" t="s">
        <v>10897</v>
      </c>
      <c r="L143" t="s">
        <v>10898</v>
      </c>
      <c r="M143" s="3" t="str">
        <f>HYPERLINK(склад2въезд18[[#This Row],[RelativePath]])</f>
        <v>3 Въезд на базу\E33149364_8_20260130T103758Z.jpg</v>
      </c>
    </row>
    <row r="144" spans="1:13" x14ac:dyDescent="0.25">
      <c r="A144" s="2" t="s">
        <v>17</v>
      </c>
      <c r="B144" s="4">
        <v>46052</v>
      </c>
      <c r="C144" s="5">
        <v>0.74435185185185182</v>
      </c>
      <c r="D144" s="8" t="s">
        <v>4</v>
      </c>
      <c r="E144" s="8" t="s">
        <v>8803</v>
      </c>
      <c r="F144" s="8"/>
      <c r="H144" s="8"/>
      <c r="I144" s="8" t="s">
        <v>10899</v>
      </c>
      <c r="J144" s="8" t="s">
        <v>2990</v>
      </c>
      <c r="K144" t="s">
        <v>10900</v>
      </c>
      <c r="L144" t="s">
        <v>10901</v>
      </c>
      <c r="M144" s="3" t="str">
        <f>HYPERLINK(склад2въезд18[[#This Row],[RelativePath]])</f>
        <v>3 Въезд на базу\E33149364_8_20260130T175152Z.jpg</v>
      </c>
    </row>
    <row r="145" spans="1:13" x14ac:dyDescent="0.25">
      <c r="A145" s="2" t="s">
        <v>18</v>
      </c>
      <c r="B145" s="4">
        <v>46053</v>
      </c>
      <c r="C145" s="5">
        <v>0.4876388888888889</v>
      </c>
      <c r="D145" s="8" t="s">
        <v>4</v>
      </c>
      <c r="E145" s="8" t="s">
        <v>11124</v>
      </c>
      <c r="F145" s="8"/>
      <c r="H145" s="8"/>
      <c r="I145" s="8" t="s">
        <v>11061</v>
      </c>
      <c r="J145" s="8" t="s">
        <v>2990</v>
      </c>
      <c r="K145" t="s">
        <v>11062</v>
      </c>
      <c r="L145" t="s">
        <v>11063</v>
      </c>
      <c r="M145" s="3" t="str">
        <f>HYPERLINK(склад2въезд18[[#This Row],[RelativePath]])</f>
        <v>3 Въезд на базу\E33149364_8_20260131T114212Z.jpg</v>
      </c>
    </row>
    <row r="146" spans="1:13" x14ac:dyDescent="0.25">
      <c r="A146" s="2" t="s">
        <v>22</v>
      </c>
      <c r="B146" s="4">
        <v>46054</v>
      </c>
      <c r="C146" s="5">
        <v>0.72483796296296299</v>
      </c>
      <c r="D146" s="8" t="s">
        <v>2004</v>
      </c>
      <c r="E146" s="8" t="s">
        <v>8</v>
      </c>
      <c r="F146" s="8"/>
      <c r="H146" s="8"/>
      <c r="I146" s="8" t="s">
        <v>11064</v>
      </c>
      <c r="J146" s="8" t="s">
        <v>2990</v>
      </c>
      <c r="K146" t="s">
        <v>11065</v>
      </c>
      <c r="L146" t="s">
        <v>11066</v>
      </c>
      <c r="M146" s="3" t="str">
        <f>HYPERLINK(склад2въезд18[[#This Row],[RelativePath]])</f>
        <v>3 Въезд на базу\E33149364_8_20260201T172346Z.jpg</v>
      </c>
    </row>
    <row r="147" spans="1:13" x14ac:dyDescent="0.25">
      <c r="A147" s="2" t="s">
        <v>13</v>
      </c>
      <c r="B147" s="4">
        <v>46055</v>
      </c>
      <c r="C147" s="5">
        <v>0.42758101851851854</v>
      </c>
      <c r="D147" s="8" t="s">
        <v>4</v>
      </c>
      <c r="E147" s="8" t="s">
        <v>8803</v>
      </c>
      <c r="F147" s="8"/>
      <c r="H147" s="8"/>
      <c r="I147" s="8" t="s">
        <v>11172</v>
      </c>
      <c r="J147" s="8" t="s">
        <v>2990</v>
      </c>
      <c r="K147" t="s">
        <v>11173</v>
      </c>
      <c r="L147" t="s">
        <v>11174</v>
      </c>
      <c r="M147" s="3" t="str">
        <f>HYPERLINK(склад2въезд18[[#This Row],[RelativePath]])</f>
        <v>3 Въезд на базу\E33149364_8_20260202T101543Z.jpg</v>
      </c>
    </row>
    <row r="148" spans="1:13" x14ac:dyDescent="0.25">
      <c r="A148" s="2" t="s">
        <v>14</v>
      </c>
      <c r="B148" s="4">
        <v>46056</v>
      </c>
      <c r="C148" s="5">
        <v>0.44574074074074072</v>
      </c>
      <c r="D148" s="8" t="s">
        <v>4</v>
      </c>
      <c r="E148" s="8" t="s">
        <v>8803</v>
      </c>
      <c r="F148" s="8"/>
      <c r="H148" s="8"/>
      <c r="I148" s="8" t="s">
        <v>11175</v>
      </c>
      <c r="J148" s="8" t="s">
        <v>2990</v>
      </c>
      <c r="K148" t="s">
        <v>11176</v>
      </c>
      <c r="L148" t="s">
        <v>11177</v>
      </c>
      <c r="M148" s="3" t="str">
        <f>HYPERLINK(склад2въезд18[[#This Row],[RelativePath]])</f>
        <v>3 Въезд на базу\E33149364_8_20260203T104152Z.jpg</v>
      </c>
    </row>
    <row r="149" spans="1:13" x14ac:dyDescent="0.25">
      <c r="A149" s="2" t="s">
        <v>14</v>
      </c>
      <c r="B149" s="4">
        <v>46056</v>
      </c>
      <c r="C149" s="5">
        <v>0.70100694444444445</v>
      </c>
      <c r="D149" s="8" t="s">
        <v>4</v>
      </c>
      <c r="E149" s="8" t="s">
        <v>8803</v>
      </c>
      <c r="F149" s="8"/>
      <c r="H149" s="8"/>
      <c r="I149" s="8" t="s">
        <v>11178</v>
      </c>
      <c r="J149" s="8" t="s">
        <v>2990</v>
      </c>
      <c r="K149" t="s">
        <v>11179</v>
      </c>
      <c r="L149" t="s">
        <v>11180</v>
      </c>
      <c r="M149" s="3" t="str">
        <f>HYPERLINK(склад2въезд18[[#This Row],[RelativePath]])</f>
        <v>3 Въезд на базу\E33149364_8_20260203T164927Z.jpg</v>
      </c>
    </row>
  </sheetData>
  <conditionalFormatting sqref="D150:D160 E150:E163 G2:H149 D2:E149">
    <cfRule type="containsText" dxfId="673" priority="14" operator="containsText" text="Выезд с территории">
      <formula>NOT(ISERROR(SEARCH("Выезд с территории",D2)))</formula>
    </cfRule>
  </conditionalFormatting>
  <conditionalFormatting sqref="F2:F149">
    <cfRule type="notContainsText" dxfId="672" priority="13" operator="notContains" text="порожний">
      <formula>ISERROR(SEARCH("порожний",F2))</formula>
    </cfRule>
  </conditionalFormatting>
  <conditionalFormatting sqref="E2:E163">
    <cfRule type="containsText" dxfId="671" priority="11" operator="containsText" text="Газель базы">
      <formula>NOT(ISERROR(SEARCH("Газель базы",E2)))</formula>
    </cfRule>
    <cfRule type="containsText" dxfId="670" priority="12" operator="containsText" text="Погрузчик базы">
      <formula>NOT(ISERROR(SEARCH("Погрузчик базы",E2)))</formula>
    </cfRule>
  </conditionalFormatting>
  <conditionalFormatting sqref="E2:E163">
    <cfRule type="containsText" dxfId="669" priority="10" operator="containsText" text="Трактор базы">
      <formula>NOT(ISERROR(SEARCH("Трактор базы",E2)))</formula>
    </cfRule>
  </conditionalFormatting>
  <conditionalFormatting sqref="A2:C149">
    <cfRule type="expression" dxfId="668" priority="9">
      <formula>$A2="пн"</formula>
    </cfRule>
  </conditionalFormatting>
  <conditionalFormatting sqref="A2:C151">
    <cfRule type="expression" dxfId="667" priority="3">
      <formula>$A2="вс"</formula>
    </cfRule>
    <cfRule type="expression" dxfId="666" priority="4">
      <formula>$A2="сб"</formula>
    </cfRule>
    <cfRule type="expression" dxfId="665" priority="5">
      <formula>$A2="пт"</formula>
    </cfRule>
    <cfRule type="expression" dxfId="664" priority="6">
      <formula>$A2="чт"</formula>
    </cfRule>
    <cfRule type="expression" dxfId="663" priority="7">
      <formula>$A2="ср"</formula>
    </cfRule>
    <cfRule type="expression" dxfId="662" priority="8">
      <formula>$A2="вт"</formula>
    </cfRule>
  </conditionalFormatting>
  <conditionalFormatting sqref="D2:D160">
    <cfRule type="containsText" dxfId="66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0">
    <cfRule type="containsText" dxfId="66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72"/>
  <sheetViews>
    <sheetView zoomScale="90" zoomScaleNormal="90" workbookViewId="0">
      <pane ySplit="1" topLeftCell="A158" activePane="bottomLeft" state="frozen"/>
      <selection pane="bottomLeft" activeCell="I170" sqref="I170:I17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7568</v>
      </c>
      <c r="J99" s="8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7706</v>
      </c>
      <c r="F100" s="8" t="s">
        <v>60</v>
      </c>
      <c r="H100" s="8"/>
      <c r="I100" s="8" t="s">
        <v>7571</v>
      </c>
      <c r="J100" s="8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7706</v>
      </c>
      <c r="F101" s="8" t="s">
        <v>60</v>
      </c>
      <c r="H101" s="8"/>
      <c r="I101" s="8" t="s">
        <v>7574</v>
      </c>
      <c r="J101" s="8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7706</v>
      </c>
      <c r="F102" s="8" t="s">
        <v>51</v>
      </c>
      <c r="H102" s="8"/>
      <c r="I102" s="8" t="s">
        <v>7577</v>
      </c>
      <c r="J102" s="8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7580</v>
      </c>
      <c r="J103" s="8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8" t="s">
        <v>2004</v>
      </c>
      <c r="E104" s="8" t="s">
        <v>8</v>
      </c>
      <c r="F104" s="8"/>
      <c r="H104" s="8"/>
      <c r="I104" s="8" t="s">
        <v>7828</v>
      </c>
      <c r="J104" s="8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8" t="s">
        <v>8042</v>
      </c>
      <c r="E105" s="8" t="s">
        <v>6656</v>
      </c>
      <c r="F105" s="8" t="s">
        <v>5076</v>
      </c>
      <c r="H105" s="8"/>
      <c r="I105" s="8" t="s">
        <v>7992</v>
      </c>
      <c r="J105" s="8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8" t="s">
        <v>4</v>
      </c>
      <c r="E106" s="8" t="s">
        <v>6656</v>
      </c>
      <c r="F106" s="8" t="s">
        <v>5076</v>
      </c>
      <c r="H106" s="8" t="s">
        <v>8043</v>
      </c>
      <c r="I106" s="8" t="s">
        <v>7995</v>
      </c>
      <c r="J106" s="8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8" t="s">
        <v>4</v>
      </c>
      <c r="E107" s="8" t="s">
        <v>4193</v>
      </c>
      <c r="F107" s="8" t="s">
        <v>5076</v>
      </c>
      <c r="H107" s="8"/>
      <c r="I107" s="8" t="s">
        <v>7998</v>
      </c>
      <c r="J107" s="8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8" t="s">
        <v>4</v>
      </c>
      <c r="E108" s="8" t="s">
        <v>8</v>
      </c>
      <c r="F108" s="8"/>
      <c r="H108" s="8" t="s">
        <v>8044</v>
      </c>
      <c r="I108" s="8" t="s">
        <v>8001</v>
      </c>
      <c r="J108" s="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8" t="s">
        <v>650</v>
      </c>
      <c r="E109" s="8" t="s">
        <v>6190</v>
      </c>
      <c r="F109" s="8" t="s">
        <v>51</v>
      </c>
      <c r="H109" s="8"/>
      <c r="I109" s="8" t="s">
        <v>8004</v>
      </c>
      <c r="J109" s="8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8" t="s">
        <v>1606</v>
      </c>
      <c r="E110" s="8" t="s">
        <v>8041</v>
      </c>
      <c r="F110" s="8"/>
      <c r="H110" s="8"/>
      <c r="I110" s="8" t="s">
        <v>8007</v>
      </c>
      <c r="J110" s="8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8" t="s">
        <v>650</v>
      </c>
      <c r="E111" s="8" t="s">
        <v>8041</v>
      </c>
      <c r="F111" s="8"/>
      <c r="H111" s="8"/>
      <c r="I111" s="8" t="s">
        <v>8010</v>
      </c>
      <c r="J111" s="8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8" t="s">
        <v>1606</v>
      </c>
      <c r="E112" s="8" t="s">
        <v>6190</v>
      </c>
      <c r="F112" s="8"/>
      <c r="H112" s="8"/>
      <c r="I112" s="8" t="s">
        <v>8013</v>
      </c>
      <c r="J112" s="8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8" t="s">
        <v>4</v>
      </c>
      <c r="E113" s="8" t="s">
        <v>1607</v>
      </c>
      <c r="F113" s="8" t="s">
        <v>8330</v>
      </c>
      <c r="H113" s="8"/>
      <c r="I113" s="8" t="s">
        <v>8090</v>
      </c>
      <c r="J113" s="8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8" t="s">
        <v>4</v>
      </c>
      <c r="E114" s="8" t="s">
        <v>8</v>
      </c>
      <c r="F114" s="8"/>
      <c r="H114" s="8"/>
      <c r="I114" s="8" t="s">
        <v>8093</v>
      </c>
      <c r="J114" s="8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8" t="s">
        <v>2004</v>
      </c>
      <c r="E115" s="8" t="s">
        <v>8</v>
      </c>
      <c r="F115" s="8"/>
      <c r="H115" s="8"/>
      <c r="I115" s="8" t="s">
        <v>8096</v>
      </c>
      <c r="J115" s="8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8" t="s">
        <v>2004</v>
      </c>
      <c r="E116" s="8" t="s">
        <v>8</v>
      </c>
      <c r="F116" s="8"/>
      <c r="H116" s="8"/>
      <c r="I116" s="8" t="s">
        <v>8099</v>
      </c>
      <c r="J116" s="8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8" t="s">
        <v>2004</v>
      </c>
      <c r="E117" s="8" t="s">
        <v>8</v>
      </c>
      <c r="F117" s="8"/>
      <c r="H117" s="8"/>
      <c r="I117" s="8" t="s">
        <v>8102</v>
      </c>
      <c r="J117" s="8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8" t="s">
        <v>2004</v>
      </c>
      <c r="E118" s="8" t="s">
        <v>8</v>
      </c>
      <c r="F118" s="8"/>
      <c r="H118" s="8"/>
      <c r="I118" s="8" t="s">
        <v>8105</v>
      </c>
      <c r="J118" s="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8" t="s">
        <v>2004</v>
      </c>
      <c r="E119" s="8" t="s">
        <v>8</v>
      </c>
      <c r="F119" s="8"/>
      <c r="H119" s="8"/>
      <c r="I119" s="8" t="s">
        <v>8402</v>
      </c>
      <c r="J119" s="8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8" t="s">
        <v>2004</v>
      </c>
      <c r="E120" s="8" t="s">
        <v>8</v>
      </c>
      <c r="F120" s="8"/>
      <c r="H120" s="8"/>
      <c r="I120" s="8" t="s">
        <v>8405</v>
      </c>
      <c r="J120" s="8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8" t="s">
        <v>2004</v>
      </c>
      <c r="E121" s="8" t="s">
        <v>8</v>
      </c>
      <c r="F121" s="8"/>
      <c r="H121" s="8"/>
      <c r="I121" s="8" t="s">
        <v>8408</v>
      </c>
      <c r="J121" s="8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8" t="s">
        <v>2004</v>
      </c>
      <c r="E122" s="8" t="s">
        <v>8</v>
      </c>
      <c r="F122" s="8"/>
      <c r="H122" s="8"/>
      <c r="I122" s="8" t="s">
        <v>8640</v>
      </c>
      <c r="J122" s="8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8" t="s">
        <v>4</v>
      </c>
      <c r="E123" s="8" t="s">
        <v>8</v>
      </c>
      <c r="F123" s="8"/>
      <c r="H123" s="8"/>
      <c r="I123" s="8" t="s">
        <v>8643</v>
      </c>
      <c r="J123" s="8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8" t="s">
        <v>4</v>
      </c>
      <c r="E124" s="8" t="s">
        <v>8</v>
      </c>
      <c r="F124" s="8"/>
      <c r="H124" s="8"/>
      <c r="I124" s="8" t="s">
        <v>8646</v>
      </c>
      <c r="J124" s="8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8" t="s">
        <v>4</v>
      </c>
      <c r="E125" s="8" t="s">
        <v>8</v>
      </c>
      <c r="F125" s="8"/>
      <c r="H125" s="8"/>
      <c r="I125" s="8" t="s">
        <v>8649</v>
      </c>
      <c r="J125" s="8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8" t="s">
        <v>4</v>
      </c>
      <c r="E126" s="8" t="s">
        <v>1607</v>
      </c>
      <c r="F126" s="8"/>
      <c r="H126" s="8"/>
      <c r="I126" s="8" t="s">
        <v>8652</v>
      </c>
      <c r="J126" s="8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8" t="s">
        <v>4</v>
      </c>
      <c r="E127" s="8" t="s">
        <v>8803</v>
      </c>
      <c r="F127" s="8"/>
      <c r="H127" s="8"/>
      <c r="I127" s="8" t="s">
        <v>8655</v>
      </c>
      <c r="J127" s="8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8" t="s">
        <v>4</v>
      </c>
      <c r="E128" s="8" t="s">
        <v>8803</v>
      </c>
      <c r="F128" s="8"/>
      <c r="H128" s="8"/>
      <c r="I128" s="8" t="s">
        <v>8658</v>
      </c>
      <c r="J128" s="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8" t="s">
        <v>1606</v>
      </c>
      <c r="E129" s="8" t="s">
        <v>8801</v>
      </c>
      <c r="F129" s="8"/>
      <c r="H129" s="8"/>
      <c r="I129" s="8" t="s">
        <v>8661</v>
      </c>
      <c r="J129" s="8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8" t="s">
        <v>1606</v>
      </c>
      <c r="E130" s="8" t="s">
        <v>8802</v>
      </c>
      <c r="F130" s="8"/>
      <c r="H130" s="8"/>
      <c r="I130" s="8" t="s">
        <v>8664</v>
      </c>
      <c r="J130" s="8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8" t="s">
        <v>650</v>
      </c>
      <c r="E131" s="8" t="s">
        <v>8802</v>
      </c>
      <c r="F131" s="8"/>
      <c r="H131" s="8"/>
      <c r="I131" s="8" t="s">
        <v>8667</v>
      </c>
      <c r="J131" s="8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8" t="s">
        <v>650</v>
      </c>
      <c r="E132" s="8" t="s">
        <v>8801</v>
      </c>
      <c r="F132" s="8"/>
      <c r="H132" s="8"/>
      <c r="I132" s="8" t="s">
        <v>8670</v>
      </c>
      <c r="J132" s="8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8" t="s">
        <v>2004</v>
      </c>
      <c r="E133" s="8" t="s">
        <v>8</v>
      </c>
      <c r="F133" s="8"/>
      <c r="H133" s="8"/>
      <c r="I133" s="8" t="s">
        <v>8673</v>
      </c>
      <c r="J133" s="8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8" t="s">
        <v>4</v>
      </c>
      <c r="E134" s="8" t="s">
        <v>8804</v>
      </c>
      <c r="F134" s="8"/>
      <c r="H134" s="8"/>
      <c r="I134" s="8" t="s">
        <v>8676</v>
      </c>
      <c r="J134" s="8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8" t="s">
        <v>2004</v>
      </c>
      <c r="E135" s="8" t="s">
        <v>8</v>
      </c>
      <c r="F135" s="8"/>
      <c r="H135" s="8"/>
      <c r="I135" s="8" t="s">
        <v>6161</v>
      </c>
      <c r="J135" s="8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8" t="s">
        <v>2004</v>
      </c>
      <c r="E136" s="8" t="s">
        <v>8</v>
      </c>
      <c r="F136" s="8"/>
      <c r="H136" s="8"/>
      <c r="I136" s="8" t="s">
        <v>7998</v>
      </c>
      <c r="J136" s="8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8" t="s">
        <v>4</v>
      </c>
      <c r="E137" s="8" t="s">
        <v>8803</v>
      </c>
      <c r="F137" s="8"/>
      <c r="H137" s="8"/>
      <c r="I137" s="8" t="s">
        <v>8988</v>
      </c>
      <c r="J137" s="8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8" t="s">
        <v>4</v>
      </c>
      <c r="E138" s="8" t="s">
        <v>8803</v>
      </c>
      <c r="F138" s="8"/>
      <c r="H138" s="8"/>
      <c r="I138" s="8" t="s">
        <v>8991</v>
      </c>
      <c r="J138" s="8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8" t="s">
        <v>4</v>
      </c>
      <c r="E139" s="8" t="s">
        <v>8803</v>
      </c>
      <c r="F139" s="8"/>
      <c r="H139" s="8"/>
      <c r="I139" s="8" t="s">
        <v>9255</v>
      </c>
      <c r="J139" s="8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8" t="s">
        <v>4</v>
      </c>
      <c r="E140" s="8" t="s">
        <v>8803</v>
      </c>
      <c r="F140" s="8"/>
      <c r="H140" s="8"/>
      <c r="I140" s="8" t="s">
        <v>9352</v>
      </c>
      <c r="J140" s="8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8" t="s">
        <v>4</v>
      </c>
      <c r="E141" s="8" t="s">
        <v>9367</v>
      </c>
      <c r="F141" s="8"/>
      <c r="H141" s="8"/>
      <c r="I141" s="8" t="s">
        <v>9355</v>
      </c>
      <c r="J141" s="8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8" t="s">
        <v>158</v>
      </c>
      <c r="E142" s="8" t="s">
        <v>5480</v>
      </c>
      <c r="F142" s="8" t="s">
        <v>528</v>
      </c>
      <c r="H142" s="8"/>
      <c r="I142" s="8" t="s">
        <v>9358</v>
      </c>
      <c r="J142" s="8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8" t="s">
        <v>158</v>
      </c>
      <c r="E143" s="8" t="s">
        <v>5480</v>
      </c>
      <c r="F143" s="8" t="s">
        <v>528</v>
      </c>
      <c r="H143" s="8" t="s">
        <v>2936</v>
      </c>
      <c r="I143" s="8" t="s">
        <v>9361</v>
      </c>
      <c r="J143" s="8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8" t="s">
        <v>4</v>
      </c>
      <c r="E144" s="8" t="s">
        <v>9368</v>
      </c>
      <c r="F144" s="8"/>
      <c r="H144" s="8"/>
      <c r="I144" s="8" t="s">
        <v>9364</v>
      </c>
      <c r="J144" s="8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8" t="s">
        <v>4</v>
      </c>
      <c r="E145" s="8" t="s">
        <v>8803</v>
      </c>
      <c r="F145" s="8"/>
      <c r="H145" s="8"/>
      <c r="I145" s="8" t="s">
        <v>9633</v>
      </c>
      <c r="J145" s="8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8" t="s">
        <v>2004</v>
      </c>
      <c r="E146" s="8" t="s">
        <v>8</v>
      </c>
      <c r="F146" s="8"/>
      <c r="H146" s="8"/>
      <c r="I146" s="8" t="s">
        <v>9636</v>
      </c>
      <c r="J146" s="8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8" t="s">
        <v>4</v>
      </c>
      <c r="E147" s="8" t="s">
        <v>8803</v>
      </c>
      <c r="F147" s="8"/>
      <c r="H147" s="8"/>
      <c r="I147" s="8" t="s">
        <v>9726</v>
      </c>
      <c r="J147" s="8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8" t="s">
        <v>4</v>
      </c>
      <c r="E148" s="8" t="s">
        <v>8803</v>
      </c>
      <c r="F148" s="8"/>
      <c r="H148" s="8"/>
      <c r="I148" s="8" t="s">
        <v>9729</v>
      </c>
      <c r="J148" s="8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8" t="s">
        <v>4</v>
      </c>
      <c r="E149" s="8" t="s">
        <v>8803</v>
      </c>
      <c r="F149" s="8"/>
      <c r="H149" s="8"/>
      <c r="I149" s="8" t="s">
        <v>9732</v>
      </c>
      <c r="J149" s="8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s="8" t="s">
        <v>4</v>
      </c>
      <c r="E150" s="8" t="s">
        <v>8803</v>
      </c>
      <c r="F150" s="8"/>
      <c r="H150" s="8"/>
      <c r="I150" s="8" t="s">
        <v>10122</v>
      </c>
      <c r="J150" s="8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s="8" t="s">
        <v>4</v>
      </c>
      <c r="E151" s="8" t="s">
        <v>8803</v>
      </c>
      <c r="F151" s="8"/>
      <c r="H151" s="8"/>
      <c r="I151" s="8" t="s">
        <v>9960</v>
      </c>
      <c r="J151" s="8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s="8" t="s">
        <v>4</v>
      </c>
      <c r="E152" s="8" t="s">
        <v>8803</v>
      </c>
      <c r="F152" s="8"/>
      <c r="H152" s="8"/>
      <c r="I152" s="8" t="s">
        <v>9963</v>
      </c>
      <c r="J152" s="8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s="8" t="s">
        <v>4</v>
      </c>
      <c r="E153" s="8" t="s">
        <v>8803</v>
      </c>
      <c r="F153" s="8"/>
      <c r="H153" s="8"/>
      <c r="I153" s="8" t="s">
        <v>9966</v>
      </c>
      <c r="J153" s="8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s="8" t="s">
        <v>4</v>
      </c>
      <c r="E154" s="8" t="s">
        <v>10164</v>
      </c>
      <c r="F154" s="8"/>
      <c r="H154" s="8"/>
      <c r="I154" s="8" t="s">
        <v>10186</v>
      </c>
      <c r="J154" s="8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s="8" t="s">
        <v>4</v>
      </c>
      <c r="E155" s="8" t="s">
        <v>10164</v>
      </c>
      <c r="F155" s="8"/>
      <c r="H155" s="8" t="s">
        <v>10280</v>
      </c>
      <c r="I155" s="8" t="s">
        <v>10268</v>
      </c>
      <c r="J155" s="8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s="8" t="s">
        <v>4</v>
      </c>
      <c r="E156" s="8" t="s">
        <v>10164</v>
      </c>
      <c r="F156" s="8"/>
      <c r="H156" s="8" t="s">
        <v>10280</v>
      </c>
      <c r="I156" s="8" t="s">
        <v>10271</v>
      </c>
      <c r="J156" s="8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s="8" t="s">
        <v>1606</v>
      </c>
      <c r="E157" s="8" t="s">
        <v>10165</v>
      </c>
      <c r="F157" s="8" t="s">
        <v>60</v>
      </c>
      <c r="H157" s="8"/>
      <c r="I157" s="8" t="s">
        <v>10274</v>
      </c>
      <c r="J157" s="8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s="8" t="s">
        <v>4</v>
      </c>
      <c r="E158" s="8" t="s">
        <v>8803</v>
      </c>
      <c r="F158" s="8"/>
      <c r="H158" s="8"/>
      <c r="I158" s="8" t="s">
        <v>10277</v>
      </c>
      <c r="J158" s="8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s="8" t="s">
        <v>2004</v>
      </c>
      <c r="E159" s="8" t="s">
        <v>8</v>
      </c>
      <c r="F159" s="8"/>
      <c r="H159" s="8"/>
      <c r="I159" s="8" t="s">
        <v>10494</v>
      </c>
      <c r="J159" s="8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s="8" t="s">
        <v>2004</v>
      </c>
      <c r="E160" s="8" t="s">
        <v>8</v>
      </c>
      <c r="F160" s="8"/>
      <c r="H160" s="8"/>
      <c r="I160" s="8" t="s">
        <v>10497</v>
      </c>
      <c r="J160" s="8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s="8" t="s">
        <v>2004</v>
      </c>
      <c r="E161" s="8" t="s">
        <v>8</v>
      </c>
      <c r="F161" s="8"/>
      <c r="H161" s="8"/>
      <c r="I161" s="8" t="s">
        <v>10540</v>
      </c>
      <c r="J161" s="8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s="8" t="s">
        <v>2004</v>
      </c>
      <c r="E162" s="8" t="s">
        <v>8</v>
      </c>
      <c r="F162" s="8"/>
      <c r="H162" s="8"/>
      <c r="I162" s="8" t="s">
        <v>10543</v>
      </c>
      <c r="J162" s="8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  <row r="163" spans="1:13" x14ac:dyDescent="0.25">
      <c r="A163" s="2" t="s">
        <v>15</v>
      </c>
      <c r="B163" s="4">
        <v>46050</v>
      </c>
      <c r="C163" s="5">
        <v>0.62151620370370375</v>
      </c>
      <c r="D163" s="8" t="s">
        <v>4</v>
      </c>
      <c r="E163" s="8" t="s">
        <v>10886</v>
      </c>
      <c r="F163" s="8"/>
      <c r="H163" s="8"/>
      <c r="I163" s="8" t="s">
        <v>10710</v>
      </c>
      <c r="J163" s="8" t="s">
        <v>2991</v>
      </c>
      <c r="K163" t="s">
        <v>10711</v>
      </c>
      <c r="L163" t="s">
        <v>10712</v>
      </c>
      <c r="M163" s="3" t="str">
        <f>HYPERLINK(склад2въезд13[[#This Row],[RelativePath]])</f>
        <v>4 Крыльцо офиса\K07156189_21_20260128T145459Z.jpg</v>
      </c>
    </row>
    <row r="164" spans="1:13" x14ac:dyDescent="0.25">
      <c r="A164" s="2" t="s">
        <v>16</v>
      </c>
      <c r="B164" s="4">
        <v>46051</v>
      </c>
      <c r="C164" s="5">
        <v>0.52840277777777778</v>
      </c>
      <c r="D164" s="8" t="s">
        <v>4</v>
      </c>
      <c r="E164" s="8" t="s">
        <v>8803</v>
      </c>
      <c r="F164" s="8"/>
      <c r="H164" s="8"/>
      <c r="I164" s="8" t="s">
        <v>10713</v>
      </c>
      <c r="J164" s="8" t="s">
        <v>2991</v>
      </c>
      <c r="K164" t="s">
        <v>10714</v>
      </c>
      <c r="L164" t="s">
        <v>10715</v>
      </c>
      <c r="M164" s="3" t="str">
        <f>HYPERLINK(склад2въезд13[[#This Row],[RelativePath]])</f>
        <v>4 Крыльцо офиса\K07156189_21_20260129T124054Z.jpg</v>
      </c>
    </row>
    <row r="165" spans="1:13" x14ac:dyDescent="0.25">
      <c r="A165" s="2" t="s">
        <v>17</v>
      </c>
      <c r="B165" s="4">
        <v>46052</v>
      </c>
      <c r="C165" s="5">
        <v>0.38755787037037037</v>
      </c>
      <c r="D165" s="8" t="s">
        <v>4</v>
      </c>
      <c r="E165" s="8" t="s">
        <v>70</v>
      </c>
      <c r="F165" s="8" t="s">
        <v>5093</v>
      </c>
      <c r="H165" s="8"/>
      <c r="I165" s="8" t="s">
        <v>10908</v>
      </c>
      <c r="J165" s="8" t="s">
        <v>2991</v>
      </c>
      <c r="K165" t="s">
        <v>10909</v>
      </c>
      <c r="L165" t="s">
        <v>10910</v>
      </c>
      <c r="M165" s="3" t="str">
        <f>HYPERLINK(склад2въезд13[[#This Row],[RelativePath]])</f>
        <v>4 Крыльцо офиса\K07156189_21_20260130T091805Z.jpg</v>
      </c>
    </row>
    <row r="166" spans="1:13" x14ac:dyDescent="0.25">
      <c r="A166" s="2" t="s">
        <v>17</v>
      </c>
      <c r="B166" s="4">
        <v>46052</v>
      </c>
      <c r="C166" s="5">
        <v>0.38785879629629627</v>
      </c>
      <c r="D166" s="8" t="s">
        <v>289</v>
      </c>
      <c r="E166" s="8" t="s">
        <v>70</v>
      </c>
      <c r="F166" s="8" t="s">
        <v>5093</v>
      </c>
      <c r="H166" s="8"/>
      <c r="I166" s="8" t="s">
        <v>10911</v>
      </c>
      <c r="J166" s="8" t="s">
        <v>2991</v>
      </c>
      <c r="K166" t="s">
        <v>10912</v>
      </c>
      <c r="L166" t="s">
        <v>10913</v>
      </c>
      <c r="M166" s="3" t="str">
        <f>HYPERLINK(склад2въезд13[[#This Row],[RelativePath]])</f>
        <v>4 Крыльцо офиса\K07156189_21_20260130T091831Z.jpg</v>
      </c>
    </row>
    <row r="167" spans="1:13" x14ac:dyDescent="0.25">
      <c r="A167" s="2" t="s">
        <v>18</v>
      </c>
      <c r="B167" s="4">
        <v>46053</v>
      </c>
      <c r="C167" s="5">
        <v>0.48790509259259257</v>
      </c>
      <c r="D167" s="8" t="s">
        <v>2004</v>
      </c>
      <c r="E167" s="8" t="s">
        <v>8</v>
      </c>
      <c r="F167" s="8"/>
      <c r="H167" s="8"/>
      <c r="I167" s="8" t="s">
        <v>11028</v>
      </c>
      <c r="J167" s="8" t="s">
        <v>2991</v>
      </c>
      <c r="K167" t="s">
        <v>11029</v>
      </c>
      <c r="L167" t="s">
        <v>11030</v>
      </c>
      <c r="M167" s="3" t="str">
        <f>HYPERLINK(склад2въезд13[[#This Row],[RelativePath]])</f>
        <v>4 Крыльцо офиса\K07156189_21_20260131T114235Z.jpg</v>
      </c>
    </row>
    <row r="168" spans="1:13" x14ac:dyDescent="0.25">
      <c r="A168" s="2" t="s">
        <v>22</v>
      </c>
      <c r="B168" s="4">
        <v>46054</v>
      </c>
      <c r="C168" s="5">
        <v>0.70708333333333329</v>
      </c>
      <c r="D168" s="8" t="s">
        <v>2004</v>
      </c>
      <c r="E168" s="8" t="s">
        <v>8</v>
      </c>
      <c r="F168" s="8"/>
      <c r="H168" s="8"/>
      <c r="I168" s="8" t="s">
        <v>11031</v>
      </c>
      <c r="J168" s="8" t="s">
        <v>2991</v>
      </c>
      <c r="K168" t="s">
        <v>11032</v>
      </c>
      <c r="L168" t="s">
        <v>11033</v>
      </c>
      <c r="M168" s="3" t="str">
        <f>HYPERLINK(склад2въезд13[[#This Row],[RelativePath]])</f>
        <v>4 Крыльцо офиса\K07156189_21_20260201T165812Z.jpg</v>
      </c>
    </row>
    <row r="169" spans="1:13" x14ac:dyDescent="0.25">
      <c r="A169" s="2" t="s">
        <v>13</v>
      </c>
      <c r="B169" s="4">
        <v>46055</v>
      </c>
      <c r="C169" s="5">
        <v>0.66347222222222224</v>
      </c>
      <c r="D169" s="8" t="s">
        <v>4</v>
      </c>
      <c r="E169" s="8" t="s">
        <v>8803</v>
      </c>
      <c r="F169" s="8"/>
      <c r="H169" s="8"/>
      <c r="I169" s="8" t="s">
        <v>11187</v>
      </c>
      <c r="J169" s="8" t="s">
        <v>2991</v>
      </c>
      <c r="K169" t="s">
        <v>11188</v>
      </c>
      <c r="L169" t="s">
        <v>11189</v>
      </c>
      <c r="M169" s="3" t="str">
        <f>HYPERLINK(склад2въезд13[[#This Row],[RelativePath]])</f>
        <v>4 Крыльцо офиса\K07156189_21_20260202T155524Z.jpg</v>
      </c>
    </row>
    <row r="170" spans="1:13" x14ac:dyDescent="0.25">
      <c r="A170" s="2" t="s">
        <v>14</v>
      </c>
      <c r="B170" s="4">
        <v>46056</v>
      </c>
      <c r="C170" s="5">
        <v>0.79167824074074078</v>
      </c>
      <c r="D170" s="8" t="s">
        <v>289</v>
      </c>
      <c r="E170" s="8" t="s">
        <v>6190</v>
      </c>
      <c r="F170" s="8" t="s">
        <v>11413</v>
      </c>
      <c r="H170" s="8"/>
      <c r="I170" s="8" t="s">
        <v>11190</v>
      </c>
      <c r="J170" s="8" t="s">
        <v>2991</v>
      </c>
      <c r="K170" t="s">
        <v>11191</v>
      </c>
      <c r="L170" t="s">
        <v>11192</v>
      </c>
      <c r="M170" s="3" t="str">
        <f>HYPERLINK(склад2въезд13[[#This Row],[RelativePath]])</f>
        <v>4 Крыльцо офиса\K07156189_21_20260203T190001Z.jpg</v>
      </c>
    </row>
    <row r="171" spans="1:13" x14ac:dyDescent="0.25">
      <c r="A171" s="2" t="s">
        <v>14</v>
      </c>
      <c r="B171" s="4">
        <v>46056</v>
      </c>
      <c r="C171" s="5">
        <v>0.79401620370370374</v>
      </c>
      <c r="D171" s="8" t="s">
        <v>650</v>
      </c>
      <c r="E171" s="8" t="s">
        <v>6190</v>
      </c>
      <c r="F171" s="8" t="s">
        <v>11413</v>
      </c>
      <c r="H171" s="8"/>
      <c r="I171" s="8" t="s">
        <v>11193</v>
      </c>
      <c r="J171" s="8" t="s">
        <v>2991</v>
      </c>
      <c r="K171" t="s">
        <v>11194</v>
      </c>
      <c r="L171" t="s">
        <v>11195</v>
      </c>
      <c r="M171" s="3" t="str">
        <f>HYPERLINK(склад2въезд13[[#This Row],[RelativePath]])</f>
        <v>4 Крыльцо офиса\K07156189_21_20260203T190323Z.jpg</v>
      </c>
    </row>
    <row r="172" spans="1:13" x14ac:dyDescent="0.25">
      <c r="A172" s="2" t="s">
        <v>14</v>
      </c>
      <c r="B172" s="4">
        <v>46056</v>
      </c>
      <c r="C172" s="5">
        <v>0.83732638888888888</v>
      </c>
      <c r="D172" s="8" t="s">
        <v>1606</v>
      </c>
      <c r="E172" s="8" t="s">
        <v>6190</v>
      </c>
      <c r="F172" s="8"/>
      <c r="H172" s="8"/>
      <c r="I172" s="8" t="s">
        <v>11196</v>
      </c>
      <c r="J172" s="8" t="s">
        <v>2991</v>
      </c>
      <c r="K172" t="s">
        <v>11197</v>
      </c>
      <c r="L172" t="s">
        <v>11198</v>
      </c>
      <c r="M172" s="3" t="str">
        <f>HYPERLINK(склад2въезд13[[#This Row],[RelativePath]])</f>
        <v>4 Крыльцо офиса\K07156189_21_20260203T200545Z.jpg</v>
      </c>
    </row>
  </sheetData>
  <conditionalFormatting sqref="D173:D183 E173:E186 G2:H172 D2:E172">
    <cfRule type="containsText" dxfId="659" priority="14" operator="containsText" text="Выезд с территории">
      <formula>NOT(ISERROR(SEARCH("Выезд с территории",D2)))</formula>
    </cfRule>
  </conditionalFormatting>
  <conditionalFormatting sqref="F2:F172">
    <cfRule type="notContainsText" dxfId="658" priority="13" operator="notContains" text="порожний">
      <formula>ISERROR(SEARCH("порожний",F2))</formula>
    </cfRule>
  </conditionalFormatting>
  <conditionalFormatting sqref="E2:E186">
    <cfRule type="containsText" dxfId="657" priority="11" operator="containsText" text="Газель базы">
      <formula>NOT(ISERROR(SEARCH("Газель базы",E2)))</formula>
    </cfRule>
    <cfRule type="containsText" dxfId="656" priority="12" operator="containsText" text="Погрузчик базы">
      <formula>NOT(ISERROR(SEARCH("Погрузчик базы",E2)))</formula>
    </cfRule>
  </conditionalFormatting>
  <conditionalFormatting sqref="E2:E186">
    <cfRule type="containsText" dxfId="655" priority="10" operator="containsText" text="Трактор базы">
      <formula>NOT(ISERROR(SEARCH("Трактор базы",E2)))</formula>
    </cfRule>
  </conditionalFormatting>
  <conditionalFormatting sqref="A2:C172">
    <cfRule type="expression" dxfId="654" priority="9">
      <formula>$A2="пн"</formula>
    </cfRule>
  </conditionalFormatting>
  <conditionalFormatting sqref="A2:C174">
    <cfRule type="expression" dxfId="653" priority="3">
      <formula>$A2="вс"</formula>
    </cfRule>
    <cfRule type="expression" dxfId="652" priority="4">
      <formula>$A2="сб"</formula>
    </cfRule>
    <cfRule type="expression" dxfId="651" priority="5">
      <formula>$A2="пт"</formula>
    </cfRule>
    <cfRule type="expression" dxfId="650" priority="6">
      <formula>$A2="чт"</formula>
    </cfRule>
    <cfRule type="expression" dxfId="649" priority="7">
      <formula>$A2="ср"</formula>
    </cfRule>
    <cfRule type="expression" dxfId="648" priority="8">
      <formula>$A2="вт"</formula>
    </cfRule>
  </conditionalFormatting>
  <conditionalFormatting sqref="D2:D183">
    <cfRule type="containsText" dxfId="6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3">
    <cfRule type="containsText" dxfId="6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08"/>
  <sheetViews>
    <sheetView tabSelected="1" topLeftCell="B1" zoomScale="90" zoomScaleNormal="90" workbookViewId="0">
      <pane ySplit="1" topLeftCell="A292" activePane="bottomLeft" state="frozen"/>
      <selection pane="bottomLeft" activeCell="I305" sqref="I305:I30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7707</v>
      </c>
      <c r="I145" s="8" t="s">
        <v>7595</v>
      </c>
      <c r="J145" s="8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7708</v>
      </c>
      <c r="I146" s="8" t="s">
        <v>7598</v>
      </c>
      <c r="J146" s="8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7706</v>
      </c>
      <c r="F147" s="8" t="s">
        <v>60</v>
      </c>
      <c r="H147" s="8"/>
      <c r="I147" s="8" t="s">
        <v>7601</v>
      </c>
      <c r="J147" s="8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7604</v>
      </c>
      <c r="J148" s="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7607</v>
      </c>
      <c r="J149" s="8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7610</v>
      </c>
      <c r="J150" s="8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7613</v>
      </c>
      <c r="J151" s="8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7616</v>
      </c>
      <c r="J152" s="8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7619</v>
      </c>
      <c r="J153" s="8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7622</v>
      </c>
      <c r="J154" s="8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7625</v>
      </c>
      <c r="J155" s="8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7628</v>
      </c>
      <c r="J156" s="8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7631</v>
      </c>
      <c r="J157" s="8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7634</v>
      </c>
      <c r="J158" s="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7637</v>
      </c>
      <c r="J159" s="8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7640</v>
      </c>
      <c r="J160" s="8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7643</v>
      </c>
      <c r="J161" s="8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7646</v>
      </c>
      <c r="J162" s="8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7649</v>
      </c>
      <c r="J163" s="8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7652</v>
      </c>
      <c r="J164" s="8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7655</v>
      </c>
      <c r="J165" s="8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7658</v>
      </c>
      <c r="J166" s="8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7661</v>
      </c>
      <c r="J167" s="8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7664</v>
      </c>
      <c r="J168" s="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7667</v>
      </c>
      <c r="J169" s="8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7670</v>
      </c>
      <c r="J170" s="8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7673</v>
      </c>
      <c r="J171" s="8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7676</v>
      </c>
      <c r="J172" s="8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8" t="s">
        <v>1094</v>
      </c>
      <c r="E173" s="8" t="s">
        <v>86</v>
      </c>
      <c r="F173" s="8" t="s">
        <v>60</v>
      </c>
      <c r="H173" s="8" t="s">
        <v>7870</v>
      </c>
      <c r="I173" s="8" t="s">
        <v>7831</v>
      </c>
      <c r="J173" s="8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8" t="s">
        <v>1094</v>
      </c>
      <c r="E174" s="8" t="s">
        <v>86</v>
      </c>
      <c r="F174" s="8" t="s">
        <v>60</v>
      </c>
      <c r="H174" s="8" t="s">
        <v>7870</v>
      </c>
      <c r="I174" s="8" t="s">
        <v>7834</v>
      </c>
      <c r="J174" s="8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8" t="s">
        <v>1094</v>
      </c>
      <c r="E175" s="8" t="s">
        <v>86</v>
      </c>
      <c r="F175" s="8" t="s">
        <v>60</v>
      </c>
      <c r="H175" s="8" t="s">
        <v>7870</v>
      </c>
      <c r="I175" s="8" t="s">
        <v>7837</v>
      </c>
      <c r="J175" s="8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8" t="s">
        <v>1094</v>
      </c>
      <c r="E176" s="8" t="s">
        <v>86</v>
      </c>
      <c r="F176" s="8" t="s">
        <v>60</v>
      </c>
      <c r="H176" s="8" t="s">
        <v>7870</v>
      </c>
      <c r="I176" s="8" t="s">
        <v>7840</v>
      </c>
      <c r="J176" s="8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8" t="s">
        <v>1094</v>
      </c>
      <c r="E177" s="8" t="s">
        <v>86</v>
      </c>
      <c r="F177" s="8" t="s">
        <v>60</v>
      </c>
      <c r="H177" s="8" t="s">
        <v>7870</v>
      </c>
      <c r="I177" s="8" t="s">
        <v>7843</v>
      </c>
      <c r="J177" s="8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8" t="s">
        <v>1094</v>
      </c>
      <c r="E178" s="8" t="s">
        <v>86</v>
      </c>
      <c r="F178" s="8" t="s">
        <v>60</v>
      </c>
      <c r="H178" s="8" t="s">
        <v>7870</v>
      </c>
      <c r="I178" s="8" t="s">
        <v>7846</v>
      </c>
      <c r="J178" s="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8" t="s">
        <v>1094</v>
      </c>
      <c r="E179" s="8" t="s">
        <v>86</v>
      </c>
      <c r="F179" s="8" t="s">
        <v>60</v>
      </c>
      <c r="H179" s="8" t="s">
        <v>7870</v>
      </c>
      <c r="I179" s="8" t="s">
        <v>7849</v>
      </c>
      <c r="J179" s="8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8" t="s">
        <v>2004</v>
      </c>
      <c r="E180" s="8" t="s">
        <v>8</v>
      </c>
      <c r="F180" s="8"/>
      <c r="H180" s="8"/>
      <c r="I180" s="8" t="s">
        <v>7852</v>
      </c>
      <c r="J180" s="8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8" t="s">
        <v>2004</v>
      </c>
      <c r="E181" s="8" t="s">
        <v>8</v>
      </c>
      <c r="F181" s="8"/>
      <c r="H181" s="8"/>
      <c r="I181" s="8" t="s">
        <v>7929</v>
      </c>
      <c r="J181" s="8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8" t="s">
        <v>8042</v>
      </c>
      <c r="E182" s="8" t="s">
        <v>6656</v>
      </c>
      <c r="F182" s="8"/>
      <c r="H182" s="8"/>
      <c r="I182" s="8" t="s">
        <v>7932</v>
      </c>
      <c r="J182" s="8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8" t="s">
        <v>4</v>
      </c>
      <c r="E183" s="8" t="s">
        <v>8045</v>
      </c>
      <c r="F183" s="8"/>
      <c r="H183" s="8"/>
      <c r="I183" s="8" t="s">
        <v>7935</v>
      </c>
      <c r="J183" s="8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8" t="s">
        <v>4</v>
      </c>
      <c r="E184" s="8" t="s">
        <v>8045</v>
      </c>
      <c r="F184" s="8"/>
      <c r="H184" s="8"/>
      <c r="I184" s="8" t="s">
        <v>7938</v>
      </c>
      <c r="J184" s="8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8" t="s">
        <v>4</v>
      </c>
      <c r="E185" s="8" t="s">
        <v>8045</v>
      </c>
      <c r="F185" s="8"/>
      <c r="H185" s="8"/>
      <c r="I185" s="8" t="s">
        <v>7941</v>
      </c>
      <c r="J185" s="8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8" t="s">
        <v>4</v>
      </c>
      <c r="E186" s="8" t="s">
        <v>8331</v>
      </c>
      <c r="F186" s="8"/>
      <c r="H186" s="8"/>
      <c r="I186" s="8" t="s">
        <v>8285</v>
      </c>
      <c r="J186" s="8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8" t="s">
        <v>4</v>
      </c>
      <c r="E187" s="8" t="s">
        <v>8331</v>
      </c>
      <c r="F187" s="8"/>
      <c r="H187" s="8"/>
      <c r="I187" s="8" t="s">
        <v>8288</v>
      </c>
      <c r="J187" s="8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8" t="s">
        <v>2004</v>
      </c>
      <c r="E188" s="8" t="s">
        <v>8</v>
      </c>
      <c r="F188" s="8"/>
      <c r="H188" s="8"/>
      <c r="I188" s="8" t="s">
        <v>8291</v>
      </c>
      <c r="J188" s="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8" t="s">
        <v>4</v>
      </c>
      <c r="E189" s="8" t="s">
        <v>1607</v>
      </c>
      <c r="F189" s="8" t="s">
        <v>7169</v>
      </c>
      <c r="H189" s="8"/>
      <c r="I189" s="8" t="s">
        <v>8294</v>
      </c>
      <c r="J189" s="8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8" t="s">
        <v>2004</v>
      </c>
      <c r="E190" s="8" t="s">
        <v>8</v>
      </c>
      <c r="F190" s="8"/>
      <c r="H190" s="8"/>
      <c r="I190" s="8" t="s">
        <v>8297</v>
      </c>
      <c r="J190" s="8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8" t="s">
        <v>2004</v>
      </c>
      <c r="E191" s="8" t="s">
        <v>8</v>
      </c>
      <c r="F191" s="8"/>
      <c r="H191" s="8"/>
      <c r="I191" s="8" t="s">
        <v>8300</v>
      </c>
      <c r="J191" s="8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8" t="s">
        <v>2004</v>
      </c>
      <c r="E192" s="8" t="s">
        <v>8</v>
      </c>
      <c r="F192" s="8"/>
      <c r="H192" s="8"/>
      <c r="I192" s="8" t="s">
        <v>8429</v>
      </c>
      <c r="J192" s="8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8" t="s">
        <v>4</v>
      </c>
      <c r="E193" s="8" t="s">
        <v>8483</v>
      </c>
      <c r="F193" s="8"/>
      <c r="H193" s="8" t="s">
        <v>8042</v>
      </c>
      <c r="I193" s="8" t="s">
        <v>8432</v>
      </c>
      <c r="J193" s="8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8" t="s">
        <v>2004</v>
      </c>
      <c r="E194" s="8" t="s">
        <v>8</v>
      </c>
      <c r="F194" s="8"/>
      <c r="H194" s="8"/>
      <c r="I194" s="8" t="s">
        <v>8435</v>
      </c>
      <c r="J194" s="8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8" t="s">
        <v>2004</v>
      </c>
      <c r="E195" s="8" t="s">
        <v>8</v>
      </c>
      <c r="F195" s="8"/>
      <c r="H195" s="8"/>
      <c r="I195" s="8" t="s">
        <v>8556</v>
      </c>
      <c r="J195" s="8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8" t="s">
        <v>4</v>
      </c>
      <c r="E196" s="8" t="s">
        <v>8805</v>
      </c>
      <c r="F196" s="8"/>
      <c r="H196" s="8"/>
      <c r="I196" s="8" t="s">
        <v>8559</v>
      </c>
      <c r="J196" s="8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8" t="s">
        <v>2004</v>
      </c>
      <c r="E197" s="8" t="s">
        <v>8</v>
      </c>
      <c r="F197" s="8"/>
      <c r="H197" s="8"/>
      <c r="I197" s="8" t="s">
        <v>8562</v>
      </c>
      <c r="J197" s="8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8" t="s">
        <v>2004</v>
      </c>
      <c r="E198" s="8" t="s">
        <v>8</v>
      </c>
      <c r="F198" s="8"/>
      <c r="H198" s="8"/>
      <c r="I198" s="8" t="s">
        <v>8565</v>
      </c>
      <c r="J198" s="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8" t="s">
        <v>2004</v>
      </c>
      <c r="E199" s="8" t="s">
        <v>8</v>
      </c>
      <c r="F199" s="8"/>
      <c r="H199" s="8"/>
      <c r="I199" s="8" t="s">
        <v>8568</v>
      </c>
      <c r="J199" s="8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8" t="s">
        <v>2004</v>
      </c>
      <c r="E200" s="8" t="s">
        <v>8</v>
      </c>
      <c r="F200" s="8"/>
      <c r="H200" s="8"/>
      <c r="I200" s="8" t="s">
        <v>8571</v>
      </c>
      <c r="J200" s="8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8" t="s">
        <v>2004</v>
      </c>
      <c r="E201" s="8" t="s">
        <v>8</v>
      </c>
      <c r="F201" s="8"/>
      <c r="H201" s="8"/>
      <c r="I201" s="8" t="s">
        <v>8574</v>
      </c>
      <c r="J201" s="8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8" t="s">
        <v>2004</v>
      </c>
      <c r="E202" s="8" t="s">
        <v>8</v>
      </c>
      <c r="F202" s="8"/>
      <c r="H202" s="8"/>
      <c r="I202" s="8" t="s">
        <v>364</v>
      </c>
      <c r="J202" s="8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8" t="s">
        <v>2004</v>
      </c>
      <c r="E203" s="8" t="s">
        <v>8</v>
      </c>
      <c r="F203" s="8"/>
      <c r="H203" s="8"/>
      <c r="I203" s="8" t="s">
        <v>367</v>
      </c>
      <c r="J203" s="8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8" t="s">
        <v>2004</v>
      </c>
      <c r="E204" s="8" t="s">
        <v>8</v>
      </c>
      <c r="F204" s="8"/>
      <c r="H204" s="8"/>
      <c r="I204" s="8" t="s">
        <v>370</v>
      </c>
      <c r="J204" s="8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8" t="s">
        <v>2004</v>
      </c>
      <c r="E205" s="8" t="s">
        <v>8</v>
      </c>
      <c r="F205" s="8"/>
      <c r="H205" s="8"/>
      <c r="I205" s="8" t="s">
        <v>373</v>
      </c>
      <c r="J205" s="8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8" t="s">
        <v>2004</v>
      </c>
      <c r="E206" s="8" t="s">
        <v>8</v>
      </c>
      <c r="F206" s="8"/>
      <c r="H206" s="8"/>
      <c r="I206" s="8" t="s">
        <v>376</v>
      </c>
      <c r="J206" s="8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8" t="s">
        <v>6191</v>
      </c>
      <c r="E207" s="8" t="s">
        <v>5480</v>
      </c>
      <c r="F207" s="8" t="s">
        <v>9190</v>
      </c>
      <c r="H207" s="8"/>
      <c r="I207" s="8" t="s">
        <v>8861</v>
      </c>
      <c r="J207" s="8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8" t="s">
        <v>6191</v>
      </c>
      <c r="E208" s="8" t="s">
        <v>5480</v>
      </c>
      <c r="F208" s="8" t="s">
        <v>9190</v>
      </c>
      <c r="H208" s="8" t="s">
        <v>2936</v>
      </c>
      <c r="I208" s="8" t="s">
        <v>8864</v>
      </c>
      <c r="J208" s="8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8" t="s">
        <v>1094</v>
      </c>
      <c r="E209" s="8" t="s">
        <v>86</v>
      </c>
      <c r="F209" s="8" t="s">
        <v>60</v>
      </c>
      <c r="H209" s="8"/>
      <c r="I209" s="8" t="s">
        <v>8867</v>
      </c>
      <c r="J209" s="8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8" t="s">
        <v>1094</v>
      </c>
      <c r="E210" s="8" t="s">
        <v>86</v>
      </c>
      <c r="F210" s="8" t="s">
        <v>60</v>
      </c>
      <c r="H210" s="8" t="s">
        <v>2936</v>
      </c>
      <c r="I210" s="8" t="s">
        <v>8870</v>
      </c>
      <c r="J210" s="8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8" t="s">
        <v>1094</v>
      </c>
      <c r="E211" s="8" t="s">
        <v>86</v>
      </c>
      <c r="F211" s="8" t="s">
        <v>60</v>
      </c>
      <c r="H211" s="8" t="s">
        <v>2936</v>
      </c>
      <c r="I211" s="8" t="s">
        <v>8873</v>
      </c>
      <c r="J211" s="8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8" t="s">
        <v>1094</v>
      </c>
      <c r="E212" s="8" t="s">
        <v>4247</v>
      </c>
      <c r="F212" s="8" t="s">
        <v>60</v>
      </c>
      <c r="H212" s="8"/>
      <c r="I212" s="8" t="s">
        <v>8876</v>
      </c>
      <c r="J212" s="8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8" t="s">
        <v>1094</v>
      </c>
      <c r="E213" s="8" t="s">
        <v>4247</v>
      </c>
      <c r="F213" s="8" t="s">
        <v>60</v>
      </c>
      <c r="H213" s="8" t="s">
        <v>2936</v>
      </c>
      <c r="I213" s="8" t="s">
        <v>8879</v>
      </c>
      <c r="J213" s="8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8" t="s">
        <v>1094</v>
      </c>
      <c r="E214" s="8" t="s">
        <v>4247</v>
      </c>
      <c r="F214" s="8" t="s">
        <v>60</v>
      </c>
      <c r="H214" s="8" t="s">
        <v>2936</v>
      </c>
      <c r="I214" s="8" t="s">
        <v>8882</v>
      </c>
      <c r="J214" s="8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8" t="s">
        <v>4</v>
      </c>
      <c r="E215" s="8" t="s">
        <v>8</v>
      </c>
      <c r="F215" s="8"/>
      <c r="H215" s="8"/>
      <c r="I215" s="8" t="s">
        <v>8885</v>
      </c>
      <c r="J215" s="8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8" t="s">
        <v>4</v>
      </c>
      <c r="E216" s="8" t="s">
        <v>8045</v>
      </c>
      <c r="F216" s="8"/>
      <c r="H216" s="8"/>
      <c r="I216" s="8" t="s">
        <v>8888</v>
      </c>
      <c r="J216" s="8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8" t="s">
        <v>4</v>
      </c>
      <c r="E217" s="8" t="s">
        <v>8045</v>
      </c>
      <c r="F217" s="8"/>
      <c r="H217" s="8"/>
      <c r="I217" s="8" t="s">
        <v>8891</v>
      </c>
      <c r="J217" s="8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8" t="s">
        <v>4</v>
      </c>
      <c r="E218" s="8" t="s">
        <v>8</v>
      </c>
      <c r="F218" s="8"/>
      <c r="H218" s="8"/>
      <c r="I218" s="8" t="s">
        <v>8894</v>
      </c>
      <c r="J218" s="8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8" t="s">
        <v>4</v>
      </c>
      <c r="E219" s="8" t="s">
        <v>8045</v>
      </c>
      <c r="F219" s="8"/>
      <c r="H219" s="8"/>
      <c r="I219" s="8" t="s">
        <v>9258</v>
      </c>
      <c r="J219" s="8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8" t="s">
        <v>4</v>
      </c>
      <c r="E220" s="8" t="s">
        <v>8045</v>
      </c>
      <c r="F220" s="8"/>
      <c r="H220" s="8" t="s">
        <v>2936</v>
      </c>
      <c r="I220" s="8" t="s">
        <v>9261</v>
      </c>
      <c r="J220" s="8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8" t="s">
        <v>4</v>
      </c>
      <c r="E221" s="8" t="s">
        <v>8045</v>
      </c>
      <c r="F221" s="8"/>
      <c r="H221" s="8" t="s">
        <v>2936</v>
      </c>
      <c r="I221" s="8" t="s">
        <v>9264</v>
      </c>
      <c r="J221" s="8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8" t="s">
        <v>1094</v>
      </c>
      <c r="E222" s="8" t="s">
        <v>4247</v>
      </c>
      <c r="F222" s="8" t="s">
        <v>60</v>
      </c>
      <c r="H222" s="8"/>
      <c r="I222" s="8" t="s">
        <v>9369</v>
      </c>
      <c r="J222" s="8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8" t="s">
        <v>4</v>
      </c>
      <c r="E223" s="8" t="s">
        <v>8045</v>
      </c>
      <c r="F223" s="8"/>
      <c r="H223" s="8"/>
      <c r="I223" s="8" t="s">
        <v>9372</v>
      </c>
      <c r="J223" s="8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8" t="s">
        <v>4</v>
      </c>
      <c r="E224" s="8" t="s">
        <v>8045</v>
      </c>
      <c r="F224" s="8"/>
      <c r="H224" s="8"/>
      <c r="I224" s="8" t="s">
        <v>9375</v>
      </c>
      <c r="J224" s="8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8" t="s">
        <v>4</v>
      </c>
      <c r="E225" s="8" t="s">
        <v>8045</v>
      </c>
      <c r="F225" s="8"/>
      <c r="H225" s="8"/>
      <c r="I225" s="8" t="s">
        <v>9378</v>
      </c>
      <c r="J225" s="8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8" t="s">
        <v>4</v>
      </c>
      <c r="E226" s="8" t="s">
        <v>8045</v>
      </c>
      <c r="F226" s="8"/>
      <c r="H226" s="8"/>
      <c r="I226" s="8" t="s">
        <v>9381</v>
      </c>
      <c r="J226" s="8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8" t="s">
        <v>4</v>
      </c>
      <c r="E227" s="8" t="s">
        <v>8</v>
      </c>
      <c r="F227" s="8"/>
      <c r="H227" s="8"/>
      <c r="I227" s="8" t="s">
        <v>9384</v>
      </c>
      <c r="J227" s="8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8" t="s">
        <v>4</v>
      </c>
      <c r="E228" s="8" t="s">
        <v>8045</v>
      </c>
      <c r="F228" s="8"/>
      <c r="H228" s="8"/>
      <c r="I228" s="8" t="s">
        <v>9639</v>
      </c>
      <c r="J228" s="8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8" t="s">
        <v>4</v>
      </c>
      <c r="E229" s="8" t="s">
        <v>8045</v>
      </c>
      <c r="F229" s="8"/>
      <c r="H229" s="8"/>
      <c r="I229" s="8" t="s">
        <v>9642</v>
      </c>
      <c r="J229" s="8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8" t="s">
        <v>4</v>
      </c>
      <c r="E230" s="8" t="s">
        <v>8045</v>
      </c>
      <c r="F230" s="8"/>
      <c r="H230" s="8"/>
      <c r="I230" s="8" t="s">
        <v>9645</v>
      </c>
      <c r="J230" s="8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8" t="s">
        <v>4</v>
      </c>
      <c r="E231" s="8" t="s">
        <v>9876</v>
      </c>
      <c r="F231" s="8"/>
      <c r="H231" s="8"/>
      <c r="I231" s="8" t="s">
        <v>9693</v>
      </c>
      <c r="J231" s="8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8" t="s">
        <v>4</v>
      </c>
      <c r="E232" s="8" t="s">
        <v>9876</v>
      </c>
      <c r="F232" s="8"/>
      <c r="H232" s="8"/>
      <c r="I232" s="8" t="s">
        <v>9696</v>
      </c>
      <c r="J232" s="8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8" t="s">
        <v>4</v>
      </c>
      <c r="E233" s="8" t="s">
        <v>9876</v>
      </c>
      <c r="F233" s="8"/>
      <c r="H233" s="8"/>
      <c r="I233" s="8" t="s">
        <v>9699</v>
      </c>
      <c r="J233" s="8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8" t="s">
        <v>4</v>
      </c>
      <c r="E234" s="8" t="s">
        <v>9876</v>
      </c>
      <c r="F234" s="8"/>
      <c r="H234" s="8"/>
      <c r="I234" s="8" t="s">
        <v>9702</v>
      </c>
      <c r="J234" s="8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8" t="s">
        <v>4</v>
      </c>
      <c r="E235" s="8" t="s">
        <v>9876</v>
      </c>
      <c r="F235" s="8"/>
      <c r="H235" s="8"/>
      <c r="I235" s="8" t="s">
        <v>9705</v>
      </c>
      <c r="J235" s="8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s="8" t="s">
        <v>4</v>
      </c>
      <c r="E236" s="8" t="s">
        <v>9876</v>
      </c>
      <c r="F236" s="8"/>
      <c r="H236" s="8"/>
      <c r="I236" s="8" t="s">
        <v>9936</v>
      </c>
      <c r="J236" s="8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s="8" t="s">
        <v>4</v>
      </c>
      <c r="E237" s="8" t="s">
        <v>9876</v>
      </c>
      <c r="F237" s="8"/>
      <c r="H237" s="8"/>
      <c r="I237" s="8" t="s">
        <v>9939</v>
      </c>
      <c r="J237" s="8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s="8" t="s">
        <v>4</v>
      </c>
      <c r="E238" s="8" t="s">
        <v>9876</v>
      </c>
      <c r="F238" s="8"/>
      <c r="H238" s="8"/>
      <c r="I238" s="8" t="s">
        <v>9942</v>
      </c>
      <c r="J238" s="8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s="8" t="s">
        <v>4</v>
      </c>
      <c r="E239" s="8" t="s">
        <v>9876</v>
      </c>
      <c r="F239" s="8"/>
      <c r="H239" s="8"/>
      <c r="I239" s="8" t="s">
        <v>9945</v>
      </c>
      <c r="J239" s="8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s="8" t="s">
        <v>4</v>
      </c>
      <c r="E240" s="8" t="s">
        <v>8</v>
      </c>
      <c r="F240" s="8"/>
      <c r="H240" s="8"/>
      <c r="I240" s="8" t="s">
        <v>9948</v>
      </c>
      <c r="J240" s="8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s="8" t="s">
        <v>290</v>
      </c>
      <c r="E241" s="8" t="s">
        <v>86</v>
      </c>
      <c r="F241" s="8" t="s">
        <v>60</v>
      </c>
      <c r="G241">
        <v>2</v>
      </c>
      <c r="H241" s="8" t="s">
        <v>10210</v>
      </c>
      <c r="I241" s="8" t="s">
        <v>10180</v>
      </c>
      <c r="J241" s="8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s="8" t="s">
        <v>290</v>
      </c>
      <c r="E242" s="8" t="s">
        <v>86</v>
      </c>
      <c r="F242" s="8" t="s">
        <v>60</v>
      </c>
      <c r="G242">
        <v>4</v>
      </c>
      <c r="H242" s="8"/>
      <c r="I242" s="8" t="s">
        <v>10183</v>
      </c>
      <c r="J242" s="8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s="8" t="s">
        <v>290</v>
      </c>
      <c r="E243" s="8" t="s">
        <v>86</v>
      </c>
      <c r="F243" s="8" t="s">
        <v>60</v>
      </c>
      <c r="G243">
        <v>3</v>
      </c>
      <c r="H243" s="8"/>
      <c r="I243" s="8" t="s">
        <v>10189</v>
      </c>
      <c r="J243" s="8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s="8" t="s">
        <v>290</v>
      </c>
      <c r="E244" s="8" t="s">
        <v>86</v>
      </c>
      <c r="F244" s="8" t="s">
        <v>60</v>
      </c>
      <c r="G244">
        <v>4</v>
      </c>
      <c r="H244" s="8"/>
      <c r="I244" s="8" t="s">
        <v>10192</v>
      </c>
      <c r="J244" s="8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s="8" t="s">
        <v>290</v>
      </c>
      <c r="E245" s="8" t="s">
        <v>86</v>
      </c>
      <c r="F245" s="8" t="s">
        <v>60</v>
      </c>
      <c r="G245">
        <v>3</v>
      </c>
      <c r="H245" s="8"/>
      <c r="I245" s="8" t="s">
        <v>10195</v>
      </c>
      <c r="J245" s="8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s="8" t="s">
        <v>290</v>
      </c>
      <c r="E246" s="8" t="s">
        <v>86</v>
      </c>
      <c r="F246" s="8" t="s">
        <v>60</v>
      </c>
      <c r="H246" s="8" t="s">
        <v>2936</v>
      </c>
      <c r="I246" s="8" t="s">
        <v>10198</v>
      </c>
      <c r="J246" s="8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s="8" t="s">
        <v>290</v>
      </c>
      <c r="E247" s="8" t="s">
        <v>86</v>
      </c>
      <c r="F247" s="8" t="s">
        <v>60</v>
      </c>
      <c r="G247">
        <v>3</v>
      </c>
      <c r="H247" s="8"/>
      <c r="I247" s="8" t="s">
        <v>10204</v>
      </c>
      <c r="J247" s="8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s="8" t="s">
        <v>290</v>
      </c>
      <c r="E248" s="8" t="s">
        <v>86</v>
      </c>
      <c r="F248" s="8" t="s">
        <v>60</v>
      </c>
      <c r="G248">
        <v>1</v>
      </c>
      <c r="H248" s="8"/>
      <c r="I248" s="8" t="s">
        <v>10201</v>
      </c>
      <c r="J248" s="8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s="8" t="s">
        <v>290</v>
      </c>
      <c r="E249" s="8" t="s">
        <v>86</v>
      </c>
      <c r="F249" s="8" t="s">
        <v>60</v>
      </c>
      <c r="G249">
        <v>3</v>
      </c>
      <c r="H249" s="8"/>
      <c r="I249" s="8" t="s">
        <v>10207</v>
      </c>
      <c r="J249" s="8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s="8" t="s">
        <v>290</v>
      </c>
      <c r="E250" s="8" t="s">
        <v>86</v>
      </c>
      <c r="F250" s="8" t="s">
        <v>60</v>
      </c>
      <c r="G250">
        <v>2</v>
      </c>
      <c r="H250" s="8"/>
      <c r="I250" s="8" t="s">
        <v>10211</v>
      </c>
      <c r="J250" s="8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s="8" t="s">
        <v>290</v>
      </c>
      <c r="E251" s="8" t="s">
        <v>86</v>
      </c>
      <c r="F251" s="8" t="s">
        <v>60</v>
      </c>
      <c r="G251">
        <v>3</v>
      </c>
      <c r="H251" s="8"/>
      <c r="I251" s="8" t="s">
        <v>10214</v>
      </c>
      <c r="J251" s="8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s="8" t="s">
        <v>290</v>
      </c>
      <c r="E252" s="8" t="s">
        <v>86</v>
      </c>
      <c r="F252" s="8" t="s">
        <v>60</v>
      </c>
      <c r="H252" s="8" t="s">
        <v>2936</v>
      </c>
      <c r="I252" s="8" t="s">
        <v>10217</v>
      </c>
      <c r="J252" s="8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s="8" t="s">
        <v>290</v>
      </c>
      <c r="E253" s="8" t="s">
        <v>86</v>
      </c>
      <c r="F253" s="8" t="s">
        <v>60</v>
      </c>
      <c r="G253">
        <v>2</v>
      </c>
      <c r="H253" s="8"/>
      <c r="I253" s="8" t="s">
        <v>10220</v>
      </c>
      <c r="J253" s="8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s="8" t="s">
        <v>290</v>
      </c>
      <c r="E254" s="8" t="s">
        <v>86</v>
      </c>
      <c r="F254" s="8" t="s">
        <v>60</v>
      </c>
      <c r="G254">
        <v>4</v>
      </c>
      <c r="H254" s="8"/>
      <c r="I254" s="8" t="s">
        <v>10223</v>
      </c>
      <c r="J254" s="8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s="8" t="s">
        <v>290</v>
      </c>
      <c r="E255" s="8" t="s">
        <v>86</v>
      </c>
      <c r="F255" s="8" t="s">
        <v>60</v>
      </c>
      <c r="G255">
        <v>1</v>
      </c>
      <c r="H255" s="8"/>
      <c r="I255" s="8" t="s">
        <v>10226</v>
      </c>
      <c r="J255" s="8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s="8" t="s">
        <v>290</v>
      </c>
      <c r="E256" s="8" t="s">
        <v>86</v>
      </c>
      <c r="F256" s="8" t="s">
        <v>60</v>
      </c>
      <c r="G256">
        <v>3</v>
      </c>
      <c r="H256" s="8"/>
      <c r="I256" s="8" t="s">
        <v>10229</v>
      </c>
      <c r="J256" s="8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s="8" t="s">
        <v>290</v>
      </c>
      <c r="E257" s="8" t="s">
        <v>86</v>
      </c>
      <c r="F257" s="8" t="s">
        <v>60</v>
      </c>
      <c r="G257">
        <v>3</v>
      </c>
      <c r="H257" s="8"/>
      <c r="I257" s="8" t="s">
        <v>10232</v>
      </c>
      <c r="J257" s="8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s="8" t="s">
        <v>290</v>
      </c>
      <c r="E258" s="8" t="s">
        <v>86</v>
      </c>
      <c r="F258" s="8" t="s">
        <v>60</v>
      </c>
      <c r="G258">
        <v>2</v>
      </c>
      <c r="H258" s="8"/>
      <c r="I258" s="8" t="s">
        <v>10235</v>
      </c>
      <c r="J258" s="8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s="8" t="s">
        <v>290</v>
      </c>
      <c r="E259" s="8" t="s">
        <v>86</v>
      </c>
      <c r="F259" s="8" t="s">
        <v>60</v>
      </c>
      <c r="G259">
        <v>2</v>
      </c>
      <c r="H259" s="8"/>
      <c r="I259" s="8" t="s">
        <v>10238</v>
      </c>
      <c r="J259" s="8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s="8" t="s">
        <v>290</v>
      </c>
      <c r="E260" s="8" t="s">
        <v>86</v>
      </c>
      <c r="F260" s="8" t="s">
        <v>60</v>
      </c>
      <c r="G260">
        <v>3</v>
      </c>
      <c r="H260" s="8"/>
      <c r="I260" s="8" t="s">
        <v>10241</v>
      </c>
      <c r="J260" s="8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s="8" t="s">
        <v>290</v>
      </c>
      <c r="E261" s="8" t="s">
        <v>86</v>
      </c>
      <c r="F261" s="8" t="s">
        <v>60</v>
      </c>
      <c r="G261">
        <v>2</v>
      </c>
      <c r="H261" s="8"/>
      <c r="I261" s="8" t="s">
        <v>10244</v>
      </c>
      <c r="J261" s="8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s="8" t="s">
        <v>290</v>
      </c>
      <c r="E262" s="8" t="s">
        <v>86</v>
      </c>
      <c r="F262" s="8" t="s">
        <v>60</v>
      </c>
      <c r="G262">
        <v>2</v>
      </c>
      <c r="H262" s="8"/>
      <c r="I262" s="8" t="s">
        <v>10247</v>
      </c>
      <c r="J262" s="8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s="8" t="s">
        <v>290</v>
      </c>
      <c r="E263" s="8" t="s">
        <v>86</v>
      </c>
      <c r="F263" s="8" t="s">
        <v>60</v>
      </c>
      <c r="G263">
        <v>3</v>
      </c>
      <c r="H263" s="8"/>
      <c r="I263" s="8" t="s">
        <v>10250</v>
      </c>
      <c r="J263" s="8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s="8" t="s">
        <v>290</v>
      </c>
      <c r="E264" s="8" t="s">
        <v>86</v>
      </c>
      <c r="F264" s="8" t="s">
        <v>60</v>
      </c>
      <c r="H264" s="8" t="s">
        <v>2936</v>
      </c>
      <c r="I264" s="8" t="s">
        <v>10253</v>
      </c>
      <c r="J264" s="8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s="8" t="s">
        <v>290</v>
      </c>
      <c r="E265" s="8" t="s">
        <v>86</v>
      </c>
      <c r="F265" s="8" t="s">
        <v>60</v>
      </c>
      <c r="G265">
        <v>4</v>
      </c>
      <c r="H265" s="8"/>
      <c r="I265" s="8" t="s">
        <v>10256</v>
      </c>
      <c r="J265" s="8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s="8" t="s">
        <v>290</v>
      </c>
      <c r="E266" s="8" t="s">
        <v>86</v>
      </c>
      <c r="F266" s="8" t="s">
        <v>60</v>
      </c>
      <c r="G266">
        <v>3</v>
      </c>
      <c r="H266" s="8"/>
      <c r="I266" s="8" t="s">
        <v>10259</v>
      </c>
      <c r="J266" s="8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s="8" t="s">
        <v>290</v>
      </c>
      <c r="E267" s="8" t="s">
        <v>86</v>
      </c>
      <c r="F267" s="8" t="s">
        <v>60</v>
      </c>
      <c r="G267">
        <v>3</v>
      </c>
      <c r="H267" s="8"/>
      <c r="I267" s="8" t="s">
        <v>10262</v>
      </c>
      <c r="J267" s="8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s="8" t="s">
        <v>290</v>
      </c>
      <c r="E268" s="8" t="s">
        <v>86</v>
      </c>
      <c r="F268" s="8" t="s">
        <v>60</v>
      </c>
      <c r="G268">
        <v>2</v>
      </c>
      <c r="H268" s="8"/>
      <c r="I268" s="8" t="s">
        <v>10265</v>
      </c>
      <c r="J268" s="8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s="8" t="s">
        <v>290</v>
      </c>
      <c r="E269" s="8" t="s">
        <v>86</v>
      </c>
      <c r="F269" s="8" t="s">
        <v>60</v>
      </c>
      <c r="G269">
        <v>2</v>
      </c>
      <c r="H269" s="8" t="s">
        <v>10347</v>
      </c>
      <c r="I269" s="8" t="s">
        <v>10281</v>
      </c>
      <c r="J269" s="8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s="8" t="s">
        <v>290</v>
      </c>
      <c r="E270" s="8" t="s">
        <v>86</v>
      </c>
      <c r="F270" s="8" t="s">
        <v>60</v>
      </c>
      <c r="G270">
        <v>3</v>
      </c>
      <c r="H270" s="8" t="s">
        <v>10347</v>
      </c>
      <c r="I270" s="8" t="s">
        <v>10284</v>
      </c>
      <c r="J270" s="8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s="8" t="s">
        <v>290</v>
      </c>
      <c r="E271" s="8" t="s">
        <v>86</v>
      </c>
      <c r="F271" s="8" t="s">
        <v>60</v>
      </c>
      <c r="G271">
        <v>3</v>
      </c>
      <c r="H271" s="8" t="s">
        <v>10347</v>
      </c>
      <c r="I271" s="8" t="s">
        <v>10287</v>
      </c>
      <c r="J271" s="8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s="8" t="s">
        <v>290</v>
      </c>
      <c r="E272" s="8" t="s">
        <v>86</v>
      </c>
      <c r="F272" s="8" t="s">
        <v>60</v>
      </c>
      <c r="G272">
        <v>4</v>
      </c>
      <c r="H272" s="8" t="s">
        <v>10347</v>
      </c>
      <c r="I272" s="8" t="s">
        <v>10290</v>
      </c>
      <c r="J272" s="8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s="8" t="s">
        <v>290</v>
      </c>
      <c r="E273" s="8" t="s">
        <v>86</v>
      </c>
      <c r="F273" s="8" t="s">
        <v>60</v>
      </c>
      <c r="G273">
        <v>4</v>
      </c>
      <c r="H273" s="8" t="s">
        <v>10347</v>
      </c>
      <c r="I273" s="8" t="s">
        <v>10293</v>
      </c>
      <c r="J273" s="8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s="8" t="s">
        <v>290</v>
      </c>
      <c r="E274" s="8" t="s">
        <v>86</v>
      </c>
      <c r="F274" s="8" t="s">
        <v>60</v>
      </c>
      <c r="G274">
        <v>4</v>
      </c>
      <c r="H274" s="8" t="s">
        <v>10347</v>
      </c>
      <c r="I274" s="8" t="s">
        <v>10296</v>
      </c>
      <c r="J274" s="8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s="8" t="s">
        <v>290</v>
      </c>
      <c r="E275" s="8" t="s">
        <v>86</v>
      </c>
      <c r="F275" s="8" t="s">
        <v>60</v>
      </c>
      <c r="G275">
        <v>5</v>
      </c>
      <c r="H275" s="8" t="s">
        <v>10347</v>
      </c>
      <c r="I275" s="8" t="s">
        <v>10299</v>
      </c>
      <c r="J275" s="8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s="8" t="s">
        <v>290</v>
      </c>
      <c r="E276" s="8" t="s">
        <v>86</v>
      </c>
      <c r="F276" s="8" t="s">
        <v>60</v>
      </c>
      <c r="G276">
        <v>2</v>
      </c>
      <c r="H276" s="8" t="s">
        <v>10347</v>
      </c>
      <c r="I276" s="8" t="s">
        <v>10302</v>
      </c>
      <c r="J276" s="8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s="8" t="s">
        <v>290</v>
      </c>
      <c r="E277" s="8" t="s">
        <v>86</v>
      </c>
      <c r="F277" s="8" t="s">
        <v>60</v>
      </c>
      <c r="G277">
        <v>3</v>
      </c>
      <c r="H277" s="8" t="s">
        <v>10347</v>
      </c>
      <c r="I277" s="8" t="s">
        <v>10305</v>
      </c>
      <c r="J277" s="8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s="8" t="s">
        <v>290</v>
      </c>
      <c r="E278" s="8" t="s">
        <v>86</v>
      </c>
      <c r="F278" s="8" t="s">
        <v>60</v>
      </c>
      <c r="G278">
        <v>3</v>
      </c>
      <c r="H278" s="8" t="s">
        <v>10347</v>
      </c>
      <c r="I278" s="8" t="s">
        <v>10308</v>
      </c>
      <c r="J278" s="8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s="8" t="s">
        <v>290</v>
      </c>
      <c r="E279" s="8" t="s">
        <v>86</v>
      </c>
      <c r="F279" s="8" t="s">
        <v>60</v>
      </c>
      <c r="G279">
        <v>3</v>
      </c>
      <c r="H279" s="8" t="s">
        <v>10347</v>
      </c>
      <c r="I279" s="8" t="s">
        <v>10311</v>
      </c>
      <c r="J279" s="8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s="8" t="s">
        <v>290</v>
      </c>
      <c r="E280" s="8" t="s">
        <v>86</v>
      </c>
      <c r="F280" s="8" t="s">
        <v>60</v>
      </c>
      <c r="G280">
        <v>2</v>
      </c>
      <c r="H280" s="8" t="s">
        <v>10347</v>
      </c>
      <c r="I280" s="8" t="s">
        <v>10314</v>
      </c>
      <c r="J280" s="8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s="8" t="s">
        <v>290</v>
      </c>
      <c r="E281" s="8" t="s">
        <v>86</v>
      </c>
      <c r="F281" s="8" t="s">
        <v>60</v>
      </c>
      <c r="G281">
        <v>2</v>
      </c>
      <c r="H281" s="8" t="s">
        <v>10347</v>
      </c>
      <c r="I281" s="8" t="s">
        <v>10317</v>
      </c>
      <c r="J281" s="8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s="8" t="s">
        <v>290</v>
      </c>
      <c r="E282" s="8" t="s">
        <v>86</v>
      </c>
      <c r="F282" s="8" t="s">
        <v>60</v>
      </c>
      <c r="G282">
        <v>3</v>
      </c>
      <c r="H282" s="8" t="s">
        <v>10347</v>
      </c>
      <c r="I282" s="8" t="s">
        <v>10320</v>
      </c>
      <c r="J282" s="8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s="8" t="s">
        <v>290</v>
      </c>
      <c r="E283" s="8" t="s">
        <v>86</v>
      </c>
      <c r="F283" s="8" t="s">
        <v>60</v>
      </c>
      <c r="G283">
        <v>3</v>
      </c>
      <c r="H283" s="8" t="s">
        <v>10347</v>
      </c>
      <c r="I283" s="8" t="s">
        <v>10323</v>
      </c>
      <c r="J283" s="8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s="8" t="s">
        <v>290</v>
      </c>
      <c r="E284" s="8" t="s">
        <v>86</v>
      </c>
      <c r="F284" s="8" t="s">
        <v>60</v>
      </c>
      <c r="G284">
        <v>3</v>
      </c>
      <c r="H284" s="8" t="s">
        <v>10347</v>
      </c>
      <c r="I284" s="8" t="s">
        <v>10326</v>
      </c>
      <c r="J284" s="8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s="8" t="s">
        <v>290</v>
      </c>
      <c r="E285" s="8" t="s">
        <v>86</v>
      </c>
      <c r="F285" s="8" t="s">
        <v>60</v>
      </c>
      <c r="G285">
        <v>2</v>
      </c>
      <c r="H285" s="8" t="s">
        <v>10347</v>
      </c>
      <c r="I285" s="8" t="s">
        <v>10329</v>
      </c>
      <c r="J285" s="8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s="8" t="s">
        <v>290</v>
      </c>
      <c r="E286" s="8" t="s">
        <v>86</v>
      </c>
      <c r="F286" s="8" t="s">
        <v>60</v>
      </c>
      <c r="G286">
        <v>2</v>
      </c>
      <c r="H286" s="8" t="s">
        <v>10347</v>
      </c>
      <c r="I286" s="8" t="s">
        <v>10332</v>
      </c>
      <c r="J286" s="8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s="8" t="s">
        <v>290</v>
      </c>
      <c r="E287" s="8" t="s">
        <v>86</v>
      </c>
      <c r="F287" s="8" t="s">
        <v>60</v>
      </c>
      <c r="G287">
        <v>2</v>
      </c>
      <c r="H287" s="8" t="s">
        <v>10347</v>
      </c>
      <c r="I287" s="8" t="s">
        <v>10335</v>
      </c>
      <c r="J287" s="8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s="8" t="s">
        <v>10348</v>
      </c>
      <c r="E288" s="8" t="s">
        <v>86</v>
      </c>
      <c r="F288" s="8" t="s">
        <v>10167</v>
      </c>
      <c r="G288">
        <v>1</v>
      </c>
      <c r="H288" s="8" t="s">
        <v>10349</v>
      </c>
      <c r="I288" s="8" t="s">
        <v>10338</v>
      </c>
      <c r="J288" s="8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s="8" t="s">
        <v>4</v>
      </c>
      <c r="E289" s="8" t="s">
        <v>9876</v>
      </c>
      <c r="F289" s="8"/>
      <c r="H289" s="8"/>
      <c r="I289" s="8" t="s">
        <v>10341</v>
      </c>
      <c r="J289" s="8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s="8" t="s">
        <v>4</v>
      </c>
      <c r="E290" s="8" t="s">
        <v>2932</v>
      </c>
      <c r="F290" s="8"/>
      <c r="H290" s="8"/>
      <c r="I290" s="8" t="s">
        <v>10344</v>
      </c>
      <c r="J290" s="8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s="8" t="s">
        <v>2004</v>
      </c>
      <c r="E291" s="8" t="s">
        <v>8</v>
      </c>
      <c r="F291" s="8"/>
      <c r="H291" s="8"/>
      <c r="I291" s="8" t="s">
        <v>10500</v>
      </c>
      <c r="J291" s="8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s="8" t="s">
        <v>2004</v>
      </c>
      <c r="E292" s="8" t="s">
        <v>8</v>
      </c>
      <c r="F292" s="8"/>
      <c r="H292" s="8"/>
      <c r="I292" s="8" t="s">
        <v>10503</v>
      </c>
      <c r="J292" s="8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s="8" t="s">
        <v>4</v>
      </c>
      <c r="E293" s="8" t="s">
        <v>2932</v>
      </c>
      <c r="F293" s="8"/>
      <c r="H293" s="8"/>
      <c r="I293" s="8" t="s">
        <v>10546</v>
      </c>
      <c r="J293" s="8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s="8" t="s">
        <v>4</v>
      </c>
      <c r="E294" s="8" t="s">
        <v>10630</v>
      </c>
      <c r="F294" s="8"/>
      <c r="H294" s="8"/>
      <c r="I294" s="8" t="s">
        <v>10549</v>
      </c>
      <c r="J294" s="8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  <row r="295" spans="1:13" x14ac:dyDescent="0.25">
      <c r="A295" s="2" t="s">
        <v>15</v>
      </c>
      <c r="B295" s="4">
        <v>46050</v>
      </c>
      <c r="C295" s="5">
        <v>0.41630787037037037</v>
      </c>
      <c r="D295" s="8" t="s">
        <v>4</v>
      </c>
      <c r="E295" s="8" t="s">
        <v>9876</v>
      </c>
      <c r="F295" s="8"/>
      <c r="H295" s="8"/>
      <c r="I295" s="8" t="s">
        <v>10722</v>
      </c>
      <c r="J295" s="8" t="s">
        <v>2982</v>
      </c>
      <c r="K295" t="s">
        <v>10723</v>
      </c>
      <c r="L295" t="s">
        <v>10724</v>
      </c>
      <c r="M295" s="3" t="str">
        <f>HYPERLINK(склад2въезд1319[[#This Row],[RelativePath]])</f>
        <v>5 Крыльцо общага\K07156189_22_20260128T095929Z.jpg</v>
      </c>
    </row>
    <row r="296" spans="1:13" x14ac:dyDescent="0.25">
      <c r="A296" s="2" t="s">
        <v>15</v>
      </c>
      <c r="B296" s="4">
        <v>46050</v>
      </c>
      <c r="C296" s="5">
        <v>0.66324074074074069</v>
      </c>
      <c r="D296" s="8" t="s">
        <v>158</v>
      </c>
      <c r="E296" s="8" t="s">
        <v>86</v>
      </c>
      <c r="F296" s="8" t="s">
        <v>60</v>
      </c>
      <c r="H296" s="8" t="s">
        <v>10887</v>
      </c>
      <c r="I296" s="8" t="s">
        <v>10725</v>
      </c>
      <c r="J296" s="8" t="s">
        <v>2982</v>
      </c>
      <c r="K296" t="s">
        <v>10726</v>
      </c>
      <c r="L296" t="s">
        <v>10727</v>
      </c>
      <c r="M296" s="3" t="str">
        <f>HYPERLINK(склад2въезд1319[[#This Row],[RelativePath]])</f>
        <v>5 Крыльцо общага\K07156189_22_20260128T155504Z.jpg</v>
      </c>
    </row>
    <row r="297" spans="1:13" x14ac:dyDescent="0.25">
      <c r="A297" s="2" t="s">
        <v>15</v>
      </c>
      <c r="B297" s="4">
        <v>46050</v>
      </c>
      <c r="C297" s="5">
        <v>0.70317129629629627</v>
      </c>
      <c r="D297" s="8" t="s">
        <v>4</v>
      </c>
      <c r="E297" s="8" t="s">
        <v>2932</v>
      </c>
      <c r="F297" s="8"/>
      <c r="H297" s="8"/>
      <c r="I297" s="8" t="s">
        <v>10728</v>
      </c>
      <c r="J297" s="8" t="s">
        <v>2982</v>
      </c>
      <c r="K297" t="s">
        <v>10729</v>
      </c>
      <c r="L297" t="s">
        <v>10730</v>
      </c>
      <c r="M297" s="3" t="str">
        <f>HYPERLINK(склад2въезд1319[[#This Row],[RelativePath]])</f>
        <v>5 Крыльцо общага\K07156189_22_20260128T165234Z.jpg</v>
      </c>
    </row>
    <row r="298" spans="1:13" x14ac:dyDescent="0.25">
      <c r="A298" s="2" t="s">
        <v>16</v>
      </c>
      <c r="B298" s="4">
        <v>46051</v>
      </c>
      <c r="C298" s="5">
        <v>0.51928240740740739</v>
      </c>
      <c r="D298" s="8" t="s">
        <v>4</v>
      </c>
      <c r="E298" s="8" t="s">
        <v>9876</v>
      </c>
      <c r="F298" s="8"/>
      <c r="H298" s="8"/>
      <c r="I298" s="8" t="s">
        <v>10731</v>
      </c>
      <c r="J298" s="8" t="s">
        <v>2982</v>
      </c>
      <c r="K298" t="s">
        <v>10732</v>
      </c>
      <c r="L298" t="s">
        <v>10733</v>
      </c>
      <c r="M298" s="3" t="str">
        <f>HYPERLINK(склад2въезд1319[[#This Row],[RelativePath]])</f>
        <v>5 Крыльцо общага\K07156189_22_20260129T122746Z.jpg</v>
      </c>
    </row>
    <row r="299" spans="1:13" x14ac:dyDescent="0.25">
      <c r="A299" s="2" t="s">
        <v>16</v>
      </c>
      <c r="B299" s="4">
        <v>46051</v>
      </c>
      <c r="C299" s="5">
        <v>0.74149305555555556</v>
      </c>
      <c r="D299" s="8" t="s">
        <v>4</v>
      </c>
      <c r="E299" s="8" t="s">
        <v>9876</v>
      </c>
      <c r="F299" s="8"/>
      <c r="H299" s="8"/>
      <c r="I299" s="8" t="s">
        <v>10734</v>
      </c>
      <c r="J299" s="8" t="s">
        <v>2982</v>
      </c>
      <c r="K299" t="s">
        <v>10735</v>
      </c>
      <c r="L299" t="s">
        <v>10736</v>
      </c>
      <c r="M299" s="3" t="str">
        <f>HYPERLINK(склад2въезд1319[[#This Row],[RelativePath]])</f>
        <v>5 Крыльцо общага\K07156189_22_20260129T174745Z.jpg</v>
      </c>
    </row>
    <row r="300" spans="1:13" x14ac:dyDescent="0.25">
      <c r="A300" s="2" t="s">
        <v>17</v>
      </c>
      <c r="B300" s="4">
        <v>46052</v>
      </c>
      <c r="C300" s="5">
        <v>0.42017361111111112</v>
      </c>
      <c r="D300" s="8" t="s">
        <v>4</v>
      </c>
      <c r="E300" s="8" t="s">
        <v>8045</v>
      </c>
      <c r="F300" s="8"/>
      <c r="H300" s="8"/>
      <c r="I300" s="8" t="s">
        <v>10914</v>
      </c>
      <c r="J300" s="8" t="s">
        <v>2982</v>
      </c>
      <c r="K300" t="s">
        <v>10915</v>
      </c>
      <c r="L300" t="s">
        <v>10916</v>
      </c>
      <c r="M300" s="3" t="str">
        <f>HYPERLINK(склад2въезд1319[[#This Row],[RelativePath]])</f>
        <v>5 Крыльцо общага\K07156189_22_20260130T100503Z.jpg</v>
      </c>
    </row>
    <row r="301" spans="1:13" x14ac:dyDescent="0.25">
      <c r="A301" s="2" t="s">
        <v>17</v>
      </c>
      <c r="B301" s="4">
        <v>46052</v>
      </c>
      <c r="C301" s="5">
        <v>0.60381944444444446</v>
      </c>
      <c r="D301" s="8" t="s">
        <v>4</v>
      </c>
      <c r="E301" s="8" t="s">
        <v>8045</v>
      </c>
      <c r="F301" s="8"/>
      <c r="H301" s="8"/>
      <c r="I301" s="8" t="s">
        <v>10917</v>
      </c>
      <c r="J301" s="8" t="s">
        <v>2982</v>
      </c>
      <c r="K301" t="s">
        <v>10918</v>
      </c>
      <c r="L301" t="s">
        <v>10919</v>
      </c>
      <c r="M301" s="3" t="str">
        <f>HYPERLINK(склад2въезд1319[[#This Row],[RelativePath]])</f>
        <v>5 Крыльцо общага\K07156189_22_20260130T142930Z.jpg</v>
      </c>
    </row>
    <row r="302" spans="1:13" x14ac:dyDescent="0.25">
      <c r="A302" s="2" t="s">
        <v>18</v>
      </c>
      <c r="B302" s="4">
        <v>46053</v>
      </c>
      <c r="C302" s="5">
        <v>0.72431712962962957</v>
      </c>
      <c r="D302" s="8" t="s">
        <v>4</v>
      </c>
      <c r="E302" s="8" t="s">
        <v>8</v>
      </c>
      <c r="F302" s="8"/>
      <c r="H302" s="8"/>
      <c r="I302" s="8" t="s">
        <v>11067</v>
      </c>
      <c r="J302" s="8" t="s">
        <v>2982</v>
      </c>
      <c r="K302" t="s">
        <v>11068</v>
      </c>
      <c r="L302" t="s">
        <v>11069</v>
      </c>
      <c r="M302" s="3" t="str">
        <f>HYPERLINK(склад2въезд1319[[#This Row],[RelativePath]])</f>
        <v>5 Крыльцо общага\K07156189_22_20260131T172301Z.jpg</v>
      </c>
    </row>
    <row r="303" spans="1:13" x14ac:dyDescent="0.25">
      <c r="A303" s="2" t="s">
        <v>18</v>
      </c>
      <c r="B303" s="4">
        <v>46053</v>
      </c>
      <c r="C303" s="5">
        <v>0.72693287037037035</v>
      </c>
      <c r="D303" s="8" t="s">
        <v>650</v>
      </c>
      <c r="E303" s="8" t="s">
        <v>11125</v>
      </c>
      <c r="F303" s="8"/>
      <c r="H303" s="8" t="s">
        <v>11126</v>
      </c>
      <c r="I303" s="8" t="s">
        <v>11070</v>
      </c>
      <c r="J303" s="8" t="s">
        <v>2982</v>
      </c>
      <c r="K303" t="s">
        <v>11071</v>
      </c>
      <c r="L303" t="s">
        <v>11072</v>
      </c>
      <c r="M303" s="3" t="str">
        <f>HYPERLINK(склад2въезд1319[[#This Row],[RelativePath]])</f>
        <v>5 Крыльцо общага\K07156189_22_20260131T172647Z.jpg</v>
      </c>
    </row>
    <row r="304" spans="1:13" x14ac:dyDescent="0.25">
      <c r="A304" s="2" t="s">
        <v>22</v>
      </c>
      <c r="B304" s="4">
        <v>46054</v>
      </c>
      <c r="C304" s="5">
        <v>0.46425925925925926</v>
      </c>
      <c r="D304" s="8" t="s">
        <v>4</v>
      </c>
      <c r="E304" s="8" t="s">
        <v>9876</v>
      </c>
      <c r="F304" s="8"/>
      <c r="H304" s="8"/>
      <c r="I304" s="8" t="s">
        <v>11073</v>
      </c>
      <c r="J304" s="8" t="s">
        <v>2982</v>
      </c>
      <c r="K304" t="s">
        <v>11074</v>
      </c>
      <c r="L304" t="s">
        <v>11075</v>
      </c>
      <c r="M304" s="3" t="str">
        <f>HYPERLINK(склад2въезд1319[[#This Row],[RelativePath]])</f>
        <v>5 Крыльцо общага\K07156189_22_20260201T110832Z.jpg</v>
      </c>
    </row>
    <row r="305" spans="1:13" x14ac:dyDescent="0.25">
      <c r="A305" s="2" t="s">
        <v>13</v>
      </c>
      <c r="B305" s="4">
        <v>46055</v>
      </c>
      <c r="C305" s="5">
        <v>0.44791666666666669</v>
      </c>
      <c r="D305" s="8" t="s">
        <v>4</v>
      </c>
      <c r="E305" s="8" t="s">
        <v>9876</v>
      </c>
      <c r="F305" s="8"/>
      <c r="H305" s="8"/>
      <c r="I305" s="8" t="s">
        <v>11160</v>
      </c>
      <c r="J305" s="8" t="s">
        <v>2982</v>
      </c>
      <c r="K305" t="s">
        <v>11161</v>
      </c>
      <c r="L305" t="s">
        <v>11162</v>
      </c>
      <c r="M305" s="3" t="str">
        <f>HYPERLINK(склад2въезд1319[[#This Row],[RelativePath]])</f>
        <v>5 Крыльцо общага\K07156189_22_20260202T104500Z.jpg</v>
      </c>
    </row>
    <row r="306" spans="1:13" x14ac:dyDescent="0.25">
      <c r="A306" s="2" t="s">
        <v>13</v>
      </c>
      <c r="B306" s="4">
        <v>46055</v>
      </c>
      <c r="C306" s="5">
        <v>0.74973379629629633</v>
      </c>
      <c r="D306" s="8" t="s">
        <v>4</v>
      </c>
      <c r="E306" s="8" t="s">
        <v>9876</v>
      </c>
      <c r="F306" s="8"/>
      <c r="H306" s="8"/>
      <c r="I306" s="8" t="s">
        <v>11163</v>
      </c>
      <c r="J306" s="8" t="s">
        <v>2982</v>
      </c>
      <c r="K306" t="s">
        <v>11164</v>
      </c>
      <c r="L306" t="s">
        <v>11165</v>
      </c>
      <c r="M306" s="3" t="str">
        <f>HYPERLINK(склад2въезд1319[[#This Row],[RelativePath]])</f>
        <v>5 Крыльцо общага\K07156189_22_20260202T175937Z.jpg</v>
      </c>
    </row>
    <row r="307" spans="1:13" x14ac:dyDescent="0.25">
      <c r="A307" s="2" t="s">
        <v>14</v>
      </c>
      <c r="B307" s="4">
        <v>46056</v>
      </c>
      <c r="C307" s="5">
        <v>0.39356481481481481</v>
      </c>
      <c r="D307" s="8" t="s">
        <v>4</v>
      </c>
      <c r="E307" s="8" t="s">
        <v>9876</v>
      </c>
      <c r="F307" s="8"/>
      <c r="H307" s="8"/>
      <c r="I307" s="8" t="s">
        <v>11166</v>
      </c>
      <c r="J307" s="8" t="s">
        <v>2982</v>
      </c>
      <c r="K307" t="s">
        <v>11167</v>
      </c>
      <c r="L307" t="s">
        <v>11168</v>
      </c>
      <c r="M307" s="3" t="str">
        <f>HYPERLINK(склад2въезд1319[[#This Row],[RelativePath]])</f>
        <v>5 Крыльцо общага\K07156189_22_20260203T092644Z.jpg</v>
      </c>
    </row>
    <row r="308" spans="1:13" x14ac:dyDescent="0.25">
      <c r="A308" s="2" t="s">
        <v>14</v>
      </c>
      <c r="B308" s="4">
        <v>46056</v>
      </c>
      <c r="C308" s="5">
        <v>0.68864583333333329</v>
      </c>
      <c r="D308" s="8" t="s">
        <v>4</v>
      </c>
      <c r="E308" s="8" t="s">
        <v>9876</v>
      </c>
      <c r="F308" s="8"/>
      <c r="H308" s="8"/>
      <c r="I308" s="8" t="s">
        <v>11169</v>
      </c>
      <c r="J308" s="8" t="s">
        <v>2982</v>
      </c>
      <c r="K308" t="s">
        <v>11170</v>
      </c>
      <c r="L308" t="s">
        <v>11171</v>
      </c>
      <c r="M308" s="3" t="str">
        <f>HYPERLINK(склад2въезд1319[[#This Row],[RelativePath]])</f>
        <v>5 Крыльцо общага\K07156189_22_20260203T163139Z.jpg</v>
      </c>
    </row>
  </sheetData>
  <conditionalFormatting sqref="E309:E322 D309:D319 G2:H308 D2:E308">
    <cfRule type="containsText" dxfId="150" priority="17" operator="containsText" text="Выезд с территории">
      <formula>NOT(ISERROR(SEARCH("Выезд с территории",D2)))</formula>
    </cfRule>
  </conditionalFormatting>
  <conditionalFormatting sqref="F2:F308">
    <cfRule type="notContainsText" dxfId="149" priority="16" operator="notContains" text="порожний">
      <formula>ISERROR(SEARCH("порожний",F2))</formula>
    </cfRule>
  </conditionalFormatting>
  <conditionalFormatting sqref="E2:E322">
    <cfRule type="containsText" dxfId="148" priority="14" operator="containsText" text="Газель базы">
      <formula>NOT(ISERROR(SEARCH("Газель базы",E2)))</formula>
    </cfRule>
    <cfRule type="containsText" dxfId="147" priority="15" operator="containsText" text="Погрузчик базы">
      <formula>NOT(ISERROR(SEARCH("Погрузчик базы",E2)))</formula>
    </cfRule>
  </conditionalFormatting>
  <conditionalFormatting sqref="E2:E322">
    <cfRule type="containsText" dxfId="146" priority="13" operator="containsText" text="Трактор базы">
      <formula>NOT(ISERROR(SEARCH("Трактор базы",E2)))</formula>
    </cfRule>
  </conditionalFormatting>
  <conditionalFormatting sqref="A2:C308">
    <cfRule type="expression" dxfId="145" priority="12">
      <formula>$A2="пн"</formula>
    </cfRule>
  </conditionalFormatting>
  <conditionalFormatting sqref="A2:C310">
    <cfRule type="expression" dxfId="144" priority="6">
      <formula>$A2="вс"</formula>
    </cfRule>
    <cfRule type="expression" dxfId="143" priority="7">
      <formula>$A2="сб"</formula>
    </cfRule>
    <cfRule type="expression" dxfId="142" priority="8">
      <formula>$A2="пт"</formula>
    </cfRule>
    <cfRule type="expression" dxfId="141" priority="9">
      <formula>$A2="чт"</formula>
    </cfRule>
    <cfRule type="expression" dxfId="140" priority="10">
      <formula>$A2="ср"</formula>
    </cfRule>
    <cfRule type="expression" dxfId="139" priority="11">
      <formula>$A2="вт"</formula>
    </cfRule>
  </conditionalFormatting>
  <conditionalFormatting sqref="D2:D319">
    <cfRule type="containsText" dxfId="13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9">
    <cfRule type="containsText" dxfId="137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28"/>
  <sheetViews>
    <sheetView zoomScale="90" zoomScaleNormal="90" workbookViewId="0">
      <pane ySplit="1" topLeftCell="A115" activePane="bottomLeft" state="frozen"/>
      <selection pane="bottomLeft" activeCell="I127" sqref="I127:I12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7694</v>
      </c>
      <c r="J82" s="8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7697</v>
      </c>
      <c r="J83" s="8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8" t="s">
        <v>290</v>
      </c>
      <c r="E84" s="8" t="s">
        <v>86</v>
      </c>
      <c r="F84" s="8" t="s">
        <v>60</v>
      </c>
      <c r="H84" s="8" t="s">
        <v>5104</v>
      </c>
      <c r="I84" s="8" t="s">
        <v>7855</v>
      </c>
      <c r="J84" s="8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8" t="s">
        <v>290</v>
      </c>
      <c r="E85" s="8" t="s">
        <v>86</v>
      </c>
      <c r="F85" s="8" t="s">
        <v>60</v>
      </c>
      <c r="H85" s="8" t="s">
        <v>2936</v>
      </c>
      <c r="I85" s="8" t="s">
        <v>7858</v>
      </c>
      <c r="J85" s="8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8" t="s">
        <v>290</v>
      </c>
      <c r="E86" s="8" t="s">
        <v>86</v>
      </c>
      <c r="F86" s="8" t="s">
        <v>60</v>
      </c>
      <c r="H86" s="8" t="s">
        <v>2936</v>
      </c>
      <c r="I86" s="8" t="s">
        <v>7861</v>
      </c>
      <c r="J86" s="8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8" t="s">
        <v>2004</v>
      </c>
      <c r="E87" s="8" t="s">
        <v>8</v>
      </c>
      <c r="F87" s="8"/>
      <c r="H87" s="8"/>
      <c r="I87" s="8" t="s">
        <v>8016</v>
      </c>
      <c r="J87" s="8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8" t="s">
        <v>2004</v>
      </c>
      <c r="E88" s="8" t="s">
        <v>8</v>
      </c>
      <c r="F88" s="8"/>
      <c r="H88" s="8"/>
      <c r="I88" s="8" t="s">
        <v>8019</v>
      </c>
      <c r="J88" s="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8" t="s">
        <v>2004</v>
      </c>
      <c r="E89" s="8" t="s">
        <v>8</v>
      </c>
      <c r="F89" s="8"/>
      <c r="H89" s="8"/>
      <c r="I89" s="8" t="s">
        <v>8303</v>
      </c>
      <c r="J89" s="8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8" t="s">
        <v>2004</v>
      </c>
      <c r="E90" s="8" t="s">
        <v>8</v>
      </c>
      <c r="F90" s="8"/>
      <c r="H90" s="8"/>
      <c r="I90" s="8" t="s">
        <v>8306</v>
      </c>
      <c r="J90" s="8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8" t="s">
        <v>2004</v>
      </c>
      <c r="E91" s="8" t="s">
        <v>8</v>
      </c>
      <c r="F91" s="8"/>
      <c r="H91" s="8"/>
      <c r="I91" s="8" t="s">
        <v>8309</v>
      </c>
      <c r="J91" s="8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8" t="s">
        <v>2004</v>
      </c>
      <c r="E92" s="8" t="s">
        <v>8</v>
      </c>
      <c r="F92" s="8"/>
      <c r="H92" s="8"/>
      <c r="I92" s="8" t="s">
        <v>8312</v>
      </c>
      <c r="J92" s="8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8" t="s">
        <v>2004</v>
      </c>
      <c r="E93" s="8" t="s">
        <v>8</v>
      </c>
      <c r="F93" s="8"/>
      <c r="H93" s="8"/>
      <c r="I93" s="8" t="s">
        <v>8393</v>
      </c>
      <c r="J93" s="8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8" t="s">
        <v>2004</v>
      </c>
      <c r="E94" s="8" t="s">
        <v>8</v>
      </c>
      <c r="F94" s="8"/>
      <c r="H94" s="8"/>
      <c r="I94" s="8" t="s">
        <v>8396</v>
      </c>
      <c r="J94" s="8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8" t="s">
        <v>2004</v>
      </c>
      <c r="E95" s="8" t="s">
        <v>8</v>
      </c>
      <c r="F95" s="8"/>
      <c r="H95" s="8"/>
      <c r="I95" s="8" t="s">
        <v>8399</v>
      </c>
      <c r="J95" s="8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8" t="s">
        <v>2004</v>
      </c>
      <c r="E96" s="8" t="s">
        <v>8</v>
      </c>
      <c r="F96" s="8"/>
      <c r="H96" s="8"/>
      <c r="I96" s="8" t="s">
        <v>8577</v>
      </c>
      <c r="J96" s="8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8" t="s">
        <v>2004</v>
      </c>
      <c r="E97" s="8" t="s">
        <v>8</v>
      </c>
      <c r="F97" s="8"/>
      <c r="H97" s="8"/>
      <c r="I97" s="8" t="s">
        <v>8580</v>
      </c>
      <c r="J97" s="8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8" t="s">
        <v>2004</v>
      </c>
      <c r="E98" s="8" t="s">
        <v>8</v>
      </c>
      <c r="F98" s="8"/>
      <c r="H98" s="8"/>
      <c r="I98" s="8" t="s">
        <v>8583</v>
      </c>
      <c r="J98" s="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8" t="s">
        <v>2004</v>
      </c>
      <c r="E99" s="8" t="s">
        <v>8</v>
      </c>
      <c r="F99" s="8"/>
      <c r="H99" s="8"/>
      <c r="I99" s="8" t="s">
        <v>8586</v>
      </c>
      <c r="J99" s="8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8" t="s">
        <v>2004</v>
      </c>
      <c r="E100" s="8" t="s">
        <v>8</v>
      </c>
      <c r="F100" s="8"/>
      <c r="H100" s="8"/>
      <c r="I100" s="8" t="s">
        <v>8589</v>
      </c>
      <c r="J100" s="8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8" t="s">
        <v>2004</v>
      </c>
      <c r="E101" s="8" t="s">
        <v>8</v>
      </c>
      <c r="F101" s="8"/>
      <c r="H101" s="8"/>
      <c r="I101" s="8" t="s">
        <v>8592</v>
      </c>
      <c r="J101" s="8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8" t="s">
        <v>2004</v>
      </c>
      <c r="E102" s="8" t="s">
        <v>8</v>
      </c>
      <c r="F102" s="8"/>
      <c r="H102" s="8"/>
      <c r="I102" s="8" t="s">
        <v>8595</v>
      </c>
      <c r="J102" s="8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8" t="s">
        <v>9191</v>
      </c>
      <c r="E103" s="8" t="s">
        <v>5480</v>
      </c>
      <c r="F103" s="8" t="s">
        <v>9190</v>
      </c>
      <c r="H103" s="8"/>
      <c r="I103" s="8" t="s">
        <v>8994</v>
      </c>
      <c r="J103" s="8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8" t="s">
        <v>2004</v>
      </c>
      <c r="E104" s="8" t="s">
        <v>8</v>
      </c>
      <c r="F104" s="8"/>
      <c r="H104" s="8"/>
      <c r="I104" s="8" t="s">
        <v>8997</v>
      </c>
      <c r="J104" s="8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8" t="s">
        <v>2004</v>
      </c>
      <c r="E105" s="8" t="s">
        <v>8</v>
      </c>
      <c r="F105" s="8"/>
      <c r="H105" s="8"/>
      <c r="I105" s="8" t="s">
        <v>9267</v>
      </c>
      <c r="J105" s="8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8" t="s">
        <v>2004</v>
      </c>
      <c r="E106" s="8" t="s">
        <v>8</v>
      </c>
      <c r="F106" s="8"/>
      <c r="H106" s="8"/>
      <c r="I106" s="8" t="s">
        <v>9387</v>
      </c>
      <c r="J106" s="8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8" t="s">
        <v>9399</v>
      </c>
      <c r="E107" s="8" t="s">
        <v>60</v>
      </c>
      <c r="F107" s="8"/>
      <c r="H107" s="8"/>
      <c r="I107" s="8" t="s">
        <v>9390</v>
      </c>
      <c r="J107" s="8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8" t="s">
        <v>1094</v>
      </c>
      <c r="E108" s="8" t="s">
        <v>4247</v>
      </c>
      <c r="F108" s="8" t="s">
        <v>60</v>
      </c>
      <c r="H108" s="8"/>
      <c r="I108" s="8" t="s">
        <v>9393</v>
      </c>
      <c r="J108" s="8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8" t="s">
        <v>4</v>
      </c>
      <c r="E109" s="8" t="s">
        <v>8</v>
      </c>
      <c r="F109" s="8"/>
      <c r="H109" s="8"/>
      <c r="I109" s="8" t="s">
        <v>9396</v>
      </c>
      <c r="J109" s="8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8" t="s">
        <v>2004</v>
      </c>
      <c r="E110" s="8" t="s">
        <v>8</v>
      </c>
      <c r="F110" s="8"/>
      <c r="H110" s="8"/>
      <c r="I110" s="8" t="s">
        <v>9612</v>
      </c>
      <c r="J110" s="8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8" t="s">
        <v>2004</v>
      </c>
      <c r="E111" s="8" t="s">
        <v>8</v>
      </c>
      <c r="F111" s="8"/>
      <c r="H111" s="8"/>
      <c r="I111" s="8" t="s">
        <v>9615</v>
      </c>
      <c r="J111" s="8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8" t="s">
        <v>2004</v>
      </c>
      <c r="E112" s="8" t="s">
        <v>8</v>
      </c>
      <c r="F112" s="8"/>
      <c r="H112" s="8"/>
      <c r="I112" s="8" t="s">
        <v>9735</v>
      </c>
      <c r="J112" s="8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8" t="s">
        <v>2004</v>
      </c>
      <c r="E113" s="8" t="s">
        <v>8</v>
      </c>
      <c r="F113" s="8"/>
      <c r="H113" s="8"/>
      <c r="I113" s="8" t="s">
        <v>9738</v>
      </c>
      <c r="J113" s="8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s="8" t="s">
        <v>2004</v>
      </c>
      <c r="E114" s="8" t="s">
        <v>8</v>
      </c>
      <c r="F114" s="8"/>
      <c r="H114" s="8"/>
      <c r="I114" s="8" t="s">
        <v>9969</v>
      </c>
      <c r="J114" s="8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s="8" t="s">
        <v>4</v>
      </c>
      <c r="E115" s="8" t="s">
        <v>8</v>
      </c>
      <c r="F115" s="8"/>
      <c r="H115" s="8"/>
      <c r="I115" s="8" t="s">
        <v>9972</v>
      </c>
      <c r="J115" s="8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s="8" t="s">
        <v>4</v>
      </c>
      <c r="E116" s="8" t="s">
        <v>8</v>
      </c>
      <c r="F116" s="8"/>
      <c r="H116" s="8" t="s">
        <v>2936</v>
      </c>
      <c r="I116" s="8" t="s">
        <v>9975</v>
      </c>
      <c r="J116" s="8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s="8" t="s">
        <v>2004</v>
      </c>
      <c r="E117" s="8" t="s">
        <v>8</v>
      </c>
      <c r="F117" s="8"/>
      <c r="H117" s="8"/>
      <c r="I117" s="8" t="s">
        <v>10350</v>
      </c>
      <c r="J117" s="8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s="8" t="s">
        <v>2004</v>
      </c>
      <c r="E118" s="8" t="s">
        <v>8</v>
      </c>
      <c r="F118" s="8"/>
      <c r="H118" s="8"/>
      <c r="I118" s="8" t="s">
        <v>10506</v>
      </c>
      <c r="J118" s="8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s="8" t="s">
        <v>2004</v>
      </c>
      <c r="E119" s="8" t="s">
        <v>8</v>
      </c>
      <c r="F119" s="8"/>
      <c r="H119" s="8"/>
      <c r="I119" s="8" t="s">
        <v>10509</v>
      </c>
      <c r="J119" s="8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s="8" t="s">
        <v>2004</v>
      </c>
      <c r="E120" s="8" t="s">
        <v>8</v>
      </c>
      <c r="F120" s="8"/>
      <c r="H120" s="8"/>
      <c r="I120" s="8" t="s">
        <v>10552</v>
      </c>
      <c r="J120" s="8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s="8" t="s">
        <v>2004</v>
      </c>
      <c r="E121" s="8" t="s">
        <v>8</v>
      </c>
      <c r="F121" s="8"/>
      <c r="H121" s="8"/>
      <c r="I121" s="8" t="s">
        <v>10555</v>
      </c>
      <c r="J121" s="8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  <row r="122" spans="1:13" x14ac:dyDescent="0.25">
      <c r="A122" s="2" t="s">
        <v>15</v>
      </c>
      <c r="B122" s="4">
        <v>46050</v>
      </c>
      <c r="C122" s="5">
        <v>0.68431712962962965</v>
      </c>
      <c r="D122" s="8" t="s">
        <v>2004</v>
      </c>
      <c r="E122" s="8" t="s">
        <v>8</v>
      </c>
      <c r="F122" s="8"/>
      <c r="H122" s="8"/>
      <c r="I122" s="8" t="s">
        <v>10782</v>
      </c>
      <c r="J122" s="8" t="s">
        <v>2983</v>
      </c>
      <c r="K122" t="s">
        <v>10783</v>
      </c>
      <c r="L122" t="s">
        <v>10784</v>
      </c>
      <c r="M122" s="3" t="str">
        <f>HYPERLINK(склад2въезд131920[[#This Row],[RelativePath]])</f>
        <v>6 Площадка 1 общага\826398429_1_20260128T162525Z.jpg</v>
      </c>
    </row>
    <row r="123" spans="1:13" x14ac:dyDescent="0.25">
      <c r="A123" s="2" t="s">
        <v>16</v>
      </c>
      <c r="B123" s="4">
        <v>46051</v>
      </c>
      <c r="C123" s="5">
        <v>0.68480324074074073</v>
      </c>
      <c r="D123" s="8" t="s">
        <v>2004</v>
      </c>
      <c r="E123" s="8" t="s">
        <v>8</v>
      </c>
      <c r="F123" s="8"/>
      <c r="H123" s="8"/>
      <c r="I123" s="8" t="s">
        <v>10785</v>
      </c>
      <c r="J123" s="8" t="s">
        <v>2983</v>
      </c>
      <c r="K123" t="s">
        <v>10786</v>
      </c>
      <c r="L123" t="s">
        <v>10787</v>
      </c>
      <c r="M123" s="3" t="str">
        <f>HYPERLINK(склад2въезд131920[[#This Row],[RelativePath]])</f>
        <v>6 Площадка 1 общага\826398429_1_20260129T162607Z.jpg</v>
      </c>
    </row>
    <row r="124" spans="1:13" x14ac:dyDescent="0.25">
      <c r="A124" s="2" t="s">
        <v>17</v>
      </c>
      <c r="B124" s="4">
        <v>46052</v>
      </c>
      <c r="C124" s="5">
        <v>0.54097222222222219</v>
      </c>
      <c r="D124" s="8" t="s">
        <v>2004</v>
      </c>
      <c r="E124" s="8" t="s">
        <v>8</v>
      </c>
      <c r="F124" s="8"/>
      <c r="H124" s="8"/>
      <c r="I124" s="8" t="s">
        <v>10920</v>
      </c>
      <c r="J124" s="8" t="s">
        <v>2983</v>
      </c>
      <c r="K124" t="s">
        <v>10921</v>
      </c>
      <c r="L124" t="s">
        <v>10922</v>
      </c>
      <c r="M124" s="3" t="str">
        <f>HYPERLINK(склад2въезд131920[[#This Row],[RelativePath]])</f>
        <v>6 Площадка 1 общага\826398429_1_20260130T125900Z.jpg</v>
      </c>
    </row>
    <row r="125" spans="1:13" x14ac:dyDescent="0.25">
      <c r="A125" s="2" t="s">
        <v>18</v>
      </c>
      <c r="B125" s="4">
        <v>46053</v>
      </c>
      <c r="C125" s="5">
        <v>0.46357638888888891</v>
      </c>
      <c r="D125" s="8" t="s">
        <v>4</v>
      </c>
      <c r="E125" s="8" t="s">
        <v>8045</v>
      </c>
      <c r="F125" s="8"/>
      <c r="H125" s="8"/>
      <c r="I125" s="8" t="s">
        <v>11034</v>
      </c>
      <c r="J125" s="8" t="s">
        <v>2983</v>
      </c>
      <c r="K125" t="s">
        <v>11035</v>
      </c>
      <c r="L125" t="s">
        <v>11036</v>
      </c>
      <c r="M125" s="3" t="str">
        <f>HYPERLINK(склад2въезд131920[[#This Row],[RelativePath]])</f>
        <v>6 Площадка 1 общага\826398429_1_20260131T110733Z.jpg</v>
      </c>
    </row>
    <row r="126" spans="1:13" x14ac:dyDescent="0.25">
      <c r="A126" s="2" t="s">
        <v>22</v>
      </c>
      <c r="B126" s="4">
        <v>46054</v>
      </c>
      <c r="C126" s="5">
        <v>0.69827546296296295</v>
      </c>
      <c r="D126" s="8" t="s">
        <v>2004</v>
      </c>
      <c r="E126" s="8" t="s">
        <v>8</v>
      </c>
      <c r="F126" s="8"/>
      <c r="H126" s="8"/>
      <c r="I126" s="8" t="s">
        <v>11037</v>
      </c>
      <c r="J126" s="8" t="s">
        <v>2983</v>
      </c>
      <c r="K126" t="s">
        <v>11038</v>
      </c>
      <c r="L126" t="s">
        <v>11039</v>
      </c>
      <c r="M126" s="3" t="str">
        <f>HYPERLINK(склад2въезд131920[[#This Row],[RelativePath]])</f>
        <v>6 Площадка 1 общага\826398429_1_20260201T164531Z.jpg</v>
      </c>
    </row>
    <row r="127" spans="1:13" x14ac:dyDescent="0.25">
      <c r="A127" s="2" t="s">
        <v>13</v>
      </c>
      <c r="B127" s="4">
        <v>46055</v>
      </c>
      <c r="C127" s="5">
        <v>0.50019675925925922</v>
      </c>
      <c r="D127" s="8" t="s">
        <v>2004</v>
      </c>
      <c r="E127" s="8" t="s">
        <v>8</v>
      </c>
      <c r="F127" s="8"/>
      <c r="H127" s="8"/>
      <c r="I127" s="8" t="s">
        <v>11181</v>
      </c>
      <c r="J127" s="8" t="s">
        <v>2983</v>
      </c>
      <c r="K127" t="s">
        <v>11182</v>
      </c>
      <c r="L127" t="s">
        <v>11183</v>
      </c>
      <c r="M127" s="3" t="str">
        <f>HYPERLINK(склад2въезд131920[[#This Row],[RelativePath]])</f>
        <v>6 Площадка 1 общага\826398429_1_20260202T120017Z.jpg</v>
      </c>
    </row>
    <row r="128" spans="1:13" x14ac:dyDescent="0.25">
      <c r="A128" s="2" t="s">
        <v>14</v>
      </c>
      <c r="B128" s="4">
        <v>46056</v>
      </c>
      <c r="C128" s="5">
        <v>0.71646990740740746</v>
      </c>
      <c r="D128" s="8" t="s">
        <v>4</v>
      </c>
      <c r="E128" s="8" t="s">
        <v>8045</v>
      </c>
      <c r="F128" s="8"/>
      <c r="H128" s="8"/>
      <c r="I128" s="8" t="s">
        <v>11184</v>
      </c>
      <c r="J128" s="8" t="s">
        <v>2983</v>
      </c>
      <c r="K128" t="s">
        <v>11185</v>
      </c>
      <c r="L128" t="s">
        <v>11186</v>
      </c>
      <c r="M128" s="3" t="str">
        <f>HYPERLINK(склад2въезд131920[[#This Row],[RelativePath]])</f>
        <v>6 Площадка 1 общага\826398429_1_20260203T171143Z.jpg</v>
      </c>
    </row>
  </sheetData>
  <conditionalFormatting sqref="D129:D139 E129:E142 G2:H128 D2:E128">
    <cfRule type="containsText" dxfId="136" priority="14" operator="containsText" text="Выезд с территории">
      <formula>NOT(ISERROR(SEARCH("Выезд с территории",D2)))</formula>
    </cfRule>
  </conditionalFormatting>
  <conditionalFormatting sqref="F2:F128">
    <cfRule type="notContainsText" dxfId="135" priority="13" operator="notContains" text="порожний">
      <formula>ISERROR(SEARCH("порожний",F2))</formula>
    </cfRule>
  </conditionalFormatting>
  <conditionalFormatting sqref="E2:E142">
    <cfRule type="containsText" dxfId="134" priority="11" operator="containsText" text="Газель базы">
      <formula>NOT(ISERROR(SEARCH("Газель базы",E2)))</formula>
    </cfRule>
    <cfRule type="containsText" dxfId="133" priority="12" operator="containsText" text="Погрузчик базы">
      <formula>NOT(ISERROR(SEARCH("Погрузчик базы",E2)))</formula>
    </cfRule>
  </conditionalFormatting>
  <conditionalFormatting sqref="E2:E142">
    <cfRule type="containsText" dxfId="132" priority="10" operator="containsText" text="Трактор базы">
      <formula>NOT(ISERROR(SEARCH("Трактор базы",E2)))</formula>
    </cfRule>
  </conditionalFormatting>
  <conditionalFormatting sqref="A2:C128">
    <cfRule type="expression" dxfId="131" priority="9">
      <formula>$A2="пн"</formula>
    </cfRule>
  </conditionalFormatting>
  <conditionalFormatting sqref="A2:C130">
    <cfRule type="expression" dxfId="130" priority="3">
      <formula>$A2="вс"</formula>
    </cfRule>
    <cfRule type="expression" dxfId="129" priority="4">
      <formula>$A2="сб"</formula>
    </cfRule>
    <cfRule type="expression" dxfId="128" priority="5">
      <formula>$A2="пт"</formula>
    </cfRule>
    <cfRule type="expression" dxfId="127" priority="6">
      <formula>$A2="чт"</formula>
    </cfRule>
    <cfRule type="expression" dxfId="126" priority="7">
      <formula>$A2="ср"</formula>
    </cfRule>
    <cfRule type="expression" dxfId="125" priority="8">
      <formula>$A2="вт"</formula>
    </cfRule>
  </conditionalFormatting>
  <conditionalFormatting sqref="D2:D139">
    <cfRule type="containsText" dxfId="1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9">
    <cfRule type="containsText" dxfId="1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62"/>
  <sheetViews>
    <sheetView zoomScale="90" zoomScaleNormal="90" workbookViewId="0">
      <pane ySplit="1" topLeftCell="A248" activePane="bottomLeft" state="frozen"/>
      <selection pane="bottomLeft" activeCell="I261" sqref="I261:I26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7700</v>
      </c>
      <c r="J207" s="8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7703</v>
      </c>
      <c r="J208" s="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8" t="s">
        <v>2004</v>
      </c>
      <c r="E209" s="8" t="s">
        <v>8</v>
      </c>
      <c r="F209" s="8"/>
      <c r="H209" s="8"/>
      <c r="I209" s="8" t="s">
        <v>7867</v>
      </c>
      <c r="J209" s="8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8" t="s">
        <v>2004</v>
      </c>
      <c r="E210" s="8" t="s">
        <v>8</v>
      </c>
      <c r="F210" s="8"/>
      <c r="H210" s="8"/>
      <c r="I210" s="8" t="s">
        <v>8046</v>
      </c>
      <c r="J210" s="8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8" t="s">
        <v>2004</v>
      </c>
      <c r="E211" s="8" t="s">
        <v>8</v>
      </c>
      <c r="F211" s="8"/>
      <c r="H211" s="8"/>
      <c r="I211" s="8" t="s">
        <v>8049</v>
      </c>
      <c r="J211" s="8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8" t="s">
        <v>2004</v>
      </c>
      <c r="E212" s="8" t="s">
        <v>8</v>
      </c>
      <c r="F212" s="8"/>
      <c r="H212" s="8"/>
      <c r="I212" s="8" t="s">
        <v>8336</v>
      </c>
      <c r="J212" s="8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8" t="s">
        <v>2004</v>
      </c>
      <c r="E213" s="8" t="s">
        <v>8</v>
      </c>
      <c r="F213" s="8"/>
      <c r="H213" s="8"/>
      <c r="I213" s="8" t="s">
        <v>8339</v>
      </c>
      <c r="J213" s="8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8" t="s">
        <v>2004</v>
      </c>
      <c r="E214" s="8" t="s">
        <v>8</v>
      </c>
      <c r="F214" s="8"/>
      <c r="H214" s="8"/>
      <c r="I214" s="8" t="s">
        <v>8342</v>
      </c>
      <c r="J214" s="8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8" t="s">
        <v>2004</v>
      </c>
      <c r="E215" s="8" t="s">
        <v>8</v>
      </c>
      <c r="F215" s="8"/>
      <c r="H215" s="8"/>
      <c r="I215" s="8" t="s">
        <v>8346</v>
      </c>
      <c r="J215" s="8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8" t="s">
        <v>2004</v>
      </c>
      <c r="E216" s="8" t="s">
        <v>8</v>
      </c>
      <c r="F216" s="8"/>
      <c r="H216" s="8"/>
      <c r="I216" s="8" t="s">
        <v>8348</v>
      </c>
      <c r="J216" s="8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8" t="s">
        <v>2004</v>
      </c>
      <c r="E217" s="8" t="s">
        <v>8</v>
      </c>
      <c r="F217" s="8"/>
      <c r="H217" s="8"/>
      <c r="I217" s="8" t="s">
        <v>8474</v>
      </c>
      <c r="J217" s="8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8" t="s">
        <v>2004</v>
      </c>
      <c r="E218" s="8" t="s">
        <v>8</v>
      </c>
      <c r="F218" s="8"/>
      <c r="H218" s="8"/>
      <c r="I218" s="8" t="s">
        <v>8477</v>
      </c>
      <c r="J218" s="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8" t="s">
        <v>2004</v>
      </c>
      <c r="E219" s="8" t="s">
        <v>8</v>
      </c>
      <c r="F219" s="8"/>
      <c r="H219" s="8"/>
      <c r="I219" s="8" t="s">
        <v>8480</v>
      </c>
      <c r="J219" s="8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8" t="s">
        <v>2004</v>
      </c>
      <c r="E220" s="8" t="s">
        <v>8</v>
      </c>
      <c r="F220" s="8"/>
      <c r="H220" s="8"/>
      <c r="I220" s="8" t="s">
        <v>8679</v>
      </c>
      <c r="J220" s="8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8" t="s">
        <v>2004</v>
      </c>
      <c r="E221" s="8" t="s">
        <v>8</v>
      </c>
      <c r="F221" s="8"/>
      <c r="H221" s="8"/>
      <c r="I221" s="8" t="s">
        <v>8806</v>
      </c>
      <c r="J221" s="8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8" t="s">
        <v>2004</v>
      </c>
      <c r="E222" s="8" t="s">
        <v>8</v>
      </c>
      <c r="F222" s="8"/>
      <c r="H222" s="8"/>
      <c r="I222" s="8" t="s">
        <v>8809</v>
      </c>
      <c r="J222" s="8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8" t="s">
        <v>2004</v>
      </c>
      <c r="E223" s="8" t="s">
        <v>8</v>
      </c>
      <c r="F223" s="8"/>
      <c r="H223" s="8"/>
      <c r="I223" s="8" t="s">
        <v>8812</v>
      </c>
      <c r="J223" s="8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8" t="s">
        <v>2004</v>
      </c>
      <c r="E224" s="8" t="s">
        <v>8</v>
      </c>
      <c r="F224" s="8"/>
      <c r="H224" s="8"/>
      <c r="I224" s="8" t="s">
        <v>8815</v>
      </c>
      <c r="J224" s="8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8" t="s">
        <v>2004</v>
      </c>
      <c r="E225" s="8" t="s">
        <v>8</v>
      </c>
      <c r="F225" s="8"/>
      <c r="H225" s="8"/>
      <c r="I225" s="8" t="s">
        <v>8818</v>
      </c>
      <c r="J225" s="8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8" t="s">
        <v>2004</v>
      </c>
      <c r="E226" s="8" t="s">
        <v>8</v>
      </c>
      <c r="F226" s="8"/>
      <c r="H226" s="8"/>
      <c r="I226" s="8" t="s">
        <v>8821</v>
      </c>
      <c r="J226" s="8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8" t="s">
        <v>2004</v>
      </c>
      <c r="E227" s="8" t="s">
        <v>8</v>
      </c>
      <c r="F227" s="8"/>
      <c r="H227" s="8"/>
      <c r="I227" s="8" t="s">
        <v>9192</v>
      </c>
      <c r="J227" s="8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8" t="s">
        <v>2004</v>
      </c>
      <c r="E228" s="8" t="s">
        <v>8</v>
      </c>
      <c r="F228" s="8"/>
      <c r="H228" s="8"/>
      <c r="I228" s="8" t="s">
        <v>9195</v>
      </c>
      <c r="J228" s="8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8" t="s">
        <v>2004</v>
      </c>
      <c r="E229" s="8" t="s">
        <v>8</v>
      </c>
      <c r="F229" s="8"/>
      <c r="H229" s="8"/>
      <c r="I229" s="8" t="s">
        <v>9400</v>
      </c>
      <c r="J229" s="8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8" t="s">
        <v>2004</v>
      </c>
      <c r="E230" s="8" t="s">
        <v>8</v>
      </c>
      <c r="F230" s="8"/>
      <c r="H230" s="8"/>
      <c r="I230" s="8" t="s">
        <v>9403</v>
      </c>
      <c r="J230" s="8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8" t="s">
        <v>2004</v>
      </c>
      <c r="E231" s="8" t="s">
        <v>8</v>
      </c>
      <c r="F231" s="8"/>
      <c r="H231" s="8"/>
      <c r="I231" s="8" t="s">
        <v>9406</v>
      </c>
      <c r="J231" s="8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8" t="s">
        <v>2004</v>
      </c>
      <c r="E232" s="8" t="s">
        <v>8</v>
      </c>
      <c r="F232" s="8"/>
      <c r="H232" s="8"/>
      <c r="I232" s="8" t="s">
        <v>9686</v>
      </c>
      <c r="J232" s="8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8" t="s">
        <v>2004</v>
      </c>
      <c r="E233" s="8" t="s">
        <v>8</v>
      </c>
      <c r="F233" s="8"/>
      <c r="H233" s="8"/>
      <c r="I233" s="8" t="s">
        <v>9688</v>
      </c>
      <c r="J233" s="8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8" t="s">
        <v>4</v>
      </c>
      <c r="E234" s="8" t="s">
        <v>9913</v>
      </c>
      <c r="F234" s="8"/>
      <c r="H234" s="8"/>
      <c r="I234" s="8" t="s">
        <v>9877</v>
      </c>
      <c r="J234" s="8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8" t="s">
        <v>4</v>
      </c>
      <c r="E235" s="8" t="s">
        <v>9913</v>
      </c>
      <c r="F235" s="8"/>
      <c r="H235" s="8" t="s">
        <v>2936</v>
      </c>
      <c r="I235" s="8" t="s">
        <v>9880</v>
      </c>
      <c r="J235" s="8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8" t="s">
        <v>4</v>
      </c>
      <c r="E236" s="8" t="s">
        <v>9913</v>
      </c>
      <c r="F236" s="8"/>
      <c r="H236" s="8" t="s">
        <v>2936</v>
      </c>
      <c r="I236" s="8" t="s">
        <v>9883</v>
      </c>
      <c r="J236" s="8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8" t="s">
        <v>4</v>
      </c>
      <c r="E237" s="8" t="s">
        <v>9913</v>
      </c>
      <c r="F237" s="8"/>
      <c r="H237" s="8" t="s">
        <v>2936</v>
      </c>
      <c r="I237" s="8" t="s">
        <v>9886</v>
      </c>
      <c r="J237" s="8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8" t="s">
        <v>4</v>
      </c>
      <c r="E238" s="8" t="s">
        <v>9913</v>
      </c>
      <c r="F238" s="8"/>
      <c r="H238" s="8" t="s">
        <v>2936</v>
      </c>
      <c r="I238" s="8" t="s">
        <v>9889</v>
      </c>
      <c r="J238" s="8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8" t="s">
        <v>4</v>
      </c>
      <c r="E239" s="8" t="s">
        <v>9913</v>
      </c>
      <c r="F239" s="8"/>
      <c r="H239" s="8" t="s">
        <v>2936</v>
      </c>
      <c r="I239" s="8" t="s">
        <v>9892</v>
      </c>
      <c r="J239" s="8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8" t="s">
        <v>4</v>
      </c>
      <c r="E240" s="8" t="s">
        <v>9913</v>
      </c>
      <c r="F240" s="8"/>
      <c r="H240" s="8" t="s">
        <v>2936</v>
      </c>
      <c r="I240" s="8" t="s">
        <v>9895</v>
      </c>
      <c r="J240" s="8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8" t="s">
        <v>4</v>
      </c>
      <c r="E241" s="8" t="s">
        <v>9913</v>
      </c>
      <c r="F241" s="8"/>
      <c r="H241" s="8" t="s">
        <v>2936</v>
      </c>
      <c r="I241" s="8" t="s">
        <v>9898</v>
      </c>
      <c r="J241" s="8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8" t="s">
        <v>4</v>
      </c>
      <c r="E242" s="8" t="s">
        <v>9913</v>
      </c>
      <c r="F242" s="8"/>
      <c r="H242" s="8" t="s">
        <v>2936</v>
      </c>
      <c r="I242" s="8" t="s">
        <v>9901</v>
      </c>
      <c r="J242" s="8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8" t="s">
        <v>4</v>
      </c>
      <c r="E243" s="8" t="s">
        <v>9913</v>
      </c>
      <c r="F243" s="8"/>
      <c r="H243" s="8" t="s">
        <v>2936</v>
      </c>
      <c r="I243" s="8" t="s">
        <v>9904</v>
      </c>
      <c r="J243" s="8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8" t="s">
        <v>4</v>
      </c>
      <c r="E244" s="8" t="s">
        <v>9913</v>
      </c>
      <c r="F244" s="8"/>
      <c r="H244" s="8" t="s">
        <v>2936</v>
      </c>
      <c r="I244" s="8" t="s">
        <v>9907</v>
      </c>
      <c r="J244" s="8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8" t="s">
        <v>4</v>
      </c>
      <c r="E245" s="8" t="s">
        <v>9913</v>
      </c>
      <c r="F245" s="8"/>
      <c r="H245" s="8" t="s">
        <v>2936</v>
      </c>
      <c r="I245" s="8" t="s">
        <v>9910</v>
      </c>
      <c r="J245" s="8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s="8" t="s">
        <v>4</v>
      </c>
      <c r="E246" s="8" t="s">
        <v>9913</v>
      </c>
      <c r="F246" s="8"/>
      <c r="H246" s="8" t="s">
        <v>2936</v>
      </c>
      <c r="I246" s="8" t="s">
        <v>10125</v>
      </c>
      <c r="J246" s="8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s="8" t="s">
        <v>4</v>
      </c>
      <c r="E247" s="8" t="s">
        <v>9913</v>
      </c>
      <c r="F247" s="8"/>
      <c r="H247" s="8" t="s">
        <v>2936</v>
      </c>
      <c r="I247" s="8" t="s">
        <v>10128</v>
      </c>
      <c r="J247" s="8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s="8" t="s">
        <v>4</v>
      </c>
      <c r="E248" s="8" t="s">
        <v>9913</v>
      </c>
      <c r="F248" s="8"/>
      <c r="H248" s="8" t="s">
        <v>2936</v>
      </c>
      <c r="I248" s="8" t="s">
        <v>10131</v>
      </c>
      <c r="J248" s="8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s="8" t="s">
        <v>4</v>
      </c>
      <c r="E249" s="8" t="s">
        <v>9913</v>
      </c>
      <c r="F249" s="8"/>
      <c r="H249" s="8" t="s">
        <v>2936</v>
      </c>
      <c r="I249" s="8" t="s">
        <v>10134</v>
      </c>
      <c r="J249" s="8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s="8" t="s">
        <v>2004</v>
      </c>
      <c r="E250" s="8" t="s">
        <v>8</v>
      </c>
      <c r="F250" s="8"/>
      <c r="H250" s="8"/>
      <c r="I250" s="8" t="s">
        <v>10137</v>
      </c>
      <c r="J250" s="8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s="8" t="s">
        <v>4</v>
      </c>
      <c r="E251" s="8" t="s">
        <v>10392</v>
      </c>
      <c r="F251" s="8"/>
      <c r="H251" s="8"/>
      <c r="I251" s="8" t="s">
        <v>10389</v>
      </c>
      <c r="J251" s="8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s="8" t="s">
        <v>2004</v>
      </c>
      <c r="E252" s="8" t="s">
        <v>8</v>
      </c>
      <c r="F252" s="8"/>
      <c r="H252" s="8"/>
      <c r="I252" s="8" t="s">
        <v>10512</v>
      </c>
      <c r="J252" s="8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s="8" t="s">
        <v>2004</v>
      </c>
      <c r="E253" s="8" t="s">
        <v>8</v>
      </c>
      <c r="F253" s="8"/>
      <c r="H253" s="8"/>
      <c r="I253" s="8" t="s">
        <v>10515</v>
      </c>
      <c r="J253" s="8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s="8" t="s">
        <v>2004</v>
      </c>
      <c r="E254" s="8" t="s">
        <v>8</v>
      </c>
      <c r="F254" s="8"/>
      <c r="H254" s="8"/>
      <c r="I254" s="8" t="s">
        <v>10631</v>
      </c>
      <c r="J254" s="8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s="8" t="s">
        <v>2004</v>
      </c>
      <c r="E255" s="8" t="s">
        <v>8</v>
      </c>
      <c r="F255" s="8"/>
      <c r="H255" s="8"/>
      <c r="I255" s="8" t="s">
        <v>10634</v>
      </c>
      <c r="J255" s="8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2" t="s">
        <v>15</v>
      </c>
      <c r="B256" s="4">
        <v>46050</v>
      </c>
      <c r="C256" s="5">
        <v>0.69539351851851849</v>
      </c>
      <c r="D256" s="8" t="s">
        <v>2004</v>
      </c>
      <c r="E256" s="8" t="s">
        <v>8</v>
      </c>
      <c r="F256" s="8"/>
      <c r="H256" s="8"/>
      <c r="I256" s="8" t="s">
        <v>10878</v>
      </c>
      <c r="J256" s="8" t="s">
        <v>2984</v>
      </c>
      <c r="K256" t="s">
        <v>10879</v>
      </c>
      <c r="L256" t="s">
        <v>10880</v>
      </c>
      <c r="M256" s="3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2" t="s">
        <v>16</v>
      </c>
      <c r="B257" s="4">
        <v>46051</v>
      </c>
      <c r="C257" s="5">
        <v>0.74454861111111115</v>
      </c>
      <c r="D257" s="8" t="s">
        <v>2004</v>
      </c>
      <c r="E257" s="8" t="s">
        <v>8</v>
      </c>
      <c r="F257" s="8"/>
      <c r="H257" s="8"/>
      <c r="I257" s="8" t="s">
        <v>10881</v>
      </c>
      <c r="J257" s="8" t="s">
        <v>2984</v>
      </c>
      <c r="K257" t="s">
        <v>10882</v>
      </c>
      <c r="L257" t="s">
        <v>10883</v>
      </c>
      <c r="M257" s="3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2" t="s">
        <v>17</v>
      </c>
      <c r="B258" s="4">
        <v>46052</v>
      </c>
      <c r="C258" s="5">
        <v>0.75040509259259258</v>
      </c>
      <c r="D258" s="8" t="s">
        <v>2004</v>
      </c>
      <c r="E258" s="8" t="s">
        <v>8</v>
      </c>
      <c r="F258" s="8"/>
      <c r="H258" s="8"/>
      <c r="I258" s="8" t="s">
        <v>11004</v>
      </c>
      <c r="J258" s="8" t="s">
        <v>2984</v>
      </c>
      <c r="K258" t="s">
        <v>11005</v>
      </c>
      <c r="L258" t="s">
        <v>11006</v>
      </c>
      <c r="M258" s="3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2" t="s">
        <v>18</v>
      </c>
      <c r="B259" s="4">
        <v>46053</v>
      </c>
      <c r="C259" s="5">
        <v>0.74990740740740736</v>
      </c>
      <c r="D259" s="8" t="s">
        <v>2004</v>
      </c>
      <c r="E259" s="8" t="s">
        <v>8</v>
      </c>
      <c r="F259" s="8"/>
      <c r="H259" s="8"/>
      <c r="I259" s="8" t="s">
        <v>11127</v>
      </c>
      <c r="J259" s="8" t="s">
        <v>2984</v>
      </c>
      <c r="K259" t="s">
        <v>11128</v>
      </c>
      <c r="L259" t="s">
        <v>11129</v>
      </c>
      <c r="M259" s="3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2" t="s">
        <v>22</v>
      </c>
      <c r="B260" s="4">
        <v>46054</v>
      </c>
      <c r="C260" s="5">
        <v>0.4538773148148148</v>
      </c>
      <c r="D260" s="8" t="s">
        <v>2004</v>
      </c>
      <c r="E260" s="8" t="s">
        <v>8</v>
      </c>
      <c r="F260" s="8"/>
      <c r="H260" s="8"/>
      <c r="I260" s="8" t="s">
        <v>11130</v>
      </c>
      <c r="J260" s="8" t="s">
        <v>2984</v>
      </c>
      <c r="K260" t="s">
        <v>11131</v>
      </c>
      <c r="L260" t="s">
        <v>11132</v>
      </c>
      <c r="M260" s="3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2" t="s">
        <v>13</v>
      </c>
      <c r="B261" s="4">
        <v>46055</v>
      </c>
      <c r="C261" s="5">
        <v>0.72077546296296291</v>
      </c>
      <c r="D261" s="8" t="s">
        <v>2004</v>
      </c>
      <c r="E261" s="8" t="s">
        <v>8</v>
      </c>
      <c r="F261" s="8"/>
      <c r="H261" s="8"/>
      <c r="I261" s="8" t="s">
        <v>11414</v>
      </c>
      <c r="J261" s="8" t="s">
        <v>2984</v>
      </c>
      <c r="K261" t="s">
        <v>11415</v>
      </c>
      <c r="L261" t="s">
        <v>11416</v>
      </c>
      <c r="M261" s="3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2" t="s">
        <v>14</v>
      </c>
      <c r="B262" s="4">
        <v>46056</v>
      </c>
      <c r="C262" s="5">
        <v>0.69887731481481485</v>
      </c>
      <c r="D262" s="8" t="s">
        <v>2004</v>
      </c>
      <c r="E262" s="8" t="s">
        <v>8</v>
      </c>
      <c r="F262" s="8"/>
      <c r="H262" s="8"/>
      <c r="I262" s="8" t="s">
        <v>11417</v>
      </c>
      <c r="J262" s="8" t="s">
        <v>2984</v>
      </c>
      <c r="K262" t="s">
        <v>11418</v>
      </c>
      <c r="L262" t="s">
        <v>11419</v>
      </c>
      <c r="M262" s="3" t="str">
        <f>HYPERLINK(склад2въезд13192021[[#This Row],[RelativePath]])</f>
        <v>7 Площадка 2 бетонщики\K07156189_18_20260203T164623Z.jpg</v>
      </c>
    </row>
  </sheetData>
  <conditionalFormatting sqref="E263:E276 D1:D197 D263:D1048576 G2:H262 D2:E262">
    <cfRule type="containsText" dxfId="122" priority="18" operator="containsText" text="Выезд с территории">
      <formula>NOT(ISERROR(SEARCH("Выезд с территории",D1)))</formula>
    </cfRule>
  </conditionalFormatting>
  <conditionalFormatting sqref="F2:F262">
    <cfRule type="notContainsText" dxfId="121" priority="17" operator="notContains" text="порожний">
      <formula>ISERROR(SEARCH("порожний",F2))</formula>
    </cfRule>
  </conditionalFormatting>
  <conditionalFormatting sqref="E2:E276">
    <cfRule type="containsText" dxfId="120" priority="15" operator="containsText" text="Газель базы">
      <formula>NOT(ISERROR(SEARCH("Газель базы",E2)))</formula>
    </cfRule>
    <cfRule type="containsText" dxfId="119" priority="16" operator="containsText" text="Погрузчик базы">
      <formula>NOT(ISERROR(SEARCH("Погрузчик базы",E2)))</formula>
    </cfRule>
  </conditionalFormatting>
  <conditionalFormatting sqref="E2:E276">
    <cfRule type="containsText" dxfId="118" priority="14" operator="containsText" text="Трактор базы">
      <formula>NOT(ISERROR(SEARCH("Трактор базы",E2)))</formula>
    </cfRule>
  </conditionalFormatting>
  <conditionalFormatting sqref="A2:C262">
    <cfRule type="expression" dxfId="117" priority="13">
      <formula>$A2="пн"</formula>
    </cfRule>
  </conditionalFormatting>
  <conditionalFormatting sqref="A2:C264">
    <cfRule type="expression" dxfId="116" priority="7">
      <formula>$A2="вс"</formula>
    </cfRule>
    <cfRule type="expression" dxfId="115" priority="8">
      <formula>$A2="сб"</formula>
    </cfRule>
    <cfRule type="expression" dxfId="114" priority="9">
      <formula>$A2="пт"</formula>
    </cfRule>
    <cfRule type="expression" dxfId="113" priority="10">
      <formula>$A2="чт"</formula>
    </cfRule>
    <cfRule type="expression" dxfId="112" priority="11">
      <formula>$A2="ср"</formula>
    </cfRule>
    <cfRule type="expression" dxfId="111" priority="12">
      <formula>$A2="вт"</formula>
    </cfRule>
  </conditionalFormatting>
  <conditionalFormatting sqref="D1:D1048576">
    <cfRule type="containsText" dxfId="110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09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08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80"/>
  <sheetViews>
    <sheetView topLeftCell="B1" zoomScale="90" zoomScaleNormal="90" workbookViewId="0">
      <pane ySplit="1" topLeftCell="A266" activePane="bottomLeft" state="frozen"/>
      <selection pane="bottomLeft" activeCell="I272" sqref="I272:I28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7445</v>
      </c>
      <c r="J146" s="8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7448</v>
      </c>
      <c r="J147" s="8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s="8" t="s">
        <v>2004</v>
      </c>
      <c r="E148" s="8" t="s">
        <v>9</v>
      </c>
      <c r="F148" s="8"/>
      <c r="H148" s="8"/>
      <c r="I148" s="8" t="s">
        <v>7864</v>
      </c>
      <c r="J148" s="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s="8" t="s">
        <v>2004</v>
      </c>
      <c r="E149" s="8" t="s">
        <v>9</v>
      </c>
      <c r="F149" s="8"/>
      <c r="H149" s="8"/>
      <c r="I149" s="8" t="s">
        <v>8022</v>
      </c>
      <c r="J149" s="8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s="8" t="s">
        <v>2004</v>
      </c>
      <c r="E150" s="8" t="s">
        <v>9</v>
      </c>
      <c r="F150" s="8"/>
      <c r="H150" s="8"/>
      <c r="I150" s="8" t="s">
        <v>8025</v>
      </c>
      <c r="J150" s="8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s="8" t="s">
        <v>7166</v>
      </c>
      <c r="E151" s="8"/>
      <c r="F151" s="8"/>
      <c r="H151" s="8"/>
      <c r="I151" s="8" t="s">
        <v>8144</v>
      </c>
      <c r="J151" s="8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s="8" t="s">
        <v>1091</v>
      </c>
      <c r="E152" s="8" t="s">
        <v>53</v>
      </c>
      <c r="F152" s="8"/>
      <c r="G152">
        <v>5</v>
      </c>
      <c r="H152" s="8"/>
      <c r="I152" s="8" t="s">
        <v>8147</v>
      </c>
      <c r="J152" s="8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s="8" t="s">
        <v>4</v>
      </c>
      <c r="E153" s="8" t="s">
        <v>531</v>
      </c>
      <c r="F153" s="8"/>
      <c r="H153" s="8"/>
      <c r="I153" s="8" t="s">
        <v>8150</v>
      </c>
      <c r="J153" s="8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s="8" t="s">
        <v>2004</v>
      </c>
      <c r="E154" s="8" t="s">
        <v>9</v>
      </c>
      <c r="F154" s="8"/>
      <c r="H154" s="8"/>
      <c r="I154" s="8" t="s">
        <v>8153</v>
      </c>
      <c r="J154" s="8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s="8" t="s">
        <v>2004</v>
      </c>
      <c r="E155" s="8" t="s">
        <v>9</v>
      </c>
      <c r="F155" s="8"/>
      <c r="H155" s="8"/>
      <c r="I155" s="8" t="s">
        <v>8332</v>
      </c>
      <c r="J155" s="8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s="8" t="s">
        <v>2004</v>
      </c>
      <c r="E156" s="8" t="s">
        <v>9</v>
      </c>
      <c r="F156" s="8"/>
      <c r="H156" s="8"/>
      <c r="I156" s="8" t="s">
        <v>8156</v>
      </c>
      <c r="J156" s="8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s="8" t="s">
        <v>2004</v>
      </c>
      <c r="E157" s="8" t="s">
        <v>9</v>
      </c>
      <c r="F157" s="8"/>
      <c r="H157" s="8"/>
      <c r="I157" s="8" t="s">
        <v>8411</v>
      </c>
      <c r="J157" s="8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s="8" t="s">
        <v>2004</v>
      </c>
      <c r="E158" s="8" t="s">
        <v>9</v>
      </c>
      <c r="F158" s="8"/>
      <c r="H158" s="8"/>
      <c r="I158" s="8" t="s">
        <v>8414</v>
      </c>
      <c r="J158" s="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s="8" t="s">
        <v>2004</v>
      </c>
      <c r="E159" s="8" t="s">
        <v>9</v>
      </c>
      <c r="F159" s="8"/>
      <c r="H159" s="8"/>
      <c r="I159" s="8" t="s">
        <v>8417</v>
      </c>
      <c r="J159" s="8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s="8" t="s">
        <v>2004</v>
      </c>
      <c r="E160" s="8" t="s">
        <v>9</v>
      </c>
      <c r="F160" s="8"/>
      <c r="H160" s="8"/>
      <c r="I160" s="8" t="s">
        <v>8598</v>
      </c>
      <c r="J160" s="8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s="8" t="s">
        <v>2004</v>
      </c>
      <c r="E161" s="8" t="s">
        <v>9</v>
      </c>
      <c r="F161" s="8"/>
      <c r="H161" s="8"/>
      <c r="I161" s="8" t="s">
        <v>8601</v>
      </c>
      <c r="J161" s="8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s="8" t="s">
        <v>2004</v>
      </c>
      <c r="E162" s="8" t="s">
        <v>9</v>
      </c>
      <c r="F162" s="8"/>
      <c r="H162" s="8"/>
      <c r="I162" s="8" t="s">
        <v>8604</v>
      </c>
      <c r="J162" s="8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s="8" t="s">
        <v>2004</v>
      </c>
      <c r="E163" s="8" t="s">
        <v>9</v>
      </c>
      <c r="F163" s="8"/>
      <c r="H163" s="8"/>
      <c r="I163" s="8" t="s">
        <v>8607</v>
      </c>
      <c r="J163" s="8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s="8" t="s">
        <v>2004</v>
      </c>
      <c r="E164" s="8" t="s">
        <v>9</v>
      </c>
      <c r="F164" s="8"/>
      <c r="H164" s="8"/>
      <c r="I164" s="8" t="s">
        <v>8610</v>
      </c>
      <c r="J164" s="8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s="8" t="s">
        <v>2004</v>
      </c>
      <c r="E165" s="8" t="s">
        <v>9</v>
      </c>
      <c r="F165" s="8"/>
      <c r="H165" s="8"/>
      <c r="I165" s="8" t="s">
        <v>8613</v>
      </c>
      <c r="J165" s="8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s="8" t="s">
        <v>2004</v>
      </c>
      <c r="E166" s="8" t="s">
        <v>8824</v>
      </c>
      <c r="F166" s="8"/>
      <c r="H166" s="8"/>
      <c r="I166" s="8" t="s">
        <v>8616</v>
      </c>
      <c r="J166" s="8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s="8" t="s">
        <v>2004</v>
      </c>
      <c r="E167" s="8" t="s">
        <v>5477</v>
      </c>
      <c r="F167" s="8"/>
      <c r="H167" s="8"/>
      <c r="I167" s="8" t="s">
        <v>9000</v>
      </c>
      <c r="J167" s="8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s="8" t="s">
        <v>4</v>
      </c>
      <c r="E168" s="8" t="s">
        <v>9</v>
      </c>
      <c r="F168" s="8"/>
      <c r="H168" s="8"/>
      <c r="I168" s="8" t="s">
        <v>9003</v>
      </c>
      <c r="J168" s="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s="8" t="s">
        <v>793</v>
      </c>
      <c r="E169" s="8" t="s">
        <v>1607</v>
      </c>
      <c r="F169" s="8"/>
      <c r="H169" s="8"/>
      <c r="I169" s="8" t="s">
        <v>9006</v>
      </c>
      <c r="J169" s="8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s="8" t="s">
        <v>2024</v>
      </c>
      <c r="E170" s="8" t="s">
        <v>796</v>
      </c>
      <c r="F170" s="8"/>
      <c r="H170" s="8"/>
      <c r="I170" s="8" t="s">
        <v>9009</v>
      </c>
      <c r="J170" s="8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s="8" t="s">
        <v>9198</v>
      </c>
      <c r="E171" s="8" t="s">
        <v>9199</v>
      </c>
      <c r="F171" s="8"/>
      <c r="H171" s="8"/>
      <c r="I171" s="8" t="s">
        <v>9012</v>
      </c>
      <c r="J171" s="8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s="8" t="s">
        <v>2024</v>
      </c>
      <c r="E172" s="8" t="s">
        <v>796</v>
      </c>
      <c r="F172" s="8"/>
      <c r="H172" s="8"/>
      <c r="I172" s="8" t="s">
        <v>9015</v>
      </c>
      <c r="J172" s="8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s="8" t="s">
        <v>2024</v>
      </c>
      <c r="E173" s="8" t="s">
        <v>796</v>
      </c>
      <c r="F173" s="8"/>
      <c r="H173" s="8" t="s">
        <v>2936</v>
      </c>
      <c r="I173" s="8" t="s">
        <v>9018</v>
      </c>
      <c r="J173" s="8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s="8" t="s">
        <v>4</v>
      </c>
      <c r="E174" s="8" t="s">
        <v>9</v>
      </c>
      <c r="F174" s="8"/>
      <c r="H174" s="8"/>
      <c r="I174" s="8" t="s">
        <v>9021</v>
      </c>
      <c r="J174" s="8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s="8" t="s">
        <v>4</v>
      </c>
      <c r="E175" s="8" t="s">
        <v>9</v>
      </c>
      <c r="F175" s="8"/>
      <c r="H175" s="8"/>
      <c r="I175" s="8" t="s">
        <v>9024</v>
      </c>
      <c r="J175" s="8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s="8" t="s">
        <v>4</v>
      </c>
      <c r="E176" s="8" t="s">
        <v>9</v>
      </c>
      <c r="F176" s="8"/>
      <c r="H176" s="8"/>
      <c r="I176" s="8" t="s">
        <v>9270</v>
      </c>
      <c r="J176" s="8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s="8" t="s">
        <v>4</v>
      </c>
      <c r="E177" s="8" t="s">
        <v>9</v>
      </c>
      <c r="F177" s="8"/>
      <c r="H177" s="8" t="s">
        <v>2936</v>
      </c>
      <c r="I177" s="8" t="s">
        <v>9273</v>
      </c>
      <c r="J177" s="8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s="8" t="s">
        <v>9409</v>
      </c>
      <c r="E178" s="8" t="s">
        <v>1607</v>
      </c>
      <c r="F178" s="8"/>
      <c r="H178" s="8"/>
      <c r="I178" s="8" t="s">
        <v>9276</v>
      </c>
      <c r="J178" s="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s="8" t="s">
        <v>9409</v>
      </c>
      <c r="E179" s="8" t="s">
        <v>1607</v>
      </c>
      <c r="F179" s="8"/>
      <c r="H179" s="8" t="s">
        <v>2936</v>
      </c>
      <c r="I179" s="8" t="s">
        <v>9279</v>
      </c>
      <c r="J179" s="8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s="8" t="s">
        <v>9409</v>
      </c>
      <c r="E180" s="8" t="s">
        <v>1607</v>
      </c>
      <c r="F180" s="8"/>
      <c r="H180" s="8" t="s">
        <v>2936</v>
      </c>
      <c r="I180" s="8" t="s">
        <v>9282</v>
      </c>
      <c r="J180" s="8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s="8" t="s">
        <v>2024</v>
      </c>
      <c r="E181" s="8" t="s">
        <v>796</v>
      </c>
      <c r="F181" s="8"/>
      <c r="H181" s="8"/>
      <c r="I181" s="8" t="s">
        <v>9285</v>
      </c>
      <c r="J181" s="8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s="8" t="s">
        <v>4</v>
      </c>
      <c r="E182" s="8" t="s">
        <v>9</v>
      </c>
      <c r="F182" s="8"/>
      <c r="H182" s="8"/>
      <c r="I182" s="8" t="s">
        <v>9410</v>
      </c>
      <c r="J182" s="8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s="8" t="s">
        <v>2024</v>
      </c>
      <c r="E183" s="8" t="s">
        <v>796</v>
      </c>
      <c r="F183" s="8"/>
      <c r="H183" s="8"/>
      <c r="I183" s="8" t="s">
        <v>9413</v>
      </c>
      <c r="J183" s="8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s="8" t="s">
        <v>2024</v>
      </c>
      <c r="E184" s="8" t="s">
        <v>796</v>
      </c>
      <c r="F184" s="8"/>
      <c r="H184" s="8"/>
      <c r="I184" s="8" t="s">
        <v>9416</v>
      </c>
      <c r="J184" s="8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s="8" t="s">
        <v>9409</v>
      </c>
      <c r="E185" s="8" t="s">
        <v>1607</v>
      </c>
      <c r="F185" s="8"/>
      <c r="H185" s="8"/>
      <c r="I185" s="8" t="s">
        <v>9419</v>
      </c>
      <c r="J185" s="8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s="8" t="s">
        <v>2024</v>
      </c>
      <c r="E186" s="8" t="s">
        <v>796</v>
      </c>
      <c r="F186" s="8"/>
      <c r="H186" s="8"/>
      <c r="I186" s="8" t="s">
        <v>9422</v>
      </c>
      <c r="J186" s="8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s="8" t="s">
        <v>2024</v>
      </c>
      <c r="E187" s="8" t="s">
        <v>796</v>
      </c>
      <c r="F187" s="8"/>
      <c r="H187" s="8"/>
      <c r="I187" s="8" t="s">
        <v>9425</v>
      </c>
      <c r="J187" s="8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s="8" t="s">
        <v>9409</v>
      </c>
      <c r="E188" s="8" t="s">
        <v>1607</v>
      </c>
      <c r="F188" s="8"/>
      <c r="H188" s="8"/>
      <c r="I188" s="8" t="s">
        <v>9428</v>
      </c>
      <c r="J188" s="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s="8" t="s">
        <v>2024</v>
      </c>
      <c r="E189" s="8" t="s">
        <v>796</v>
      </c>
      <c r="F189" s="8"/>
      <c r="H189" s="8"/>
      <c r="I189" s="8" t="s">
        <v>9431</v>
      </c>
      <c r="J189" s="8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s="8" t="s">
        <v>2024</v>
      </c>
      <c r="E190" s="8" t="s">
        <v>796</v>
      </c>
      <c r="F190" s="8"/>
      <c r="H190" s="8"/>
      <c r="I190" s="8" t="s">
        <v>9434</v>
      </c>
      <c r="J190" s="8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s="8" t="s">
        <v>9455</v>
      </c>
      <c r="E191" s="8" t="s">
        <v>531</v>
      </c>
      <c r="F191" s="8"/>
      <c r="H191" s="8"/>
      <c r="I191" s="8" t="s">
        <v>9437</v>
      </c>
      <c r="J191" s="8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s="8" t="s">
        <v>9409</v>
      </c>
      <c r="E192" s="8" t="s">
        <v>1607</v>
      </c>
      <c r="F192" s="8"/>
      <c r="H192" s="8"/>
      <c r="I192" s="8" t="s">
        <v>9440</v>
      </c>
      <c r="J192" s="8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s="8" t="s">
        <v>9409</v>
      </c>
      <c r="E193" s="8" t="s">
        <v>1607</v>
      </c>
      <c r="F193" s="8"/>
      <c r="H193" s="8"/>
      <c r="I193" s="8" t="s">
        <v>9443</v>
      </c>
      <c r="J193" s="8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s="8" t="s">
        <v>9409</v>
      </c>
      <c r="E194" s="8" t="s">
        <v>1607</v>
      </c>
      <c r="F194" s="8"/>
      <c r="H194" s="8"/>
      <c r="I194" s="8" t="s">
        <v>9446</v>
      </c>
      <c r="J194" s="8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s="8" t="s">
        <v>2024</v>
      </c>
      <c r="E195" s="8" t="s">
        <v>796</v>
      </c>
      <c r="F195" s="8"/>
      <c r="H195" s="8"/>
      <c r="I195" s="8" t="s">
        <v>9449</v>
      </c>
      <c r="J195" s="8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s="8" t="s">
        <v>9409</v>
      </c>
      <c r="E196" s="8" t="s">
        <v>1607</v>
      </c>
      <c r="F196" s="8"/>
      <c r="H196" s="8"/>
      <c r="I196" s="8" t="s">
        <v>9452</v>
      </c>
      <c r="J196" s="8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s="8" t="s">
        <v>9409</v>
      </c>
      <c r="E197" s="8" t="s">
        <v>1607</v>
      </c>
      <c r="F197" s="8"/>
      <c r="H197" s="8"/>
      <c r="I197" s="8" t="s">
        <v>9618</v>
      </c>
      <c r="J197" s="8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s="8" t="s">
        <v>4</v>
      </c>
      <c r="E198" s="8" t="s">
        <v>9</v>
      </c>
      <c r="F198" s="8"/>
      <c r="H198" s="8"/>
      <c r="I198" s="8" t="s">
        <v>9621</v>
      </c>
      <c r="J198" s="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s="8" t="s">
        <v>9409</v>
      </c>
      <c r="E199" s="8" t="s">
        <v>1607</v>
      </c>
      <c r="F199" s="8"/>
      <c r="H199" s="8"/>
      <c r="I199" s="8" t="s">
        <v>9624</v>
      </c>
      <c r="J199" s="8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s="8" t="s">
        <v>2024</v>
      </c>
      <c r="E200" s="8" t="s">
        <v>796</v>
      </c>
      <c r="F200" s="8"/>
      <c r="H200" s="8"/>
      <c r="I200" s="8" t="s">
        <v>9627</v>
      </c>
      <c r="J200" s="8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s="8" t="s">
        <v>4</v>
      </c>
      <c r="E201" s="8" t="s">
        <v>9</v>
      </c>
      <c r="F201" s="8"/>
      <c r="H201" s="8"/>
      <c r="I201" s="8" t="s">
        <v>9630</v>
      </c>
      <c r="J201" s="8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s="8" t="s">
        <v>9409</v>
      </c>
      <c r="E202" s="8" t="s">
        <v>1607</v>
      </c>
      <c r="F202" s="8"/>
      <c r="H202" s="8"/>
      <c r="I202" s="8" t="s">
        <v>9741</v>
      </c>
      <c r="J202" s="8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s="8" t="s">
        <v>9409</v>
      </c>
      <c r="E203" s="8" t="s">
        <v>1607</v>
      </c>
      <c r="F203" s="8"/>
      <c r="H203" s="8"/>
      <c r="I203" s="8" t="s">
        <v>9744</v>
      </c>
      <c r="J203" s="8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s="8" t="s">
        <v>9409</v>
      </c>
      <c r="E204" s="8" t="s">
        <v>1607</v>
      </c>
      <c r="F204" s="8"/>
      <c r="H204" s="8"/>
      <c r="I204" s="8" t="s">
        <v>9747</v>
      </c>
      <c r="J204" s="8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s="8" t="s">
        <v>2024</v>
      </c>
      <c r="E205" s="8" t="s">
        <v>796</v>
      </c>
      <c r="F205" s="8"/>
      <c r="H205" s="8"/>
      <c r="I205" s="8" t="s">
        <v>9750</v>
      </c>
      <c r="J205" s="8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s="8" t="s">
        <v>2024</v>
      </c>
      <c r="E206" s="8" t="s">
        <v>796</v>
      </c>
      <c r="F206" s="8"/>
      <c r="H206" s="8"/>
      <c r="I206" s="8" t="s">
        <v>9753</v>
      </c>
      <c r="J206" s="8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s="8" t="s">
        <v>2024</v>
      </c>
      <c r="E207" s="8" t="s">
        <v>796</v>
      </c>
      <c r="F207" s="8"/>
      <c r="H207" s="8"/>
      <c r="I207" s="8" t="s">
        <v>9756</v>
      </c>
      <c r="J207" s="8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s="8" t="s">
        <v>9409</v>
      </c>
      <c r="E208" s="8" t="s">
        <v>1607</v>
      </c>
      <c r="F208" s="8"/>
      <c r="H208" s="8"/>
      <c r="I208" s="8" t="s">
        <v>9759</v>
      </c>
      <c r="J208" s="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s="8" t="s">
        <v>4</v>
      </c>
      <c r="E209" s="8" t="s">
        <v>9</v>
      </c>
      <c r="F209" s="8"/>
      <c r="H209" s="8"/>
      <c r="I209" s="8" t="s">
        <v>9762</v>
      </c>
      <c r="J209" s="8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s="8" t="s">
        <v>9409</v>
      </c>
      <c r="E210" s="8" t="s">
        <v>1607</v>
      </c>
      <c r="F210" s="8"/>
      <c r="H210" s="8"/>
      <c r="I210" s="8" t="s">
        <v>9765</v>
      </c>
      <c r="J210" s="8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s="8" t="s">
        <v>2024</v>
      </c>
      <c r="E211" s="8" t="s">
        <v>796</v>
      </c>
      <c r="F211" s="8"/>
      <c r="H211" s="8"/>
      <c r="I211" s="8" t="s">
        <v>9768</v>
      </c>
      <c r="J211" s="8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s="8" t="s">
        <v>9409</v>
      </c>
      <c r="E212" s="8" t="s">
        <v>1607</v>
      </c>
      <c r="F212" s="8"/>
      <c r="H212" s="8"/>
      <c r="I212" s="8" t="s">
        <v>9771</v>
      </c>
      <c r="J212" s="8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s="8" t="s">
        <v>9409</v>
      </c>
      <c r="E213" s="8" t="s">
        <v>1607</v>
      </c>
      <c r="F213" s="8"/>
      <c r="H213" s="8"/>
      <c r="I213" s="8" t="s">
        <v>9774</v>
      </c>
      <c r="J213" s="8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s="8" t="s">
        <v>9409</v>
      </c>
      <c r="E214" s="8" t="s">
        <v>1607</v>
      </c>
      <c r="F214" s="8"/>
      <c r="H214" s="8"/>
      <c r="I214" s="8" t="s">
        <v>9777</v>
      </c>
      <c r="J214" s="8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s="8" t="s">
        <v>9455</v>
      </c>
      <c r="E215" s="8" t="s">
        <v>531</v>
      </c>
      <c r="F215" s="8"/>
      <c r="H215" s="8"/>
      <c r="I215" s="8" t="s">
        <v>9780</v>
      </c>
      <c r="J215" s="8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s="8" t="s">
        <v>9409</v>
      </c>
      <c r="E216" s="8" t="s">
        <v>1607</v>
      </c>
      <c r="F216" s="8"/>
      <c r="H216" s="8"/>
      <c r="I216" s="8" t="s">
        <v>9783</v>
      </c>
      <c r="J216" s="8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s="8" t="s">
        <v>9409</v>
      </c>
      <c r="E217" s="8" t="s">
        <v>1607</v>
      </c>
      <c r="F217" s="8"/>
      <c r="H217" s="8"/>
      <c r="I217" s="8" t="s">
        <v>9786</v>
      </c>
      <c r="J217" s="8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s="8" t="s">
        <v>2024</v>
      </c>
      <c r="E218" s="8" t="s">
        <v>796</v>
      </c>
      <c r="F218" s="8"/>
      <c r="H218" s="8"/>
      <c r="I218" s="8" t="s">
        <v>9789</v>
      </c>
      <c r="J218" s="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s="8" t="s">
        <v>2024</v>
      </c>
      <c r="E219" s="8" t="s">
        <v>796</v>
      </c>
      <c r="F219" s="8"/>
      <c r="H219" s="8"/>
      <c r="I219" s="8" t="s">
        <v>9792</v>
      </c>
      <c r="J219" s="8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s="8" t="s">
        <v>2024</v>
      </c>
      <c r="E220" s="8" t="s">
        <v>796</v>
      </c>
      <c r="F220" s="8"/>
      <c r="H220" s="8"/>
      <c r="I220" s="8" t="s">
        <v>9978</v>
      </c>
      <c r="J220" s="8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s="8" t="s">
        <v>2024</v>
      </c>
      <c r="E221" s="8" t="s">
        <v>796</v>
      </c>
      <c r="F221" s="8"/>
      <c r="H221" s="8"/>
      <c r="I221" s="8" t="s">
        <v>9981</v>
      </c>
      <c r="J221" s="8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s="8" t="s">
        <v>2024</v>
      </c>
      <c r="E222" s="8" t="s">
        <v>796</v>
      </c>
      <c r="F222" s="8"/>
      <c r="H222" s="8"/>
      <c r="I222" s="8" t="s">
        <v>9984</v>
      </c>
      <c r="J222" s="8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s="8" t="s">
        <v>9409</v>
      </c>
      <c r="E223" s="8" t="s">
        <v>1607</v>
      </c>
      <c r="F223" s="8"/>
      <c r="H223" s="8"/>
      <c r="I223" s="8" t="s">
        <v>9987</v>
      </c>
      <c r="J223" s="8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s="8" t="s">
        <v>9409</v>
      </c>
      <c r="E224" s="8" t="s">
        <v>1607</v>
      </c>
      <c r="F224" s="8"/>
      <c r="H224" s="8"/>
      <c r="I224" s="8" t="s">
        <v>9990</v>
      </c>
      <c r="J224" s="8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s="8" t="s">
        <v>9409</v>
      </c>
      <c r="E225" s="8" t="s">
        <v>1607</v>
      </c>
      <c r="F225" s="8"/>
      <c r="H225" s="8"/>
      <c r="I225" s="8" t="s">
        <v>9993</v>
      </c>
      <c r="J225" s="8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s="8" t="s">
        <v>9409</v>
      </c>
      <c r="E226" s="8" t="s">
        <v>1607</v>
      </c>
      <c r="F226" s="8"/>
      <c r="H226" s="8"/>
      <c r="I226" s="8" t="s">
        <v>9996</v>
      </c>
      <c r="J226" s="8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s="8" t="s">
        <v>9409</v>
      </c>
      <c r="E227" s="8" t="s">
        <v>1607</v>
      </c>
      <c r="F227" s="8"/>
      <c r="H227" s="8"/>
      <c r="I227" s="8" t="s">
        <v>9999</v>
      </c>
      <c r="J227" s="8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s="8" t="s">
        <v>9409</v>
      </c>
      <c r="E228" s="8" t="s">
        <v>1607</v>
      </c>
      <c r="F228" s="8"/>
      <c r="H228" s="8"/>
      <c r="I228" s="8" t="s">
        <v>10002</v>
      </c>
      <c r="J228" s="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s="8" t="s">
        <v>2024</v>
      </c>
      <c r="E229" s="8" t="s">
        <v>796</v>
      </c>
      <c r="F229" s="8"/>
      <c r="H229" s="8"/>
      <c r="I229" s="8" t="s">
        <v>10005</v>
      </c>
      <c r="J229" s="8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s="8" t="s">
        <v>9455</v>
      </c>
      <c r="E230" s="8" t="s">
        <v>531</v>
      </c>
      <c r="F230" s="8"/>
      <c r="H230" s="8"/>
      <c r="I230" s="8" t="s">
        <v>10008</v>
      </c>
      <c r="J230" s="8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s="8" t="s">
        <v>4</v>
      </c>
      <c r="E231" s="8" t="s">
        <v>9</v>
      </c>
      <c r="F231" s="8"/>
      <c r="H231" s="8"/>
      <c r="I231" s="8" t="s">
        <v>10011</v>
      </c>
      <c r="J231" s="8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s="8" t="s">
        <v>2024</v>
      </c>
      <c r="E232" s="8" t="s">
        <v>796</v>
      </c>
      <c r="F232" s="8"/>
      <c r="H232" s="8"/>
      <c r="I232" s="8" t="s">
        <v>10014</v>
      </c>
      <c r="J232" s="8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s="8" t="s">
        <v>9409</v>
      </c>
      <c r="E233" s="8" t="s">
        <v>1607</v>
      </c>
      <c r="F233" s="8"/>
      <c r="H233" s="8"/>
      <c r="I233" s="8" t="s">
        <v>10353</v>
      </c>
      <c r="J233" s="8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s="8" t="s">
        <v>9409</v>
      </c>
      <c r="E234" s="8" t="s">
        <v>1607</v>
      </c>
      <c r="F234" s="8"/>
      <c r="H234" s="8"/>
      <c r="I234" s="8" t="s">
        <v>10356</v>
      </c>
      <c r="J234" s="8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s="8" t="s">
        <v>4</v>
      </c>
      <c r="E235" s="8" t="s">
        <v>9</v>
      </c>
      <c r="F235" s="8"/>
      <c r="H235" s="8"/>
      <c r="I235" s="8" t="s">
        <v>10359</v>
      </c>
      <c r="J235" s="8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s="8" t="s">
        <v>9409</v>
      </c>
      <c r="E236" s="8" t="s">
        <v>1607</v>
      </c>
      <c r="F236" s="8"/>
      <c r="H236" s="8"/>
      <c r="I236" s="8" t="s">
        <v>10362</v>
      </c>
      <c r="J236" s="8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s="8" t="s">
        <v>9409</v>
      </c>
      <c r="E237" s="8" t="s">
        <v>1607</v>
      </c>
      <c r="F237" s="8"/>
      <c r="H237" s="8"/>
      <c r="I237" s="8" t="s">
        <v>10365</v>
      </c>
      <c r="J237" s="8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s="8" t="s">
        <v>4</v>
      </c>
      <c r="E238" s="8" t="s">
        <v>9</v>
      </c>
      <c r="F238" s="8"/>
      <c r="H238" s="8"/>
      <c r="I238" s="8" t="s">
        <v>10368</v>
      </c>
      <c r="J238" s="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s="8" t="s">
        <v>9409</v>
      </c>
      <c r="E239" s="8" t="s">
        <v>1607</v>
      </c>
      <c r="F239" s="8"/>
      <c r="H239" s="8"/>
      <c r="I239" s="8" t="s">
        <v>10458</v>
      </c>
      <c r="J239" s="8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s="8" t="s">
        <v>9409</v>
      </c>
      <c r="E240" s="8" t="s">
        <v>1607</v>
      </c>
      <c r="F240" s="8"/>
      <c r="H240" s="8"/>
      <c r="I240" s="8" t="s">
        <v>10461</v>
      </c>
      <c r="J240" s="8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s="8" t="s">
        <v>4</v>
      </c>
      <c r="E241" s="8" t="s">
        <v>9</v>
      </c>
      <c r="F241" s="8"/>
      <c r="H241" s="8"/>
      <c r="I241" s="8" t="s">
        <v>10464</v>
      </c>
      <c r="J241" s="8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s="8" t="s">
        <v>9409</v>
      </c>
      <c r="E242" s="8" t="s">
        <v>1607</v>
      </c>
      <c r="F242" s="8"/>
      <c r="H242" s="8"/>
      <c r="I242" s="8" t="s">
        <v>10564</v>
      </c>
      <c r="J242" s="8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s="8" t="s">
        <v>9409</v>
      </c>
      <c r="E243" s="8" t="s">
        <v>1607</v>
      </c>
      <c r="F243" s="8"/>
      <c r="H243" s="8" t="s">
        <v>2936</v>
      </c>
      <c r="I243" s="8" t="s">
        <v>10567</v>
      </c>
      <c r="J243" s="8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s="8" t="s">
        <v>9409</v>
      </c>
      <c r="E244" s="8" t="s">
        <v>1607</v>
      </c>
      <c r="F244" s="8"/>
      <c r="H244" s="8" t="s">
        <v>2936</v>
      </c>
      <c r="I244" s="8" t="s">
        <v>10570</v>
      </c>
      <c r="J244" s="8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s="8" t="s">
        <v>9409</v>
      </c>
      <c r="E245" s="8" t="s">
        <v>1607</v>
      </c>
      <c r="F245" s="8"/>
      <c r="H245" s="8" t="s">
        <v>2936</v>
      </c>
      <c r="I245" s="8" t="s">
        <v>10573</v>
      </c>
      <c r="J245" s="8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s="8" t="s">
        <v>9409</v>
      </c>
      <c r="E246" s="8" t="s">
        <v>1607</v>
      </c>
      <c r="F246" s="8"/>
      <c r="H246" s="8" t="s">
        <v>2936</v>
      </c>
      <c r="I246" s="8" t="s">
        <v>10576</v>
      </c>
      <c r="J246" s="8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s="8" t="s">
        <v>9409</v>
      </c>
      <c r="E247" s="8" t="s">
        <v>1607</v>
      </c>
      <c r="F247" s="8"/>
      <c r="H247" s="8" t="s">
        <v>2936</v>
      </c>
      <c r="I247" s="8" t="s">
        <v>10579</v>
      </c>
      <c r="J247" s="8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s="8" t="s">
        <v>9409</v>
      </c>
      <c r="E248" s="8" t="s">
        <v>1607</v>
      </c>
      <c r="F248" s="8"/>
      <c r="H248" s="8" t="s">
        <v>2936</v>
      </c>
      <c r="I248" s="8" t="s">
        <v>10582</v>
      </c>
      <c r="J248" s="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  <row r="249" spans="1:13" x14ac:dyDescent="0.25">
      <c r="A249" s="2" t="s">
        <v>15</v>
      </c>
      <c r="B249" s="4">
        <v>46050</v>
      </c>
      <c r="C249" s="5">
        <v>0.25831018518518517</v>
      </c>
      <c r="D249" s="8" t="s">
        <v>10888</v>
      </c>
      <c r="E249" s="8" t="s">
        <v>796</v>
      </c>
      <c r="F249" s="8"/>
      <c r="H249" s="8"/>
      <c r="I249" s="8" t="s">
        <v>10743</v>
      </c>
      <c r="J249" s="8" t="s">
        <v>2992</v>
      </c>
      <c r="K249" t="s">
        <v>10744</v>
      </c>
      <c r="L249" t="s">
        <v>10745</v>
      </c>
      <c r="M249" s="3" t="str">
        <f>HYPERLINK(склад2въезд1319202122[[#This Row],[RelativePath]])</f>
        <v>8 Рейсмус\E33149364_2_20260128T061158Z.jpg</v>
      </c>
    </row>
    <row r="250" spans="1:13" x14ac:dyDescent="0.25">
      <c r="A250" s="2" t="s">
        <v>15</v>
      </c>
      <c r="B250" s="4">
        <v>46050</v>
      </c>
      <c r="C250" s="5">
        <v>0.47245370370370371</v>
      </c>
      <c r="D250" s="8" t="s">
        <v>10888</v>
      </c>
      <c r="E250" s="8" t="s">
        <v>796</v>
      </c>
      <c r="F250" s="8"/>
      <c r="H250" s="8"/>
      <c r="I250" s="8" t="s">
        <v>10746</v>
      </c>
      <c r="J250" s="8" t="s">
        <v>2992</v>
      </c>
      <c r="K250" t="s">
        <v>10747</v>
      </c>
      <c r="L250" t="s">
        <v>10748</v>
      </c>
      <c r="M250" s="3" t="str">
        <f>HYPERLINK(склад2въезд1319202122[[#This Row],[RelativePath]])</f>
        <v>8 Рейсмус\E33149364_2_20260128T112020Z.jpg</v>
      </c>
    </row>
    <row r="251" spans="1:13" x14ac:dyDescent="0.25">
      <c r="A251" s="2" t="s">
        <v>15</v>
      </c>
      <c r="B251" s="4">
        <v>46050</v>
      </c>
      <c r="C251" s="5">
        <v>0.62357638888888889</v>
      </c>
      <c r="D251" s="8" t="s">
        <v>2024</v>
      </c>
      <c r="E251" s="8" t="s">
        <v>796</v>
      </c>
      <c r="F251" s="8"/>
      <c r="H251" s="8"/>
      <c r="I251" s="8" t="s">
        <v>10749</v>
      </c>
      <c r="J251" s="8" t="s">
        <v>2992</v>
      </c>
      <c r="K251" t="s">
        <v>10750</v>
      </c>
      <c r="L251" t="s">
        <v>10751</v>
      </c>
      <c r="M251" s="3" t="str">
        <f>HYPERLINK(склад2въезд1319202122[[#This Row],[RelativePath]])</f>
        <v>8 Рейсмус\E33149364_2_20260128T145757Z.jpg</v>
      </c>
    </row>
    <row r="252" spans="1:13" x14ac:dyDescent="0.25">
      <c r="A252" s="2" t="s">
        <v>15</v>
      </c>
      <c r="B252" s="4">
        <v>46050</v>
      </c>
      <c r="C252" s="5">
        <v>0.69281250000000005</v>
      </c>
      <c r="D252" s="8" t="s">
        <v>10888</v>
      </c>
      <c r="E252" s="8" t="s">
        <v>796</v>
      </c>
      <c r="F252" s="8"/>
      <c r="H252" s="8"/>
      <c r="I252" s="8" t="s">
        <v>10752</v>
      </c>
      <c r="J252" s="8" t="s">
        <v>2992</v>
      </c>
      <c r="K252" t="s">
        <v>10753</v>
      </c>
      <c r="L252" t="s">
        <v>10754</v>
      </c>
      <c r="M252" s="3" t="str">
        <f>HYPERLINK(склад2въезд1319202122[[#This Row],[RelativePath]])</f>
        <v>8 Рейсмус\E33149364_2_20260128T163739Z.jpg</v>
      </c>
    </row>
    <row r="253" spans="1:13" x14ac:dyDescent="0.25">
      <c r="A253" s="2" t="s">
        <v>15</v>
      </c>
      <c r="B253" s="4">
        <v>46050</v>
      </c>
      <c r="C253" s="5">
        <v>0.73747685185185186</v>
      </c>
      <c r="D253" s="8" t="s">
        <v>2024</v>
      </c>
      <c r="E253" s="8" t="s">
        <v>796</v>
      </c>
      <c r="F253" s="8"/>
      <c r="H253" s="8"/>
      <c r="I253" s="8" t="s">
        <v>10755</v>
      </c>
      <c r="J253" s="8" t="s">
        <v>2992</v>
      </c>
      <c r="K253" t="s">
        <v>10756</v>
      </c>
      <c r="L253" t="s">
        <v>10757</v>
      </c>
      <c r="M253" s="3" t="str">
        <f>HYPERLINK(склад2въезд1319202122[[#This Row],[RelativePath]])</f>
        <v>8 Рейсмус\E33149364_2_20260128T174158Z.jpg</v>
      </c>
    </row>
    <row r="254" spans="1:13" x14ac:dyDescent="0.25">
      <c r="A254" s="2" t="s">
        <v>15</v>
      </c>
      <c r="B254" s="4">
        <v>46050</v>
      </c>
      <c r="C254" s="5">
        <v>0.86285879629629625</v>
      </c>
      <c r="D254" s="8" t="s">
        <v>2024</v>
      </c>
      <c r="E254" s="8" t="s">
        <v>796</v>
      </c>
      <c r="F254" s="8"/>
      <c r="H254" s="8"/>
      <c r="I254" s="8" t="s">
        <v>10758</v>
      </c>
      <c r="J254" s="8" t="s">
        <v>2992</v>
      </c>
      <c r="K254" t="s">
        <v>10759</v>
      </c>
      <c r="L254" t="s">
        <v>10760</v>
      </c>
      <c r="M254" s="3" t="str">
        <f>HYPERLINK(склад2въезд1319202122[[#This Row],[RelativePath]])</f>
        <v>8 Рейсмус\E33149364_2_20260128T204231Z.jpg</v>
      </c>
    </row>
    <row r="255" spans="1:13" x14ac:dyDescent="0.25">
      <c r="A255" s="2" t="s">
        <v>15</v>
      </c>
      <c r="B255" s="4">
        <v>46050</v>
      </c>
      <c r="C255" s="5">
        <v>0.94796296296296301</v>
      </c>
      <c r="D255" s="8" t="s">
        <v>2024</v>
      </c>
      <c r="E255" s="8" t="s">
        <v>796</v>
      </c>
      <c r="F255" s="8"/>
      <c r="H255" s="8"/>
      <c r="I255" s="8" t="s">
        <v>10761</v>
      </c>
      <c r="J255" s="8" t="s">
        <v>2992</v>
      </c>
      <c r="K255" t="s">
        <v>10762</v>
      </c>
      <c r="L255" t="s">
        <v>10763</v>
      </c>
      <c r="M255" s="3" t="str">
        <f>HYPERLINK(склад2въезд1319202122[[#This Row],[RelativePath]])</f>
        <v>8 Рейсмус\E33149364_2_20260128T224504Z.jpg</v>
      </c>
    </row>
    <row r="256" spans="1:13" x14ac:dyDescent="0.25">
      <c r="A256" s="2" t="s">
        <v>16</v>
      </c>
      <c r="B256" s="4">
        <v>46051</v>
      </c>
      <c r="C256" s="5">
        <v>0.41031250000000002</v>
      </c>
      <c r="D256" s="8" t="s">
        <v>9409</v>
      </c>
      <c r="E256" s="8" t="s">
        <v>1607</v>
      </c>
      <c r="F256" s="8"/>
      <c r="H256" s="8"/>
      <c r="I256" s="8" t="s">
        <v>10764</v>
      </c>
      <c r="J256" s="8" t="s">
        <v>2992</v>
      </c>
      <c r="K256" t="s">
        <v>10765</v>
      </c>
      <c r="L256" t="s">
        <v>10766</v>
      </c>
      <c r="M256" s="3" t="str">
        <f>HYPERLINK(склад2въезд1319202122[[#This Row],[RelativePath]])</f>
        <v>8 Рейсмус\E33149364_2_20260129T095051Z.jpg</v>
      </c>
    </row>
    <row r="257" spans="1:13" x14ac:dyDescent="0.25">
      <c r="A257" s="2" t="s">
        <v>16</v>
      </c>
      <c r="B257" s="4">
        <v>46051</v>
      </c>
      <c r="C257" s="5">
        <v>0.43032407407407408</v>
      </c>
      <c r="D257" s="8" t="s">
        <v>2024</v>
      </c>
      <c r="E257" s="8" t="s">
        <v>796</v>
      </c>
      <c r="F257" s="8"/>
      <c r="H257" s="8"/>
      <c r="I257" s="8" t="s">
        <v>10767</v>
      </c>
      <c r="J257" s="8" t="s">
        <v>2992</v>
      </c>
      <c r="K257" t="s">
        <v>10768</v>
      </c>
      <c r="L257" t="s">
        <v>10769</v>
      </c>
      <c r="M257" s="3" t="str">
        <f>HYPERLINK(склад2въезд1319202122[[#This Row],[RelativePath]])</f>
        <v>8 Рейсмус\E33149364_2_20260129T101940Z.jpg</v>
      </c>
    </row>
    <row r="258" spans="1:13" x14ac:dyDescent="0.25">
      <c r="A258" s="2" t="s">
        <v>16</v>
      </c>
      <c r="B258" s="4">
        <v>46051</v>
      </c>
      <c r="C258" s="5">
        <v>0.47116898148148151</v>
      </c>
      <c r="D258" s="8" t="s">
        <v>9409</v>
      </c>
      <c r="E258" s="8" t="s">
        <v>1607</v>
      </c>
      <c r="F258" s="8"/>
      <c r="H258" s="8"/>
      <c r="I258" s="8" t="s">
        <v>10770</v>
      </c>
      <c r="J258" s="8" t="s">
        <v>2992</v>
      </c>
      <c r="K258" t="s">
        <v>10771</v>
      </c>
      <c r="L258" t="s">
        <v>10772</v>
      </c>
      <c r="M258" s="3" t="str">
        <f>HYPERLINK(склад2въезд1319202122[[#This Row],[RelativePath]])</f>
        <v>8 Рейсмус\E33149364_2_20260129T111829Z.jpg</v>
      </c>
    </row>
    <row r="259" spans="1:13" x14ac:dyDescent="0.25">
      <c r="A259" s="2" t="s">
        <v>16</v>
      </c>
      <c r="B259" s="4">
        <v>46051</v>
      </c>
      <c r="C259" s="5">
        <v>0.5896527777777778</v>
      </c>
      <c r="D259" s="8" t="s">
        <v>9409</v>
      </c>
      <c r="E259" s="8" t="s">
        <v>1607</v>
      </c>
      <c r="F259" s="8"/>
      <c r="H259" s="8"/>
      <c r="I259" s="8" t="s">
        <v>10773</v>
      </c>
      <c r="J259" s="8" t="s">
        <v>2992</v>
      </c>
      <c r="K259" t="s">
        <v>10774</v>
      </c>
      <c r="L259" t="s">
        <v>10775</v>
      </c>
      <c r="M259" s="3" t="str">
        <f>HYPERLINK(склад2въезд1319202122[[#This Row],[RelativePath]])</f>
        <v>8 Рейсмус\E33149364_2_20260129T140906Z.jpg</v>
      </c>
    </row>
    <row r="260" spans="1:13" x14ac:dyDescent="0.25">
      <c r="A260" s="2" t="s">
        <v>16</v>
      </c>
      <c r="B260" s="4">
        <v>46051</v>
      </c>
      <c r="C260" s="5">
        <v>0.65328703703703705</v>
      </c>
      <c r="D260" s="8" t="s">
        <v>2024</v>
      </c>
      <c r="E260" s="8" t="s">
        <v>796</v>
      </c>
      <c r="F260" s="8"/>
      <c r="H260" s="8"/>
      <c r="I260" s="8" t="s">
        <v>10776</v>
      </c>
      <c r="J260" s="8" t="s">
        <v>2992</v>
      </c>
      <c r="K260" t="s">
        <v>10777</v>
      </c>
      <c r="L260" t="s">
        <v>10778</v>
      </c>
      <c r="M260" s="3" t="str">
        <f>HYPERLINK(склад2въезд1319202122[[#This Row],[RelativePath]])</f>
        <v>8 Рейсмус\E33149364_2_20260129T154044Z.jpg</v>
      </c>
    </row>
    <row r="261" spans="1:13" x14ac:dyDescent="0.25">
      <c r="A261" s="2" t="s">
        <v>16</v>
      </c>
      <c r="B261" s="4">
        <v>46051</v>
      </c>
      <c r="C261" s="5">
        <v>0.69645833333333329</v>
      </c>
      <c r="D261" s="8" t="s">
        <v>2024</v>
      </c>
      <c r="E261" s="8" t="s">
        <v>796</v>
      </c>
      <c r="F261" s="8"/>
      <c r="H261" s="8"/>
      <c r="I261" s="8" t="s">
        <v>10779</v>
      </c>
      <c r="J261" s="8" t="s">
        <v>2992</v>
      </c>
      <c r="K261" t="s">
        <v>10780</v>
      </c>
      <c r="L261" t="s">
        <v>10781</v>
      </c>
      <c r="M261" s="3" t="str">
        <f>HYPERLINK(склад2въезд1319202122[[#This Row],[RelativePath]])</f>
        <v>8 Рейсмус\E33149364_2_20260129T164254Z.jpg</v>
      </c>
    </row>
    <row r="262" spans="1:13" x14ac:dyDescent="0.25">
      <c r="A262" s="2" t="s">
        <v>17</v>
      </c>
      <c r="B262" s="4">
        <v>46052</v>
      </c>
      <c r="C262" s="5">
        <v>0.38638888888888889</v>
      </c>
      <c r="D262" s="8" t="s">
        <v>4</v>
      </c>
      <c r="E262" s="8" t="s">
        <v>9</v>
      </c>
      <c r="F262" s="8"/>
      <c r="H262" s="8"/>
      <c r="I262" s="8" t="s">
        <v>10923</v>
      </c>
      <c r="J262" s="8" t="s">
        <v>2992</v>
      </c>
      <c r="K262" t="s">
        <v>10924</v>
      </c>
      <c r="L262" t="s">
        <v>10925</v>
      </c>
      <c r="M262" s="3" t="str">
        <f>HYPERLINK(склад2въезд1319202122[[#This Row],[RelativePath]])</f>
        <v>8 Рейсмус\E33149364_2_20260130T091624Z.jpg</v>
      </c>
    </row>
    <row r="263" spans="1:13" x14ac:dyDescent="0.25">
      <c r="A263" s="2" t="s">
        <v>17</v>
      </c>
      <c r="B263" s="4">
        <v>46052</v>
      </c>
      <c r="C263" s="5">
        <v>0.49533564814814812</v>
      </c>
      <c r="D263" s="8" t="s">
        <v>9409</v>
      </c>
      <c r="E263" s="8" t="s">
        <v>1607</v>
      </c>
      <c r="F263" s="8"/>
      <c r="H263" s="8"/>
      <c r="I263" s="8" t="s">
        <v>10926</v>
      </c>
      <c r="J263" s="8" t="s">
        <v>2992</v>
      </c>
      <c r="K263" t="s">
        <v>10927</v>
      </c>
      <c r="L263" t="s">
        <v>10928</v>
      </c>
      <c r="M263" s="3" t="str">
        <f>HYPERLINK(склад2въезд1319202122[[#This Row],[RelativePath]])</f>
        <v>8 Рейсмус\E33149364_2_20260130T115317Z.jpg</v>
      </c>
    </row>
    <row r="264" spans="1:13" x14ac:dyDescent="0.25">
      <c r="A264" s="2" t="s">
        <v>17</v>
      </c>
      <c r="B264" s="4">
        <v>46052</v>
      </c>
      <c r="C264" s="5">
        <v>0.51030092592592591</v>
      </c>
      <c r="D264" s="8" t="s">
        <v>10888</v>
      </c>
      <c r="E264" s="8" t="s">
        <v>796</v>
      </c>
      <c r="F264" s="8"/>
      <c r="H264" s="8"/>
      <c r="I264" s="8" t="s">
        <v>10929</v>
      </c>
      <c r="J264" s="8" t="s">
        <v>2992</v>
      </c>
      <c r="K264" t="s">
        <v>10930</v>
      </c>
      <c r="L264" t="s">
        <v>10931</v>
      </c>
      <c r="M264" s="3" t="str">
        <f>HYPERLINK(склад2въезд1319202122[[#This Row],[RelativePath]])</f>
        <v>8 Рейсмус\E33149364_2_20260130T121450Z.jpg</v>
      </c>
    </row>
    <row r="265" spans="1:13" x14ac:dyDescent="0.25">
      <c r="A265" s="2" t="s">
        <v>17</v>
      </c>
      <c r="B265" s="4">
        <v>46052</v>
      </c>
      <c r="C265" s="5">
        <v>0.62442129629629628</v>
      </c>
      <c r="D265" s="8" t="s">
        <v>2024</v>
      </c>
      <c r="E265" s="8" t="s">
        <v>796</v>
      </c>
      <c r="F265" s="8"/>
      <c r="H265" s="8"/>
      <c r="I265" s="8" t="s">
        <v>10932</v>
      </c>
      <c r="J265" s="8" t="s">
        <v>2992</v>
      </c>
      <c r="K265" t="s">
        <v>10933</v>
      </c>
      <c r="L265" t="s">
        <v>10934</v>
      </c>
      <c r="M265" s="3" t="str">
        <f>HYPERLINK(склад2въезд1319202122[[#This Row],[RelativePath]])</f>
        <v>8 Рейсмус\E33149364_2_20260130T145910Z.jpg</v>
      </c>
    </row>
    <row r="266" spans="1:13" x14ac:dyDescent="0.25">
      <c r="A266" s="2" t="s">
        <v>17</v>
      </c>
      <c r="B266" s="4">
        <v>46052</v>
      </c>
      <c r="C266" s="5">
        <v>0.64053240740740736</v>
      </c>
      <c r="D266" s="8" t="s">
        <v>10888</v>
      </c>
      <c r="E266" s="8" t="s">
        <v>796</v>
      </c>
      <c r="F266" s="8"/>
      <c r="H266" s="8"/>
      <c r="I266" s="8" t="s">
        <v>10935</v>
      </c>
      <c r="J266" s="8" t="s">
        <v>2992</v>
      </c>
      <c r="K266" t="s">
        <v>10936</v>
      </c>
      <c r="L266" t="s">
        <v>10937</v>
      </c>
      <c r="M266" s="3" t="str">
        <f>HYPERLINK(склад2въезд1319202122[[#This Row],[RelativePath]])</f>
        <v>8 Рейсмус\E33149364_2_20260130T152222Z.jpg</v>
      </c>
    </row>
    <row r="267" spans="1:13" x14ac:dyDescent="0.25">
      <c r="A267" s="2" t="s">
        <v>17</v>
      </c>
      <c r="B267" s="4">
        <v>46052</v>
      </c>
      <c r="C267" s="5">
        <v>0.6426736111111111</v>
      </c>
      <c r="D267" s="8" t="s">
        <v>2024</v>
      </c>
      <c r="E267" s="8" t="s">
        <v>796</v>
      </c>
      <c r="F267" s="8"/>
      <c r="H267" s="8"/>
      <c r="I267" s="8" t="s">
        <v>10938</v>
      </c>
      <c r="J267" s="8" t="s">
        <v>2992</v>
      </c>
      <c r="K267" t="s">
        <v>10939</v>
      </c>
      <c r="L267" t="s">
        <v>10940</v>
      </c>
      <c r="M267" s="3" t="str">
        <f>HYPERLINK(склад2въезд1319202122[[#This Row],[RelativePath]])</f>
        <v>8 Рейсмус\E33149364_2_20260130T152527Z.jpg</v>
      </c>
    </row>
    <row r="268" spans="1:13" x14ac:dyDescent="0.25">
      <c r="A268" s="2" t="s">
        <v>17</v>
      </c>
      <c r="B268" s="4">
        <v>46052</v>
      </c>
      <c r="C268" s="5">
        <v>0.65142361111111113</v>
      </c>
      <c r="D268" s="8" t="s">
        <v>10888</v>
      </c>
      <c r="E268" s="8" t="s">
        <v>796</v>
      </c>
      <c r="F268" s="8"/>
      <c r="H268" s="8"/>
      <c r="I268" s="8" t="s">
        <v>10941</v>
      </c>
      <c r="J268" s="8" t="s">
        <v>2992</v>
      </c>
      <c r="K268" t="s">
        <v>10942</v>
      </c>
      <c r="L268" t="s">
        <v>10943</v>
      </c>
      <c r="M268" s="3" t="str">
        <f>HYPERLINK(склад2въезд1319202122[[#This Row],[RelativePath]])</f>
        <v>8 Рейсмус\E33149364_2_20260130T153803Z.jpg</v>
      </c>
    </row>
    <row r="269" spans="1:13" x14ac:dyDescent="0.25">
      <c r="A269" s="2" t="s">
        <v>17</v>
      </c>
      <c r="B269" s="4">
        <v>46052</v>
      </c>
      <c r="C269" s="5">
        <v>0.68055555555555558</v>
      </c>
      <c r="D269" s="8" t="s">
        <v>2024</v>
      </c>
      <c r="E269" s="8" t="s">
        <v>796</v>
      </c>
      <c r="F269" s="8"/>
      <c r="H269" s="8"/>
      <c r="I269" s="8" t="s">
        <v>10944</v>
      </c>
      <c r="J269" s="8" t="s">
        <v>2992</v>
      </c>
      <c r="K269" t="s">
        <v>10945</v>
      </c>
      <c r="L269" t="s">
        <v>10946</v>
      </c>
      <c r="M269" s="3" t="str">
        <f>HYPERLINK(склад2въезд1319202122[[#This Row],[RelativePath]])</f>
        <v>8 Рейсмус\E33149364_2_20260130T162000Z.jpg</v>
      </c>
    </row>
    <row r="270" spans="1:13" x14ac:dyDescent="0.25">
      <c r="A270" s="2" t="s">
        <v>18</v>
      </c>
      <c r="B270" s="4">
        <v>46053</v>
      </c>
      <c r="C270" s="5">
        <v>0.49210648148148151</v>
      </c>
      <c r="D270" s="8" t="s">
        <v>9455</v>
      </c>
      <c r="E270" s="8" t="s">
        <v>1607</v>
      </c>
      <c r="F270" s="8"/>
      <c r="H270" s="8"/>
      <c r="I270" s="8" t="s">
        <v>11040</v>
      </c>
      <c r="J270" s="8" t="s">
        <v>2992</v>
      </c>
      <c r="K270" t="s">
        <v>11041</v>
      </c>
      <c r="L270" t="s">
        <v>11042</v>
      </c>
      <c r="M270" s="3" t="str">
        <f>HYPERLINK(склад2въезд1319202122[[#This Row],[RelativePath]])</f>
        <v>8 Рейсмус\E33149364_2_20260131T114838Z.jpg</v>
      </c>
    </row>
    <row r="271" spans="1:13" x14ac:dyDescent="0.25">
      <c r="A271" s="2" t="s">
        <v>22</v>
      </c>
      <c r="B271" s="4">
        <v>46054</v>
      </c>
      <c r="C271" s="5">
        <v>0.49217592592592591</v>
      </c>
      <c r="D271" s="8" t="s">
        <v>2024</v>
      </c>
      <c r="E271" s="8" t="s">
        <v>796</v>
      </c>
      <c r="F271" s="8"/>
      <c r="H271" s="8"/>
      <c r="I271" s="8" t="s">
        <v>11043</v>
      </c>
      <c r="J271" s="8" t="s">
        <v>2992</v>
      </c>
      <c r="K271" t="s">
        <v>11044</v>
      </c>
      <c r="L271" t="s">
        <v>11045</v>
      </c>
      <c r="M271" s="3" t="str">
        <f>HYPERLINK(склад2въезд1319202122[[#This Row],[RelativePath]])</f>
        <v>8 Рейсмус\E33149364_2_20260201T114844Z.jpg</v>
      </c>
    </row>
    <row r="272" spans="1:13" x14ac:dyDescent="0.25">
      <c r="A272" s="2" t="s">
        <v>13</v>
      </c>
      <c r="B272" s="4">
        <v>46055</v>
      </c>
      <c r="C272" s="5">
        <v>0.39327546296296295</v>
      </c>
      <c r="D272" s="8" t="s">
        <v>2024</v>
      </c>
      <c r="E272" s="8" t="s">
        <v>796</v>
      </c>
      <c r="F272" s="8"/>
      <c r="H272" s="8"/>
      <c r="I272" s="8" t="s">
        <v>11199</v>
      </c>
      <c r="J272" s="8" t="s">
        <v>2992</v>
      </c>
      <c r="K272" t="s">
        <v>11200</v>
      </c>
      <c r="L272" t="s">
        <v>11201</v>
      </c>
      <c r="M272" s="3" t="str">
        <f>HYPERLINK(склад2въезд1319202122[[#This Row],[RelativePath]])</f>
        <v>8 Рейсмус\E33149364_2_20260202T092619Z.jpg</v>
      </c>
    </row>
    <row r="273" spans="1:13" x14ac:dyDescent="0.25">
      <c r="A273" s="2" t="s">
        <v>13</v>
      </c>
      <c r="B273" s="4">
        <v>46055</v>
      </c>
      <c r="C273" s="5">
        <v>0.4941550925925926</v>
      </c>
      <c r="D273" s="8" t="s">
        <v>9409</v>
      </c>
      <c r="E273" s="8" t="s">
        <v>1607</v>
      </c>
      <c r="F273" s="8"/>
      <c r="H273" s="8"/>
      <c r="I273" s="8" t="s">
        <v>11202</v>
      </c>
      <c r="J273" s="8" t="s">
        <v>2992</v>
      </c>
      <c r="K273" t="s">
        <v>11203</v>
      </c>
      <c r="L273" t="s">
        <v>11204</v>
      </c>
      <c r="M273" s="3" t="str">
        <f>HYPERLINK(склад2въезд1319202122[[#This Row],[RelativePath]])</f>
        <v>8 Рейсмус\E33149364_2_20260202T115135Z.jpg</v>
      </c>
    </row>
    <row r="274" spans="1:13" x14ac:dyDescent="0.25">
      <c r="A274" s="2" t="s">
        <v>13</v>
      </c>
      <c r="B274" s="4">
        <v>46055</v>
      </c>
      <c r="C274" s="5">
        <v>0.64759259259259261</v>
      </c>
      <c r="D274" s="8" t="s">
        <v>9409</v>
      </c>
      <c r="E274" s="8" t="s">
        <v>1607</v>
      </c>
      <c r="F274" s="8"/>
      <c r="H274" s="8"/>
      <c r="I274" s="8" t="s">
        <v>11205</v>
      </c>
      <c r="J274" s="8" t="s">
        <v>2992</v>
      </c>
      <c r="K274" t="s">
        <v>11206</v>
      </c>
      <c r="L274" t="s">
        <v>11207</v>
      </c>
      <c r="M274" s="3" t="str">
        <f>HYPERLINK(склад2въезд1319202122[[#This Row],[RelativePath]])</f>
        <v>8 Рейсмус\E33149364_2_20260202T153232Z.jpg</v>
      </c>
    </row>
    <row r="275" spans="1:13" x14ac:dyDescent="0.25">
      <c r="A275" s="2" t="s">
        <v>13</v>
      </c>
      <c r="B275" s="4">
        <v>46055</v>
      </c>
      <c r="C275" s="5">
        <v>0.68866898148148148</v>
      </c>
      <c r="D275" s="8" t="s">
        <v>9409</v>
      </c>
      <c r="E275" s="8" t="s">
        <v>1607</v>
      </c>
      <c r="F275" s="8"/>
      <c r="H275" s="8"/>
      <c r="I275" s="8" t="s">
        <v>11208</v>
      </c>
      <c r="J275" s="8" t="s">
        <v>2992</v>
      </c>
      <c r="K275" t="s">
        <v>11209</v>
      </c>
      <c r="L275" t="s">
        <v>11210</v>
      </c>
      <c r="M275" s="3" t="str">
        <f>HYPERLINK(склад2въезд1319202122[[#This Row],[RelativePath]])</f>
        <v>8 Рейсмус\E33149364_2_20260202T163141Z.jpg</v>
      </c>
    </row>
    <row r="276" spans="1:13" x14ac:dyDescent="0.25">
      <c r="A276" s="2" t="s">
        <v>14</v>
      </c>
      <c r="B276" s="4">
        <v>46056</v>
      </c>
      <c r="C276" s="5">
        <v>0.51500000000000001</v>
      </c>
      <c r="D276" s="8" t="s">
        <v>4</v>
      </c>
      <c r="E276" s="8" t="s">
        <v>9</v>
      </c>
      <c r="F276" s="8"/>
      <c r="H276" s="8"/>
      <c r="I276" s="8" t="s">
        <v>11211</v>
      </c>
      <c r="J276" s="8" t="s">
        <v>2992</v>
      </c>
      <c r="K276" t="s">
        <v>11212</v>
      </c>
      <c r="L276" t="s">
        <v>11213</v>
      </c>
      <c r="M276" s="3" t="str">
        <f>HYPERLINK(склад2въезд1319202122[[#This Row],[RelativePath]])</f>
        <v>8 Рейсмус\E33149364_2_20260203T122136Z.jpg</v>
      </c>
    </row>
    <row r="277" spans="1:13" x14ac:dyDescent="0.25">
      <c r="A277" s="2" t="s">
        <v>14</v>
      </c>
      <c r="B277" s="4">
        <v>46056</v>
      </c>
      <c r="C277" s="5">
        <v>0.65103009259259259</v>
      </c>
      <c r="D277" s="8" t="s">
        <v>9409</v>
      </c>
      <c r="E277" s="8" t="s">
        <v>1607</v>
      </c>
      <c r="F277" s="8"/>
      <c r="H277" s="8"/>
      <c r="I277" s="8" t="s">
        <v>11214</v>
      </c>
      <c r="J277" s="8" t="s">
        <v>2992</v>
      </c>
      <c r="K277" t="s">
        <v>11215</v>
      </c>
      <c r="L277" t="s">
        <v>11216</v>
      </c>
      <c r="M277" s="3" t="str">
        <f>HYPERLINK(склад2въезд1319202122[[#This Row],[RelativePath]])</f>
        <v>8 Рейсмус\E33149364_2_20260203T153729Z.jpg</v>
      </c>
    </row>
    <row r="278" spans="1:13" x14ac:dyDescent="0.25">
      <c r="A278" s="2" t="s">
        <v>14</v>
      </c>
      <c r="B278" s="4">
        <v>46056</v>
      </c>
      <c r="C278" s="5">
        <v>0.65806712962962965</v>
      </c>
      <c r="D278" s="8" t="s">
        <v>2024</v>
      </c>
      <c r="E278" s="8" t="s">
        <v>796</v>
      </c>
      <c r="F278" s="8"/>
      <c r="H278" s="8"/>
      <c r="I278" s="8" t="s">
        <v>11217</v>
      </c>
      <c r="J278" s="8" t="s">
        <v>2992</v>
      </c>
      <c r="K278" t="s">
        <v>11218</v>
      </c>
      <c r="L278" t="s">
        <v>11219</v>
      </c>
      <c r="M278" s="3" t="str">
        <f>HYPERLINK(склад2въезд1319202122[[#This Row],[RelativePath]])</f>
        <v>8 Рейсмус\E33149364_2_20260203T154737Z.jpg</v>
      </c>
    </row>
    <row r="279" spans="1:13" x14ac:dyDescent="0.25">
      <c r="A279" s="2" t="s">
        <v>14</v>
      </c>
      <c r="B279" s="4">
        <v>46056</v>
      </c>
      <c r="C279" s="5">
        <v>0.8774305555555556</v>
      </c>
      <c r="D279" s="8" t="s">
        <v>9409</v>
      </c>
      <c r="E279" s="8" t="s">
        <v>1607</v>
      </c>
      <c r="F279" s="8"/>
      <c r="H279" s="8"/>
      <c r="I279" s="8" t="s">
        <v>11220</v>
      </c>
      <c r="J279" s="8" t="s">
        <v>2992</v>
      </c>
      <c r="K279" t="s">
        <v>11221</v>
      </c>
      <c r="L279" t="s">
        <v>11222</v>
      </c>
      <c r="M279" s="3" t="str">
        <f>HYPERLINK(склад2въезд1319202122[[#This Row],[RelativePath]])</f>
        <v>8 Рейсмус\E33149364_2_20260203T210330Z.jpg</v>
      </c>
    </row>
    <row r="280" spans="1:13" x14ac:dyDescent="0.25">
      <c r="A280" s="2" t="s">
        <v>14</v>
      </c>
      <c r="B280" s="4">
        <v>46056</v>
      </c>
      <c r="C280" s="5">
        <v>0.90979166666666667</v>
      </c>
      <c r="D280" s="8" t="s">
        <v>2024</v>
      </c>
      <c r="E280" s="8" t="s">
        <v>796</v>
      </c>
      <c r="F280" s="8"/>
      <c r="H280" s="8"/>
      <c r="I280" s="8" t="s">
        <v>11223</v>
      </c>
      <c r="J280" s="8" t="s">
        <v>2992</v>
      </c>
      <c r="K280" t="s">
        <v>11224</v>
      </c>
      <c r="L280" t="s">
        <v>11225</v>
      </c>
      <c r="M280" s="3" t="str">
        <f>HYPERLINK(склад2въезд1319202122[[#This Row],[RelativePath]])</f>
        <v>8 Рейсмус\E33149364_2_20260203T215006Z.jpg</v>
      </c>
    </row>
  </sheetData>
  <conditionalFormatting sqref="D281:D291 E281:E294 G2:H280 D2:E280">
    <cfRule type="containsText" dxfId="107" priority="14" operator="containsText" text="Выезд с территории">
      <formula>NOT(ISERROR(SEARCH("Выезд с территории",D2)))</formula>
    </cfRule>
  </conditionalFormatting>
  <conditionalFormatting sqref="F2:F280">
    <cfRule type="notContainsText" dxfId="106" priority="13" operator="notContains" text="порожний">
      <formula>ISERROR(SEARCH("порожний",F2))</formula>
    </cfRule>
  </conditionalFormatting>
  <conditionalFormatting sqref="E2:E294">
    <cfRule type="containsText" dxfId="105" priority="11" operator="containsText" text="Газель базы">
      <formula>NOT(ISERROR(SEARCH("Газель базы",E2)))</formula>
    </cfRule>
    <cfRule type="containsText" dxfId="104" priority="12" operator="containsText" text="Погрузчик базы">
      <formula>NOT(ISERROR(SEARCH("Погрузчик базы",E2)))</formula>
    </cfRule>
  </conditionalFormatting>
  <conditionalFormatting sqref="E2:E294">
    <cfRule type="containsText" dxfId="103" priority="10" operator="containsText" text="Трактор базы">
      <formula>NOT(ISERROR(SEARCH("Трактор базы",E2)))</formula>
    </cfRule>
  </conditionalFormatting>
  <conditionalFormatting sqref="A2:C280">
    <cfRule type="expression" dxfId="102" priority="9">
      <formula>$A2="пн"</formula>
    </cfRule>
  </conditionalFormatting>
  <conditionalFormatting sqref="A2:C282">
    <cfRule type="expression" dxfId="101" priority="3">
      <formula>$A2="вс"</formula>
    </cfRule>
    <cfRule type="expression" dxfId="100" priority="4">
      <formula>$A2="сб"</formula>
    </cfRule>
    <cfRule type="expression" dxfId="99" priority="5">
      <formula>$A2="пт"</formula>
    </cfRule>
    <cfRule type="expression" dxfId="98" priority="6">
      <formula>$A2="чт"</formula>
    </cfRule>
    <cfRule type="expression" dxfId="97" priority="7">
      <formula>$A2="ср"</formula>
    </cfRule>
    <cfRule type="expression" dxfId="96" priority="8">
      <formula>$A2="вт"</formula>
    </cfRule>
  </conditionalFormatting>
  <conditionalFormatting sqref="D2:D291">
    <cfRule type="containsText" dxfId="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1">
    <cfRule type="containsText" dxfId="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581"/>
  <sheetViews>
    <sheetView zoomScale="90" zoomScaleNormal="90" workbookViewId="0">
      <pane ySplit="1" topLeftCell="A568" activePane="bottomLeft" state="frozen"/>
      <selection pane="bottomLeft" activeCell="I573" sqref="I573:I58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7710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7710</v>
      </c>
      <c r="I449" s="8" t="s">
        <v>7451</v>
      </c>
      <c r="J449" s="8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7709</v>
      </c>
      <c r="F450" s="8"/>
      <c r="H450" s="8"/>
      <c r="I450" s="8" t="s">
        <v>7454</v>
      </c>
      <c r="J450" s="8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7710</v>
      </c>
      <c r="I451" s="8" t="s">
        <v>7457</v>
      </c>
      <c r="J451" s="8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7710</v>
      </c>
      <c r="I452" s="8" t="s">
        <v>7460</v>
      </c>
      <c r="J452" s="8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7709</v>
      </c>
      <c r="F453" s="8"/>
      <c r="H453" s="8"/>
      <c r="I453" s="8" t="s">
        <v>7463</v>
      </c>
      <c r="J453" s="8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7709</v>
      </c>
      <c r="F454" s="8"/>
      <c r="H454" s="8"/>
      <c r="I454" s="8" t="s">
        <v>7466</v>
      </c>
      <c r="J454" s="8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7710</v>
      </c>
      <c r="I455" s="8" t="s">
        <v>7469</v>
      </c>
      <c r="J455" s="8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7709</v>
      </c>
      <c r="F456" s="8"/>
      <c r="H456" s="8"/>
      <c r="I456" s="8" t="s">
        <v>7472</v>
      </c>
      <c r="J456" s="8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7710</v>
      </c>
      <c r="I457" s="8" t="s">
        <v>7475</v>
      </c>
      <c r="J457" s="8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s="8" t="s">
        <v>4</v>
      </c>
      <c r="E458" s="8" t="s">
        <v>86</v>
      </c>
      <c r="F458" s="8"/>
      <c r="H458" s="8" t="s">
        <v>7710</v>
      </c>
      <c r="I458" s="8" t="s">
        <v>7729</v>
      </c>
      <c r="J458" s="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s="8" t="s">
        <v>4</v>
      </c>
      <c r="E459" s="8" t="s">
        <v>7709</v>
      </c>
      <c r="F459" s="8"/>
      <c r="H459" s="8"/>
      <c r="I459" s="8" t="s">
        <v>7732</v>
      </c>
      <c r="J459" s="8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s="8" t="s">
        <v>4</v>
      </c>
      <c r="E460" s="8" t="s">
        <v>86</v>
      </c>
      <c r="F460" s="8"/>
      <c r="H460" s="8" t="s">
        <v>7710</v>
      </c>
      <c r="I460" s="8" t="s">
        <v>7735</v>
      </c>
      <c r="J460" s="8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s="8" t="s">
        <v>4</v>
      </c>
      <c r="E461" s="8" t="s">
        <v>7709</v>
      </c>
      <c r="F461" s="8"/>
      <c r="H461" s="8"/>
      <c r="I461" s="8" t="s">
        <v>7738</v>
      </c>
      <c r="J461" s="8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s="8" t="s">
        <v>4</v>
      </c>
      <c r="E462" s="8" t="s">
        <v>86</v>
      </c>
      <c r="F462" s="8"/>
      <c r="H462" s="8" t="s">
        <v>7710</v>
      </c>
      <c r="I462" s="8" t="s">
        <v>7741</v>
      </c>
      <c r="J462" s="8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s="8" t="s">
        <v>2004</v>
      </c>
      <c r="E463" s="8" t="s">
        <v>86</v>
      </c>
      <c r="F463" s="8"/>
      <c r="H463" s="8"/>
      <c r="I463" s="8" t="s">
        <v>7956</v>
      </c>
      <c r="J463" s="8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s="8" t="s">
        <v>2004</v>
      </c>
      <c r="E464" s="8" t="s">
        <v>86</v>
      </c>
      <c r="F464" s="8"/>
      <c r="H464" s="8"/>
      <c r="I464" s="8" t="s">
        <v>7959</v>
      </c>
      <c r="J464" s="8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s="8" t="s">
        <v>4</v>
      </c>
      <c r="E465" s="8" t="s">
        <v>8335</v>
      </c>
      <c r="F465" s="8"/>
      <c r="H465" s="8"/>
      <c r="I465" s="8" t="s">
        <v>8120</v>
      </c>
      <c r="J465" s="8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s="8" t="s">
        <v>1091</v>
      </c>
      <c r="E466" s="8" t="s">
        <v>8335</v>
      </c>
      <c r="F466" s="8" t="s">
        <v>53</v>
      </c>
      <c r="G466">
        <v>2</v>
      </c>
      <c r="H466" s="8" t="s">
        <v>8362</v>
      </c>
      <c r="I466" s="8" t="s">
        <v>8123</v>
      </c>
      <c r="J466" s="8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s="8" t="s">
        <v>1091</v>
      </c>
      <c r="E467" s="8" t="s">
        <v>8335</v>
      </c>
      <c r="F467" s="8" t="s">
        <v>53</v>
      </c>
      <c r="G467">
        <v>1</v>
      </c>
      <c r="H467" s="8"/>
      <c r="I467" s="8" t="s">
        <v>8126</v>
      </c>
      <c r="J467" s="8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s="8" t="s">
        <v>1091</v>
      </c>
      <c r="E468" s="8" t="s">
        <v>8335</v>
      </c>
      <c r="F468" s="8" t="s">
        <v>53</v>
      </c>
      <c r="G468">
        <v>2</v>
      </c>
      <c r="H468" s="8"/>
      <c r="I468" s="8" t="s">
        <v>8129</v>
      </c>
      <c r="J468" s="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s="8" t="s">
        <v>4</v>
      </c>
      <c r="E469" s="8" t="s">
        <v>1607</v>
      </c>
      <c r="F469" s="8"/>
      <c r="H469" s="8"/>
      <c r="I469" s="8" t="s">
        <v>8132</v>
      </c>
      <c r="J469" s="8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s="8" t="s">
        <v>2004</v>
      </c>
      <c r="E470" s="8" t="s">
        <v>86</v>
      </c>
      <c r="F470" s="8"/>
      <c r="H470" s="8" t="s">
        <v>5479</v>
      </c>
      <c r="I470" s="8" t="s">
        <v>8135</v>
      </c>
      <c r="J470" s="8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s="8" t="s">
        <v>2004</v>
      </c>
      <c r="E471" s="8" t="s">
        <v>86</v>
      </c>
      <c r="F471" s="8"/>
      <c r="H471" s="8" t="s">
        <v>5479</v>
      </c>
      <c r="I471" s="8" t="s">
        <v>8138</v>
      </c>
      <c r="J471" s="8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s="8" t="s">
        <v>2004</v>
      </c>
      <c r="E472" s="8" t="s">
        <v>86</v>
      </c>
      <c r="F472" s="8"/>
      <c r="H472" s="8" t="s">
        <v>5479</v>
      </c>
      <c r="I472" s="8" t="s">
        <v>8141</v>
      </c>
      <c r="J472" s="8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s="8" t="s">
        <v>2004</v>
      </c>
      <c r="E473" s="8" t="s">
        <v>86</v>
      </c>
      <c r="F473" s="8"/>
      <c r="H473" s="8" t="s">
        <v>5479</v>
      </c>
      <c r="I473" s="8" t="s">
        <v>8420</v>
      </c>
      <c r="J473" s="8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s="8" t="s">
        <v>2004</v>
      </c>
      <c r="E474" s="8" t="s">
        <v>86</v>
      </c>
      <c r="F474" s="8"/>
      <c r="H474" s="8" t="s">
        <v>5479</v>
      </c>
      <c r="I474" s="8" t="s">
        <v>8423</v>
      </c>
      <c r="J474" s="8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s="8" t="s">
        <v>2004</v>
      </c>
      <c r="E475" s="8" t="s">
        <v>86</v>
      </c>
      <c r="F475" s="8"/>
      <c r="H475" s="8" t="s">
        <v>5479</v>
      </c>
      <c r="I475" s="8" t="s">
        <v>8426</v>
      </c>
      <c r="J475" s="8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s="8" t="s">
        <v>2004</v>
      </c>
      <c r="E476" s="8" t="s">
        <v>86</v>
      </c>
      <c r="F476" s="8"/>
      <c r="H476" s="8" t="s">
        <v>5479</v>
      </c>
      <c r="I476" s="8" t="s">
        <v>8682</v>
      </c>
      <c r="J476" s="8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s="8" t="s">
        <v>2004</v>
      </c>
      <c r="E477" s="8" t="s">
        <v>86</v>
      </c>
      <c r="F477" s="8"/>
      <c r="H477" s="8" t="s">
        <v>5479</v>
      </c>
      <c r="I477" s="8" t="s">
        <v>8685</v>
      </c>
      <c r="J477" s="8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s="8" t="s">
        <v>2004</v>
      </c>
      <c r="E478" s="8" t="s">
        <v>8825</v>
      </c>
      <c r="F478" s="8"/>
      <c r="H478" s="8" t="s">
        <v>5479</v>
      </c>
      <c r="I478" s="8" t="s">
        <v>8688</v>
      </c>
      <c r="J478" s="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s="8" t="s">
        <v>2004</v>
      </c>
      <c r="E479" s="8" t="s">
        <v>86</v>
      </c>
      <c r="F479" s="8"/>
      <c r="H479" s="8" t="s">
        <v>5479</v>
      </c>
      <c r="I479" s="8" t="s">
        <v>8691</v>
      </c>
      <c r="J479" s="8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s="8" t="s">
        <v>2004</v>
      </c>
      <c r="E480" s="8" t="s">
        <v>86</v>
      </c>
      <c r="F480" s="8"/>
      <c r="H480" s="8" t="s">
        <v>5479</v>
      </c>
      <c r="I480" s="8" t="s">
        <v>8694</v>
      </c>
      <c r="J480" s="8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s="8" t="s">
        <v>2004</v>
      </c>
      <c r="E481" s="8" t="s">
        <v>86</v>
      </c>
      <c r="F481" s="8"/>
      <c r="H481" s="8" t="s">
        <v>5479</v>
      </c>
      <c r="I481" s="8" t="s">
        <v>8697</v>
      </c>
      <c r="J481" s="8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s="8" t="s">
        <v>2004</v>
      </c>
      <c r="E482" s="8" t="s">
        <v>86</v>
      </c>
      <c r="F482" s="8"/>
      <c r="H482" s="8" t="s">
        <v>5479</v>
      </c>
      <c r="I482" s="8" t="s">
        <v>8700</v>
      </c>
      <c r="J482" s="8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s="8" t="s">
        <v>2004</v>
      </c>
      <c r="E483" s="8" t="s">
        <v>86</v>
      </c>
      <c r="F483" s="8"/>
      <c r="H483" s="8" t="s">
        <v>5479</v>
      </c>
      <c r="I483" s="8" t="s">
        <v>8897</v>
      </c>
      <c r="J483" s="8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s="8" t="s">
        <v>4</v>
      </c>
      <c r="E484" s="8" t="s">
        <v>9</v>
      </c>
      <c r="F484" s="8"/>
      <c r="H484" s="8"/>
      <c r="I484" s="8" t="s">
        <v>8900</v>
      </c>
      <c r="J484" s="8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s="8" t="s">
        <v>9200</v>
      </c>
      <c r="E485" s="8" t="s">
        <v>9201</v>
      </c>
      <c r="F485" s="8"/>
      <c r="H485" s="8"/>
      <c r="I485" s="8" t="s">
        <v>8903</v>
      </c>
      <c r="J485" s="8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s="8" t="s">
        <v>2024</v>
      </c>
      <c r="E486" s="8" t="s">
        <v>1304</v>
      </c>
      <c r="F486" s="8"/>
      <c r="H486" s="8"/>
      <c r="I486" s="8" t="s">
        <v>8906</v>
      </c>
      <c r="J486" s="8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s="8" t="s">
        <v>9200</v>
      </c>
      <c r="E487" s="8" t="s">
        <v>5137</v>
      </c>
      <c r="F487" s="8"/>
      <c r="H487" s="8"/>
      <c r="I487" s="8" t="s">
        <v>8909</v>
      </c>
      <c r="J487" s="8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s="8" t="s">
        <v>5476</v>
      </c>
      <c r="E488" s="8" t="s">
        <v>5480</v>
      </c>
      <c r="F488" s="8" t="s">
        <v>9202</v>
      </c>
      <c r="H488" s="8"/>
      <c r="I488" s="8" t="s">
        <v>8912</v>
      </c>
      <c r="J488" s="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s="8" t="s">
        <v>4</v>
      </c>
      <c r="E489" s="8" t="s">
        <v>9</v>
      </c>
      <c r="F489" s="8"/>
      <c r="H489" s="8"/>
      <c r="I489" s="8" t="s">
        <v>8915</v>
      </c>
      <c r="J489" s="8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s="8" t="s">
        <v>5476</v>
      </c>
      <c r="E490" s="8" t="s">
        <v>5480</v>
      </c>
      <c r="F490" s="8" t="s">
        <v>9203</v>
      </c>
      <c r="H490" s="8"/>
      <c r="I490" s="8" t="s">
        <v>8918</v>
      </c>
      <c r="J490" s="8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s="8" t="s">
        <v>4</v>
      </c>
      <c r="E491" s="8" t="s">
        <v>9204</v>
      </c>
      <c r="F491" s="8"/>
      <c r="H491" s="8"/>
      <c r="I491" s="8" t="s">
        <v>8921</v>
      </c>
      <c r="J491" s="8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s="8" t="s">
        <v>5476</v>
      </c>
      <c r="E492" s="8" t="s">
        <v>5480</v>
      </c>
      <c r="F492" s="8" t="s">
        <v>9203</v>
      </c>
      <c r="H492" s="8"/>
      <c r="I492" s="8" t="s">
        <v>8924</v>
      </c>
      <c r="J492" s="8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s="8" t="s">
        <v>5476</v>
      </c>
      <c r="E493" s="8" t="s">
        <v>5480</v>
      </c>
      <c r="F493" s="8" t="s">
        <v>9203</v>
      </c>
      <c r="H493" s="8"/>
      <c r="I493" s="8" t="s">
        <v>8927</v>
      </c>
      <c r="J493" s="8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s="8" t="s">
        <v>4</v>
      </c>
      <c r="E494" s="8" t="s">
        <v>9</v>
      </c>
      <c r="F494" s="8"/>
      <c r="H494" s="8"/>
      <c r="I494" s="8" t="s">
        <v>8930</v>
      </c>
      <c r="J494" s="8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s="8" t="s">
        <v>5476</v>
      </c>
      <c r="E495" s="8" t="s">
        <v>5480</v>
      </c>
      <c r="F495" s="8" t="s">
        <v>9203</v>
      </c>
      <c r="H495" s="8"/>
      <c r="I495" s="8" t="s">
        <v>8933</v>
      </c>
      <c r="J495" s="8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s="8" t="s">
        <v>5476</v>
      </c>
      <c r="E496" s="8" t="s">
        <v>5480</v>
      </c>
      <c r="F496" s="8" t="s">
        <v>9203</v>
      </c>
      <c r="H496" s="8"/>
      <c r="I496" s="8" t="s">
        <v>8936</v>
      </c>
      <c r="J496" s="8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s="8" t="s">
        <v>4</v>
      </c>
      <c r="E497" s="8" t="s">
        <v>9</v>
      </c>
      <c r="F497" s="8"/>
      <c r="H497" s="8"/>
      <c r="I497" s="8" t="s">
        <v>8939</v>
      </c>
      <c r="J497" s="8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s="8" t="s">
        <v>4</v>
      </c>
      <c r="E498" s="8" t="s">
        <v>86</v>
      </c>
      <c r="F498" s="8"/>
      <c r="H498" s="8" t="s">
        <v>5479</v>
      </c>
      <c r="I498" s="8" t="s">
        <v>8942</v>
      </c>
      <c r="J498" s="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s="8" t="s">
        <v>9205</v>
      </c>
      <c r="E499" s="8" t="s">
        <v>1304</v>
      </c>
      <c r="F499" s="8"/>
      <c r="H499" s="8"/>
      <c r="I499" s="8" t="s">
        <v>8945</v>
      </c>
      <c r="J499" s="8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s="8" t="s">
        <v>2024</v>
      </c>
      <c r="E500" s="8" t="s">
        <v>1304</v>
      </c>
      <c r="F500" s="8"/>
      <c r="H500" s="8"/>
      <c r="I500" s="8" t="s">
        <v>8948</v>
      </c>
      <c r="J500" s="8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s="8" t="s">
        <v>2024</v>
      </c>
      <c r="E501" s="8" t="s">
        <v>1304</v>
      </c>
      <c r="F501" s="8"/>
      <c r="H501" s="8"/>
      <c r="I501" s="8" t="s">
        <v>8951</v>
      </c>
      <c r="J501" s="8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s="8" t="s">
        <v>4</v>
      </c>
      <c r="E502" s="8" t="s">
        <v>9</v>
      </c>
      <c r="F502" s="8"/>
      <c r="H502" s="8"/>
      <c r="I502" s="8" t="s">
        <v>8954</v>
      </c>
      <c r="J502" s="8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s="8" t="s">
        <v>9200</v>
      </c>
      <c r="E503" s="8" t="s">
        <v>5137</v>
      </c>
      <c r="F503" s="8"/>
      <c r="H503" s="8"/>
      <c r="I503" s="8" t="s">
        <v>8957</v>
      </c>
      <c r="J503" s="8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s="8" t="s">
        <v>5476</v>
      </c>
      <c r="E504" s="8" t="s">
        <v>5480</v>
      </c>
      <c r="F504" s="8" t="s">
        <v>528</v>
      </c>
      <c r="H504" s="8"/>
      <c r="I504" s="8" t="s">
        <v>8960</v>
      </c>
      <c r="J504" s="8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s="8" t="s">
        <v>4</v>
      </c>
      <c r="E505" s="8" t="s">
        <v>7709</v>
      </c>
      <c r="F505" s="8"/>
      <c r="H505" s="8"/>
      <c r="I505" s="8" t="s">
        <v>8963</v>
      </c>
      <c r="J505" s="8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s="8" t="s">
        <v>9206</v>
      </c>
      <c r="E506" s="8" t="s">
        <v>1304</v>
      </c>
      <c r="F506" s="8"/>
      <c r="H506" s="8"/>
      <c r="I506" s="8" t="s">
        <v>8966</v>
      </c>
      <c r="J506" s="8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s="8" t="s">
        <v>9206</v>
      </c>
      <c r="E507" s="8" t="s">
        <v>1304</v>
      </c>
      <c r="F507" s="8"/>
      <c r="H507" s="8"/>
      <c r="I507" s="8" t="s">
        <v>8969</v>
      </c>
      <c r="J507" s="8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s="8" t="s">
        <v>4</v>
      </c>
      <c r="E508" s="8" t="s">
        <v>86</v>
      </c>
      <c r="F508" s="8"/>
      <c r="H508" s="8" t="s">
        <v>5479</v>
      </c>
      <c r="I508" s="8" t="s">
        <v>8972</v>
      </c>
      <c r="J508" s="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s="8" t="s">
        <v>9456</v>
      </c>
      <c r="E509" s="8" t="s">
        <v>1304</v>
      </c>
      <c r="F509" s="8"/>
      <c r="H509" s="8"/>
      <c r="I509" s="8" t="s">
        <v>9288</v>
      </c>
      <c r="J509" s="8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s="8" t="s">
        <v>9456</v>
      </c>
      <c r="E510" s="8" t="s">
        <v>1304</v>
      </c>
      <c r="F510" s="8"/>
      <c r="H510" s="8"/>
      <c r="I510" s="8" t="s">
        <v>9291</v>
      </c>
      <c r="J510" s="8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s="8" t="s">
        <v>9456</v>
      </c>
      <c r="E511" s="8" t="s">
        <v>9457</v>
      </c>
      <c r="F511" s="8"/>
      <c r="H511" s="8"/>
      <c r="I511" s="8" t="s">
        <v>9294</v>
      </c>
      <c r="J511" s="8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s="8" t="s">
        <v>4</v>
      </c>
      <c r="E512" s="8" t="s">
        <v>7709</v>
      </c>
      <c r="F512" s="8"/>
      <c r="H512" s="8"/>
      <c r="I512" s="8" t="s">
        <v>9297</v>
      </c>
      <c r="J512" s="8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s="8" t="s">
        <v>9456</v>
      </c>
      <c r="E513" s="8" t="s">
        <v>1304</v>
      </c>
      <c r="F513" s="8"/>
      <c r="H513" s="8"/>
      <c r="I513" s="8" t="s">
        <v>9458</v>
      </c>
      <c r="J513" s="8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s="8" t="s">
        <v>9456</v>
      </c>
      <c r="E514" s="8" t="s">
        <v>1304</v>
      </c>
      <c r="F514" s="8"/>
      <c r="H514" s="8"/>
      <c r="I514" s="8" t="s">
        <v>9461</v>
      </c>
      <c r="J514" s="8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s="8" t="s">
        <v>9456</v>
      </c>
      <c r="E515" s="8" t="s">
        <v>1304</v>
      </c>
      <c r="F515" s="8"/>
      <c r="H515" s="8"/>
      <c r="I515" s="8" t="s">
        <v>9464</v>
      </c>
      <c r="J515" s="8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s="8" t="s">
        <v>9456</v>
      </c>
      <c r="E516" s="8" t="s">
        <v>1304</v>
      </c>
      <c r="F516" s="8"/>
      <c r="H516" s="8"/>
      <c r="I516" s="8" t="s">
        <v>9467</v>
      </c>
      <c r="J516" s="8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s="8" t="s">
        <v>9456</v>
      </c>
      <c r="E517" s="8" t="s">
        <v>1304</v>
      </c>
      <c r="F517" s="8"/>
      <c r="H517" s="8"/>
      <c r="I517" s="8" t="s">
        <v>9470</v>
      </c>
      <c r="J517" s="8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s="8" t="s">
        <v>9456</v>
      </c>
      <c r="E518" s="8" t="s">
        <v>1304</v>
      </c>
      <c r="F518" s="8"/>
      <c r="H518" s="8"/>
      <c r="I518" s="8" t="s">
        <v>9473</v>
      </c>
      <c r="J518" s="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s="8" t="s">
        <v>9485</v>
      </c>
      <c r="E519" s="8" t="s">
        <v>1304</v>
      </c>
      <c r="F519" s="8"/>
      <c r="H519" s="8"/>
      <c r="I519" s="8" t="s">
        <v>9476</v>
      </c>
      <c r="J519" s="8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s="8" t="s">
        <v>9455</v>
      </c>
      <c r="E520" s="8" t="s">
        <v>5137</v>
      </c>
      <c r="F520" s="8"/>
      <c r="H520" s="8"/>
      <c r="I520" s="8" t="s">
        <v>9479</v>
      </c>
      <c r="J520" s="8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s="8" t="s">
        <v>4</v>
      </c>
      <c r="E521" s="8" t="s">
        <v>86</v>
      </c>
      <c r="F521" s="8"/>
      <c r="H521" s="8" t="s">
        <v>5479</v>
      </c>
      <c r="I521" s="8" t="s">
        <v>9482</v>
      </c>
      <c r="J521" s="8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s="8" t="s">
        <v>4</v>
      </c>
      <c r="E522" s="8" t="s">
        <v>86</v>
      </c>
      <c r="F522" s="8"/>
      <c r="H522" s="8" t="s">
        <v>5479</v>
      </c>
      <c r="I522" s="8" t="s">
        <v>9648</v>
      </c>
      <c r="J522" s="8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s="8" t="s">
        <v>4</v>
      </c>
      <c r="E523" s="8" t="s">
        <v>9691</v>
      </c>
      <c r="F523" s="8"/>
      <c r="H523" s="8"/>
      <c r="I523" s="8" t="s">
        <v>9651</v>
      </c>
      <c r="J523" s="8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s="8" t="s">
        <v>9692</v>
      </c>
      <c r="E524" s="8" t="s">
        <v>9201</v>
      </c>
      <c r="F524" s="8"/>
      <c r="H524" s="8"/>
      <c r="I524" s="8" t="s">
        <v>9654</v>
      </c>
      <c r="J524" s="8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s="8" t="s">
        <v>9456</v>
      </c>
      <c r="E525" s="8" t="s">
        <v>1304</v>
      </c>
      <c r="F525" s="8"/>
      <c r="H525" s="8"/>
      <c r="I525" s="8" t="s">
        <v>9795</v>
      </c>
      <c r="J525" s="8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s="8" t="s">
        <v>9456</v>
      </c>
      <c r="E526" s="8" t="s">
        <v>1304</v>
      </c>
      <c r="F526" s="8"/>
      <c r="H526" s="8"/>
      <c r="I526" s="8" t="s">
        <v>9798</v>
      </c>
      <c r="J526" s="8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s="8" t="s">
        <v>4</v>
      </c>
      <c r="E527" s="8" t="s">
        <v>9</v>
      </c>
      <c r="F527" s="8"/>
      <c r="H527" s="8"/>
      <c r="I527" s="8" t="s">
        <v>9801</v>
      </c>
      <c r="J527" s="8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s="8" t="s">
        <v>4</v>
      </c>
      <c r="E528" s="8" t="s">
        <v>5477</v>
      </c>
      <c r="F528" s="8"/>
      <c r="H528" s="8"/>
      <c r="I528" s="8" t="s">
        <v>9804</v>
      </c>
      <c r="J528" s="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s="8" t="s">
        <v>5476</v>
      </c>
      <c r="E529" s="8" t="s">
        <v>5480</v>
      </c>
      <c r="F529" s="8" t="s">
        <v>9202</v>
      </c>
      <c r="G529">
        <v>1</v>
      </c>
      <c r="H529" s="8"/>
      <c r="I529" s="8" t="s">
        <v>9807</v>
      </c>
      <c r="J529" s="8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s="8" t="s">
        <v>5476</v>
      </c>
      <c r="E530" s="8" t="s">
        <v>5480</v>
      </c>
      <c r="F530" s="8" t="s">
        <v>9202</v>
      </c>
      <c r="G530">
        <v>2</v>
      </c>
      <c r="H530" s="8"/>
      <c r="I530" s="8" t="s">
        <v>9810</v>
      </c>
      <c r="J530" s="8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s="8" t="s">
        <v>5476</v>
      </c>
      <c r="E531" s="8" t="s">
        <v>5480</v>
      </c>
      <c r="F531" s="8" t="s">
        <v>9202</v>
      </c>
      <c r="G531">
        <v>1</v>
      </c>
      <c r="H531" s="8"/>
      <c r="I531" s="8" t="s">
        <v>9813</v>
      </c>
      <c r="J531" s="8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s="8" t="s">
        <v>4</v>
      </c>
      <c r="E532" s="8" t="s">
        <v>5477</v>
      </c>
      <c r="F532" s="8"/>
      <c r="H532" s="8"/>
      <c r="I532" s="8" t="s">
        <v>9816</v>
      </c>
      <c r="J532" s="8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s="8" t="s">
        <v>4</v>
      </c>
      <c r="E533" s="8" t="s">
        <v>5477</v>
      </c>
      <c r="F533" s="8"/>
      <c r="H533" s="8"/>
      <c r="I533" s="8" t="s">
        <v>9819</v>
      </c>
      <c r="J533" s="8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s="8" t="s">
        <v>4</v>
      </c>
      <c r="E534" s="8" t="s">
        <v>86</v>
      </c>
      <c r="F534" s="8"/>
      <c r="H534" s="8" t="s">
        <v>5479</v>
      </c>
      <c r="I534" s="8" t="s">
        <v>9822</v>
      </c>
      <c r="J534" s="8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s="8" t="s">
        <v>9200</v>
      </c>
      <c r="E535" s="8" t="s">
        <v>5137</v>
      </c>
      <c r="F535" s="8"/>
      <c r="H535" s="8"/>
      <c r="I535" s="8" t="s">
        <v>10017</v>
      </c>
      <c r="J535" s="8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s="8" t="s">
        <v>4</v>
      </c>
      <c r="E536" s="8" t="s">
        <v>7709</v>
      </c>
      <c r="F536" s="8"/>
      <c r="H536" s="8"/>
      <c r="I536" s="8" t="s">
        <v>10020</v>
      </c>
      <c r="J536" s="8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s="8" t="s">
        <v>5476</v>
      </c>
      <c r="E537" s="8" t="s">
        <v>5480</v>
      </c>
      <c r="F537" s="8" t="s">
        <v>9202</v>
      </c>
      <c r="G537">
        <v>1</v>
      </c>
      <c r="H537" s="8"/>
      <c r="I537" s="8" t="s">
        <v>10023</v>
      </c>
      <c r="J537" s="8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s="8" t="s">
        <v>5476</v>
      </c>
      <c r="E538" s="8" t="s">
        <v>5480</v>
      </c>
      <c r="F538" s="8" t="s">
        <v>9202</v>
      </c>
      <c r="G538">
        <v>1</v>
      </c>
      <c r="H538" s="8"/>
      <c r="I538" s="8" t="s">
        <v>10026</v>
      </c>
      <c r="J538" s="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s="8" t="s">
        <v>9692</v>
      </c>
      <c r="E539" s="8" t="s">
        <v>5137</v>
      </c>
      <c r="F539" s="8"/>
      <c r="H539" s="8"/>
      <c r="I539" s="8" t="s">
        <v>10029</v>
      </c>
      <c r="J539" s="8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s="8" t="s">
        <v>5476</v>
      </c>
      <c r="E540" s="8" t="s">
        <v>5480</v>
      </c>
      <c r="F540" s="8" t="s">
        <v>9202</v>
      </c>
      <c r="G540">
        <v>2</v>
      </c>
      <c r="H540" s="8"/>
      <c r="I540" s="8" t="s">
        <v>10032</v>
      </c>
      <c r="J540" s="8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s="8" t="s">
        <v>158</v>
      </c>
      <c r="E541" s="8" t="s">
        <v>5480</v>
      </c>
      <c r="F541" s="8" t="s">
        <v>528</v>
      </c>
      <c r="G541">
        <v>1</v>
      </c>
      <c r="H541" s="8"/>
      <c r="I541" s="8" t="s">
        <v>10035</v>
      </c>
      <c r="J541" s="8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s="8" t="s">
        <v>650</v>
      </c>
      <c r="E542" s="8" t="s">
        <v>5480</v>
      </c>
      <c r="F542" s="8"/>
      <c r="H542" s="8"/>
      <c r="I542" s="8" t="s">
        <v>10038</v>
      </c>
      <c r="J542" s="8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s="8" t="s">
        <v>4</v>
      </c>
      <c r="E543" s="8" t="s">
        <v>8824</v>
      </c>
      <c r="F543" s="8"/>
      <c r="H543" s="8"/>
      <c r="I543" s="8" t="s">
        <v>10041</v>
      </c>
      <c r="J543" s="8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s="8" t="s">
        <v>4</v>
      </c>
      <c r="E544" s="8" t="s">
        <v>10393</v>
      </c>
      <c r="F544" s="8"/>
      <c r="H544" s="8" t="s">
        <v>5479</v>
      </c>
      <c r="I544" s="8" t="s">
        <v>10371</v>
      </c>
      <c r="J544" s="8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s="8" t="s">
        <v>4</v>
      </c>
      <c r="E545" s="8" t="s">
        <v>7709</v>
      </c>
      <c r="F545" s="8"/>
      <c r="H545" s="8"/>
      <c r="I545" s="8" t="s">
        <v>10374</v>
      </c>
      <c r="J545" s="8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s="8" t="s">
        <v>289</v>
      </c>
      <c r="E546" s="8" t="s">
        <v>9520</v>
      </c>
      <c r="F546" s="8" t="s">
        <v>58</v>
      </c>
      <c r="H546" s="8" t="s">
        <v>10445</v>
      </c>
      <c r="I546" s="8" t="s">
        <v>10377</v>
      </c>
      <c r="J546" s="8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s="8" t="s">
        <v>289</v>
      </c>
      <c r="E547" s="8" t="s">
        <v>9520</v>
      </c>
      <c r="F547" s="8" t="s">
        <v>58</v>
      </c>
      <c r="H547" s="8" t="s">
        <v>2936</v>
      </c>
      <c r="I547" s="8" t="s">
        <v>10380</v>
      </c>
      <c r="J547" s="8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s="8" t="s">
        <v>4</v>
      </c>
      <c r="E548" s="8" t="s">
        <v>5480</v>
      </c>
      <c r="F548" s="8"/>
      <c r="H548" s="8" t="s">
        <v>5479</v>
      </c>
      <c r="I548" s="8" t="s">
        <v>10383</v>
      </c>
      <c r="J548" s="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s="8" t="s">
        <v>4</v>
      </c>
      <c r="E549" s="8" t="s">
        <v>5480</v>
      </c>
      <c r="F549" s="8"/>
      <c r="H549" s="8" t="s">
        <v>5479</v>
      </c>
      <c r="I549" s="8" t="s">
        <v>10467</v>
      </c>
      <c r="J549" s="8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s="8" t="s">
        <v>4</v>
      </c>
      <c r="E550" s="8" t="s">
        <v>5137</v>
      </c>
      <c r="F550" s="8"/>
      <c r="H550" s="8"/>
      <c r="I550" s="8" t="s">
        <v>10518</v>
      </c>
      <c r="J550" s="8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s="8" t="s">
        <v>9455</v>
      </c>
      <c r="E551" s="8" t="s">
        <v>531</v>
      </c>
      <c r="F551" s="8"/>
      <c r="H551" s="8"/>
      <c r="I551" s="8" t="s">
        <v>10585</v>
      </c>
      <c r="J551" s="8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s="8" t="s">
        <v>10637</v>
      </c>
      <c r="E552" s="8" t="s">
        <v>531</v>
      </c>
      <c r="F552" s="8"/>
      <c r="H552" s="8"/>
      <c r="I552" s="8" t="s">
        <v>10588</v>
      </c>
      <c r="J552" s="8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s="8" t="s">
        <v>9455</v>
      </c>
      <c r="E553" s="8" t="s">
        <v>531</v>
      </c>
      <c r="F553" s="8"/>
      <c r="H553" s="8"/>
      <c r="I553" s="8" t="s">
        <v>10591</v>
      </c>
      <c r="J553" s="8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s="8" t="s">
        <v>10637</v>
      </c>
      <c r="E554" s="8" t="s">
        <v>531</v>
      </c>
      <c r="F554" s="8"/>
      <c r="H554" s="8"/>
      <c r="I554" s="8" t="s">
        <v>10594</v>
      </c>
      <c r="J554" s="8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s="8" t="s">
        <v>4</v>
      </c>
      <c r="E555" s="8" t="s">
        <v>7709</v>
      </c>
      <c r="F555" s="8"/>
      <c r="H555" s="8"/>
      <c r="I555" s="8" t="s">
        <v>10597</v>
      </c>
      <c r="J555" s="8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  <row r="556" spans="1:13" x14ac:dyDescent="0.25">
      <c r="A556" s="2" t="s">
        <v>15</v>
      </c>
      <c r="B556" s="4">
        <v>46050</v>
      </c>
      <c r="C556" s="5">
        <v>0.38651620370370371</v>
      </c>
      <c r="D556" s="8" t="s">
        <v>9455</v>
      </c>
      <c r="E556" s="8" t="s">
        <v>531</v>
      </c>
      <c r="F556" s="8"/>
      <c r="H556" s="8"/>
      <c r="I556" s="8" t="s">
        <v>10788</v>
      </c>
      <c r="J556" s="8" t="s">
        <v>2993</v>
      </c>
      <c r="K556" t="s">
        <v>10789</v>
      </c>
      <c r="L556" t="s">
        <v>10790</v>
      </c>
      <c r="M556" s="3" t="str">
        <f>HYPERLINK(склад2въезд13192021222[[#This Row],[RelativePath]])</f>
        <v>9 Ангар пилорама\E33149364_1_20260128T091635Z.jpg</v>
      </c>
    </row>
    <row r="557" spans="1:13" x14ac:dyDescent="0.25">
      <c r="A557" s="2" t="s">
        <v>15</v>
      </c>
      <c r="B557" s="4">
        <v>46050</v>
      </c>
      <c r="C557" s="5">
        <v>0.41680555555555554</v>
      </c>
      <c r="D557" s="8" t="s">
        <v>4</v>
      </c>
      <c r="E557" s="8" t="s">
        <v>7709</v>
      </c>
      <c r="F557" s="8"/>
      <c r="H557" s="8"/>
      <c r="I557" s="8" t="s">
        <v>10791</v>
      </c>
      <c r="J557" s="8" t="s">
        <v>2993</v>
      </c>
      <c r="K557" t="s">
        <v>10792</v>
      </c>
      <c r="L557" t="s">
        <v>10793</v>
      </c>
      <c r="M557" s="3" t="str">
        <f>HYPERLINK(склад2въезд13192021222[[#This Row],[RelativePath]])</f>
        <v>9 Ангар пилорама\E33149364_1_20260128T100012Z.jpg</v>
      </c>
    </row>
    <row r="558" spans="1:13" x14ac:dyDescent="0.25">
      <c r="A558" s="2" t="s">
        <v>15</v>
      </c>
      <c r="B558" s="4">
        <v>46050</v>
      </c>
      <c r="C558" s="5">
        <v>0.42199074074074072</v>
      </c>
      <c r="D558" s="8" t="s">
        <v>5476</v>
      </c>
      <c r="E558" s="8" t="s">
        <v>5480</v>
      </c>
      <c r="F558" s="8" t="s">
        <v>9202</v>
      </c>
      <c r="H558" s="8"/>
      <c r="I558" s="8" t="s">
        <v>10794</v>
      </c>
      <c r="J558" s="8" t="s">
        <v>2993</v>
      </c>
      <c r="K558" t="s">
        <v>10795</v>
      </c>
      <c r="L558" t="s">
        <v>10796</v>
      </c>
      <c r="M558" s="3" t="str">
        <f>HYPERLINK(склад2въезд13192021222[[#This Row],[RelativePath]])</f>
        <v>9 Ангар пилорама\E33149364_1_20260128T100740Z.jpg</v>
      </c>
    </row>
    <row r="559" spans="1:13" x14ac:dyDescent="0.25">
      <c r="A559" s="2" t="s">
        <v>15</v>
      </c>
      <c r="B559" s="4">
        <v>46050</v>
      </c>
      <c r="C559" s="5">
        <v>0.42229166666666668</v>
      </c>
      <c r="D559" s="8" t="s">
        <v>9692</v>
      </c>
      <c r="E559" s="8" t="s">
        <v>5137</v>
      </c>
      <c r="F559" s="8"/>
      <c r="H559" s="8"/>
      <c r="I559" s="8" t="s">
        <v>10797</v>
      </c>
      <c r="J559" s="8" t="s">
        <v>2993</v>
      </c>
      <c r="K559" t="s">
        <v>10798</v>
      </c>
      <c r="L559" t="s">
        <v>10799</v>
      </c>
      <c r="M559" s="3" t="str">
        <f>HYPERLINK(склад2въезд13192021222[[#This Row],[RelativePath]])</f>
        <v>9 Ангар пилорама\E33149364_1_20260128T100806Z.jpg</v>
      </c>
    </row>
    <row r="560" spans="1:13" x14ac:dyDescent="0.25">
      <c r="A560" s="2" t="s">
        <v>15</v>
      </c>
      <c r="B560" s="4">
        <v>46050</v>
      </c>
      <c r="C560" s="5">
        <v>0.65254629629629635</v>
      </c>
      <c r="D560" s="8" t="s">
        <v>5476</v>
      </c>
      <c r="E560" s="8" t="s">
        <v>5480</v>
      </c>
      <c r="F560" s="8" t="s">
        <v>9202</v>
      </c>
      <c r="H560" s="8"/>
      <c r="I560" s="8" t="s">
        <v>10800</v>
      </c>
      <c r="J560" s="8" t="s">
        <v>2993</v>
      </c>
      <c r="K560" t="s">
        <v>10801</v>
      </c>
      <c r="L560" t="s">
        <v>10802</v>
      </c>
      <c r="M560" s="3" t="str">
        <f>HYPERLINK(склад2въезд13192021222[[#This Row],[RelativePath]])</f>
        <v>9 Ангар пилорама\E33149364_1_20260128T153940Z.jpg</v>
      </c>
    </row>
    <row r="561" spans="1:13" x14ac:dyDescent="0.25">
      <c r="A561" s="2" t="s">
        <v>15</v>
      </c>
      <c r="B561" s="4">
        <v>46050</v>
      </c>
      <c r="C561" s="5">
        <v>0.6539814814814815</v>
      </c>
      <c r="D561" s="8" t="s">
        <v>158</v>
      </c>
      <c r="E561" s="8" t="s">
        <v>9201</v>
      </c>
      <c r="F561" s="8" t="s">
        <v>2929</v>
      </c>
      <c r="H561" s="8"/>
      <c r="I561" s="8" t="s">
        <v>10803</v>
      </c>
      <c r="J561" s="8" t="s">
        <v>2993</v>
      </c>
      <c r="K561" t="s">
        <v>10804</v>
      </c>
      <c r="L561" t="s">
        <v>10805</v>
      </c>
      <c r="M561" s="3" t="str">
        <f>HYPERLINK(склад2въезд13192021222[[#This Row],[RelativePath]])</f>
        <v>9 Ангар пилорама\E33149364_1_20260128T154144Z.jpg</v>
      </c>
    </row>
    <row r="562" spans="1:13" x14ac:dyDescent="0.25">
      <c r="A562" s="2" t="s">
        <v>15</v>
      </c>
      <c r="B562" s="4">
        <v>46050</v>
      </c>
      <c r="C562" s="5">
        <v>0.89396990740740745</v>
      </c>
      <c r="D562" s="8" t="s">
        <v>9200</v>
      </c>
      <c r="E562" s="8" t="s">
        <v>5137</v>
      </c>
      <c r="F562" s="8"/>
      <c r="H562" s="8"/>
      <c r="I562" s="8" t="s">
        <v>10806</v>
      </c>
      <c r="J562" s="8" t="s">
        <v>2993</v>
      </c>
      <c r="K562" t="s">
        <v>10807</v>
      </c>
      <c r="L562" t="s">
        <v>10808</v>
      </c>
      <c r="M562" s="3" t="str">
        <f>HYPERLINK(склад2въезд13192021222[[#This Row],[RelativePath]])</f>
        <v>9 Ангар пилорама\E33149364_1_20260128T212719Z.jpg</v>
      </c>
    </row>
    <row r="563" spans="1:13" x14ac:dyDescent="0.25">
      <c r="A563" s="2" t="s">
        <v>16</v>
      </c>
      <c r="B563" s="4">
        <v>46051</v>
      </c>
      <c r="C563" s="5">
        <v>0.44464120370370369</v>
      </c>
      <c r="D563" s="8" t="s">
        <v>9455</v>
      </c>
      <c r="E563" s="8" t="s">
        <v>531</v>
      </c>
      <c r="F563" s="8"/>
      <c r="H563" s="8"/>
      <c r="I563" s="8" t="s">
        <v>10809</v>
      </c>
      <c r="J563" s="8" t="s">
        <v>2993</v>
      </c>
      <c r="K563" t="s">
        <v>10810</v>
      </c>
      <c r="L563" t="s">
        <v>10811</v>
      </c>
      <c r="M563" s="3" t="str">
        <f>HYPERLINK(склад2въезд13192021222[[#This Row],[RelativePath]])</f>
        <v>9 Ангар пилорама\E33149364_1_20260129T104017Z.jpg</v>
      </c>
    </row>
    <row r="564" spans="1:13" x14ac:dyDescent="0.25">
      <c r="A564" s="2" t="s">
        <v>16</v>
      </c>
      <c r="B564" s="4">
        <v>46051</v>
      </c>
      <c r="C564" s="5">
        <v>0.49818287037037035</v>
      </c>
      <c r="D564" s="8" t="s">
        <v>9200</v>
      </c>
      <c r="E564" s="8" t="s">
        <v>5137</v>
      </c>
      <c r="F564" s="8"/>
      <c r="H564" s="8"/>
      <c r="I564" s="8" t="s">
        <v>10812</v>
      </c>
      <c r="J564" s="8" t="s">
        <v>2993</v>
      </c>
      <c r="K564" t="s">
        <v>10813</v>
      </c>
      <c r="L564" t="s">
        <v>10814</v>
      </c>
      <c r="M564" s="3" t="str">
        <f>HYPERLINK(склад2въезд13192021222[[#This Row],[RelativePath]])</f>
        <v>9 Ангар пилорама\E33149364_1_20260129T115723Z.jpg</v>
      </c>
    </row>
    <row r="565" spans="1:13" x14ac:dyDescent="0.25">
      <c r="A565" s="2" t="s">
        <v>16</v>
      </c>
      <c r="B565" s="4">
        <v>46051</v>
      </c>
      <c r="C565" s="5">
        <v>0.52173611111111107</v>
      </c>
      <c r="D565" s="8" t="s">
        <v>9200</v>
      </c>
      <c r="E565" s="8" t="s">
        <v>5137</v>
      </c>
      <c r="F565" s="8"/>
      <c r="H565" s="8"/>
      <c r="I565" s="8" t="s">
        <v>10815</v>
      </c>
      <c r="J565" s="8" t="s">
        <v>2993</v>
      </c>
      <c r="K565" t="s">
        <v>10816</v>
      </c>
      <c r="L565" t="s">
        <v>10817</v>
      </c>
      <c r="M565" s="3" t="str">
        <f>HYPERLINK(склад2въезд13192021222[[#This Row],[RelativePath]])</f>
        <v>9 Ангар пилорама\E33149364_1_20260129T123118Z.jpg</v>
      </c>
    </row>
    <row r="566" spans="1:13" x14ac:dyDescent="0.25">
      <c r="A566" s="2" t="s">
        <v>16</v>
      </c>
      <c r="B566" s="4">
        <v>46051</v>
      </c>
      <c r="C566" s="5">
        <v>0.5367939814814815</v>
      </c>
      <c r="D566" s="8" t="s">
        <v>2024</v>
      </c>
      <c r="E566" s="8" t="s">
        <v>1304</v>
      </c>
      <c r="F566" s="8"/>
      <c r="H566" s="8" t="s">
        <v>10889</v>
      </c>
      <c r="I566" s="8" t="s">
        <v>10818</v>
      </c>
      <c r="J566" s="8" t="s">
        <v>2993</v>
      </c>
      <c r="K566" t="s">
        <v>10819</v>
      </c>
      <c r="L566" t="s">
        <v>10820</v>
      </c>
      <c r="M566" s="3" t="str">
        <f>HYPERLINK(склад2въезд13192021222[[#This Row],[RelativePath]])</f>
        <v>9 Ангар пилорама\E33149364_1_20260129T125259Z.jpg</v>
      </c>
    </row>
    <row r="567" spans="1:13" x14ac:dyDescent="0.25">
      <c r="A567" s="2" t="s">
        <v>16</v>
      </c>
      <c r="B567" s="4">
        <v>46051</v>
      </c>
      <c r="C567" s="5">
        <v>0.66745370370370372</v>
      </c>
      <c r="D567" s="8" t="s">
        <v>9200</v>
      </c>
      <c r="E567" s="8" t="s">
        <v>5137</v>
      </c>
      <c r="F567" s="8"/>
      <c r="H567" s="8"/>
      <c r="I567" s="8" t="s">
        <v>10821</v>
      </c>
      <c r="J567" s="8" t="s">
        <v>2993</v>
      </c>
      <c r="K567" t="s">
        <v>10822</v>
      </c>
      <c r="L567" t="s">
        <v>10823</v>
      </c>
      <c r="M567" s="3" t="str">
        <f>HYPERLINK(склад2въезд13192021222[[#This Row],[RelativePath]])</f>
        <v>9 Ангар пилорама\E33149364_1_20260129T160108Z.jpg</v>
      </c>
    </row>
    <row r="568" spans="1:13" x14ac:dyDescent="0.25">
      <c r="A568" s="2" t="s">
        <v>17</v>
      </c>
      <c r="B568" s="4">
        <v>46052</v>
      </c>
      <c r="C568" s="5">
        <v>0.39917824074074076</v>
      </c>
      <c r="D568" s="8" t="s">
        <v>9455</v>
      </c>
      <c r="E568" s="8" t="s">
        <v>531</v>
      </c>
      <c r="F568" s="8"/>
      <c r="H568" s="8"/>
      <c r="I568" s="8" t="s">
        <v>10947</v>
      </c>
      <c r="J568" s="8" t="s">
        <v>2993</v>
      </c>
      <c r="K568" t="s">
        <v>10948</v>
      </c>
      <c r="L568" t="s">
        <v>10949</v>
      </c>
      <c r="M568" s="3" t="str">
        <f>HYPERLINK(склад2въезд13192021222[[#This Row],[RelativePath]])</f>
        <v>9 Ангар пилорама\E33149364_1_20260130T093449Z.jpg</v>
      </c>
    </row>
    <row r="569" spans="1:13" x14ac:dyDescent="0.25">
      <c r="A569" s="2" t="s">
        <v>17</v>
      </c>
      <c r="B569" s="4">
        <v>46052</v>
      </c>
      <c r="C569" s="5">
        <v>0.41440972222222222</v>
      </c>
      <c r="D569" s="8" t="s">
        <v>4</v>
      </c>
      <c r="E569" s="8" t="s">
        <v>7709</v>
      </c>
      <c r="F569" s="8"/>
      <c r="H569" s="8"/>
      <c r="I569" s="8" t="s">
        <v>10950</v>
      </c>
      <c r="J569" s="8" t="s">
        <v>2993</v>
      </c>
      <c r="K569" t="s">
        <v>10951</v>
      </c>
      <c r="L569" t="s">
        <v>10952</v>
      </c>
      <c r="M569" s="3" t="str">
        <f>HYPERLINK(склад2въезд13192021222[[#This Row],[RelativePath]])</f>
        <v>9 Ангар пилорама\E33149364_1_20260130T095645Z.jpg</v>
      </c>
    </row>
    <row r="570" spans="1:13" x14ac:dyDescent="0.25">
      <c r="A570" s="2" t="s">
        <v>17</v>
      </c>
      <c r="B570" s="4">
        <v>46052</v>
      </c>
      <c r="C570" s="5">
        <v>0.72223379629629625</v>
      </c>
      <c r="D570" s="8" t="s">
        <v>4</v>
      </c>
      <c r="E570" s="8" t="s">
        <v>5480</v>
      </c>
      <c r="F570" s="8"/>
      <c r="H570" s="8" t="s">
        <v>5479</v>
      </c>
      <c r="I570" s="8" t="s">
        <v>10953</v>
      </c>
      <c r="J570" s="8" t="s">
        <v>2993</v>
      </c>
      <c r="K570" t="s">
        <v>10954</v>
      </c>
      <c r="L570" t="s">
        <v>10955</v>
      </c>
      <c r="M570" s="3" t="str">
        <f>HYPERLINK(склад2въезд13192021222[[#This Row],[RelativePath]])</f>
        <v>9 Ангар пилорама\E33149364_1_20260130T172001Z.jpg</v>
      </c>
    </row>
    <row r="571" spans="1:13" x14ac:dyDescent="0.25">
      <c r="A571" s="2" t="s">
        <v>18</v>
      </c>
      <c r="B571" s="4">
        <v>46053</v>
      </c>
      <c r="C571" s="5">
        <v>0.50487268518518513</v>
      </c>
      <c r="D571" s="8" t="s">
        <v>11133</v>
      </c>
      <c r="E571" s="8" t="s">
        <v>11134</v>
      </c>
      <c r="F571" s="8"/>
      <c r="H571" s="8"/>
      <c r="I571" s="8" t="s">
        <v>11046</v>
      </c>
      <c r="J571" s="8" t="s">
        <v>2993</v>
      </c>
      <c r="K571" t="s">
        <v>11047</v>
      </c>
      <c r="L571" t="s">
        <v>11048</v>
      </c>
      <c r="M571" s="3" t="str">
        <f>HYPERLINK(склад2въезд13192021222[[#This Row],[RelativePath]])</f>
        <v>9 Ангар пилорама\E33149364_1_20260131T120701Z.jpg</v>
      </c>
    </row>
    <row r="572" spans="1:13" x14ac:dyDescent="0.25">
      <c r="A572" s="2" t="s">
        <v>22</v>
      </c>
      <c r="B572" s="4">
        <v>46054</v>
      </c>
      <c r="C572" s="5">
        <v>0.51655092592592589</v>
      </c>
      <c r="D572" s="8" t="s">
        <v>9692</v>
      </c>
      <c r="E572" s="8" t="s">
        <v>1607</v>
      </c>
      <c r="F572" s="8"/>
      <c r="H572" s="8"/>
      <c r="I572" s="8" t="s">
        <v>11049</v>
      </c>
      <c r="J572" s="8" t="s">
        <v>2993</v>
      </c>
      <c r="K572" t="s">
        <v>11050</v>
      </c>
      <c r="L572" t="s">
        <v>11051</v>
      </c>
      <c r="M572" s="3" t="str">
        <f>HYPERLINK(склад2въезд13192021222[[#This Row],[RelativePath]])</f>
        <v>9 Ангар пилорама\E33149364_1_20260201T122350Z.jpg</v>
      </c>
    </row>
    <row r="573" spans="1:13" x14ac:dyDescent="0.25">
      <c r="A573" s="2" t="s">
        <v>13</v>
      </c>
      <c r="B573" s="4">
        <v>46055</v>
      </c>
      <c r="C573" s="5">
        <v>0.39640046296296294</v>
      </c>
      <c r="D573" s="8" t="s">
        <v>4</v>
      </c>
      <c r="E573" s="8" t="s">
        <v>9</v>
      </c>
      <c r="F573" s="8"/>
      <c r="H573" s="8"/>
      <c r="I573" s="8" t="s">
        <v>11226</v>
      </c>
      <c r="J573" s="8" t="s">
        <v>2993</v>
      </c>
      <c r="K573" t="s">
        <v>11227</v>
      </c>
      <c r="L573" t="s">
        <v>11228</v>
      </c>
      <c r="M573" s="3" t="str">
        <f>HYPERLINK(склад2въезд13192021222[[#This Row],[RelativePath]])</f>
        <v>9 Ангар пилорама\E33149364_1_20260202T093049Z.jpg</v>
      </c>
    </row>
    <row r="574" spans="1:13" x14ac:dyDescent="0.25">
      <c r="A574" s="2" t="s">
        <v>13</v>
      </c>
      <c r="B574" s="4">
        <v>46055</v>
      </c>
      <c r="C574" s="5">
        <v>0.40559027777777779</v>
      </c>
      <c r="D574" s="8" t="s">
        <v>158</v>
      </c>
      <c r="E574" s="8" t="s">
        <v>5480</v>
      </c>
      <c r="F574" s="8" t="s">
        <v>528</v>
      </c>
      <c r="G574">
        <v>1</v>
      </c>
      <c r="H574" s="8"/>
      <c r="I574" s="8" t="s">
        <v>11229</v>
      </c>
      <c r="J574" s="8" t="s">
        <v>2993</v>
      </c>
      <c r="K574" t="s">
        <v>11230</v>
      </c>
      <c r="L574" t="s">
        <v>11231</v>
      </c>
      <c r="M574" s="3" t="str">
        <f>HYPERLINK(склад2въезд13192021222[[#This Row],[RelativePath]])</f>
        <v>9 Ангар пилорама\E33149364_1_20260202T094403Z.jpg</v>
      </c>
    </row>
    <row r="575" spans="1:13" x14ac:dyDescent="0.25">
      <c r="A575" s="2" t="s">
        <v>13</v>
      </c>
      <c r="B575" s="4">
        <v>46055</v>
      </c>
      <c r="C575" s="5">
        <v>0.41613425925925923</v>
      </c>
      <c r="D575" s="8" t="s">
        <v>5476</v>
      </c>
      <c r="E575" s="8" t="s">
        <v>5480</v>
      </c>
      <c r="F575" s="8" t="s">
        <v>9203</v>
      </c>
      <c r="G575">
        <v>1</v>
      </c>
      <c r="H575" s="8"/>
      <c r="I575" s="8" t="s">
        <v>11232</v>
      </c>
      <c r="J575" s="8" t="s">
        <v>2993</v>
      </c>
      <c r="K575" t="s">
        <v>11233</v>
      </c>
      <c r="L575" t="s">
        <v>11234</v>
      </c>
      <c r="M575" s="3" t="str">
        <f>HYPERLINK(склад2въезд13192021222[[#This Row],[RelativePath]])</f>
        <v>9 Ангар пилорама\E33149364_1_20260202T095914Z.jpg</v>
      </c>
    </row>
    <row r="576" spans="1:13" x14ac:dyDescent="0.25">
      <c r="A576" s="2" t="s">
        <v>13</v>
      </c>
      <c r="B576" s="4">
        <v>46055</v>
      </c>
      <c r="C576" s="5">
        <v>0.95606481481481487</v>
      </c>
      <c r="D576" s="8" t="s">
        <v>9200</v>
      </c>
      <c r="E576" s="8" t="s">
        <v>9201</v>
      </c>
      <c r="F576" s="8"/>
      <c r="H576" s="8"/>
      <c r="I576" s="8" t="s">
        <v>11235</v>
      </c>
      <c r="J576" s="8" t="s">
        <v>2993</v>
      </c>
      <c r="K576" t="s">
        <v>11236</v>
      </c>
      <c r="L576" t="s">
        <v>11237</v>
      </c>
      <c r="M576" s="3" t="str">
        <f>HYPERLINK(склад2въезд13192021222[[#This Row],[RelativePath]])</f>
        <v>9 Ангар пилорама\E33149364_1_20260202T225644Z.jpg</v>
      </c>
    </row>
    <row r="577" spans="1:13" x14ac:dyDescent="0.25">
      <c r="A577" s="2" t="s">
        <v>14</v>
      </c>
      <c r="B577" s="4">
        <v>46056</v>
      </c>
      <c r="C577" s="5">
        <v>0.51756944444444442</v>
      </c>
      <c r="D577" s="8" t="s">
        <v>2024</v>
      </c>
      <c r="E577" s="8" t="s">
        <v>1304</v>
      </c>
      <c r="F577" s="8"/>
      <c r="H577" s="8" t="s">
        <v>10889</v>
      </c>
      <c r="I577" s="8" t="s">
        <v>11238</v>
      </c>
      <c r="J577" s="8" t="s">
        <v>2993</v>
      </c>
      <c r="K577" t="s">
        <v>11239</v>
      </c>
      <c r="L577" t="s">
        <v>11240</v>
      </c>
      <c r="M577" s="3" t="str">
        <f>HYPERLINK(склад2въезд13192021222[[#This Row],[RelativePath]])</f>
        <v>9 Ангар пилорама\E33149364_1_20260203T122518Z.jpg</v>
      </c>
    </row>
    <row r="578" spans="1:13" x14ac:dyDescent="0.25">
      <c r="A578" s="2" t="s">
        <v>14</v>
      </c>
      <c r="B578" s="4">
        <v>46056</v>
      </c>
      <c r="C578" s="5">
        <v>0.52474537037037039</v>
      </c>
      <c r="D578" s="8" t="s">
        <v>9200</v>
      </c>
      <c r="E578" s="8" t="s">
        <v>9201</v>
      </c>
      <c r="F578" s="8"/>
      <c r="H578" s="8"/>
      <c r="I578" s="8" t="s">
        <v>11241</v>
      </c>
      <c r="J578" s="8" t="s">
        <v>2993</v>
      </c>
      <c r="K578" t="s">
        <v>11242</v>
      </c>
      <c r="L578" t="s">
        <v>11243</v>
      </c>
      <c r="M578" s="3" t="str">
        <f>HYPERLINK(склад2въезд13192021222[[#This Row],[RelativePath]])</f>
        <v>9 Ангар пилорама\E33149364_1_20260203T123538Z.jpg</v>
      </c>
    </row>
    <row r="579" spans="1:13" x14ac:dyDescent="0.25">
      <c r="A579" s="2" t="s">
        <v>14</v>
      </c>
      <c r="B579" s="4">
        <v>46056</v>
      </c>
      <c r="C579" s="5">
        <v>0.63618055555555553</v>
      </c>
      <c r="D579" s="8" t="s">
        <v>9200</v>
      </c>
      <c r="E579" s="8" t="s">
        <v>9201</v>
      </c>
      <c r="F579" s="8"/>
      <c r="H579" s="8"/>
      <c r="I579" s="8" t="s">
        <v>11244</v>
      </c>
      <c r="J579" s="8" t="s">
        <v>2993</v>
      </c>
      <c r="K579" t="s">
        <v>11245</v>
      </c>
      <c r="L579" t="s">
        <v>11246</v>
      </c>
      <c r="M579" s="3" t="str">
        <f>HYPERLINK(склад2въезд13192021222[[#This Row],[RelativePath]])</f>
        <v>9 Ангар пилорама\E33149364_1_20260203T151606Z.jpg</v>
      </c>
    </row>
    <row r="580" spans="1:13" x14ac:dyDescent="0.25">
      <c r="A580" s="2" t="s">
        <v>14</v>
      </c>
      <c r="B580" s="4">
        <v>46056</v>
      </c>
      <c r="C580" s="5">
        <v>0.68791666666666662</v>
      </c>
      <c r="D580" s="8" t="s">
        <v>9692</v>
      </c>
      <c r="E580" s="8" t="s">
        <v>1607</v>
      </c>
      <c r="F580" s="8"/>
      <c r="H580" s="8"/>
      <c r="I580" s="8" t="s">
        <v>11247</v>
      </c>
      <c r="J580" s="8" t="s">
        <v>2993</v>
      </c>
      <c r="K580" t="s">
        <v>11248</v>
      </c>
      <c r="L580" t="s">
        <v>11249</v>
      </c>
      <c r="M580" s="3" t="str">
        <f>HYPERLINK(склад2въезд13192021222[[#This Row],[RelativePath]])</f>
        <v>9 Ангар пилорама\E33149364_1_20260203T163036Z.jpg</v>
      </c>
    </row>
    <row r="581" spans="1:13" x14ac:dyDescent="0.25">
      <c r="A581" s="2" t="s">
        <v>14</v>
      </c>
      <c r="B581" s="4">
        <v>46056</v>
      </c>
      <c r="C581" s="5">
        <v>0.9021527777777778</v>
      </c>
      <c r="D581" s="8" t="s">
        <v>4</v>
      </c>
      <c r="E581" s="8" t="s">
        <v>7709</v>
      </c>
      <c r="F581" s="8"/>
      <c r="H581" s="8"/>
      <c r="I581" s="8" t="s">
        <v>11250</v>
      </c>
      <c r="J581" s="8" t="s">
        <v>2993</v>
      </c>
      <c r="K581" t="s">
        <v>11251</v>
      </c>
      <c r="L581" t="s">
        <v>11252</v>
      </c>
      <c r="M581" s="3" t="str">
        <f>HYPERLINK(склад2въезд13192021222[[#This Row],[RelativePath]])</f>
        <v>9 Ангар пилорама\E33149364_1_20260203T213906Z.jpg</v>
      </c>
    </row>
  </sheetData>
  <conditionalFormatting sqref="D582:D592 E582:E595 G2:H581 D2:E581">
    <cfRule type="containsText" dxfId="93" priority="14" operator="containsText" text="Выезд с территории">
      <formula>NOT(ISERROR(SEARCH("Выезд с территории",D2)))</formula>
    </cfRule>
  </conditionalFormatting>
  <conditionalFormatting sqref="F2:F581">
    <cfRule type="notContainsText" dxfId="92" priority="13" operator="notContains" text="порожний">
      <formula>ISERROR(SEARCH("порожний",F2))</formula>
    </cfRule>
  </conditionalFormatting>
  <conditionalFormatting sqref="E2:E595">
    <cfRule type="containsText" dxfId="91" priority="11" operator="containsText" text="Газель базы">
      <formula>NOT(ISERROR(SEARCH("Газель базы",E2)))</formula>
    </cfRule>
    <cfRule type="containsText" dxfId="90" priority="12" operator="containsText" text="Погрузчик базы">
      <formula>NOT(ISERROR(SEARCH("Погрузчик базы",E2)))</formula>
    </cfRule>
  </conditionalFormatting>
  <conditionalFormatting sqref="E2:E595">
    <cfRule type="containsText" dxfId="89" priority="10" operator="containsText" text="Трактор базы">
      <formula>NOT(ISERROR(SEARCH("Трактор базы",E2)))</formula>
    </cfRule>
  </conditionalFormatting>
  <conditionalFormatting sqref="A2:C581">
    <cfRule type="expression" dxfId="88" priority="9">
      <formula>$A2="пн"</formula>
    </cfRule>
  </conditionalFormatting>
  <conditionalFormatting sqref="A2:C583">
    <cfRule type="expression" dxfId="87" priority="3">
      <formula>$A2="вс"</formula>
    </cfRule>
    <cfRule type="expression" dxfId="86" priority="4">
      <formula>$A2="сб"</formula>
    </cfRule>
    <cfRule type="expression" dxfId="85" priority="5">
      <formula>$A2="пт"</formula>
    </cfRule>
    <cfRule type="expression" dxfId="84" priority="6">
      <formula>$A2="чт"</formula>
    </cfRule>
    <cfRule type="expression" dxfId="83" priority="7">
      <formula>$A2="ср"</formula>
    </cfRule>
    <cfRule type="expression" dxfId="82" priority="8">
      <formula>$A2="вт"</formula>
    </cfRule>
  </conditionalFormatting>
  <conditionalFormatting sqref="D2:D592">
    <cfRule type="containsText" dxfId="8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92">
    <cfRule type="containsText" dxfId="8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12"/>
  <sheetViews>
    <sheetView zoomScale="90" zoomScaleNormal="90" workbookViewId="0">
      <pane ySplit="1" topLeftCell="A599" activePane="bottomLeft" state="frozen"/>
      <selection pane="bottomLeft" activeCell="I603" sqref="I603:I61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10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10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7490</v>
      </c>
      <c r="J437" s="8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7711</v>
      </c>
      <c r="E438" s="8" t="s">
        <v>1607</v>
      </c>
      <c r="F438" s="8"/>
      <c r="H438" s="8"/>
      <c r="I438" s="8" t="s">
        <v>7493</v>
      </c>
      <c r="J438" s="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7711</v>
      </c>
      <c r="E439" s="8" t="s">
        <v>1607</v>
      </c>
      <c r="F439" s="8"/>
      <c r="H439" s="8"/>
      <c r="I439" s="8" t="s">
        <v>7496</v>
      </c>
      <c r="J439" s="8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7499</v>
      </c>
      <c r="J440" s="8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7502</v>
      </c>
      <c r="J441" s="8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7505</v>
      </c>
      <c r="J442" s="8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7508</v>
      </c>
      <c r="J443" s="8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7511</v>
      </c>
      <c r="J444" s="8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7514</v>
      </c>
      <c r="J445" s="8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7517</v>
      </c>
      <c r="J446" s="8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7712</v>
      </c>
      <c r="E447" s="8" t="s">
        <v>531</v>
      </c>
      <c r="F447" s="8"/>
      <c r="H447" s="8"/>
      <c r="I447" s="8" t="s">
        <v>7520</v>
      </c>
      <c r="J447" s="8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7713</v>
      </c>
      <c r="H448" s="8"/>
      <c r="I448" s="8" t="s">
        <v>7523</v>
      </c>
      <c r="J448" s="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7713</v>
      </c>
      <c r="H449" s="8" t="s">
        <v>2936</v>
      </c>
      <c r="I449" s="8" t="s">
        <v>7526</v>
      </c>
      <c r="J449" s="8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7713</v>
      </c>
      <c r="H450" s="8"/>
      <c r="I450" s="8" t="s">
        <v>7529</v>
      </c>
      <c r="J450" s="8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7532</v>
      </c>
      <c r="J451" s="8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7535</v>
      </c>
      <c r="J452" s="8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s="8" t="s">
        <v>2004</v>
      </c>
      <c r="E453" s="8" t="s">
        <v>8</v>
      </c>
      <c r="F453" s="8"/>
      <c r="H453" s="8"/>
      <c r="I453" s="8" t="s">
        <v>7744</v>
      </c>
      <c r="J453" s="8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s="8" t="s">
        <v>1606</v>
      </c>
      <c r="E454" s="8" t="s">
        <v>6656</v>
      </c>
      <c r="F454" s="8" t="s">
        <v>5076</v>
      </c>
      <c r="H454" s="8"/>
      <c r="I454" s="8" t="s">
        <v>8028</v>
      </c>
      <c r="J454" s="8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s="8" t="s">
        <v>8042</v>
      </c>
      <c r="E455" s="8" t="s">
        <v>6656</v>
      </c>
      <c r="F455" s="8" t="s">
        <v>5076</v>
      </c>
      <c r="H455" s="8" t="s">
        <v>8052</v>
      </c>
      <c r="I455" s="8" t="s">
        <v>8031</v>
      </c>
      <c r="J455" s="8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s="8" t="s">
        <v>650</v>
      </c>
      <c r="E456" s="8" t="s">
        <v>6656</v>
      </c>
      <c r="F456" s="8" t="s">
        <v>5076</v>
      </c>
      <c r="H456" s="8"/>
      <c r="I456" s="8" t="s">
        <v>8034</v>
      </c>
      <c r="J456" s="8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s="8" t="s">
        <v>4</v>
      </c>
      <c r="E457" s="8" t="s">
        <v>1607</v>
      </c>
      <c r="F457" s="8" t="s">
        <v>8053</v>
      </c>
      <c r="H457" s="8"/>
      <c r="I457" s="8" t="s">
        <v>8037</v>
      </c>
      <c r="J457" s="8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s="8" t="s">
        <v>1606</v>
      </c>
      <c r="E458" s="8" t="s">
        <v>70</v>
      </c>
      <c r="F458" s="8"/>
      <c r="H458" s="8"/>
      <c r="I458" s="8" t="s">
        <v>8198</v>
      </c>
      <c r="J458" s="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s="8" t="s">
        <v>290</v>
      </c>
      <c r="E459" s="8" t="s">
        <v>70</v>
      </c>
      <c r="F459" s="8" t="s">
        <v>5093</v>
      </c>
      <c r="H459" s="8" t="s">
        <v>2949</v>
      </c>
      <c r="I459" s="8" t="s">
        <v>8201</v>
      </c>
      <c r="J459" s="8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s="8" t="s">
        <v>290</v>
      </c>
      <c r="E460" s="8" t="s">
        <v>70</v>
      </c>
      <c r="F460" s="8" t="s">
        <v>5093</v>
      </c>
      <c r="H460" s="8" t="s">
        <v>2949</v>
      </c>
      <c r="I460" s="8" t="s">
        <v>8204</v>
      </c>
      <c r="J460" s="8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s="8" t="s">
        <v>290</v>
      </c>
      <c r="E461" s="8" t="s">
        <v>70</v>
      </c>
      <c r="F461" s="8" t="s">
        <v>5093</v>
      </c>
      <c r="H461" s="8" t="s">
        <v>2949</v>
      </c>
      <c r="I461" s="8" t="s">
        <v>8207</v>
      </c>
      <c r="J461" s="8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s="8" t="s">
        <v>650</v>
      </c>
      <c r="E462" s="8" t="s">
        <v>70</v>
      </c>
      <c r="F462" s="8"/>
      <c r="H462" s="8"/>
      <c r="I462" s="8" t="s">
        <v>8210</v>
      </c>
      <c r="J462" s="8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s="8" t="s">
        <v>533</v>
      </c>
      <c r="E463" s="8" t="s">
        <v>531</v>
      </c>
      <c r="F463" s="8" t="s">
        <v>8350</v>
      </c>
      <c r="H463" s="8"/>
      <c r="I463" s="8" t="s">
        <v>8213</v>
      </c>
      <c r="J463" s="8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s="8" t="s">
        <v>4</v>
      </c>
      <c r="E464" s="8" t="s">
        <v>531</v>
      </c>
      <c r="F464" s="8"/>
      <c r="H464" s="8"/>
      <c r="I464" s="8" t="s">
        <v>8216</v>
      </c>
      <c r="J464" s="8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s="8" t="s">
        <v>4</v>
      </c>
      <c r="E465" s="8" t="s">
        <v>8351</v>
      </c>
      <c r="F465" s="8"/>
      <c r="H465" s="8"/>
      <c r="I465" s="8" t="s">
        <v>8219</v>
      </c>
      <c r="J465" s="8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s="8" t="s">
        <v>4</v>
      </c>
      <c r="E466" s="8" t="s">
        <v>8351</v>
      </c>
      <c r="F466" s="8"/>
      <c r="H466" s="8"/>
      <c r="I466" s="8" t="s">
        <v>8222</v>
      </c>
      <c r="J466" s="8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s="8" t="s">
        <v>4</v>
      </c>
      <c r="E467" s="8" t="s">
        <v>8353</v>
      </c>
      <c r="F467" s="8"/>
      <c r="H467" s="8"/>
      <c r="I467" s="8" t="s">
        <v>8225</v>
      </c>
      <c r="J467" s="8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s="8" t="s">
        <v>289</v>
      </c>
      <c r="E468" s="8" t="s">
        <v>8352</v>
      </c>
      <c r="F468" s="8" t="s">
        <v>1621</v>
      </c>
      <c r="H468" s="8"/>
      <c r="I468" s="8" t="s">
        <v>8228</v>
      </c>
      <c r="J468" s="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s="8" t="s">
        <v>4</v>
      </c>
      <c r="E469" s="8" t="s">
        <v>8</v>
      </c>
      <c r="F469" s="8"/>
      <c r="H469" s="8"/>
      <c r="I469" s="8" t="s">
        <v>8231</v>
      </c>
      <c r="J469" s="8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s="8" t="s">
        <v>4</v>
      </c>
      <c r="E470" s="8" t="s">
        <v>8</v>
      </c>
      <c r="F470" s="8"/>
      <c r="H470" s="8"/>
      <c r="I470" s="8" t="s">
        <v>8234</v>
      </c>
      <c r="J470" s="8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s="8" t="s">
        <v>4</v>
      </c>
      <c r="E471" s="8" t="s">
        <v>8</v>
      </c>
      <c r="F471" s="8"/>
      <c r="H471" s="8"/>
      <c r="I471" s="8" t="s">
        <v>8237</v>
      </c>
      <c r="J471" s="8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s="8" t="s">
        <v>1606</v>
      </c>
      <c r="E472" s="8" t="s">
        <v>70</v>
      </c>
      <c r="F472" s="8"/>
      <c r="H472" s="8"/>
      <c r="I472" s="8" t="s">
        <v>8240</v>
      </c>
      <c r="J472" s="8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s="8" t="s">
        <v>290</v>
      </c>
      <c r="E473" s="8" t="s">
        <v>70</v>
      </c>
      <c r="F473" s="8" t="s">
        <v>5093</v>
      </c>
      <c r="H473" s="8"/>
      <c r="I473" s="8" t="s">
        <v>8243</v>
      </c>
      <c r="J473" s="8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s="8" t="s">
        <v>290</v>
      </c>
      <c r="E474" s="8" t="s">
        <v>70</v>
      </c>
      <c r="F474" s="8" t="s">
        <v>5093</v>
      </c>
      <c r="H474" s="8"/>
      <c r="I474" s="8" t="s">
        <v>8246</v>
      </c>
      <c r="J474" s="8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s="8" t="s">
        <v>290</v>
      </c>
      <c r="E475" s="8" t="s">
        <v>70</v>
      </c>
      <c r="F475" s="8" t="s">
        <v>5093</v>
      </c>
      <c r="H475" s="8"/>
      <c r="I475" s="8" t="s">
        <v>8249</v>
      </c>
      <c r="J475" s="8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s="8" t="s">
        <v>650</v>
      </c>
      <c r="E476" s="8" t="s">
        <v>70</v>
      </c>
      <c r="F476" s="8"/>
      <c r="H476" s="8"/>
      <c r="I476" s="8" t="s">
        <v>8252</v>
      </c>
      <c r="J476" s="8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s="8" t="s">
        <v>1606</v>
      </c>
      <c r="E477" s="8" t="s">
        <v>8354</v>
      </c>
      <c r="F477" s="8"/>
      <c r="H477" s="8" t="s">
        <v>8355</v>
      </c>
      <c r="I477" s="8" t="s">
        <v>8255</v>
      </c>
      <c r="J477" s="8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s="8" t="s">
        <v>6171</v>
      </c>
      <c r="E478" s="8" t="s">
        <v>8354</v>
      </c>
      <c r="F478" s="8"/>
      <c r="H478" s="8" t="s">
        <v>8356</v>
      </c>
      <c r="I478" s="8" t="s">
        <v>8258</v>
      </c>
      <c r="J478" s="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s="8" t="s">
        <v>650</v>
      </c>
      <c r="E479" s="8" t="s">
        <v>8354</v>
      </c>
      <c r="F479" s="8"/>
      <c r="H479" s="8"/>
      <c r="I479" s="8" t="s">
        <v>8261</v>
      </c>
      <c r="J479" s="8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s="8" t="s">
        <v>8357</v>
      </c>
      <c r="E480" s="8" t="s">
        <v>5093</v>
      </c>
      <c r="F480" s="8"/>
      <c r="H480" s="8" t="s">
        <v>8358</v>
      </c>
      <c r="I480" s="8" t="s">
        <v>8264</v>
      </c>
      <c r="J480" s="8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s="8" t="s">
        <v>2004</v>
      </c>
      <c r="E481" s="8" t="s">
        <v>8</v>
      </c>
      <c r="F481" s="8"/>
      <c r="H481" s="8"/>
      <c r="I481" s="8" t="s">
        <v>8267</v>
      </c>
      <c r="J481" s="8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s="8" t="s">
        <v>2004</v>
      </c>
      <c r="E482" s="8" t="s">
        <v>8</v>
      </c>
      <c r="F482" s="8"/>
      <c r="H482" s="8"/>
      <c r="I482" s="8" t="s">
        <v>8270</v>
      </c>
      <c r="J482" s="8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s="8" t="s">
        <v>2004</v>
      </c>
      <c r="E483" s="8" t="s">
        <v>8</v>
      </c>
      <c r="F483" s="8"/>
      <c r="H483" s="8"/>
      <c r="I483" s="8" t="s">
        <v>8438</v>
      </c>
      <c r="J483" s="8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s="8" t="s">
        <v>2004</v>
      </c>
      <c r="E484" s="8" t="s">
        <v>8</v>
      </c>
      <c r="F484" s="8"/>
      <c r="H484" s="8"/>
      <c r="I484" s="8" t="s">
        <v>8441</v>
      </c>
      <c r="J484" s="8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s="8" t="s">
        <v>2004</v>
      </c>
      <c r="E485" s="8" t="s">
        <v>8</v>
      </c>
      <c r="F485" s="8"/>
      <c r="H485" s="8"/>
      <c r="I485" s="8" t="s">
        <v>8444</v>
      </c>
      <c r="J485" s="8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s="8" t="s">
        <v>2004</v>
      </c>
      <c r="E486" s="8" t="s">
        <v>8</v>
      </c>
      <c r="F486" s="8"/>
      <c r="H486" s="8"/>
      <c r="I486" s="8" t="s">
        <v>8703</v>
      </c>
      <c r="J486" s="8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s="8" t="s">
        <v>2004</v>
      </c>
      <c r="E487" s="8" t="s">
        <v>8826</v>
      </c>
      <c r="F487" s="8"/>
      <c r="H487" s="8"/>
      <c r="I487" s="8" t="s">
        <v>8706</v>
      </c>
      <c r="J487" s="8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s="8" t="s">
        <v>2004</v>
      </c>
      <c r="E488" s="8" t="s">
        <v>8826</v>
      </c>
      <c r="F488" s="8"/>
      <c r="H488" s="8"/>
      <c r="I488" s="8" t="s">
        <v>8709</v>
      </c>
      <c r="J488" s="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s="8" t="s">
        <v>2004</v>
      </c>
      <c r="E489" s="8" t="s">
        <v>8</v>
      </c>
      <c r="F489" s="8"/>
      <c r="H489" s="8"/>
      <c r="I489" s="8" t="s">
        <v>8712</v>
      </c>
      <c r="J489" s="8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s="8" t="s">
        <v>2004</v>
      </c>
      <c r="E490" s="8" t="s">
        <v>8826</v>
      </c>
      <c r="F490" s="8"/>
      <c r="H490" s="8"/>
      <c r="I490" s="8" t="s">
        <v>8715</v>
      </c>
      <c r="J490" s="8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s="8" t="s">
        <v>2004</v>
      </c>
      <c r="E491" s="8" t="s">
        <v>8826</v>
      </c>
      <c r="F491" s="8"/>
      <c r="H491" s="8"/>
      <c r="I491" s="8" t="s">
        <v>8718</v>
      </c>
      <c r="J491" s="8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s="8" t="s">
        <v>4</v>
      </c>
      <c r="E492" s="8" t="s">
        <v>8805</v>
      </c>
      <c r="F492" s="8"/>
      <c r="H492" s="8"/>
      <c r="I492" s="8" t="s">
        <v>8721</v>
      </c>
      <c r="J492" s="8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s="8" t="s">
        <v>4</v>
      </c>
      <c r="E493" s="8" t="s">
        <v>8</v>
      </c>
      <c r="F493" s="8"/>
      <c r="H493" s="8"/>
      <c r="I493" s="8" t="s">
        <v>9027</v>
      </c>
      <c r="J493" s="8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s="8" t="s">
        <v>289</v>
      </c>
      <c r="E494" s="8" t="s">
        <v>86</v>
      </c>
      <c r="F494" s="8" t="s">
        <v>9190</v>
      </c>
      <c r="H494" s="8"/>
      <c r="I494" s="8" t="s">
        <v>9030</v>
      </c>
      <c r="J494" s="8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s="8" t="s">
        <v>4221</v>
      </c>
      <c r="E495" s="8" t="s">
        <v>86</v>
      </c>
      <c r="F495" s="8" t="s">
        <v>9190</v>
      </c>
      <c r="H495" s="8"/>
      <c r="I495" s="8" t="s">
        <v>9033</v>
      </c>
      <c r="J495" s="8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s="8" t="s">
        <v>4221</v>
      </c>
      <c r="E496" s="8" t="s">
        <v>9207</v>
      </c>
      <c r="F496" s="8" t="s">
        <v>9190</v>
      </c>
      <c r="H496" s="8"/>
      <c r="I496" s="8" t="s">
        <v>9036</v>
      </c>
      <c r="J496" s="8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s="8" t="s">
        <v>4223</v>
      </c>
      <c r="E497" s="8" t="s">
        <v>86</v>
      </c>
      <c r="F497" s="8" t="s">
        <v>60</v>
      </c>
      <c r="H497" s="8" t="s">
        <v>1605</v>
      </c>
      <c r="I497" s="8" t="s">
        <v>9039</v>
      </c>
      <c r="J497" s="8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s="8" t="s">
        <v>4223</v>
      </c>
      <c r="E498" s="8" t="s">
        <v>86</v>
      </c>
      <c r="F498" s="8" t="s">
        <v>9202</v>
      </c>
      <c r="H498" s="8"/>
      <c r="I498" s="8" t="s">
        <v>9042</v>
      </c>
      <c r="J498" s="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s="8" t="s">
        <v>4223</v>
      </c>
      <c r="E499" s="8" t="s">
        <v>86</v>
      </c>
      <c r="F499" s="8" t="s">
        <v>9202</v>
      </c>
      <c r="H499" s="8" t="s">
        <v>2936</v>
      </c>
      <c r="I499" s="8" t="s">
        <v>9045</v>
      </c>
      <c r="J499" s="8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s="8" t="s">
        <v>4223</v>
      </c>
      <c r="E500" s="8" t="s">
        <v>86</v>
      </c>
      <c r="F500" s="8" t="s">
        <v>9203</v>
      </c>
      <c r="H500" s="8"/>
      <c r="I500" s="8" t="s">
        <v>9048</v>
      </c>
      <c r="J500" s="8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s="8" t="s">
        <v>4223</v>
      </c>
      <c r="E501" s="8" t="s">
        <v>86</v>
      </c>
      <c r="F501" s="8" t="s">
        <v>9203</v>
      </c>
      <c r="H501" s="8"/>
      <c r="I501" s="8" t="s">
        <v>9051</v>
      </c>
      <c r="J501" s="8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s="8" t="s">
        <v>4223</v>
      </c>
      <c r="E502" s="8" t="s">
        <v>86</v>
      </c>
      <c r="F502" s="8" t="s">
        <v>9203</v>
      </c>
      <c r="H502" s="8"/>
      <c r="I502" s="8" t="s">
        <v>9054</v>
      </c>
      <c r="J502" s="8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s="8" t="s">
        <v>4223</v>
      </c>
      <c r="E503" s="8" t="s">
        <v>86</v>
      </c>
      <c r="F503" s="8" t="s">
        <v>9203</v>
      </c>
      <c r="H503" s="8"/>
      <c r="I503" s="8" t="s">
        <v>9057</v>
      </c>
      <c r="J503" s="8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s="8" t="s">
        <v>4223</v>
      </c>
      <c r="E504" s="8" t="s">
        <v>86</v>
      </c>
      <c r="F504" s="8" t="s">
        <v>9203</v>
      </c>
      <c r="H504" s="8"/>
      <c r="I504" s="8" t="s">
        <v>9060</v>
      </c>
      <c r="J504" s="8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s="8" t="s">
        <v>4223</v>
      </c>
      <c r="E505" s="8" t="s">
        <v>86</v>
      </c>
      <c r="F505" s="8" t="s">
        <v>60</v>
      </c>
      <c r="H505" s="8" t="s">
        <v>1605</v>
      </c>
      <c r="I505" s="8" t="s">
        <v>9063</v>
      </c>
      <c r="J505" s="8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s="8" t="s">
        <v>4223</v>
      </c>
      <c r="E506" s="8" t="s">
        <v>86</v>
      </c>
      <c r="F506" s="8" t="s">
        <v>60</v>
      </c>
      <c r="H506" s="8" t="s">
        <v>1605</v>
      </c>
      <c r="I506" s="8" t="s">
        <v>9066</v>
      </c>
      <c r="J506" s="8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s="8" t="s">
        <v>4223</v>
      </c>
      <c r="E507" s="8" t="s">
        <v>86</v>
      </c>
      <c r="F507" s="8" t="s">
        <v>9203</v>
      </c>
      <c r="H507" s="8"/>
      <c r="I507" s="8" t="s">
        <v>9069</v>
      </c>
      <c r="J507" s="8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s="8" t="s">
        <v>533</v>
      </c>
      <c r="E508" s="8" t="s">
        <v>531</v>
      </c>
      <c r="F508" s="8" t="s">
        <v>58</v>
      </c>
      <c r="H508" s="8"/>
      <c r="I508" s="8" t="s">
        <v>9072</v>
      </c>
      <c r="J508" s="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s="8" t="s">
        <v>533</v>
      </c>
      <c r="E509" s="8" t="s">
        <v>531</v>
      </c>
      <c r="F509" s="8" t="s">
        <v>58</v>
      </c>
      <c r="H509" s="8"/>
      <c r="I509" s="8" t="s">
        <v>9075</v>
      </c>
      <c r="J509" s="8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s="8" t="s">
        <v>533</v>
      </c>
      <c r="E510" s="8" t="s">
        <v>531</v>
      </c>
      <c r="F510" s="8" t="s">
        <v>58</v>
      </c>
      <c r="H510" s="8"/>
      <c r="I510" s="8" t="s">
        <v>9078</v>
      </c>
      <c r="J510" s="8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s="8" t="s">
        <v>533</v>
      </c>
      <c r="E511" s="8" t="s">
        <v>531</v>
      </c>
      <c r="F511" s="8" t="s">
        <v>58</v>
      </c>
      <c r="H511" s="8"/>
      <c r="I511" s="8" t="s">
        <v>9081</v>
      </c>
      <c r="J511" s="8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s="8" t="s">
        <v>533</v>
      </c>
      <c r="E512" s="8" t="s">
        <v>531</v>
      </c>
      <c r="F512" s="8" t="s">
        <v>58</v>
      </c>
      <c r="H512" s="8"/>
      <c r="I512" s="8" t="s">
        <v>9084</v>
      </c>
      <c r="J512" s="8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s="8" t="s">
        <v>533</v>
      </c>
      <c r="E513" s="8" t="s">
        <v>531</v>
      </c>
      <c r="F513" s="8" t="s">
        <v>9208</v>
      </c>
      <c r="H513" s="8"/>
      <c r="I513" s="8" t="s">
        <v>9087</v>
      </c>
      <c r="J513" s="8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s="8" t="s">
        <v>533</v>
      </c>
      <c r="E514" s="8" t="s">
        <v>531</v>
      </c>
      <c r="F514" s="8" t="s">
        <v>58</v>
      </c>
      <c r="H514" s="8"/>
      <c r="I514" s="8" t="s">
        <v>9090</v>
      </c>
      <c r="J514" s="8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s="8" t="s">
        <v>533</v>
      </c>
      <c r="E515" s="8" t="s">
        <v>531</v>
      </c>
      <c r="F515" s="8" t="s">
        <v>9202</v>
      </c>
      <c r="H515" s="8"/>
      <c r="I515" s="8" t="s">
        <v>9093</v>
      </c>
      <c r="J515" s="8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s="8" t="s">
        <v>4223</v>
      </c>
      <c r="E516" s="8" t="s">
        <v>86</v>
      </c>
      <c r="F516" s="8" t="s">
        <v>528</v>
      </c>
      <c r="H516" s="8"/>
      <c r="I516" s="8" t="s">
        <v>9096</v>
      </c>
      <c r="J516" s="8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s="8" t="s">
        <v>4223</v>
      </c>
      <c r="E517" s="8" t="s">
        <v>86</v>
      </c>
      <c r="F517" s="8" t="s">
        <v>528</v>
      </c>
      <c r="H517" s="8" t="s">
        <v>2936</v>
      </c>
      <c r="I517" s="8" t="s">
        <v>9099</v>
      </c>
      <c r="J517" s="8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s="8" t="s">
        <v>533</v>
      </c>
      <c r="E518" s="8" t="s">
        <v>531</v>
      </c>
      <c r="F518" s="8" t="s">
        <v>58</v>
      </c>
      <c r="H518" s="8"/>
      <c r="I518" s="8" t="s">
        <v>9102</v>
      </c>
      <c r="J518" s="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s="8" t="s">
        <v>533</v>
      </c>
      <c r="E519" s="8" t="s">
        <v>531</v>
      </c>
      <c r="F519" s="8" t="s">
        <v>58</v>
      </c>
      <c r="H519" s="8"/>
      <c r="I519" s="8" t="s">
        <v>9105</v>
      </c>
      <c r="J519" s="8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s="8" t="s">
        <v>533</v>
      </c>
      <c r="E520" s="8" t="s">
        <v>531</v>
      </c>
      <c r="F520" s="8" t="s">
        <v>9209</v>
      </c>
      <c r="H520" s="8"/>
      <c r="I520" s="8" t="s">
        <v>9108</v>
      </c>
      <c r="J520" s="8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s="8" t="s">
        <v>533</v>
      </c>
      <c r="E521" s="8" t="s">
        <v>531</v>
      </c>
      <c r="F521" s="8" t="s">
        <v>9210</v>
      </c>
      <c r="H521" s="8"/>
      <c r="I521" s="8" t="s">
        <v>9111</v>
      </c>
      <c r="J521" s="8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s="8" t="s">
        <v>8042</v>
      </c>
      <c r="E522" s="8" t="s">
        <v>4193</v>
      </c>
      <c r="F522" s="8"/>
      <c r="H522" s="8"/>
      <c r="I522" s="8" t="s">
        <v>9300</v>
      </c>
      <c r="J522" s="8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s="8" t="s">
        <v>533</v>
      </c>
      <c r="E523" s="8" t="s">
        <v>1607</v>
      </c>
      <c r="F523" s="8" t="s">
        <v>58</v>
      </c>
      <c r="H523" s="8"/>
      <c r="I523" s="8" t="s">
        <v>9303</v>
      </c>
      <c r="J523" s="8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s="8" t="s">
        <v>8042</v>
      </c>
      <c r="E524" s="8" t="s">
        <v>4193</v>
      </c>
      <c r="F524" s="8"/>
      <c r="H524" s="8"/>
      <c r="I524" s="8" t="s">
        <v>9306</v>
      </c>
      <c r="J524" s="8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s="8" t="s">
        <v>4</v>
      </c>
      <c r="E525" s="8" t="s">
        <v>8</v>
      </c>
      <c r="F525" s="8"/>
      <c r="H525" s="8"/>
      <c r="I525" s="8" t="s">
        <v>9309</v>
      </c>
      <c r="J525" s="8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s="8" t="s">
        <v>533</v>
      </c>
      <c r="E526" s="8" t="s">
        <v>1607</v>
      </c>
      <c r="F526" s="8" t="s">
        <v>58</v>
      </c>
      <c r="H526" s="8" t="s">
        <v>9519</v>
      </c>
      <c r="I526" s="8" t="s">
        <v>9486</v>
      </c>
      <c r="J526" s="8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s="8" t="s">
        <v>533</v>
      </c>
      <c r="E527" s="8" t="s">
        <v>1607</v>
      </c>
      <c r="F527" s="8" t="s">
        <v>58</v>
      </c>
      <c r="H527" s="8" t="s">
        <v>9519</v>
      </c>
      <c r="I527" s="8" t="s">
        <v>9489</v>
      </c>
      <c r="J527" s="8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s="8" t="s">
        <v>533</v>
      </c>
      <c r="E528" s="8" t="s">
        <v>1607</v>
      </c>
      <c r="F528" s="8" t="s">
        <v>58</v>
      </c>
      <c r="H528" s="8" t="s">
        <v>2949</v>
      </c>
      <c r="I528" s="8" t="s">
        <v>9492</v>
      </c>
      <c r="J528" s="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s="8" t="s">
        <v>1606</v>
      </c>
      <c r="E529" s="8" t="s">
        <v>9520</v>
      </c>
      <c r="F529" s="8"/>
      <c r="H529" s="8"/>
      <c r="I529" s="8" t="s">
        <v>9495</v>
      </c>
      <c r="J529" s="8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s="8" t="s">
        <v>650</v>
      </c>
      <c r="E530" s="8" t="s">
        <v>9520</v>
      </c>
      <c r="F530" s="8"/>
      <c r="H530" s="8"/>
      <c r="I530" s="8" t="s">
        <v>9498</v>
      </c>
      <c r="J530" s="8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s="8" t="s">
        <v>533</v>
      </c>
      <c r="E531" s="8" t="s">
        <v>1607</v>
      </c>
      <c r="F531" s="8" t="s">
        <v>58</v>
      </c>
      <c r="H531" s="8" t="s">
        <v>9519</v>
      </c>
      <c r="I531" s="8" t="s">
        <v>9501</v>
      </c>
      <c r="J531" s="8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s="8" t="s">
        <v>1606</v>
      </c>
      <c r="E532" s="8" t="s">
        <v>9521</v>
      </c>
      <c r="F532" s="8"/>
      <c r="H532" s="8"/>
      <c r="I532" s="8" t="s">
        <v>9504</v>
      </c>
      <c r="J532" s="8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s="8" t="s">
        <v>289</v>
      </c>
      <c r="E533" s="8" t="s">
        <v>9521</v>
      </c>
      <c r="F533" s="8" t="s">
        <v>2944</v>
      </c>
      <c r="H533" s="8"/>
      <c r="I533" s="8" t="s">
        <v>9507</v>
      </c>
      <c r="J533" s="8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s="8" t="s">
        <v>650</v>
      </c>
      <c r="E534" s="8" t="s">
        <v>9521</v>
      </c>
      <c r="F534" s="8" t="s">
        <v>2944</v>
      </c>
      <c r="H534" s="8"/>
      <c r="I534" s="8" t="s">
        <v>9510</v>
      </c>
      <c r="J534" s="8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s="8" t="s">
        <v>533</v>
      </c>
      <c r="E535" s="8" t="s">
        <v>1607</v>
      </c>
      <c r="F535" s="8" t="s">
        <v>58</v>
      </c>
      <c r="H535" s="8" t="s">
        <v>9519</v>
      </c>
      <c r="I535" s="8" t="s">
        <v>9513</v>
      </c>
      <c r="J535" s="8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s="8" t="s">
        <v>4</v>
      </c>
      <c r="E536" s="8" t="s">
        <v>8</v>
      </c>
      <c r="F536" s="8"/>
      <c r="H536" s="8"/>
      <c r="I536" s="8" t="s">
        <v>9516</v>
      </c>
      <c r="J536" s="8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s="8" t="s">
        <v>4</v>
      </c>
      <c r="E537" s="8" t="s">
        <v>6656</v>
      </c>
      <c r="F537" s="8" t="s">
        <v>9339</v>
      </c>
      <c r="H537" s="8"/>
      <c r="I537" s="8" t="s">
        <v>9657</v>
      </c>
      <c r="J537" s="8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s="8" t="s">
        <v>4</v>
      </c>
      <c r="E538" s="8" t="s">
        <v>6656</v>
      </c>
      <c r="F538" s="8" t="s">
        <v>9339</v>
      </c>
      <c r="H538" s="8"/>
      <c r="I538" s="8" t="s">
        <v>9660</v>
      </c>
      <c r="J538" s="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s="8" t="s">
        <v>533</v>
      </c>
      <c r="E539" s="8" t="s">
        <v>1607</v>
      </c>
      <c r="F539" s="8" t="s">
        <v>58</v>
      </c>
      <c r="H539" s="8"/>
      <c r="I539" s="8" t="s">
        <v>9663</v>
      </c>
      <c r="J539" s="8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s="8" t="s">
        <v>2004</v>
      </c>
      <c r="E540" s="8" t="s">
        <v>8</v>
      </c>
      <c r="F540" s="8"/>
      <c r="H540" s="8"/>
      <c r="I540" s="8" t="s">
        <v>9825</v>
      </c>
      <c r="J540" s="8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s="8" t="s">
        <v>533</v>
      </c>
      <c r="E541" s="8" t="s">
        <v>1607</v>
      </c>
      <c r="F541" s="8" t="s">
        <v>58</v>
      </c>
      <c r="H541" s="8"/>
      <c r="I541" s="8" t="s">
        <v>9828</v>
      </c>
      <c r="J541" s="8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s="8" t="s">
        <v>4223</v>
      </c>
      <c r="E542" s="8" t="s">
        <v>86</v>
      </c>
      <c r="F542" s="8" t="s">
        <v>9202</v>
      </c>
      <c r="H542" s="8"/>
      <c r="I542" s="8" t="s">
        <v>9831</v>
      </c>
      <c r="J542" s="8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s="8" t="s">
        <v>4223</v>
      </c>
      <c r="E543" s="8" t="s">
        <v>86</v>
      </c>
      <c r="F543" s="8" t="s">
        <v>9202</v>
      </c>
      <c r="H543" s="8"/>
      <c r="I543" s="8" t="s">
        <v>9834</v>
      </c>
      <c r="J543" s="8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s="8" t="s">
        <v>4223</v>
      </c>
      <c r="E544" s="8" t="s">
        <v>86</v>
      </c>
      <c r="F544" s="8" t="s">
        <v>9202</v>
      </c>
      <c r="H544" s="8"/>
      <c r="I544" s="8" t="s">
        <v>9837</v>
      </c>
      <c r="J544" s="8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s="8" t="s">
        <v>1606</v>
      </c>
      <c r="E545" s="8" t="s">
        <v>10140</v>
      </c>
      <c r="F545" s="8"/>
      <c r="H545" s="8"/>
      <c r="I545" s="8" t="s">
        <v>10044</v>
      </c>
      <c r="J545" s="8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s="8" t="s">
        <v>650</v>
      </c>
      <c r="E546" s="8" t="s">
        <v>10140</v>
      </c>
      <c r="F546" s="8"/>
      <c r="H546" s="8"/>
      <c r="I546" s="8" t="s">
        <v>10047</v>
      </c>
      <c r="J546" s="8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s="8" t="s">
        <v>159</v>
      </c>
      <c r="E547" s="8" t="s">
        <v>10140</v>
      </c>
      <c r="F547" s="8"/>
      <c r="H547" s="8"/>
      <c r="I547" s="8" t="s">
        <v>10050</v>
      </c>
      <c r="J547" s="8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s="8" t="s">
        <v>533</v>
      </c>
      <c r="E548" s="8" t="s">
        <v>1607</v>
      </c>
      <c r="F548" s="8" t="s">
        <v>58</v>
      </c>
      <c r="H548" s="8"/>
      <c r="I548" s="8" t="s">
        <v>10053</v>
      </c>
      <c r="J548" s="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s="8" t="s">
        <v>10141</v>
      </c>
      <c r="E549" s="8" t="s">
        <v>10140</v>
      </c>
      <c r="F549" s="8"/>
      <c r="H549" s="8"/>
      <c r="I549" s="8" t="s">
        <v>10056</v>
      </c>
      <c r="J549" s="8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s="8" t="s">
        <v>533</v>
      </c>
      <c r="E550" s="8" t="s">
        <v>1607</v>
      </c>
      <c r="F550" s="8" t="s">
        <v>58</v>
      </c>
      <c r="H550" s="8"/>
      <c r="I550" s="8" t="s">
        <v>10059</v>
      </c>
      <c r="J550" s="8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s="8" t="s">
        <v>4223</v>
      </c>
      <c r="E551" s="8" t="s">
        <v>86</v>
      </c>
      <c r="F551" s="8" t="s">
        <v>9202</v>
      </c>
      <c r="H551" s="8"/>
      <c r="I551" s="8" t="s">
        <v>10062</v>
      </c>
      <c r="J551" s="8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s="8" t="s">
        <v>159</v>
      </c>
      <c r="E552" s="8" t="s">
        <v>4193</v>
      </c>
      <c r="F552" s="8"/>
      <c r="H552" s="8"/>
      <c r="I552" s="8" t="s">
        <v>10065</v>
      </c>
      <c r="J552" s="8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s="8" t="s">
        <v>533</v>
      </c>
      <c r="E553" s="8" t="s">
        <v>1607</v>
      </c>
      <c r="F553" s="8" t="s">
        <v>58</v>
      </c>
      <c r="H553" s="8"/>
      <c r="I553" s="8" t="s">
        <v>10068</v>
      </c>
      <c r="J553" s="8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s="8" t="s">
        <v>10142</v>
      </c>
      <c r="E554" s="8" t="s">
        <v>4193</v>
      </c>
      <c r="F554" s="8"/>
      <c r="H554" s="8"/>
      <c r="I554" s="8" t="s">
        <v>10071</v>
      </c>
      <c r="J554" s="8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s="8" t="s">
        <v>533</v>
      </c>
      <c r="E555" s="8" t="s">
        <v>1607</v>
      </c>
      <c r="F555" s="8" t="s">
        <v>58</v>
      </c>
      <c r="H555" s="8"/>
      <c r="I555" s="8" t="s">
        <v>10074</v>
      </c>
      <c r="J555" s="8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s="8" t="s">
        <v>4223</v>
      </c>
      <c r="E556" s="8" t="s">
        <v>86</v>
      </c>
      <c r="F556" s="8" t="s">
        <v>9202</v>
      </c>
      <c r="H556" s="8" t="s">
        <v>4236</v>
      </c>
      <c r="I556" s="8" t="s">
        <v>10077</v>
      </c>
      <c r="J556" s="8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s="8" t="s">
        <v>4223</v>
      </c>
      <c r="E557" s="8" t="s">
        <v>86</v>
      </c>
      <c r="F557" s="8" t="s">
        <v>9202</v>
      </c>
      <c r="H557" s="8" t="s">
        <v>4236</v>
      </c>
      <c r="I557" s="8" t="s">
        <v>10080</v>
      </c>
      <c r="J557" s="8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s="8" t="s">
        <v>533</v>
      </c>
      <c r="E558" s="8" t="s">
        <v>1607</v>
      </c>
      <c r="F558" s="8" t="s">
        <v>53</v>
      </c>
      <c r="H558" s="8"/>
      <c r="I558" s="8" t="s">
        <v>10083</v>
      </c>
      <c r="J558" s="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s="8" t="s">
        <v>10442</v>
      </c>
      <c r="E559" s="8" t="s">
        <v>1607</v>
      </c>
      <c r="F559" s="8"/>
      <c r="H559" s="8"/>
      <c r="I559" s="8" t="s">
        <v>10386</v>
      </c>
      <c r="J559" s="8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s="8" t="s">
        <v>289</v>
      </c>
      <c r="E560" s="8" t="s">
        <v>9521</v>
      </c>
      <c r="F560" s="8" t="s">
        <v>58</v>
      </c>
      <c r="H560" s="8" t="s">
        <v>10443</v>
      </c>
      <c r="I560" s="8" t="s">
        <v>10394</v>
      </c>
      <c r="J560" s="8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s="8" t="s">
        <v>650</v>
      </c>
      <c r="E561" s="8" t="s">
        <v>9521</v>
      </c>
      <c r="F561" s="8" t="s">
        <v>58</v>
      </c>
      <c r="H561" s="8" t="s">
        <v>10444</v>
      </c>
      <c r="I561" s="8" t="s">
        <v>10397</v>
      </c>
      <c r="J561" s="8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s="8" t="s">
        <v>4</v>
      </c>
      <c r="E562" s="8" t="s">
        <v>10524</v>
      </c>
      <c r="F562" s="8"/>
      <c r="H562" s="8"/>
      <c r="I562" s="8" t="s">
        <v>10521</v>
      </c>
      <c r="J562" s="8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s="8" t="s">
        <v>4</v>
      </c>
      <c r="E563" s="8" t="s">
        <v>462</v>
      </c>
      <c r="F563" s="8"/>
      <c r="H563" s="8"/>
      <c r="I563" s="8" t="s">
        <v>10470</v>
      </c>
      <c r="J563" s="8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s="8" t="s">
        <v>4</v>
      </c>
      <c r="E564" s="8" t="s">
        <v>10638</v>
      </c>
      <c r="F564" s="8"/>
      <c r="H564" s="8"/>
      <c r="I564" s="8" t="s">
        <v>10600</v>
      </c>
      <c r="J564" s="8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s="8" t="s">
        <v>4</v>
      </c>
      <c r="E565" s="8" t="s">
        <v>10638</v>
      </c>
      <c r="F565" s="8"/>
      <c r="H565" s="8"/>
      <c r="I565" s="8" t="s">
        <v>10603</v>
      </c>
      <c r="J565" s="8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s="8" t="s">
        <v>4</v>
      </c>
      <c r="E566" s="8" t="s">
        <v>10638</v>
      </c>
      <c r="F566" s="8"/>
      <c r="H566" s="8"/>
      <c r="I566" s="8" t="s">
        <v>10606</v>
      </c>
      <c r="J566" s="8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s="8" t="s">
        <v>4</v>
      </c>
      <c r="E567" s="8" t="s">
        <v>10524</v>
      </c>
      <c r="F567" s="8"/>
      <c r="H567" s="8"/>
      <c r="I567" s="8" t="s">
        <v>10609</v>
      </c>
      <c r="J567" s="8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  <row r="568" spans="1:13" x14ac:dyDescent="0.25">
      <c r="A568" s="2" t="s">
        <v>15</v>
      </c>
      <c r="B568" s="4">
        <v>46050</v>
      </c>
      <c r="C568" s="5">
        <v>0.4223263888888889</v>
      </c>
      <c r="D568" s="8" t="s">
        <v>4223</v>
      </c>
      <c r="E568" s="8" t="s">
        <v>86</v>
      </c>
      <c r="F568" s="8" t="s">
        <v>9202</v>
      </c>
      <c r="H568" s="8"/>
      <c r="I568" s="8" t="s">
        <v>10824</v>
      </c>
      <c r="J568" s="8" t="s">
        <v>2985</v>
      </c>
      <c r="K568" t="s">
        <v>10825</v>
      </c>
      <c r="L568" t="s">
        <v>10826</v>
      </c>
      <c r="M568" s="3" t="str">
        <f>HYPERLINK(склад2въезд131920212223[[#This Row],[RelativePath]])</f>
        <v>10 Сушилка навес\E33149364_3_20260128T100809Z.jpg</v>
      </c>
    </row>
    <row r="569" spans="1:13" x14ac:dyDescent="0.25">
      <c r="A569" s="2" t="s">
        <v>15</v>
      </c>
      <c r="B569" s="4">
        <v>46050</v>
      </c>
      <c r="C569" s="5">
        <v>0.61810185185185185</v>
      </c>
      <c r="D569" s="8" t="s">
        <v>533</v>
      </c>
      <c r="E569" s="8" t="s">
        <v>1607</v>
      </c>
      <c r="F569" s="8" t="s">
        <v>2929</v>
      </c>
      <c r="H569" s="8"/>
      <c r="I569" s="8" t="s">
        <v>10827</v>
      </c>
      <c r="J569" s="8" t="s">
        <v>2985</v>
      </c>
      <c r="K569" t="s">
        <v>10828</v>
      </c>
      <c r="L569" t="s">
        <v>10829</v>
      </c>
      <c r="M569" s="3" t="str">
        <f>HYPERLINK(склад2въезд131920212223[[#This Row],[RelativePath]])</f>
        <v>10 Сушилка навес\E33149364_3_20260128T145004Z.jpg</v>
      </c>
    </row>
    <row r="570" spans="1:13" x14ac:dyDescent="0.25">
      <c r="A570" s="2" t="s">
        <v>15</v>
      </c>
      <c r="B570" s="4">
        <v>46050</v>
      </c>
      <c r="C570" s="5">
        <v>0.65270833333333333</v>
      </c>
      <c r="D570" s="8" t="s">
        <v>4223</v>
      </c>
      <c r="E570" s="8" t="s">
        <v>86</v>
      </c>
      <c r="F570" s="8" t="s">
        <v>9202</v>
      </c>
      <c r="H570" s="8"/>
      <c r="I570" s="8" t="s">
        <v>10830</v>
      </c>
      <c r="J570" s="8" t="s">
        <v>2985</v>
      </c>
      <c r="K570" t="s">
        <v>10831</v>
      </c>
      <c r="L570" t="s">
        <v>10832</v>
      </c>
      <c r="M570" s="3" t="str">
        <f>HYPERLINK(склад2въезд131920212223[[#This Row],[RelativePath]])</f>
        <v>10 Сушилка навес\E33149364_3_20260128T153954Z.jpg</v>
      </c>
    </row>
    <row r="571" spans="1:13" x14ac:dyDescent="0.25">
      <c r="A571" s="2" t="s">
        <v>16</v>
      </c>
      <c r="B571" s="4">
        <v>46051</v>
      </c>
      <c r="C571" s="5">
        <v>0.53275462962962961</v>
      </c>
      <c r="D571" s="8" t="s">
        <v>533</v>
      </c>
      <c r="E571" s="8" t="s">
        <v>1607</v>
      </c>
      <c r="F571" s="8" t="s">
        <v>2929</v>
      </c>
      <c r="H571" s="8" t="s">
        <v>6339</v>
      </c>
      <c r="I571" s="8" t="s">
        <v>10833</v>
      </c>
      <c r="J571" s="8" t="s">
        <v>2985</v>
      </c>
      <c r="K571" t="s">
        <v>10834</v>
      </c>
      <c r="L571" t="s">
        <v>10835</v>
      </c>
      <c r="M571" s="3" t="str">
        <f>HYPERLINK(склад2въезд131920212223[[#This Row],[RelativePath]])</f>
        <v>10 Сушилка навес\E33149364_3_20260129T124710Z.jpg</v>
      </c>
    </row>
    <row r="572" spans="1:13" x14ac:dyDescent="0.25">
      <c r="A572" s="2" t="s">
        <v>16</v>
      </c>
      <c r="B572" s="4">
        <v>46051</v>
      </c>
      <c r="C572" s="5">
        <v>0.58608796296296295</v>
      </c>
      <c r="D572" s="8" t="s">
        <v>533</v>
      </c>
      <c r="E572" s="8" t="s">
        <v>1607</v>
      </c>
      <c r="F572" s="8" t="s">
        <v>2929</v>
      </c>
      <c r="H572" s="8"/>
      <c r="I572" s="8" t="s">
        <v>10836</v>
      </c>
      <c r="J572" s="8" t="s">
        <v>2985</v>
      </c>
      <c r="K572" t="s">
        <v>10837</v>
      </c>
      <c r="L572" t="s">
        <v>10838</v>
      </c>
      <c r="M572" s="3" t="str">
        <f>HYPERLINK(склад2въезд131920212223[[#This Row],[RelativePath]])</f>
        <v>10 Сушилка навес\E33149364_3_20260129T140358Z.jpg</v>
      </c>
    </row>
    <row r="573" spans="1:13" x14ac:dyDescent="0.25">
      <c r="A573" s="2" t="s">
        <v>16</v>
      </c>
      <c r="B573" s="4">
        <v>46051</v>
      </c>
      <c r="C573" s="5">
        <v>0.58915509259259258</v>
      </c>
      <c r="D573" s="8" t="s">
        <v>533</v>
      </c>
      <c r="E573" s="8" t="s">
        <v>1607</v>
      </c>
      <c r="F573" s="8" t="s">
        <v>2929</v>
      </c>
      <c r="H573" s="8"/>
      <c r="I573" s="8" t="s">
        <v>10839</v>
      </c>
      <c r="J573" s="8" t="s">
        <v>2985</v>
      </c>
      <c r="K573" t="s">
        <v>10840</v>
      </c>
      <c r="L573" t="s">
        <v>10841</v>
      </c>
      <c r="M573" s="3" t="str">
        <f>HYPERLINK(склад2въезд131920212223[[#This Row],[RelativePath]])</f>
        <v>10 Сушилка навес\E33149364_3_20260129T140823Z.jpg</v>
      </c>
    </row>
    <row r="574" spans="1:13" x14ac:dyDescent="0.25">
      <c r="A574" s="2" t="s">
        <v>16</v>
      </c>
      <c r="B574" s="4">
        <v>46051</v>
      </c>
      <c r="C574" s="5">
        <v>0.62744212962962964</v>
      </c>
      <c r="D574" s="8" t="s">
        <v>533</v>
      </c>
      <c r="E574" s="8" t="s">
        <v>1607</v>
      </c>
      <c r="F574" s="8" t="s">
        <v>2929</v>
      </c>
      <c r="H574" s="8"/>
      <c r="I574" s="8" t="s">
        <v>10842</v>
      </c>
      <c r="J574" s="8" t="s">
        <v>2985</v>
      </c>
      <c r="K574" t="s">
        <v>10843</v>
      </c>
      <c r="L574" t="s">
        <v>10844</v>
      </c>
      <c r="M574" s="3" t="str">
        <f>HYPERLINK(склад2въезд131920212223[[#This Row],[RelativePath]])</f>
        <v>10 Сушилка навес\E33149364_3_20260129T150331Z.jpg</v>
      </c>
    </row>
    <row r="575" spans="1:13" x14ac:dyDescent="0.25">
      <c r="A575" s="2" t="s">
        <v>16</v>
      </c>
      <c r="B575" s="4">
        <v>46051</v>
      </c>
      <c r="C575" s="5">
        <v>0.63372685185185185</v>
      </c>
      <c r="D575" s="8" t="s">
        <v>533</v>
      </c>
      <c r="E575" s="8" t="s">
        <v>1607</v>
      </c>
      <c r="F575" s="8" t="s">
        <v>2929</v>
      </c>
      <c r="H575" s="8"/>
      <c r="I575" s="8" t="s">
        <v>10845</v>
      </c>
      <c r="J575" s="8" t="s">
        <v>2985</v>
      </c>
      <c r="K575" t="s">
        <v>10846</v>
      </c>
      <c r="L575" t="s">
        <v>10847</v>
      </c>
      <c r="M575" s="3" t="str">
        <f>HYPERLINK(склад2въезд131920212223[[#This Row],[RelativePath]])</f>
        <v>10 Сушилка навес\E33149364_3_20260129T151234Z.jpg</v>
      </c>
    </row>
    <row r="576" spans="1:13" x14ac:dyDescent="0.25">
      <c r="A576" s="2" t="s">
        <v>16</v>
      </c>
      <c r="B576" s="4">
        <v>46051</v>
      </c>
      <c r="C576" s="5">
        <v>0.69541666666666668</v>
      </c>
      <c r="D576" s="8" t="s">
        <v>533</v>
      </c>
      <c r="E576" s="8" t="s">
        <v>1607</v>
      </c>
      <c r="F576" s="8" t="s">
        <v>2929</v>
      </c>
      <c r="H576" s="8"/>
      <c r="I576" s="8" t="s">
        <v>10848</v>
      </c>
      <c r="J576" s="8" t="s">
        <v>2985</v>
      </c>
      <c r="K576" t="s">
        <v>10849</v>
      </c>
      <c r="L576" t="s">
        <v>10850</v>
      </c>
      <c r="M576" s="3" t="str">
        <f>HYPERLINK(склад2въезд131920212223[[#This Row],[RelativePath]])</f>
        <v>10 Сушилка навес\E33149364_3_20260129T164124Z.jpg</v>
      </c>
    </row>
    <row r="577" spans="1:13" x14ac:dyDescent="0.25">
      <c r="A577" s="2" t="s">
        <v>16</v>
      </c>
      <c r="B577" s="4">
        <v>46051</v>
      </c>
      <c r="C577" s="5">
        <v>0.7123842592592593</v>
      </c>
      <c r="D577" s="8" t="s">
        <v>533</v>
      </c>
      <c r="E577" s="8" t="s">
        <v>1607</v>
      </c>
      <c r="F577" s="8" t="s">
        <v>2929</v>
      </c>
      <c r="H577" s="8"/>
      <c r="I577" s="8" t="s">
        <v>10851</v>
      </c>
      <c r="J577" s="8" t="s">
        <v>2985</v>
      </c>
      <c r="K577" t="s">
        <v>10852</v>
      </c>
      <c r="L577" t="s">
        <v>10853</v>
      </c>
      <c r="M577" s="3" t="str">
        <f>HYPERLINK(склад2въезд131920212223[[#This Row],[RelativePath]])</f>
        <v>10 Сушилка навес\E33149364_3_20260129T170550Z.jpg</v>
      </c>
    </row>
    <row r="578" spans="1:13" x14ac:dyDescent="0.25">
      <c r="A578" s="2" t="s">
        <v>17</v>
      </c>
      <c r="B578" s="4">
        <v>46052</v>
      </c>
      <c r="C578" s="5">
        <v>0.37525462962962963</v>
      </c>
      <c r="D578" s="8" t="s">
        <v>1606</v>
      </c>
      <c r="E578" s="8" t="s">
        <v>70</v>
      </c>
      <c r="F578" s="8"/>
      <c r="H578" s="8"/>
      <c r="I578" s="8" t="s">
        <v>10956</v>
      </c>
      <c r="J578" s="8" t="s">
        <v>2985</v>
      </c>
      <c r="K578" t="s">
        <v>10957</v>
      </c>
      <c r="L578" t="s">
        <v>10958</v>
      </c>
      <c r="M578" s="3" t="str">
        <f>HYPERLINK(склад2въезд131920212223[[#This Row],[RelativePath]])</f>
        <v>10 Сушилка навес\E33149364_3_20260130T090022Z.jpg</v>
      </c>
    </row>
    <row r="579" spans="1:13" x14ac:dyDescent="0.25">
      <c r="A579" s="2" t="s">
        <v>17</v>
      </c>
      <c r="B579" s="4">
        <v>46052</v>
      </c>
      <c r="C579" s="5">
        <v>0.38319444444444445</v>
      </c>
      <c r="D579" s="8" t="s">
        <v>289</v>
      </c>
      <c r="E579" s="8" t="s">
        <v>70</v>
      </c>
      <c r="F579" s="8" t="s">
        <v>11007</v>
      </c>
      <c r="H579" s="8"/>
      <c r="I579" s="8" t="s">
        <v>10959</v>
      </c>
      <c r="J579" s="8" t="s">
        <v>2985</v>
      </c>
      <c r="K579" t="s">
        <v>10960</v>
      </c>
      <c r="L579" t="s">
        <v>10961</v>
      </c>
      <c r="M579" s="3" t="str">
        <f>HYPERLINK(склад2въезд131920212223[[#This Row],[RelativePath]])</f>
        <v>10 Сушилка навес\E33149364_3_20260130T091148Z.jpg</v>
      </c>
    </row>
    <row r="580" spans="1:13" x14ac:dyDescent="0.25">
      <c r="A580" s="2" t="s">
        <v>17</v>
      </c>
      <c r="B580" s="4">
        <v>46052</v>
      </c>
      <c r="C580" s="5">
        <v>0.3832638888888889</v>
      </c>
      <c r="D580" s="8" t="s">
        <v>289</v>
      </c>
      <c r="E580" s="8" t="s">
        <v>70</v>
      </c>
      <c r="F580" s="8" t="s">
        <v>11007</v>
      </c>
      <c r="H580" s="8" t="s">
        <v>2936</v>
      </c>
      <c r="I580" s="8" t="s">
        <v>10962</v>
      </c>
      <c r="J580" s="8" t="s">
        <v>2985</v>
      </c>
      <c r="K580" t="s">
        <v>10963</v>
      </c>
      <c r="L580" t="s">
        <v>10964</v>
      </c>
      <c r="M580" s="3" t="str">
        <f>HYPERLINK(склад2въезд131920212223[[#This Row],[RelativePath]])</f>
        <v>10 Сушилка навес\E33149364_3_20260130T091154Z.jpg</v>
      </c>
    </row>
    <row r="581" spans="1:13" x14ac:dyDescent="0.25">
      <c r="A581" s="2" t="s">
        <v>17</v>
      </c>
      <c r="B581" s="4">
        <v>46052</v>
      </c>
      <c r="C581" s="5">
        <v>0.38341435185185185</v>
      </c>
      <c r="D581" s="8" t="s">
        <v>289</v>
      </c>
      <c r="E581" s="8" t="s">
        <v>70</v>
      </c>
      <c r="F581" s="8" t="s">
        <v>11007</v>
      </c>
      <c r="H581" s="8" t="s">
        <v>2936</v>
      </c>
      <c r="I581" s="8" t="s">
        <v>10965</v>
      </c>
      <c r="J581" s="8" t="s">
        <v>2985</v>
      </c>
      <c r="K581" t="s">
        <v>10966</v>
      </c>
      <c r="L581" t="s">
        <v>10967</v>
      </c>
      <c r="M581" s="3" t="str">
        <f>HYPERLINK(склад2въезд131920212223[[#This Row],[RelativePath]])</f>
        <v>10 Сушилка навес\E33149364_3_20260130T091207Z.jpg</v>
      </c>
    </row>
    <row r="582" spans="1:13" x14ac:dyDescent="0.25">
      <c r="A582" s="2" t="s">
        <v>17</v>
      </c>
      <c r="B582" s="4">
        <v>46052</v>
      </c>
      <c r="C582" s="5">
        <v>0.38377314814814817</v>
      </c>
      <c r="D582" s="8" t="s">
        <v>289</v>
      </c>
      <c r="E582" s="8" t="s">
        <v>70</v>
      </c>
      <c r="F582" s="8" t="s">
        <v>11007</v>
      </c>
      <c r="H582" s="8" t="s">
        <v>2936</v>
      </c>
      <c r="I582" s="8" t="s">
        <v>10968</v>
      </c>
      <c r="J582" s="8" t="s">
        <v>2985</v>
      </c>
      <c r="K582" t="s">
        <v>10969</v>
      </c>
      <c r="L582" t="s">
        <v>10970</v>
      </c>
      <c r="M582" s="3" t="str">
        <f>HYPERLINK(склад2въезд131920212223[[#This Row],[RelativePath]])</f>
        <v>10 Сушилка навес\E33149364_3_20260130T091238Z.jpg</v>
      </c>
    </row>
    <row r="583" spans="1:13" x14ac:dyDescent="0.25">
      <c r="A583" s="2" t="s">
        <v>17</v>
      </c>
      <c r="B583" s="4">
        <v>46052</v>
      </c>
      <c r="C583" s="5">
        <v>0.38449074074074074</v>
      </c>
      <c r="D583" s="8" t="s">
        <v>650</v>
      </c>
      <c r="E583" s="8" t="s">
        <v>70</v>
      </c>
      <c r="F583" s="8"/>
      <c r="H583" s="8"/>
      <c r="I583" s="8" t="s">
        <v>10971</v>
      </c>
      <c r="J583" s="8" t="s">
        <v>2985</v>
      </c>
      <c r="K583" t="s">
        <v>10972</v>
      </c>
      <c r="L583" t="s">
        <v>10973</v>
      </c>
      <c r="M583" s="3" t="str">
        <f>HYPERLINK(склад2въезд131920212223[[#This Row],[RelativePath]])</f>
        <v>10 Сушилка навес\E33149364_3_20260130T091340Z.jpg</v>
      </c>
    </row>
    <row r="584" spans="1:13" x14ac:dyDescent="0.25">
      <c r="A584" s="2" t="s">
        <v>17</v>
      </c>
      <c r="B584" s="4">
        <v>46052</v>
      </c>
      <c r="C584" s="5">
        <v>0.4107986111111111</v>
      </c>
      <c r="D584" s="8" t="s">
        <v>4223</v>
      </c>
      <c r="E584" s="8" t="s">
        <v>86</v>
      </c>
      <c r="F584" s="8" t="s">
        <v>9202</v>
      </c>
      <c r="H584" s="8"/>
      <c r="I584" s="8" t="s">
        <v>10974</v>
      </c>
      <c r="J584" s="8" t="s">
        <v>2985</v>
      </c>
      <c r="K584" t="s">
        <v>10975</v>
      </c>
      <c r="L584" t="s">
        <v>10976</v>
      </c>
      <c r="M584" s="3" t="str">
        <f>HYPERLINK(склад2въезд131920212223[[#This Row],[RelativePath]])</f>
        <v>10 Сушилка навес\E33149364_3_20260130T095133Z.jpg</v>
      </c>
    </row>
    <row r="585" spans="1:13" x14ac:dyDescent="0.25">
      <c r="A585" s="2" t="s">
        <v>17</v>
      </c>
      <c r="B585" s="4">
        <v>46052</v>
      </c>
      <c r="C585" s="5">
        <v>0.57089120370370372</v>
      </c>
      <c r="D585" s="8" t="s">
        <v>159</v>
      </c>
      <c r="E585" s="8" t="s">
        <v>10140</v>
      </c>
      <c r="F585" s="8"/>
      <c r="H585" s="8"/>
      <c r="I585" s="8" t="s">
        <v>10977</v>
      </c>
      <c r="J585" s="8" t="s">
        <v>2985</v>
      </c>
      <c r="K585" t="s">
        <v>10978</v>
      </c>
      <c r="L585" t="s">
        <v>10979</v>
      </c>
      <c r="M585" s="3" t="str">
        <f>HYPERLINK(склад2въезд131920212223[[#This Row],[RelativePath]])</f>
        <v>10 Сушилка навес\E33149364_3_20260130T134205Z.jpg</v>
      </c>
    </row>
    <row r="586" spans="1:13" x14ac:dyDescent="0.25">
      <c r="A586" s="2" t="s">
        <v>17</v>
      </c>
      <c r="B586" s="4">
        <v>46052</v>
      </c>
      <c r="C586" s="5">
        <v>0.57483796296296297</v>
      </c>
      <c r="D586" s="8" t="s">
        <v>1606</v>
      </c>
      <c r="E586" s="8" t="s">
        <v>10140</v>
      </c>
      <c r="F586" s="8"/>
      <c r="H586" s="8"/>
      <c r="I586" s="8" t="s">
        <v>10980</v>
      </c>
      <c r="J586" s="8" t="s">
        <v>2985</v>
      </c>
      <c r="K586" t="s">
        <v>10981</v>
      </c>
      <c r="L586" t="s">
        <v>10982</v>
      </c>
      <c r="M586" s="3" t="str">
        <f>HYPERLINK(склад2въезд131920212223[[#This Row],[RelativePath]])</f>
        <v>10 Сушилка навес\E33149364_3_20260130T134746Z.jpg</v>
      </c>
    </row>
    <row r="587" spans="1:13" x14ac:dyDescent="0.25">
      <c r="A587" s="2" t="s">
        <v>17</v>
      </c>
      <c r="B587" s="4">
        <v>46052</v>
      </c>
      <c r="C587" s="5">
        <v>0.60657407407407404</v>
      </c>
      <c r="D587" s="8" t="s">
        <v>4</v>
      </c>
      <c r="E587" s="8" t="s">
        <v>11008</v>
      </c>
      <c r="F587" s="8"/>
      <c r="H587" s="8"/>
      <c r="I587" s="8" t="s">
        <v>10983</v>
      </c>
      <c r="J587" s="8" t="s">
        <v>2985</v>
      </c>
      <c r="K587" t="s">
        <v>10984</v>
      </c>
      <c r="L587" t="s">
        <v>10985</v>
      </c>
      <c r="M587" s="3" t="str">
        <f>HYPERLINK(склад2въезд131920212223[[#This Row],[RelativePath]])</f>
        <v>10 Сушилка навес\E33149364_3_20260130T143328Z.jpg</v>
      </c>
    </row>
    <row r="588" spans="1:13" x14ac:dyDescent="0.25">
      <c r="A588" s="2" t="s">
        <v>17</v>
      </c>
      <c r="B588" s="4">
        <v>46052</v>
      </c>
      <c r="C588" s="5">
        <v>0.89500000000000002</v>
      </c>
      <c r="D588" s="8" t="s">
        <v>650</v>
      </c>
      <c r="E588" s="8" t="s">
        <v>10140</v>
      </c>
      <c r="F588" s="8"/>
      <c r="H588" s="8"/>
      <c r="I588" s="8" t="s">
        <v>10986</v>
      </c>
      <c r="J588" s="8" t="s">
        <v>2985</v>
      </c>
      <c r="K588" t="s">
        <v>10987</v>
      </c>
      <c r="L588" t="s">
        <v>10988</v>
      </c>
      <c r="M588" s="3" t="str">
        <f>HYPERLINK(склад2въезд131920212223[[#This Row],[RelativePath]])</f>
        <v>10 Сушилка навес\E33149364_3_20260130T212848Z.jpg</v>
      </c>
    </row>
    <row r="589" spans="1:13" x14ac:dyDescent="0.25">
      <c r="A589" s="2" t="s">
        <v>18</v>
      </c>
      <c r="B589" s="4">
        <v>46053</v>
      </c>
      <c r="C589" s="5">
        <v>0.49326388888888889</v>
      </c>
      <c r="D589" s="8" t="s">
        <v>289</v>
      </c>
      <c r="E589" s="8" t="s">
        <v>11124</v>
      </c>
      <c r="F589" s="8" t="s">
        <v>7167</v>
      </c>
      <c r="G589">
        <v>1</v>
      </c>
      <c r="H589" s="8"/>
      <c r="I589" s="8" t="s">
        <v>11076</v>
      </c>
      <c r="J589" s="8" t="s">
        <v>2985</v>
      </c>
      <c r="K589" t="s">
        <v>11077</v>
      </c>
      <c r="L589" t="s">
        <v>11078</v>
      </c>
      <c r="M589" s="3" t="str">
        <f>HYPERLINK(склад2въезд131920212223[[#This Row],[RelativePath]])</f>
        <v>10 Сушилка навес\E33149364_3_20260131T115018Z.jpg</v>
      </c>
    </row>
    <row r="590" spans="1:13" x14ac:dyDescent="0.25">
      <c r="A590" s="2" t="s">
        <v>18</v>
      </c>
      <c r="B590" s="4">
        <v>46053</v>
      </c>
      <c r="C590" s="5">
        <v>0.49449074074074073</v>
      </c>
      <c r="D590" s="8" t="s">
        <v>289</v>
      </c>
      <c r="E590" s="8" t="s">
        <v>11124</v>
      </c>
      <c r="F590" s="8" t="s">
        <v>7167</v>
      </c>
      <c r="G590">
        <v>1</v>
      </c>
      <c r="H590" s="8"/>
      <c r="I590" s="8" t="s">
        <v>11079</v>
      </c>
      <c r="J590" s="8" t="s">
        <v>2985</v>
      </c>
      <c r="K590" t="s">
        <v>11080</v>
      </c>
      <c r="L590" t="s">
        <v>11081</v>
      </c>
      <c r="M590" s="3" t="str">
        <f>HYPERLINK(склад2въезд131920212223[[#This Row],[RelativePath]])</f>
        <v>10 Сушилка навес\E33149364_3_20260131T115204Z.jpg</v>
      </c>
    </row>
    <row r="591" spans="1:13" x14ac:dyDescent="0.25">
      <c r="A591" s="2" t="s">
        <v>18</v>
      </c>
      <c r="B591" s="4">
        <v>46053</v>
      </c>
      <c r="C591" s="5">
        <v>0.49556712962962962</v>
      </c>
      <c r="D591" s="8" t="s">
        <v>289</v>
      </c>
      <c r="E591" s="8" t="s">
        <v>11124</v>
      </c>
      <c r="F591" s="8" t="s">
        <v>7167</v>
      </c>
      <c r="G591">
        <v>1</v>
      </c>
      <c r="H591" s="8"/>
      <c r="I591" s="8" t="s">
        <v>11082</v>
      </c>
      <c r="J591" s="8" t="s">
        <v>2985</v>
      </c>
      <c r="K591" t="s">
        <v>11083</v>
      </c>
      <c r="L591" t="s">
        <v>11084</v>
      </c>
      <c r="M591" s="3" t="str">
        <f>HYPERLINK(склад2въезд131920212223[[#This Row],[RelativePath]])</f>
        <v>10 Сушилка навес\E33149364_3_20260131T115337Z.jpg</v>
      </c>
    </row>
    <row r="592" spans="1:13" x14ac:dyDescent="0.25">
      <c r="A592" s="2" t="s">
        <v>18</v>
      </c>
      <c r="B592" s="4">
        <v>46053</v>
      </c>
      <c r="C592" s="5">
        <v>0.49659722222222225</v>
      </c>
      <c r="D592" s="8" t="s">
        <v>289</v>
      </c>
      <c r="E592" s="8" t="s">
        <v>11124</v>
      </c>
      <c r="F592" s="8" t="s">
        <v>7167</v>
      </c>
      <c r="G592">
        <v>1</v>
      </c>
      <c r="H592" s="8"/>
      <c r="I592" s="8" t="s">
        <v>11085</v>
      </c>
      <c r="J592" s="8" t="s">
        <v>2985</v>
      </c>
      <c r="K592" t="s">
        <v>11086</v>
      </c>
      <c r="L592" t="s">
        <v>11087</v>
      </c>
      <c r="M592" s="3" t="str">
        <f>HYPERLINK(склад2въезд131920212223[[#This Row],[RelativePath]])</f>
        <v>10 Сушилка навес\E33149364_3_20260131T115506Z.jpg</v>
      </c>
    </row>
    <row r="593" spans="1:13" x14ac:dyDescent="0.25">
      <c r="A593" s="2" t="s">
        <v>18</v>
      </c>
      <c r="B593" s="4">
        <v>46053</v>
      </c>
      <c r="C593" s="5">
        <v>0.49760416666666668</v>
      </c>
      <c r="D593" s="8" t="s">
        <v>289</v>
      </c>
      <c r="E593" s="8" t="s">
        <v>11124</v>
      </c>
      <c r="F593" s="8" t="s">
        <v>7167</v>
      </c>
      <c r="G593">
        <v>1</v>
      </c>
      <c r="H593" s="8"/>
      <c r="I593" s="8" t="s">
        <v>11088</v>
      </c>
      <c r="J593" s="8" t="s">
        <v>2985</v>
      </c>
      <c r="K593" t="s">
        <v>11089</v>
      </c>
      <c r="L593" t="s">
        <v>11090</v>
      </c>
      <c r="M593" s="3" t="str">
        <f>HYPERLINK(склад2въезд131920212223[[#This Row],[RelativePath]])</f>
        <v>10 Сушилка навес\E33149364_3_20260131T115633Z.jpg</v>
      </c>
    </row>
    <row r="594" spans="1:13" x14ac:dyDescent="0.25">
      <c r="A594" s="2" t="s">
        <v>18</v>
      </c>
      <c r="B594" s="4">
        <v>46053</v>
      </c>
      <c r="C594" s="5">
        <v>0.49864583333333334</v>
      </c>
      <c r="D594" s="8" t="s">
        <v>289</v>
      </c>
      <c r="E594" s="8" t="s">
        <v>11124</v>
      </c>
      <c r="F594" s="8" t="s">
        <v>7167</v>
      </c>
      <c r="G594">
        <v>1</v>
      </c>
      <c r="H594" s="8"/>
      <c r="I594" s="8" t="s">
        <v>11091</v>
      </c>
      <c r="J594" s="8" t="s">
        <v>2985</v>
      </c>
      <c r="K594" t="s">
        <v>11092</v>
      </c>
      <c r="L594" t="s">
        <v>11093</v>
      </c>
      <c r="M594" s="3" t="str">
        <f>HYPERLINK(склад2въезд131920212223[[#This Row],[RelativePath]])</f>
        <v>10 Сушилка навес\E33149364_3_20260131T115803Z.jpg</v>
      </c>
    </row>
    <row r="595" spans="1:13" x14ac:dyDescent="0.25">
      <c r="A595" s="2" t="s">
        <v>18</v>
      </c>
      <c r="B595" s="4">
        <v>46053</v>
      </c>
      <c r="C595" s="5">
        <v>0.49983796296296296</v>
      </c>
      <c r="D595" s="8" t="s">
        <v>289</v>
      </c>
      <c r="E595" s="8" t="s">
        <v>11124</v>
      </c>
      <c r="F595" s="8" t="s">
        <v>7167</v>
      </c>
      <c r="G595">
        <v>1</v>
      </c>
      <c r="H595" s="8"/>
      <c r="I595" s="8" t="s">
        <v>11094</v>
      </c>
      <c r="J595" s="8" t="s">
        <v>2985</v>
      </c>
      <c r="K595" t="s">
        <v>11095</v>
      </c>
      <c r="L595" t="s">
        <v>11096</v>
      </c>
      <c r="M595" s="3" t="str">
        <f>HYPERLINK(склад2въезд131920212223[[#This Row],[RelativePath]])</f>
        <v>10 Сушилка навес\E33149364_3_20260131T115946Z.jpg</v>
      </c>
    </row>
    <row r="596" spans="1:13" x14ac:dyDescent="0.25">
      <c r="A596" s="2" t="s">
        <v>18</v>
      </c>
      <c r="B596" s="4">
        <v>46053</v>
      </c>
      <c r="C596" s="5">
        <v>0.50087962962962962</v>
      </c>
      <c r="D596" s="8" t="s">
        <v>289</v>
      </c>
      <c r="E596" s="8" t="s">
        <v>11124</v>
      </c>
      <c r="F596" s="8" t="s">
        <v>7167</v>
      </c>
      <c r="G596">
        <v>1</v>
      </c>
      <c r="H596" s="8"/>
      <c r="I596" s="8" t="s">
        <v>11097</v>
      </c>
      <c r="J596" s="8" t="s">
        <v>2985</v>
      </c>
      <c r="K596" t="s">
        <v>11098</v>
      </c>
      <c r="L596" t="s">
        <v>11099</v>
      </c>
      <c r="M596" s="3" t="str">
        <f>HYPERLINK(склад2въезд131920212223[[#This Row],[RelativePath]])</f>
        <v>10 Сушилка навес\E33149364_3_20260131T120116Z.jpg</v>
      </c>
    </row>
    <row r="597" spans="1:13" x14ac:dyDescent="0.25">
      <c r="A597" s="2" t="s">
        <v>18</v>
      </c>
      <c r="B597" s="4">
        <v>46053</v>
      </c>
      <c r="C597" s="5">
        <v>0.50236111111111115</v>
      </c>
      <c r="D597" s="8" t="s">
        <v>289</v>
      </c>
      <c r="E597" s="8" t="s">
        <v>11124</v>
      </c>
      <c r="F597" s="8" t="s">
        <v>7167</v>
      </c>
      <c r="G597">
        <v>1</v>
      </c>
      <c r="H597" s="8"/>
      <c r="I597" s="8" t="s">
        <v>11100</v>
      </c>
      <c r="J597" s="8" t="s">
        <v>2985</v>
      </c>
      <c r="K597" t="s">
        <v>11101</v>
      </c>
      <c r="L597" t="s">
        <v>11102</v>
      </c>
      <c r="M597" s="3" t="str">
        <f>HYPERLINK(склад2въезд131920212223[[#This Row],[RelativePath]])</f>
        <v>10 Сушилка навес\E33149364_3_20260131T120324Z.jpg</v>
      </c>
    </row>
    <row r="598" spans="1:13" x14ac:dyDescent="0.25">
      <c r="A598" s="2" t="s">
        <v>18</v>
      </c>
      <c r="B598" s="4">
        <v>46053</v>
      </c>
      <c r="C598" s="5">
        <v>0.50332175925925926</v>
      </c>
      <c r="D598" s="8" t="s">
        <v>289</v>
      </c>
      <c r="E598" s="8" t="s">
        <v>11124</v>
      </c>
      <c r="F598" s="8" t="s">
        <v>7167</v>
      </c>
      <c r="G598">
        <v>1</v>
      </c>
      <c r="H598" s="8"/>
      <c r="I598" s="8" t="s">
        <v>11103</v>
      </c>
      <c r="J598" s="8" t="s">
        <v>2985</v>
      </c>
      <c r="K598" t="s">
        <v>11104</v>
      </c>
      <c r="L598" t="s">
        <v>11105</v>
      </c>
      <c r="M598" s="3" t="str">
        <f>HYPERLINK(склад2въезд131920212223[[#This Row],[RelativePath]])</f>
        <v>10 Сушилка навес\E33149364_3_20260131T120447Z.jpg</v>
      </c>
    </row>
    <row r="599" spans="1:13" x14ac:dyDescent="0.25">
      <c r="A599" s="2" t="s">
        <v>18</v>
      </c>
      <c r="B599" s="4">
        <v>46053</v>
      </c>
      <c r="C599" s="5">
        <v>0.50494212962962959</v>
      </c>
      <c r="D599" s="8" t="s">
        <v>289</v>
      </c>
      <c r="E599" s="8" t="s">
        <v>11124</v>
      </c>
      <c r="F599" s="8" t="s">
        <v>7167</v>
      </c>
      <c r="G599">
        <v>1</v>
      </c>
      <c r="H599" s="8"/>
      <c r="I599" s="8" t="s">
        <v>11106</v>
      </c>
      <c r="J599" s="8" t="s">
        <v>2985</v>
      </c>
      <c r="K599" t="s">
        <v>11107</v>
      </c>
      <c r="L599" t="s">
        <v>11108</v>
      </c>
      <c r="M599" s="3" t="str">
        <f>HYPERLINK(склад2въезд131920212223[[#This Row],[RelativePath]])</f>
        <v>10 Сушилка навес\E33149364_3_20260131T120707Z.jpg</v>
      </c>
    </row>
    <row r="600" spans="1:13" x14ac:dyDescent="0.25">
      <c r="A600" s="2" t="s">
        <v>18</v>
      </c>
      <c r="B600" s="4">
        <v>46053</v>
      </c>
      <c r="C600" s="5">
        <v>0.50526620370370368</v>
      </c>
      <c r="D600" s="8" t="s">
        <v>650</v>
      </c>
      <c r="E600" s="8" t="s">
        <v>11124</v>
      </c>
      <c r="F600" s="8"/>
      <c r="H600" s="8"/>
      <c r="I600" s="8" t="s">
        <v>11109</v>
      </c>
      <c r="J600" s="8" t="s">
        <v>2985</v>
      </c>
      <c r="K600" t="s">
        <v>11110</v>
      </c>
      <c r="L600" t="s">
        <v>11111</v>
      </c>
      <c r="M600" s="3" t="str">
        <f>HYPERLINK(склад2въезд131920212223[[#This Row],[RelativePath]])</f>
        <v>10 Сушилка навес\E33149364_3_20260131T120735Z.jpg</v>
      </c>
    </row>
    <row r="601" spans="1:13" x14ac:dyDescent="0.25">
      <c r="A601" s="2" t="s">
        <v>22</v>
      </c>
      <c r="B601" s="4">
        <v>46054</v>
      </c>
      <c r="C601" s="5">
        <v>0.52239583333333328</v>
      </c>
      <c r="D601" s="8" t="s">
        <v>533</v>
      </c>
      <c r="E601" s="8" t="s">
        <v>1607</v>
      </c>
      <c r="F601" s="8" t="s">
        <v>2929</v>
      </c>
      <c r="H601" s="8"/>
      <c r="I601" s="8" t="s">
        <v>11112</v>
      </c>
      <c r="J601" s="8" t="s">
        <v>2985</v>
      </c>
      <c r="K601" t="s">
        <v>11113</v>
      </c>
      <c r="L601" t="s">
        <v>11114</v>
      </c>
      <c r="M601" s="3" t="str">
        <f>HYPERLINK(склад2въезд131920212223[[#This Row],[RelativePath]])</f>
        <v>10 Сушилка навес\E33149364_3_20260201T123215Z.jpg</v>
      </c>
    </row>
    <row r="602" spans="1:13" x14ac:dyDescent="0.25">
      <c r="A602" s="2" t="s">
        <v>22</v>
      </c>
      <c r="B602" s="4">
        <v>46054</v>
      </c>
      <c r="C602" s="5">
        <v>0.53148148148148144</v>
      </c>
      <c r="D602" s="8" t="s">
        <v>533</v>
      </c>
      <c r="E602" s="8" t="s">
        <v>1607</v>
      </c>
      <c r="F602" s="8" t="s">
        <v>2929</v>
      </c>
      <c r="H602" s="8"/>
      <c r="I602" s="8" t="s">
        <v>11115</v>
      </c>
      <c r="J602" s="8" t="s">
        <v>2985</v>
      </c>
      <c r="K602" t="s">
        <v>11116</v>
      </c>
      <c r="L602" t="s">
        <v>11117</v>
      </c>
      <c r="M602" s="3" t="str">
        <f>HYPERLINK(склад2въезд131920212223[[#This Row],[RelativePath]])</f>
        <v>10 Сушилка навес\E33149364_3_20260201T124520Z.jpg</v>
      </c>
    </row>
    <row r="603" spans="1:13" x14ac:dyDescent="0.25">
      <c r="A603" s="2" t="s">
        <v>13</v>
      </c>
      <c r="B603" s="4">
        <v>46055</v>
      </c>
      <c r="C603" s="5">
        <v>0.39371527777777776</v>
      </c>
      <c r="D603" s="8" t="s">
        <v>533</v>
      </c>
      <c r="E603" s="8" t="s">
        <v>1607</v>
      </c>
      <c r="F603" s="8" t="s">
        <v>2929</v>
      </c>
      <c r="H603" s="8"/>
      <c r="I603" s="8" t="s">
        <v>11253</v>
      </c>
      <c r="J603" s="8" t="s">
        <v>2985</v>
      </c>
      <c r="K603" t="s">
        <v>11254</v>
      </c>
      <c r="L603" t="s">
        <v>11255</v>
      </c>
      <c r="M603" s="3" t="str">
        <f>HYPERLINK(склад2въезд131920212223[[#This Row],[RelativePath]])</f>
        <v>10 Сушилка навес\E33149364_3_20260202T092657Z.jpg</v>
      </c>
    </row>
    <row r="604" spans="1:13" x14ac:dyDescent="0.25">
      <c r="A604" s="2" t="s">
        <v>13</v>
      </c>
      <c r="B604" s="4">
        <v>46055</v>
      </c>
      <c r="C604" s="5">
        <v>0.40539351851851851</v>
      </c>
      <c r="D604" s="8" t="s">
        <v>11420</v>
      </c>
      <c r="E604" s="8" t="s">
        <v>86</v>
      </c>
      <c r="F604" s="8"/>
      <c r="H604" s="8"/>
      <c r="I604" s="8" t="s">
        <v>11256</v>
      </c>
      <c r="J604" s="8" t="s">
        <v>2985</v>
      </c>
      <c r="K604" t="s">
        <v>11257</v>
      </c>
      <c r="L604" t="s">
        <v>11258</v>
      </c>
      <c r="M604" s="3" t="str">
        <f>HYPERLINK(склад2въезд131920212223[[#This Row],[RelativePath]])</f>
        <v>10 Сушилка навес\E33149364_3_20260202T094346Z.jpg</v>
      </c>
    </row>
    <row r="605" spans="1:13" x14ac:dyDescent="0.25">
      <c r="A605" s="2" t="s">
        <v>13</v>
      </c>
      <c r="B605" s="4">
        <v>46055</v>
      </c>
      <c r="C605" s="5">
        <v>0.41719907407407408</v>
      </c>
      <c r="D605" s="8" t="s">
        <v>11421</v>
      </c>
      <c r="E605" s="8" t="s">
        <v>86</v>
      </c>
      <c r="F605" s="8"/>
      <c r="H605" s="8"/>
      <c r="I605" s="8" t="s">
        <v>11259</v>
      </c>
      <c r="J605" s="8" t="s">
        <v>2985</v>
      </c>
      <c r="K605" t="s">
        <v>11260</v>
      </c>
      <c r="L605" t="s">
        <v>11261</v>
      </c>
      <c r="M605" s="3" t="str">
        <f>HYPERLINK(склад2въезд131920212223[[#This Row],[RelativePath]])</f>
        <v>10 Сушилка навес\E33149364_3_20260202T100046Z.jpg</v>
      </c>
    </row>
    <row r="606" spans="1:13" x14ac:dyDescent="0.25">
      <c r="A606" s="2" t="s">
        <v>13</v>
      </c>
      <c r="B606" s="4">
        <v>46055</v>
      </c>
      <c r="C606" s="5">
        <v>0.49484953703703705</v>
      </c>
      <c r="D606" s="8" t="s">
        <v>533</v>
      </c>
      <c r="E606" s="8" t="s">
        <v>1607</v>
      </c>
      <c r="F606" s="8" t="s">
        <v>2929</v>
      </c>
      <c r="H606" s="8"/>
      <c r="I606" s="8" t="s">
        <v>11262</v>
      </c>
      <c r="J606" s="8" t="s">
        <v>2985</v>
      </c>
      <c r="K606" t="s">
        <v>11263</v>
      </c>
      <c r="L606" t="s">
        <v>11264</v>
      </c>
      <c r="M606" s="3" t="str">
        <f>HYPERLINK(склад2въезд131920212223[[#This Row],[RelativePath]])</f>
        <v>10 Сушилка навес\E33149364_3_20260202T115235Z.jpg</v>
      </c>
    </row>
    <row r="607" spans="1:13" x14ac:dyDescent="0.25">
      <c r="A607" s="2" t="s">
        <v>14</v>
      </c>
      <c r="B607" s="4">
        <v>46056</v>
      </c>
      <c r="C607" s="5">
        <v>0.4612384259259259</v>
      </c>
      <c r="D607" s="8" t="s">
        <v>533</v>
      </c>
      <c r="E607" s="8" t="s">
        <v>531</v>
      </c>
      <c r="F607" s="8" t="s">
        <v>9202</v>
      </c>
      <c r="H607" s="8"/>
      <c r="I607" s="8" t="s">
        <v>11265</v>
      </c>
      <c r="J607" s="8" t="s">
        <v>2985</v>
      </c>
      <c r="K607" t="s">
        <v>11266</v>
      </c>
      <c r="L607" t="s">
        <v>11267</v>
      </c>
      <c r="M607" s="3" t="str">
        <f>HYPERLINK(склад2въезд131920212223[[#This Row],[RelativePath]])</f>
        <v>10 Сушилка навес\E33149364_3_20260203T110411Z.jpg</v>
      </c>
    </row>
    <row r="608" spans="1:13" x14ac:dyDescent="0.25">
      <c r="A608" s="2" t="s">
        <v>14</v>
      </c>
      <c r="B608" s="4">
        <v>46056</v>
      </c>
      <c r="C608" s="5">
        <v>0.55513888888888885</v>
      </c>
      <c r="D608" s="8" t="s">
        <v>1606</v>
      </c>
      <c r="E608" s="8" t="s">
        <v>10140</v>
      </c>
      <c r="F608" s="8"/>
      <c r="H608" s="8"/>
      <c r="I608" s="8" t="s">
        <v>11268</v>
      </c>
      <c r="J608" s="8" t="s">
        <v>2985</v>
      </c>
      <c r="K608" t="s">
        <v>11269</v>
      </c>
      <c r="L608" t="s">
        <v>11270</v>
      </c>
      <c r="M608" s="3" t="str">
        <f>HYPERLINK(склад2въезд131920212223[[#This Row],[RelativePath]])</f>
        <v>10 Сушилка навес\E33149364_3_20260203T131924Z.jpg</v>
      </c>
    </row>
    <row r="609" spans="1:13" x14ac:dyDescent="0.25">
      <c r="A609" s="2" t="s">
        <v>14</v>
      </c>
      <c r="B609" s="4">
        <v>46056</v>
      </c>
      <c r="C609" s="5">
        <v>0.60166666666666668</v>
      </c>
      <c r="D609" s="8" t="s">
        <v>11422</v>
      </c>
      <c r="E609" s="8" t="s">
        <v>10140</v>
      </c>
      <c r="F609" s="8"/>
      <c r="H609" s="8"/>
      <c r="I609" s="8" t="s">
        <v>11271</v>
      </c>
      <c r="J609" s="8" t="s">
        <v>2985</v>
      </c>
      <c r="K609" t="s">
        <v>11272</v>
      </c>
      <c r="L609" t="s">
        <v>11273</v>
      </c>
      <c r="M609" s="3" t="str">
        <f>HYPERLINK(склад2въезд131920212223[[#This Row],[RelativePath]])</f>
        <v>10 Сушилка навес\E33149364_3_20260203T142624Z.jpg</v>
      </c>
    </row>
    <row r="610" spans="1:13" x14ac:dyDescent="0.25">
      <c r="A610" s="2" t="s">
        <v>14</v>
      </c>
      <c r="B610" s="4">
        <v>46056</v>
      </c>
      <c r="C610" s="5">
        <v>0.60630787037037037</v>
      </c>
      <c r="D610" s="8" t="s">
        <v>11423</v>
      </c>
      <c r="E610" s="8" t="s">
        <v>86</v>
      </c>
      <c r="F610" s="8"/>
      <c r="H610" s="8"/>
      <c r="I610" s="8" t="s">
        <v>11274</v>
      </c>
      <c r="J610" s="8" t="s">
        <v>2985</v>
      </c>
      <c r="K610" t="s">
        <v>11275</v>
      </c>
      <c r="L610" t="s">
        <v>11276</v>
      </c>
      <c r="M610" s="3" t="str">
        <f>HYPERLINK(склад2въезд131920212223[[#This Row],[RelativePath]])</f>
        <v>10 Сушилка навес\E33149364_3_20260203T143305Z.jpg</v>
      </c>
    </row>
    <row r="611" spans="1:13" x14ac:dyDescent="0.25">
      <c r="A611" s="2" t="s">
        <v>14</v>
      </c>
      <c r="B611" s="4">
        <v>46056</v>
      </c>
      <c r="C611" s="5">
        <v>0.63982638888888888</v>
      </c>
      <c r="D611" s="8" t="s">
        <v>533</v>
      </c>
      <c r="E611" s="8" t="s">
        <v>1607</v>
      </c>
      <c r="F611" s="8" t="s">
        <v>2929</v>
      </c>
      <c r="H611" s="8"/>
      <c r="I611" s="8" t="s">
        <v>11277</v>
      </c>
      <c r="J611" s="8" t="s">
        <v>2985</v>
      </c>
      <c r="K611" t="s">
        <v>11278</v>
      </c>
      <c r="L611" t="s">
        <v>11279</v>
      </c>
      <c r="M611" s="3" t="str">
        <f>HYPERLINK(склад2въезд131920212223[[#This Row],[RelativePath]])</f>
        <v>10 Сушилка навес\E33149364_3_20260203T152121Z.jpg</v>
      </c>
    </row>
    <row r="612" spans="1:13" x14ac:dyDescent="0.25">
      <c r="A612" s="2" t="s">
        <v>14</v>
      </c>
      <c r="B612" s="4">
        <v>46056</v>
      </c>
      <c r="C612" s="5">
        <v>0.67363425925925924</v>
      </c>
      <c r="D612" s="8" t="s">
        <v>650</v>
      </c>
      <c r="E612" s="8" t="s">
        <v>10140</v>
      </c>
      <c r="F612" s="8"/>
      <c r="H612" s="8"/>
      <c r="I612" s="8" t="s">
        <v>11280</v>
      </c>
      <c r="J612" s="8" t="s">
        <v>2985</v>
      </c>
      <c r="K612" t="s">
        <v>11281</v>
      </c>
      <c r="L612" t="s">
        <v>11282</v>
      </c>
      <c r="M612" s="3" t="str">
        <f>HYPERLINK(склад2въезд131920212223[[#This Row],[RelativePath]])</f>
        <v>10 Сушилка навес\E33149364_3_20260203T161002Z.jpg</v>
      </c>
    </row>
  </sheetData>
  <conditionalFormatting sqref="D613:D623 E613:E626 G2:H612 D2:E612">
    <cfRule type="containsText" dxfId="79" priority="14" operator="containsText" text="Выезд с территории">
      <formula>NOT(ISERROR(SEARCH("Выезд с территории",D2)))</formula>
    </cfRule>
  </conditionalFormatting>
  <conditionalFormatting sqref="F2:F612">
    <cfRule type="notContainsText" dxfId="78" priority="13" operator="notContains" text="порожний">
      <formula>ISERROR(SEARCH("порожний",F2))</formula>
    </cfRule>
  </conditionalFormatting>
  <conditionalFormatting sqref="E2:E626">
    <cfRule type="containsText" dxfId="77" priority="11" operator="containsText" text="Газель базы">
      <formula>NOT(ISERROR(SEARCH("Газель базы",E2)))</formula>
    </cfRule>
    <cfRule type="containsText" dxfId="76" priority="12" operator="containsText" text="Погрузчик базы">
      <formula>NOT(ISERROR(SEARCH("Погрузчик базы",E2)))</formula>
    </cfRule>
  </conditionalFormatting>
  <conditionalFormatting sqref="E2:E626">
    <cfRule type="containsText" dxfId="75" priority="10" operator="containsText" text="Трактор базы">
      <formula>NOT(ISERROR(SEARCH("Трактор базы",E2)))</formula>
    </cfRule>
  </conditionalFormatting>
  <conditionalFormatting sqref="A2:C612">
    <cfRule type="expression" dxfId="74" priority="9">
      <formula>$A2="пн"</formula>
    </cfRule>
  </conditionalFormatting>
  <conditionalFormatting sqref="A2:C614">
    <cfRule type="expression" dxfId="73" priority="3">
      <formula>$A2="вс"</formula>
    </cfRule>
    <cfRule type="expression" dxfId="72" priority="4">
      <formula>$A2="сб"</formula>
    </cfRule>
    <cfRule type="expression" dxfId="71" priority="5">
      <formula>$A2="пт"</formula>
    </cfRule>
    <cfRule type="expression" dxfId="70" priority="6">
      <formula>$A2="чт"</formula>
    </cfRule>
    <cfRule type="expression" dxfId="69" priority="7">
      <formula>$A2="ср"</formula>
    </cfRule>
    <cfRule type="expression" dxfId="68" priority="8">
      <formula>$A2="вт"</formula>
    </cfRule>
  </conditionalFormatting>
  <conditionalFormatting sqref="D2:D623">
    <cfRule type="containsText" dxfId="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23">
    <cfRule type="containsText" dxfId="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98"/>
  <sheetViews>
    <sheetView zoomScale="90" zoomScaleNormal="90" workbookViewId="0">
      <pane ySplit="1" topLeftCell="A278" activePane="bottomLeft" state="frozen"/>
      <selection pane="bottomLeft" activeCell="I267" sqref="I267:I29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7538</v>
      </c>
      <c r="J168" s="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7541</v>
      </c>
      <c r="J169" s="8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7544</v>
      </c>
      <c r="J170" s="8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7547</v>
      </c>
      <c r="J171" s="8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 t="s">
        <v>4</v>
      </c>
      <c r="E172" s="8" t="s">
        <v>86</v>
      </c>
      <c r="F172" s="8" t="s">
        <v>7713</v>
      </c>
      <c r="H172" s="8"/>
      <c r="I172" s="8" t="s">
        <v>7550</v>
      </c>
      <c r="J172" s="8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 t="s">
        <v>4</v>
      </c>
      <c r="E173" s="8" t="s">
        <v>86</v>
      </c>
      <c r="F173" s="8" t="s">
        <v>7713</v>
      </c>
      <c r="H173" s="8" t="s">
        <v>2936</v>
      </c>
      <c r="I173" s="8" t="s">
        <v>7553</v>
      </c>
      <c r="J173" s="8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s="8" t="s">
        <v>4</v>
      </c>
      <c r="E174" s="8" t="s">
        <v>86</v>
      </c>
      <c r="F174" s="8" t="s">
        <v>7713</v>
      </c>
      <c r="H174" s="8"/>
      <c r="I174" s="8" t="s">
        <v>7556</v>
      </c>
      <c r="J174" s="8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s="8" t="s">
        <v>4</v>
      </c>
      <c r="E175" s="8" t="s">
        <v>86</v>
      </c>
      <c r="F175" s="8" t="s">
        <v>7714</v>
      </c>
      <c r="H175" s="8"/>
      <c r="I175" s="8" t="s">
        <v>7559</v>
      </c>
      <c r="J175" s="8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s="8" t="s">
        <v>4</v>
      </c>
      <c r="E176" s="8" t="s">
        <v>4193</v>
      </c>
      <c r="F176" s="8" t="s">
        <v>4240</v>
      </c>
      <c r="H176" s="8"/>
      <c r="I176" s="8" t="s">
        <v>7562</v>
      </c>
      <c r="J176" s="8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s="8" t="s">
        <v>650</v>
      </c>
      <c r="E177" s="8" t="s">
        <v>4193</v>
      </c>
      <c r="F177" s="8" t="s">
        <v>4240</v>
      </c>
      <c r="H177" s="8"/>
      <c r="I177" s="8" t="s">
        <v>7565</v>
      </c>
      <c r="J177" s="8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s="8" t="s">
        <v>289</v>
      </c>
      <c r="E178" s="8" t="s">
        <v>86</v>
      </c>
      <c r="F178" s="8" t="s">
        <v>7719</v>
      </c>
      <c r="H178" s="8"/>
      <c r="I178" s="8" t="s">
        <v>7747</v>
      </c>
      <c r="J178" s="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s="8" t="s">
        <v>158</v>
      </c>
      <c r="E179" s="8" t="s">
        <v>86</v>
      </c>
      <c r="F179" s="8" t="s">
        <v>7714</v>
      </c>
      <c r="H179" s="8"/>
      <c r="I179" s="8" t="s">
        <v>7750</v>
      </c>
      <c r="J179" s="8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s="8" t="s">
        <v>1606</v>
      </c>
      <c r="E180" s="8" t="s">
        <v>4193</v>
      </c>
      <c r="F180" s="8" t="s">
        <v>5076</v>
      </c>
      <c r="H180" s="8"/>
      <c r="I180" s="8" t="s">
        <v>7753</v>
      </c>
      <c r="J180" s="8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s="8" t="s">
        <v>1606</v>
      </c>
      <c r="E181" s="8" t="s">
        <v>4193</v>
      </c>
      <c r="F181" s="8" t="s">
        <v>5076</v>
      </c>
      <c r="H181" s="8" t="s">
        <v>2936</v>
      </c>
      <c r="I181" s="8" t="s">
        <v>7756</v>
      </c>
      <c r="J181" s="8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s="8" t="s">
        <v>4223</v>
      </c>
      <c r="E182" s="8" t="s">
        <v>86</v>
      </c>
      <c r="F182" s="8" t="s">
        <v>528</v>
      </c>
      <c r="H182" s="8"/>
      <c r="I182" s="8" t="s">
        <v>7759</v>
      </c>
      <c r="J182" s="8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s="8" t="s">
        <v>4223</v>
      </c>
      <c r="E183" s="8" t="s">
        <v>86</v>
      </c>
      <c r="F183" s="8" t="s">
        <v>528</v>
      </c>
      <c r="H183" s="8" t="s">
        <v>2936</v>
      </c>
      <c r="I183" s="8" t="s">
        <v>7762</v>
      </c>
      <c r="J183" s="8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s="8" t="s">
        <v>7871</v>
      </c>
      <c r="E184" s="8" t="s">
        <v>531</v>
      </c>
      <c r="F184" s="8"/>
      <c r="H184" s="8"/>
      <c r="I184" s="8" t="s">
        <v>7765</v>
      </c>
      <c r="J184" s="8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s="8" t="s">
        <v>650</v>
      </c>
      <c r="E185" s="8" t="s">
        <v>4193</v>
      </c>
      <c r="F185" s="8" t="s">
        <v>5076</v>
      </c>
      <c r="H185" s="8"/>
      <c r="I185" s="8" t="s">
        <v>7768</v>
      </c>
      <c r="J185" s="8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s="8" t="s">
        <v>4223</v>
      </c>
      <c r="E186" s="8" t="s">
        <v>86</v>
      </c>
      <c r="F186" s="8" t="s">
        <v>528</v>
      </c>
      <c r="H186" s="8"/>
      <c r="I186" s="8" t="s">
        <v>7771</v>
      </c>
      <c r="J186" s="8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s="8" t="s">
        <v>4</v>
      </c>
      <c r="E187" s="8" t="s">
        <v>8</v>
      </c>
      <c r="F187" s="8"/>
      <c r="H187" s="8"/>
      <c r="I187" s="8" t="s">
        <v>7774</v>
      </c>
      <c r="J187" s="8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s="8" t="s">
        <v>8042</v>
      </c>
      <c r="E188" s="8" t="s">
        <v>6656</v>
      </c>
      <c r="F188" s="8" t="s">
        <v>5076</v>
      </c>
      <c r="H188" s="8"/>
      <c r="I188" s="8" t="s">
        <v>7962</v>
      </c>
      <c r="J188" s="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s="8" t="s">
        <v>4</v>
      </c>
      <c r="E189" s="8" t="s">
        <v>8045</v>
      </c>
      <c r="F189" s="8"/>
      <c r="H189" s="8"/>
      <c r="I189" s="8" t="s">
        <v>7965</v>
      </c>
      <c r="J189" s="8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s="8" t="s">
        <v>4</v>
      </c>
      <c r="E190" s="8" t="s">
        <v>8</v>
      </c>
      <c r="F190" s="8"/>
      <c r="H190" s="8"/>
      <c r="I190" s="8" t="s">
        <v>7968</v>
      </c>
      <c r="J190" s="8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s="8" t="s">
        <v>290</v>
      </c>
      <c r="E191" s="8" t="s">
        <v>70</v>
      </c>
      <c r="F191" s="8" t="s">
        <v>58</v>
      </c>
      <c r="H191" s="8" t="s">
        <v>8359</v>
      </c>
      <c r="I191" s="8" t="s">
        <v>8159</v>
      </c>
      <c r="J191" s="8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s="8" t="s">
        <v>290</v>
      </c>
      <c r="E192" s="8" t="s">
        <v>70</v>
      </c>
      <c r="F192" s="8" t="s">
        <v>58</v>
      </c>
      <c r="H192" s="8" t="s">
        <v>2936</v>
      </c>
      <c r="I192" s="8" t="s">
        <v>8162</v>
      </c>
      <c r="J192" s="8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s="8" t="s">
        <v>290</v>
      </c>
      <c r="E193" s="8" t="s">
        <v>70</v>
      </c>
      <c r="F193" s="8" t="s">
        <v>58</v>
      </c>
      <c r="H193" s="8" t="s">
        <v>2936</v>
      </c>
      <c r="I193" s="8" t="s">
        <v>8165</v>
      </c>
      <c r="J193" s="8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s="8" t="s">
        <v>290</v>
      </c>
      <c r="E194" s="8" t="s">
        <v>70</v>
      </c>
      <c r="F194" s="8" t="s">
        <v>58</v>
      </c>
      <c r="H194" s="8" t="s">
        <v>2936</v>
      </c>
      <c r="I194" s="8" t="s">
        <v>8168</v>
      </c>
      <c r="J194" s="8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s="8" t="s">
        <v>290</v>
      </c>
      <c r="E195" s="8" t="s">
        <v>70</v>
      </c>
      <c r="F195" s="8" t="s">
        <v>58</v>
      </c>
      <c r="H195" s="8" t="s">
        <v>2936</v>
      </c>
      <c r="I195" s="8" t="s">
        <v>8171</v>
      </c>
      <c r="J195" s="8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s="8" t="s">
        <v>290</v>
      </c>
      <c r="E196" s="8" t="s">
        <v>70</v>
      </c>
      <c r="F196" s="8" t="s">
        <v>58</v>
      </c>
      <c r="H196" s="8" t="s">
        <v>2936</v>
      </c>
      <c r="I196" s="8" t="s">
        <v>8174</v>
      </c>
      <c r="J196" s="8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s="8" t="s">
        <v>650</v>
      </c>
      <c r="E197" s="8" t="s">
        <v>70</v>
      </c>
      <c r="F197" s="8" t="s">
        <v>51</v>
      </c>
      <c r="H197" s="8"/>
      <c r="I197" s="8" t="s">
        <v>8177</v>
      </c>
      <c r="J197" s="8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s="8" t="s">
        <v>650</v>
      </c>
      <c r="E198" s="8" t="s">
        <v>8360</v>
      </c>
      <c r="F198" s="8" t="s">
        <v>1621</v>
      </c>
      <c r="H198" s="8"/>
      <c r="I198" s="8" t="s">
        <v>8180</v>
      </c>
      <c r="J198" s="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s="8" t="s">
        <v>4</v>
      </c>
      <c r="E199" s="8" t="s">
        <v>8045</v>
      </c>
      <c r="F199" s="8"/>
      <c r="H199" s="8"/>
      <c r="I199" s="8" t="s">
        <v>8183</v>
      </c>
      <c r="J199" s="8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s="8" t="s">
        <v>4</v>
      </c>
      <c r="E200" s="8" t="s">
        <v>8045</v>
      </c>
      <c r="F200" s="8"/>
      <c r="H200" s="8"/>
      <c r="I200" s="8" t="s">
        <v>8186</v>
      </c>
      <c r="J200" s="8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s="8" t="s">
        <v>2004</v>
      </c>
      <c r="E201" s="8" t="s">
        <v>8</v>
      </c>
      <c r="F201" s="8"/>
      <c r="H201" s="8"/>
      <c r="I201" s="8" t="s">
        <v>8189</v>
      </c>
      <c r="J201" s="8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s="8" t="s">
        <v>4</v>
      </c>
      <c r="E202" s="8" t="s">
        <v>8045</v>
      </c>
      <c r="F202" s="8"/>
      <c r="H202" s="8"/>
      <c r="I202" s="8" t="s">
        <v>8192</v>
      </c>
      <c r="J202" s="8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s="8" t="s">
        <v>4</v>
      </c>
      <c r="E203" s="8" t="s">
        <v>8045</v>
      </c>
      <c r="F203" s="8"/>
      <c r="H203" s="8"/>
      <c r="I203" s="8" t="s">
        <v>8195</v>
      </c>
      <c r="J203" s="8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s="8" t="s">
        <v>2004</v>
      </c>
      <c r="E204" s="8" t="s">
        <v>8</v>
      </c>
      <c r="F204" s="8"/>
      <c r="H204" s="8"/>
      <c r="I204" s="8" t="s">
        <v>8447</v>
      </c>
      <c r="J204" s="8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s="8" t="s">
        <v>2004</v>
      </c>
      <c r="E205" s="8" t="s">
        <v>8</v>
      </c>
      <c r="F205" s="8"/>
      <c r="H205" s="8"/>
      <c r="I205" s="8" t="s">
        <v>8450</v>
      </c>
      <c r="J205" s="8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s="8" t="s">
        <v>2004</v>
      </c>
      <c r="E206" s="8" t="s">
        <v>8</v>
      </c>
      <c r="F206" s="8"/>
      <c r="H206" s="8"/>
      <c r="I206" s="8" t="s">
        <v>8453</v>
      </c>
      <c r="J206" s="8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s="8" t="s">
        <v>4</v>
      </c>
      <c r="E207" s="8" t="s">
        <v>8045</v>
      </c>
      <c r="F207" s="8"/>
      <c r="H207" s="8"/>
      <c r="I207" s="8" t="s">
        <v>8724</v>
      </c>
      <c r="J207" s="8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s="8" t="s">
        <v>4</v>
      </c>
      <c r="E208" s="8" t="s">
        <v>8045</v>
      </c>
      <c r="F208" s="8"/>
      <c r="H208" s="8"/>
      <c r="I208" s="8" t="s">
        <v>8727</v>
      </c>
      <c r="J208" s="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s="8" t="s">
        <v>4</v>
      </c>
      <c r="E209" s="8" t="s">
        <v>8045</v>
      </c>
      <c r="F209" s="8"/>
      <c r="H209" s="8"/>
      <c r="I209" s="8" t="s">
        <v>8730</v>
      </c>
      <c r="J209" s="8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s="8" t="s">
        <v>4</v>
      </c>
      <c r="E210" s="8" t="s">
        <v>8045</v>
      </c>
      <c r="F210" s="8"/>
      <c r="H210" s="8"/>
      <c r="I210" s="8" t="s">
        <v>8733</v>
      </c>
      <c r="J210" s="8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s="8" t="s">
        <v>4</v>
      </c>
      <c r="E211" s="8" t="s">
        <v>8045</v>
      </c>
      <c r="F211" s="8"/>
      <c r="H211" s="8"/>
      <c r="I211" s="8" t="s">
        <v>8736</v>
      </c>
      <c r="J211" s="8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s="8" t="s">
        <v>4</v>
      </c>
      <c r="E212" s="8" t="s">
        <v>8045</v>
      </c>
      <c r="F212" s="8"/>
      <c r="H212" s="8"/>
      <c r="I212" s="8" t="s">
        <v>8739</v>
      </c>
      <c r="J212" s="8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s="8" t="s">
        <v>4</v>
      </c>
      <c r="E213" s="8" t="s">
        <v>8045</v>
      </c>
      <c r="F213" s="8"/>
      <c r="H213" s="8"/>
      <c r="I213" s="8" t="s">
        <v>8742</v>
      </c>
      <c r="J213" s="8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s="8" t="s">
        <v>2004</v>
      </c>
      <c r="E214" s="8" t="s">
        <v>8</v>
      </c>
      <c r="F214" s="8"/>
      <c r="H214" s="8"/>
      <c r="I214" s="8" t="s">
        <v>8745</v>
      </c>
      <c r="J214" s="8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s="8" t="s">
        <v>4</v>
      </c>
      <c r="E215" s="8" t="s">
        <v>8045</v>
      </c>
      <c r="F215" s="8"/>
      <c r="H215" s="8"/>
      <c r="I215" s="8" t="s">
        <v>8748</v>
      </c>
      <c r="J215" s="8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s="8" t="s">
        <v>4</v>
      </c>
      <c r="E216" s="8" t="s">
        <v>8827</v>
      </c>
      <c r="F216" s="8"/>
      <c r="H216" s="8"/>
      <c r="I216" s="8" t="s">
        <v>8751</v>
      </c>
      <c r="J216" s="8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s="8" t="s">
        <v>2004</v>
      </c>
      <c r="E217" s="8" t="s">
        <v>8</v>
      </c>
      <c r="F217" s="8"/>
      <c r="H217" s="8"/>
      <c r="I217" s="8" t="s">
        <v>8754</v>
      </c>
      <c r="J217" s="8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s="8" t="s">
        <v>7171</v>
      </c>
      <c r="E218" s="8" t="s">
        <v>5480</v>
      </c>
      <c r="F218" s="8" t="s">
        <v>9190</v>
      </c>
      <c r="H218" s="8"/>
      <c r="I218" s="8" t="s">
        <v>9114</v>
      </c>
      <c r="J218" s="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s="8" t="s">
        <v>651</v>
      </c>
      <c r="E219" s="8" t="s">
        <v>5480</v>
      </c>
      <c r="F219" s="8"/>
      <c r="H219" s="8"/>
      <c r="I219" s="8" t="s">
        <v>9117</v>
      </c>
      <c r="J219" s="8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s="8" t="s">
        <v>651</v>
      </c>
      <c r="E220" s="8" t="s">
        <v>5480</v>
      </c>
      <c r="F220" s="8"/>
      <c r="H220" s="8"/>
      <c r="I220" s="8" t="s">
        <v>9120</v>
      </c>
      <c r="J220" s="8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s="8" t="s">
        <v>651</v>
      </c>
      <c r="E221" s="8" t="s">
        <v>5480</v>
      </c>
      <c r="F221" s="8"/>
      <c r="H221" s="8"/>
      <c r="I221" s="8" t="s">
        <v>9123</v>
      </c>
      <c r="J221" s="8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s="8" t="s">
        <v>7171</v>
      </c>
      <c r="E222" s="8" t="s">
        <v>5480</v>
      </c>
      <c r="F222" s="8" t="s">
        <v>9202</v>
      </c>
      <c r="H222" s="8"/>
      <c r="I222" s="8" t="s">
        <v>9126</v>
      </c>
      <c r="J222" s="8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s="8" t="s">
        <v>4</v>
      </c>
      <c r="E223" s="8" t="s">
        <v>8</v>
      </c>
      <c r="F223" s="8"/>
      <c r="H223" s="8"/>
      <c r="I223" s="8" t="s">
        <v>9129</v>
      </c>
      <c r="J223" s="8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s="8" t="s">
        <v>651</v>
      </c>
      <c r="E224" s="8" t="s">
        <v>5480</v>
      </c>
      <c r="F224" s="8"/>
      <c r="H224" s="8"/>
      <c r="I224" s="8" t="s">
        <v>9132</v>
      </c>
      <c r="J224" s="8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s="8" t="s">
        <v>651</v>
      </c>
      <c r="E225" s="8" t="s">
        <v>5480</v>
      </c>
      <c r="F225" s="8"/>
      <c r="H225" s="8"/>
      <c r="I225" s="8" t="s">
        <v>9135</v>
      </c>
      <c r="J225" s="8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s="8" t="s">
        <v>651</v>
      </c>
      <c r="E226" s="8" t="s">
        <v>5480</v>
      </c>
      <c r="F226" s="8"/>
      <c r="H226" s="8"/>
      <c r="I226" s="8" t="s">
        <v>9138</v>
      </c>
      <c r="J226" s="8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s="8" t="s">
        <v>651</v>
      </c>
      <c r="E227" s="8" t="s">
        <v>5480</v>
      </c>
      <c r="F227" s="8"/>
      <c r="H227" s="8"/>
      <c r="I227" s="8" t="s">
        <v>9141</v>
      </c>
      <c r="J227" s="8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s="8" t="s">
        <v>4</v>
      </c>
      <c r="E228" s="8" t="s">
        <v>8</v>
      </c>
      <c r="F228" s="8"/>
      <c r="H228" s="8"/>
      <c r="I228" s="8" t="s">
        <v>9144</v>
      </c>
      <c r="J228" s="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s="8" t="s">
        <v>2004</v>
      </c>
      <c r="E229" s="8" t="s">
        <v>8</v>
      </c>
      <c r="F229" s="8"/>
      <c r="H229" s="8"/>
      <c r="I229" s="8" t="s">
        <v>9312</v>
      </c>
      <c r="J229" s="8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s="8" t="s">
        <v>4</v>
      </c>
      <c r="E230" s="8" t="s">
        <v>8</v>
      </c>
      <c r="F230" s="8"/>
      <c r="H230" s="8"/>
      <c r="I230" s="8" t="s">
        <v>9522</v>
      </c>
      <c r="J230" s="8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s="8" t="s">
        <v>651</v>
      </c>
      <c r="E231" s="8" t="s">
        <v>5480</v>
      </c>
      <c r="F231" s="8"/>
      <c r="H231" s="8"/>
      <c r="I231" s="8" t="s">
        <v>9525</v>
      </c>
      <c r="J231" s="8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s="8" t="s">
        <v>651</v>
      </c>
      <c r="E232" s="8" t="s">
        <v>5480</v>
      </c>
      <c r="F232" s="8"/>
      <c r="H232" s="8"/>
      <c r="I232" s="8" t="s">
        <v>9528</v>
      </c>
      <c r="J232" s="8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s="8" t="s">
        <v>651</v>
      </c>
      <c r="E233" s="8" t="s">
        <v>5480</v>
      </c>
      <c r="F233" s="8"/>
      <c r="H233" s="8"/>
      <c r="I233" s="8" t="s">
        <v>9531</v>
      </c>
      <c r="J233" s="8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s="8" t="s">
        <v>651</v>
      </c>
      <c r="E234" s="8" t="s">
        <v>5480</v>
      </c>
      <c r="F234" s="8"/>
      <c r="H234" s="8"/>
      <c r="I234" s="8" t="s">
        <v>9534</v>
      </c>
      <c r="J234" s="8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s="8" t="s">
        <v>651</v>
      </c>
      <c r="E235" s="8" t="s">
        <v>5480</v>
      </c>
      <c r="F235" s="8"/>
      <c r="H235" s="8"/>
      <c r="I235" s="8" t="s">
        <v>9537</v>
      </c>
      <c r="J235" s="8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s="8" t="s">
        <v>4</v>
      </c>
      <c r="E236" s="8" t="s">
        <v>8</v>
      </c>
      <c r="F236" s="8"/>
      <c r="H236" s="8"/>
      <c r="I236" s="8" t="s">
        <v>9540</v>
      </c>
      <c r="J236" s="8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s="8" t="s">
        <v>2004</v>
      </c>
      <c r="E237" s="8" t="s">
        <v>8</v>
      </c>
      <c r="F237" s="8"/>
      <c r="H237" s="8"/>
      <c r="I237" s="8" t="s">
        <v>9666</v>
      </c>
      <c r="J237" s="8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s="8" t="s">
        <v>2004</v>
      </c>
      <c r="E238" s="8" t="s">
        <v>8</v>
      </c>
      <c r="F238" s="8"/>
      <c r="H238" s="8"/>
      <c r="I238" s="8" t="s">
        <v>9668</v>
      </c>
      <c r="J238" s="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s="8" t="s">
        <v>2004</v>
      </c>
      <c r="E239" s="8" t="s">
        <v>8</v>
      </c>
      <c r="F239" s="8"/>
      <c r="H239" s="8"/>
      <c r="I239" s="8" t="s">
        <v>9840</v>
      </c>
      <c r="J239" s="8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s="8" t="s">
        <v>7171</v>
      </c>
      <c r="E240" s="8" t="s">
        <v>5480</v>
      </c>
      <c r="F240" s="8"/>
      <c r="H240" s="8"/>
      <c r="I240" s="8" t="s">
        <v>9843</v>
      </c>
      <c r="J240" s="8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s="8" t="s">
        <v>7171</v>
      </c>
      <c r="E241" s="8" t="s">
        <v>5480</v>
      </c>
      <c r="F241" s="8"/>
      <c r="H241" s="8" t="s">
        <v>2936</v>
      </c>
      <c r="I241" s="8" t="s">
        <v>9846</v>
      </c>
      <c r="J241" s="8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s="8" t="s">
        <v>7171</v>
      </c>
      <c r="E242" s="8" t="s">
        <v>5480</v>
      </c>
      <c r="F242" s="8" t="s">
        <v>9202</v>
      </c>
      <c r="H242" s="8"/>
      <c r="I242" s="8" t="s">
        <v>9849</v>
      </c>
      <c r="J242" s="8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s="8" t="s">
        <v>4</v>
      </c>
      <c r="E243" s="8" t="s">
        <v>8</v>
      </c>
      <c r="F243" s="8"/>
      <c r="H243" s="8"/>
      <c r="I243" s="8" t="s">
        <v>10086</v>
      </c>
      <c r="J243" s="8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s="8" t="s">
        <v>7171</v>
      </c>
      <c r="E244" s="8" t="s">
        <v>5480</v>
      </c>
      <c r="F244" s="8" t="s">
        <v>9202</v>
      </c>
      <c r="H244" s="8"/>
      <c r="I244" s="8" t="s">
        <v>10089</v>
      </c>
      <c r="J244" s="8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s="8" t="s">
        <v>651</v>
      </c>
      <c r="E245" s="8" t="s">
        <v>5480</v>
      </c>
      <c r="F245" s="8"/>
      <c r="H245" s="8"/>
      <c r="I245" s="8" t="s">
        <v>10092</v>
      </c>
      <c r="J245" s="8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s="8" t="s">
        <v>651</v>
      </c>
      <c r="E246" s="8" t="s">
        <v>5480</v>
      </c>
      <c r="F246" s="8"/>
      <c r="H246" s="8"/>
      <c r="I246" s="8" t="s">
        <v>10095</v>
      </c>
      <c r="J246" s="8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s="8" t="s">
        <v>651</v>
      </c>
      <c r="E247" s="8" t="s">
        <v>5480</v>
      </c>
      <c r="F247" s="8"/>
      <c r="H247" s="8"/>
      <c r="I247" s="8" t="s">
        <v>10098</v>
      </c>
      <c r="J247" s="8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s="8" t="s">
        <v>651</v>
      </c>
      <c r="E248" s="8" t="s">
        <v>5480</v>
      </c>
      <c r="F248" s="8"/>
      <c r="H248" s="8"/>
      <c r="I248" s="8" t="s">
        <v>10101</v>
      </c>
      <c r="J248" s="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s="8" t="s">
        <v>651</v>
      </c>
      <c r="E249" s="8" t="s">
        <v>5480</v>
      </c>
      <c r="F249" s="8"/>
      <c r="H249" s="8"/>
      <c r="I249" s="8" t="s">
        <v>10400</v>
      </c>
      <c r="J249" s="8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s="8" t="s">
        <v>651</v>
      </c>
      <c r="E250" s="8" t="s">
        <v>5480</v>
      </c>
      <c r="F250" s="8"/>
      <c r="H250" s="8"/>
      <c r="I250" s="8" t="s">
        <v>10403</v>
      </c>
      <c r="J250" s="8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s="8" t="s">
        <v>651</v>
      </c>
      <c r="E251" s="8" t="s">
        <v>5480</v>
      </c>
      <c r="F251" s="8"/>
      <c r="H251" s="8"/>
      <c r="I251" s="8" t="s">
        <v>10406</v>
      </c>
      <c r="J251" s="8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s="8" t="s">
        <v>651</v>
      </c>
      <c r="E252" s="8" t="s">
        <v>5480</v>
      </c>
      <c r="F252" s="8"/>
      <c r="H252" s="8"/>
      <c r="I252" s="8" t="s">
        <v>10409</v>
      </c>
      <c r="J252" s="8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s="8" t="s">
        <v>651</v>
      </c>
      <c r="E253" s="8" t="s">
        <v>5480</v>
      </c>
      <c r="F253" s="8"/>
      <c r="H253" s="8"/>
      <c r="I253" s="8" t="s">
        <v>10412</v>
      </c>
      <c r="J253" s="8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s="8" t="s">
        <v>651</v>
      </c>
      <c r="E254" s="8" t="s">
        <v>5480</v>
      </c>
      <c r="F254" s="8"/>
      <c r="H254" s="8"/>
      <c r="I254" s="8" t="s">
        <v>10415</v>
      </c>
      <c r="J254" s="8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s="8" t="s">
        <v>651</v>
      </c>
      <c r="E255" s="8" t="s">
        <v>5480</v>
      </c>
      <c r="F255" s="8"/>
      <c r="H255" s="8"/>
      <c r="I255" s="8" t="s">
        <v>10418</v>
      </c>
      <c r="J255" s="8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s="8" t="s">
        <v>651</v>
      </c>
      <c r="E256" s="8" t="s">
        <v>5480</v>
      </c>
      <c r="F256" s="8"/>
      <c r="H256" s="8"/>
      <c r="I256" s="8" t="s">
        <v>10421</v>
      </c>
      <c r="J256" s="8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s="8" t="s">
        <v>2004</v>
      </c>
      <c r="E257" s="8" t="s">
        <v>8</v>
      </c>
      <c r="F257" s="8"/>
      <c r="H257" s="8"/>
      <c r="I257" s="8" t="s">
        <v>10473</v>
      </c>
      <c r="J257" s="8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s="8" t="s">
        <v>2004</v>
      </c>
      <c r="E258" s="8" t="s">
        <v>8</v>
      </c>
      <c r="F258" s="8"/>
      <c r="H258" s="8"/>
      <c r="I258" s="8" t="s">
        <v>10476</v>
      </c>
      <c r="J258" s="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s="8" t="s">
        <v>10639</v>
      </c>
      <c r="E259" s="8" t="s">
        <v>531</v>
      </c>
      <c r="F259" s="8"/>
      <c r="H259" s="8"/>
      <c r="I259" s="8" t="s">
        <v>10612</v>
      </c>
      <c r="J259" s="8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s="8" t="s">
        <v>10640</v>
      </c>
      <c r="E260" s="8" t="s">
        <v>531</v>
      </c>
      <c r="F260" s="8"/>
      <c r="H260" s="8"/>
      <c r="I260" s="8" t="s">
        <v>10615</v>
      </c>
      <c r="J260" s="8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  <row r="261" spans="1:13" x14ac:dyDescent="0.25">
      <c r="A261" s="2" t="s">
        <v>15</v>
      </c>
      <c r="B261" s="4">
        <v>46050</v>
      </c>
      <c r="C261" s="5">
        <v>0.6525347222222222</v>
      </c>
      <c r="D261" s="8" t="s">
        <v>2004</v>
      </c>
      <c r="E261" s="8" t="s">
        <v>8</v>
      </c>
      <c r="F261" s="8"/>
      <c r="H261" s="8"/>
      <c r="I261" s="8" t="s">
        <v>10854</v>
      </c>
      <c r="J261" s="8" t="s">
        <v>2986</v>
      </c>
      <c r="K261" t="s">
        <v>10855</v>
      </c>
      <c r="L261" t="s">
        <v>10856</v>
      </c>
      <c r="M261" s="3" t="str">
        <f>HYPERLINK(склад2въезд1319202122237[[#This Row],[RelativePath]])</f>
        <v>11 С ангара на базу\E33149364_4_20260128T153939Z.jpg</v>
      </c>
    </row>
    <row r="262" spans="1:13" x14ac:dyDescent="0.25">
      <c r="A262" s="2" t="s">
        <v>16</v>
      </c>
      <c r="B262" s="4">
        <v>46051</v>
      </c>
      <c r="C262" s="5">
        <v>0.67479166666666668</v>
      </c>
      <c r="D262" s="8" t="s">
        <v>2004</v>
      </c>
      <c r="E262" s="8" t="s">
        <v>8</v>
      </c>
      <c r="F262" s="8"/>
      <c r="H262" s="8"/>
      <c r="I262" s="8" t="s">
        <v>10857</v>
      </c>
      <c r="J262" s="8" t="s">
        <v>2986</v>
      </c>
      <c r="K262" t="s">
        <v>10858</v>
      </c>
      <c r="L262" t="s">
        <v>10859</v>
      </c>
      <c r="M262" s="3" t="str">
        <f>HYPERLINK(склад2въезд1319202122237[[#This Row],[RelativePath]])</f>
        <v>11 С ангара на базу\E33149364_4_20260129T161142Z.jpg</v>
      </c>
    </row>
    <row r="263" spans="1:13" x14ac:dyDescent="0.25">
      <c r="A263" s="2" t="s">
        <v>17</v>
      </c>
      <c r="B263" s="4">
        <v>46052</v>
      </c>
      <c r="C263" s="5">
        <v>0.71368055555555554</v>
      </c>
      <c r="D263" s="8" t="s">
        <v>2004</v>
      </c>
      <c r="E263" s="8" t="s">
        <v>8</v>
      </c>
      <c r="F263" s="8"/>
      <c r="H263" s="8"/>
      <c r="I263" s="8" t="s">
        <v>10989</v>
      </c>
      <c r="J263" s="8" t="s">
        <v>2986</v>
      </c>
      <c r="K263" t="s">
        <v>10990</v>
      </c>
      <c r="L263" t="s">
        <v>10991</v>
      </c>
      <c r="M263" s="3" t="str">
        <f>HYPERLINK(склад2въезд1319202122237[[#This Row],[RelativePath]])</f>
        <v>11 С ангара на базу\E33149364_4_20260130T170742Z.jpg</v>
      </c>
    </row>
    <row r="264" spans="1:13" x14ac:dyDescent="0.25">
      <c r="A264" s="2" t="s">
        <v>17</v>
      </c>
      <c r="B264" s="4">
        <v>46052</v>
      </c>
      <c r="C264" s="5">
        <v>0.7257986111111111</v>
      </c>
      <c r="D264" s="8" t="s">
        <v>2004</v>
      </c>
      <c r="E264" s="8" t="s">
        <v>8</v>
      </c>
      <c r="F264" s="8"/>
      <c r="H264" s="8"/>
      <c r="I264" s="8" t="s">
        <v>10992</v>
      </c>
      <c r="J264" s="8" t="s">
        <v>2986</v>
      </c>
      <c r="K264" t="s">
        <v>10993</v>
      </c>
      <c r="L264" t="s">
        <v>10994</v>
      </c>
      <c r="M264" s="3" t="str">
        <f>HYPERLINK(склад2въезд1319202122237[[#This Row],[RelativePath]])</f>
        <v>11 С ангара на базу\E33149364_4_20260130T172509Z.jpg</v>
      </c>
    </row>
    <row r="265" spans="1:13" x14ac:dyDescent="0.25">
      <c r="A265" s="2" t="s">
        <v>18</v>
      </c>
      <c r="B265" s="4">
        <v>46053</v>
      </c>
      <c r="C265" s="5">
        <v>0.77195601851851847</v>
      </c>
      <c r="D265" s="8" t="s">
        <v>2004</v>
      </c>
      <c r="E265" s="8" t="s">
        <v>8</v>
      </c>
      <c r="F265" s="8"/>
      <c r="H265" s="8"/>
      <c r="I265" s="8" t="s">
        <v>11052</v>
      </c>
      <c r="J265" s="8" t="s">
        <v>2986</v>
      </c>
      <c r="K265" t="s">
        <v>11053</v>
      </c>
      <c r="L265" t="s">
        <v>11054</v>
      </c>
      <c r="M265" s="3" t="str">
        <f>HYPERLINK(склад2въезд1319202122237[[#This Row],[RelativePath]])</f>
        <v>11 С ангара на базу\E33149364_4_20260131T183137Z.jpg</v>
      </c>
    </row>
    <row r="266" spans="1:13" x14ac:dyDescent="0.25">
      <c r="A266" s="2" t="s">
        <v>22</v>
      </c>
      <c r="B266" s="4">
        <v>46054</v>
      </c>
      <c r="C266" s="5">
        <v>0.77195601851851847</v>
      </c>
      <c r="D266" s="8" t="s">
        <v>11138</v>
      </c>
      <c r="E266" s="8"/>
      <c r="F266" s="8"/>
      <c r="H266" s="8"/>
      <c r="I266" s="8" t="s">
        <v>11135</v>
      </c>
      <c r="J266" s="8" t="s">
        <v>2986</v>
      </c>
      <c r="K266" t="s">
        <v>11136</v>
      </c>
      <c r="L266" t="s">
        <v>11137</v>
      </c>
      <c r="M266" s="3" t="str">
        <f>HYPERLINK(склад2въезд1319202122237[[#This Row],[RelativePath]])</f>
        <v>11 С ангара на базу\E33149364_4_20260201T183137Z.jpg</v>
      </c>
    </row>
    <row r="267" spans="1:13" x14ac:dyDescent="0.25">
      <c r="A267" s="2" t="s">
        <v>13</v>
      </c>
      <c r="B267" s="4">
        <v>46055</v>
      </c>
      <c r="C267" s="5">
        <v>0.68052083333333335</v>
      </c>
      <c r="D267" s="8" t="s">
        <v>2004</v>
      </c>
      <c r="E267" s="8" t="s">
        <v>8</v>
      </c>
      <c r="F267" s="8"/>
      <c r="H267" s="8"/>
      <c r="I267" s="8" t="s">
        <v>11283</v>
      </c>
      <c r="J267" s="8" t="s">
        <v>2986</v>
      </c>
      <c r="K267" t="s">
        <v>11284</v>
      </c>
      <c r="L267" t="s">
        <v>11285</v>
      </c>
      <c r="M267" s="3" t="str">
        <f>HYPERLINK(склад2въезд1319202122237[[#This Row],[RelativePath]])</f>
        <v>11 С ангара на базу\E33149364_4_20260202T161957Z.jpg</v>
      </c>
    </row>
    <row r="268" spans="1:13" x14ac:dyDescent="0.25">
      <c r="A268" s="2" t="s">
        <v>14</v>
      </c>
      <c r="B268" s="4">
        <v>46056</v>
      </c>
      <c r="C268" s="5">
        <v>0.47658564814814813</v>
      </c>
      <c r="D268" s="8" t="s">
        <v>290</v>
      </c>
      <c r="E268" s="8" t="s">
        <v>11412</v>
      </c>
      <c r="F268" s="8" t="s">
        <v>60</v>
      </c>
      <c r="H268" s="8"/>
      <c r="I268" s="8" t="s">
        <v>11286</v>
      </c>
      <c r="J268" s="8" t="s">
        <v>2986</v>
      </c>
      <c r="K268" t="s">
        <v>11287</v>
      </c>
      <c r="L268" t="s">
        <v>11288</v>
      </c>
      <c r="M268" s="3" t="str">
        <f>HYPERLINK(склад2въезд1319202122237[[#This Row],[RelativePath]])</f>
        <v>11 С ангара на базу\E33149364_4_20260203T112617Z.jpg</v>
      </c>
    </row>
    <row r="269" spans="1:13" x14ac:dyDescent="0.25">
      <c r="A269" s="2" t="s">
        <v>14</v>
      </c>
      <c r="B269" s="4">
        <v>46056</v>
      </c>
      <c r="C269" s="5">
        <v>0.47879629629629628</v>
      </c>
      <c r="D269" s="8" t="s">
        <v>290</v>
      </c>
      <c r="E269" s="8" t="s">
        <v>11412</v>
      </c>
      <c r="F269" s="8" t="s">
        <v>60</v>
      </c>
      <c r="H269" s="8" t="s">
        <v>2936</v>
      </c>
      <c r="I269" s="8" t="s">
        <v>11289</v>
      </c>
      <c r="J269" s="8" t="s">
        <v>2986</v>
      </c>
      <c r="K269" t="s">
        <v>11290</v>
      </c>
      <c r="L269" t="s">
        <v>11291</v>
      </c>
      <c r="M269" s="3" t="str">
        <f>HYPERLINK(склад2въезд1319202122237[[#This Row],[RelativePath]])</f>
        <v>11 С ангара на базу\E33149364_4_20260203T112928Z.jpg</v>
      </c>
    </row>
    <row r="270" spans="1:13" x14ac:dyDescent="0.25">
      <c r="A270" s="2" t="s">
        <v>14</v>
      </c>
      <c r="B270" s="4">
        <v>46056</v>
      </c>
      <c r="C270" s="5">
        <v>0.48052083333333334</v>
      </c>
      <c r="D270" s="8" t="s">
        <v>290</v>
      </c>
      <c r="E270" s="8" t="s">
        <v>11412</v>
      </c>
      <c r="F270" s="8" t="s">
        <v>60</v>
      </c>
      <c r="H270" s="8" t="s">
        <v>2936</v>
      </c>
      <c r="I270" s="8" t="s">
        <v>11292</v>
      </c>
      <c r="J270" s="8" t="s">
        <v>2986</v>
      </c>
      <c r="K270" t="s">
        <v>11293</v>
      </c>
      <c r="L270" t="s">
        <v>11294</v>
      </c>
      <c r="M270" s="3" t="str">
        <f>HYPERLINK(склад2въезд1319202122237[[#This Row],[RelativePath]])</f>
        <v>11 С ангара на базу\E33149364_4_20260203T113157Z.jpg</v>
      </c>
    </row>
    <row r="271" spans="1:13" x14ac:dyDescent="0.25">
      <c r="A271" s="2" t="s">
        <v>14</v>
      </c>
      <c r="B271" s="4">
        <v>46056</v>
      </c>
      <c r="C271" s="5">
        <v>0.48226851851851854</v>
      </c>
      <c r="D271" s="8" t="s">
        <v>290</v>
      </c>
      <c r="E271" s="8" t="s">
        <v>11412</v>
      </c>
      <c r="F271" s="8" t="s">
        <v>60</v>
      </c>
      <c r="H271" s="8" t="s">
        <v>2936</v>
      </c>
      <c r="I271" s="8" t="s">
        <v>11295</v>
      </c>
      <c r="J271" s="8" t="s">
        <v>2986</v>
      </c>
      <c r="K271" t="s">
        <v>11296</v>
      </c>
      <c r="L271" t="s">
        <v>11297</v>
      </c>
      <c r="M271" s="3" t="str">
        <f>HYPERLINK(склад2въезд1319202122237[[#This Row],[RelativePath]])</f>
        <v>11 С ангара на базу\E33149364_4_20260203T113428Z.jpg</v>
      </c>
    </row>
    <row r="272" spans="1:13" x14ac:dyDescent="0.25">
      <c r="A272" s="2" t="s">
        <v>14</v>
      </c>
      <c r="B272" s="4">
        <v>46056</v>
      </c>
      <c r="C272" s="5">
        <v>0.48519675925925926</v>
      </c>
      <c r="D272" s="8" t="s">
        <v>290</v>
      </c>
      <c r="E272" s="8" t="s">
        <v>11412</v>
      </c>
      <c r="F272" s="8" t="s">
        <v>60</v>
      </c>
      <c r="H272" s="8" t="s">
        <v>2936</v>
      </c>
      <c r="I272" s="8" t="s">
        <v>11298</v>
      </c>
      <c r="J272" s="8" t="s">
        <v>2986</v>
      </c>
      <c r="K272" t="s">
        <v>11299</v>
      </c>
      <c r="L272" t="s">
        <v>11300</v>
      </c>
      <c r="M272" s="3" t="str">
        <f>HYPERLINK(склад2въезд1319202122237[[#This Row],[RelativePath]])</f>
        <v>11 С ангара на базу\E33149364_4_20260203T113841Z.jpg</v>
      </c>
    </row>
    <row r="273" spans="1:13" x14ac:dyDescent="0.25">
      <c r="A273" s="2" t="s">
        <v>14</v>
      </c>
      <c r="B273" s="4">
        <v>46056</v>
      </c>
      <c r="C273" s="5">
        <v>0.48715277777777777</v>
      </c>
      <c r="D273" s="8" t="s">
        <v>290</v>
      </c>
      <c r="E273" s="8" t="s">
        <v>11412</v>
      </c>
      <c r="F273" s="8" t="s">
        <v>60</v>
      </c>
      <c r="H273" s="8" t="s">
        <v>2936</v>
      </c>
      <c r="I273" s="8" t="s">
        <v>11301</v>
      </c>
      <c r="J273" s="8" t="s">
        <v>2986</v>
      </c>
      <c r="K273" t="s">
        <v>11302</v>
      </c>
      <c r="L273" t="s">
        <v>11303</v>
      </c>
      <c r="M273" s="3" t="str">
        <f>HYPERLINK(склад2въезд1319202122237[[#This Row],[RelativePath]])</f>
        <v>11 С ангара на базу\E33149364_4_20260203T114130Z.jpg</v>
      </c>
    </row>
    <row r="274" spans="1:13" x14ac:dyDescent="0.25">
      <c r="A274" s="2" t="s">
        <v>14</v>
      </c>
      <c r="B274" s="4">
        <v>46056</v>
      </c>
      <c r="C274" s="5">
        <v>0.49083333333333334</v>
      </c>
      <c r="D274" s="8" t="s">
        <v>290</v>
      </c>
      <c r="E274" s="8" t="s">
        <v>11412</v>
      </c>
      <c r="F274" s="8" t="s">
        <v>60</v>
      </c>
      <c r="H274" s="8" t="s">
        <v>2936</v>
      </c>
      <c r="I274" s="8" t="s">
        <v>11304</v>
      </c>
      <c r="J274" s="8" t="s">
        <v>2986</v>
      </c>
      <c r="K274" t="s">
        <v>11305</v>
      </c>
      <c r="L274" t="s">
        <v>11306</v>
      </c>
      <c r="M274" s="3" t="str">
        <f>HYPERLINK(склад2въезд1319202122237[[#This Row],[RelativePath]])</f>
        <v>11 С ангара на базу\E33149364_4_20260203T114648Z.jpg</v>
      </c>
    </row>
    <row r="275" spans="1:13" x14ac:dyDescent="0.25">
      <c r="A275" s="2" t="s">
        <v>14</v>
      </c>
      <c r="B275" s="4">
        <v>46056</v>
      </c>
      <c r="C275" s="5">
        <v>0.49300925925925926</v>
      </c>
      <c r="D275" s="8" t="s">
        <v>290</v>
      </c>
      <c r="E275" s="8" t="s">
        <v>11412</v>
      </c>
      <c r="F275" s="8" t="s">
        <v>60</v>
      </c>
      <c r="H275" s="8" t="s">
        <v>2936</v>
      </c>
      <c r="I275" s="8" t="s">
        <v>11307</v>
      </c>
      <c r="J275" s="8" t="s">
        <v>2986</v>
      </c>
      <c r="K275" t="s">
        <v>11308</v>
      </c>
      <c r="L275" t="s">
        <v>11309</v>
      </c>
      <c r="M275" s="3" t="str">
        <f>HYPERLINK(склад2въезд1319202122237[[#This Row],[RelativePath]])</f>
        <v>11 С ангара на базу\E33149364_4_20260203T114956Z.jpg</v>
      </c>
    </row>
    <row r="276" spans="1:13" x14ac:dyDescent="0.25">
      <c r="A276" s="2" t="s">
        <v>14</v>
      </c>
      <c r="B276" s="4">
        <v>46056</v>
      </c>
      <c r="C276" s="5">
        <v>0.4952199074074074</v>
      </c>
      <c r="D276" s="8" t="s">
        <v>290</v>
      </c>
      <c r="E276" s="8" t="s">
        <v>11412</v>
      </c>
      <c r="F276" s="8" t="s">
        <v>60</v>
      </c>
      <c r="H276" s="8" t="s">
        <v>2936</v>
      </c>
      <c r="I276" s="8" t="s">
        <v>11310</v>
      </c>
      <c r="J276" s="8" t="s">
        <v>2986</v>
      </c>
      <c r="K276" t="s">
        <v>11311</v>
      </c>
      <c r="L276" t="s">
        <v>11312</v>
      </c>
      <c r="M276" s="3" t="str">
        <f>HYPERLINK(склад2въезд1319202122237[[#This Row],[RelativePath]])</f>
        <v>11 С ангара на базу\E33149364_4_20260203T115307Z.jpg</v>
      </c>
    </row>
    <row r="277" spans="1:13" x14ac:dyDescent="0.25">
      <c r="A277" s="2" t="s">
        <v>14</v>
      </c>
      <c r="B277" s="4">
        <v>46056</v>
      </c>
      <c r="C277" s="5">
        <v>0.50091435185185185</v>
      </c>
      <c r="D277" s="8" t="s">
        <v>290</v>
      </c>
      <c r="E277" s="8" t="s">
        <v>11412</v>
      </c>
      <c r="F277" s="8" t="s">
        <v>60</v>
      </c>
      <c r="H277" s="8" t="s">
        <v>2936</v>
      </c>
      <c r="I277" s="8" t="s">
        <v>11313</v>
      </c>
      <c r="J277" s="8" t="s">
        <v>2986</v>
      </c>
      <c r="K277" t="s">
        <v>11314</v>
      </c>
      <c r="L277" t="s">
        <v>11315</v>
      </c>
      <c r="M277" s="3" t="str">
        <f>HYPERLINK(склад2въезд1319202122237[[#This Row],[RelativePath]])</f>
        <v>11 С ангара на базу\E33149364_4_20260203T120119Z.jpg</v>
      </c>
    </row>
    <row r="278" spans="1:13" x14ac:dyDescent="0.25">
      <c r="A278" s="2" t="s">
        <v>14</v>
      </c>
      <c r="B278" s="4">
        <v>46056</v>
      </c>
      <c r="C278" s="5">
        <v>0.50259259259259259</v>
      </c>
      <c r="D278" s="8" t="s">
        <v>290</v>
      </c>
      <c r="E278" s="8" t="s">
        <v>11412</v>
      </c>
      <c r="F278" s="8" t="s">
        <v>60</v>
      </c>
      <c r="H278" s="8" t="s">
        <v>2936</v>
      </c>
      <c r="I278" s="8" t="s">
        <v>11316</v>
      </c>
      <c r="J278" s="8" t="s">
        <v>2986</v>
      </c>
      <c r="K278" t="s">
        <v>11317</v>
      </c>
      <c r="L278" t="s">
        <v>11318</v>
      </c>
      <c r="M278" s="3" t="str">
        <f>HYPERLINK(склад2въезд1319202122237[[#This Row],[RelativePath]])</f>
        <v>11 С ангара на базу\E33149364_4_20260203T120344Z.jpg</v>
      </c>
    </row>
    <row r="279" spans="1:13" x14ac:dyDescent="0.25">
      <c r="A279" s="2" t="s">
        <v>14</v>
      </c>
      <c r="B279" s="4">
        <v>46056</v>
      </c>
      <c r="C279" s="5">
        <v>0.50442129629629628</v>
      </c>
      <c r="D279" s="8" t="s">
        <v>290</v>
      </c>
      <c r="E279" s="8" t="s">
        <v>11412</v>
      </c>
      <c r="F279" s="8" t="s">
        <v>60</v>
      </c>
      <c r="H279" s="8" t="s">
        <v>2936</v>
      </c>
      <c r="I279" s="8" t="s">
        <v>11319</v>
      </c>
      <c r="J279" s="8" t="s">
        <v>2986</v>
      </c>
      <c r="K279" t="s">
        <v>11320</v>
      </c>
      <c r="L279" t="s">
        <v>11321</v>
      </c>
      <c r="M279" s="3" t="str">
        <f>HYPERLINK(склад2въезд1319202122237[[#This Row],[RelativePath]])</f>
        <v>11 С ангара на базу\E33149364_4_20260203T120622Z.jpg</v>
      </c>
    </row>
    <row r="280" spans="1:13" x14ac:dyDescent="0.25">
      <c r="A280" s="2" t="s">
        <v>14</v>
      </c>
      <c r="B280" s="4">
        <v>46056</v>
      </c>
      <c r="C280" s="5">
        <v>0.51177083333333329</v>
      </c>
      <c r="D280" s="8" t="s">
        <v>11422</v>
      </c>
      <c r="E280" s="8" t="s">
        <v>11412</v>
      </c>
      <c r="F280" s="8"/>
      <c r="H280" s="8"/>
      <c r="I280" s="8" t="s">
        <v>11322</v>
      </c>
      <c r="J280" s="8" t="s">
        <v>2986</v>
      </c>
      <c r="K280" t="s">
        <v>11323</v>
      </c>
      <c r="L280" t="s">
        <v>11324</v>
      </c>
      <c r="M280" s="3" t="str">
        <f>HYPERLINK(склад2въезд1319202122237[[#This Row],[RelativePath]])</f>
        <v>11 С ангара на базу\E33149364_4_20260203T121657Z.jpg</v>
      </c>
    </row>
    <row r="281" spans="1:13" x14ac:dyDescent="0.25">
      <c r="A281" s="2" t="s">
        <v>14</v>
      </c>
      <c r="B281" s="4">
        <v>46056</v>
      </c>
      <c r="C281" s="5">
        <v>0.51491898148148152</v>
      </c>
      <c r="D281" s="8" t="s">
        <v>290</v>
      </c>
      <c r="E281" s="8" t="s">
        <v>11412</v>
      </c>
      <c r="F281" s="8" t="s">
        <v>60</v>
      </c>
      <c r="H281" s="8"/>
      <c r="I281" s="8" t="s">
        <v>11325</v>
      </c>
      <c r="J281" s="8" t="s">
        <v>2986</v>
      </c>
      <c r="K281" t="s">
        <v>11326</v>
      </c>
      <c r="L281" t="s">
        <v>11327</v>
      </c>
      <c r="M281" s="3" t="str">
        <f>HYPERLINK(склад2въезд1319202122237[[#This Row],[RelativePath]])</f>
        <v>11 С ангара на базу\E33149364_4_20260203T122129Z.jpg</v>
      </c>
    </row>
    <row r="282" spans="1:13" x14ac:dyDescent="0.25">
      <c r="A282" s="2" t="s">
        <v>14</v>
      </c>
      <c r="B282" s="4">
        <v>46056</v>
      </c>
      <c r="C282" s="5">
        <v>0.51747685185185188</v>
      </c>
      <c r="D282" s="8" t="s">
        <v>290</v>
      </c>
      <c r="E282" s="8" t="s">
        <v>11412</v>
      </c>
      <c r="F282" s="8" t="s">
        <v>60</v>
      </c>
      <c r="H282" s="8" t="s">
        <v>2936</v>
      </c>
      <c r="I282" s="8" t="s">
        <v>11328</v>
      </c>
      <c r="J282" s="8" t="s">
        <v>2986</v>
      </c>
      <c r="K282" t="s">
        <v>11329</v>
      </c>
      <c r="L282" t="s">
        <v>11330</v>
      </c>
      <c r="M282" s="3" t="str">
        <f>HYPERLINK(склад2въезд1319202122237[[#This Row],[RelativePath]])</f>
        <v>11 С ангара на базу\E33149364_4_20260203T122510Z.jpg</v>
      </c>
    </row>
    <row r="283" spans="1:13" x14ac:dyDescent="0.25">
      <c r="A283" s="2" t="s">
        <v>14</v>
      </c>
      <c r="B283" s="4">
        <v>46056</v>
      </c>
      <c r="C283" s="5">
        <v>0.51936342592592588</v>
      </c>
      <c r="D283" s="8" t="s">
        <v>290</v>
      </c>
      <c r="E283" s="8" t="s">
        <v>11412</v>
      </c>
      <c r="F283" s="8" t="s">
        <v>60</v>
      </c>
      <c r="H283" s="8" t="s">
        <v>2936</v>
      </c>
      <c r="I283" s="8" t="s">
        <v>11331</v>
      </c>
      <c r="J283" s="8" t="s">
        <v>2986</v>
      </c>
      <c r="K283" t="s">
        <v>11332</v>
      </c>
      <c r="L283" t="s">
        <v>11333</v>
      </c>
      <c r="M283" s="3" t="str">
        <f>HYPERLINK(склад2въезд1319202122237[[#This Row],[RelativePath]])</f>
        <v>11 С ангара на базу\E33149364_4_20260203T122753Z.jpg</v>
      </c>
    </row>
    <row r="284" spans="1:13" x14ac:dyDescent="0.25">
      <c r="A284" s="2" t="s">
        <v>14</v>
      </c>
      <c r="B284" s="4">
        <v>46056</v>
      </c>
      <c r="C284" s="5">
        <v>0.52197916666666666</v>
      </c>
      <c r="D284" s="8" t="s">
        <v>290</v>
      </c>
      <c r="E284" s="8" t="s">
        <v>11412</v>
      </c>
      <c r="F284" s="8" t="s">
        <v>60</v>
      </c>
      <c r="H284" s="8" t="s">
        <v>2936</v>
      </c>
      <c r="I284" s="8" t="s">
        <v>11334</v>
      </c>
      <c r="J284" s="8" t="s">
        <v>2986</v>
      </c>
      <c r="K284" t="s">
        <v>11335</v>
      </c>
      <c r="L284" t="s">
        <v>11336</v>
      </c>
      <c r="M284" s="3" t="str">
        <f>HYPERLINK(склад2въезд1319202122237[[#This Row],[RelativePath]])</f>
        <v>11 С ангара на базу\E33149364_4_20260203T123139Z.jpg</v>
      </c>
    </row>
    <row r="285" spans="1:13" x14ac:dyDescent="0.25">
      <c r="A285" s="2" t="s">
        <v>14</v>
      </c>
      <c r="B285" s="4">
        <v>46056</v>
      </c>
      <c r="C285" s="5">
        <v>0.52274305555555556</v>
      </c>
      <c r="D285" s="8" t="s">
        <v>290</v>
      </c>
      <c r="E285" s="8" t="s">
        <v>11412</v>
      </c>
      <c r="F285" s="8" t="s">
        <v>60</v>
      </c>
      <c r="H285" s="8" t="s">
        <v>2936</v>
      </c>
      <c r="I285" s="8" t="s">
        <v>11337</v>
      </c>
      <c r="J285" s="8" t="s">
        <v>2986</v>
      </c>
      <c r="K285" t="s">
        <v>11338</v>
      </c>
      <c r="L285" t="s">
        <v>11339</v>
      </c>
      <c r="M285" s="3" t="str">
        <f>HYPERLINK(склад2въезд1319202122237[[#This Row],[RelativePath]])</f>
        <v>11 С ангара на базу\E33149364_4_20260203T123245Z.jpg</v>
      </c>
    </row>
    <row r="286" spans="1:13" x14ac:dyDescent="0.25">
      <c r="A286" s="2" t="s">
        <v>14</v>
      </c>
      <c r="B286" s="4">
        <v>46056</v>
      </c>
      <c r="C286" s="5">
        <v>0.52563657407407405</v>
      </c>
      <c r="D286" s="8" t="s">
        <v>290</v>
      </c>
      <c r="E286" s="8" t="s">
        <v>11412</v>
      </c>
      <c r="F286" s="8" t="s">
        <v>60</v>
      </c>
      <c r="H286" s="8" t="s">
        <v>2936</v>
      </c>
      <c r="I286" s="8" t="s">
        <v>11340</v>
      </c>
      <c r="J286" s="8" t="s">
        <v>2986</v>
      </c>
      <c r="K286" t="s">
        <v>11341</v>
      </c>
      <c r="L286" t="s">
        <v>11342</v>
      </c>
      <c r="M286" s="3" t="str">
        <f>HYPERLINK(склад2въезд1319202122237[[#This Row],[RelativePath]])</f>
        <v>11 С ангара на базу\E33149364_4_20260203T123655Z.jpg</v>
      </c>
    </row>
    <row r="287" spans="1:13" x14ac:dyDescent="0.25">
      <c r="A287" s="2" t="s">
        <v>14</v>
      </c>
      <c r="B287" s="4">
        <v>46056</v>
      </c>
      <c r="C287" s="5">
        <v>0.52638888888888891</v>
      </c>
      <c r="D287" s="8" t="s">
        <v>290</v>
      </c>
      <c r="E287" s="8" t="s">
        <v>11412</v>
      </c>
      <c r="F287" s="8" t="s">
        <v>60</v>
      </c>
      <c r="H287" s="8" t="s">
        <v>2936</v>
      </c>
      <c r="I287" s="8" t="s">
        <v>11343</v>
      </c>
      <c r="J287" s="8" t="s">
        <v>2986</v>
      </c>
      <c r="K287" t="s">
        <v>11344</v>
      </c>
      <c r="L287" t="s">
        <v>11345</v>
      </c>
      <c r="M287" s="3" t="str">
        <f>HYPERLINK(склад2въезд1319202122237[[#This Row],[RelativePath]])</f>
        <v>11 С ангара на базу\E33149364_4_20260203T123800Z.jpg</v>
      </c>
    </row>
    <row r="288" spans="1:13" x14ac:dyDescent="0.25">
      <c r="A288" s="2" t="s">
        <v>14</v>
      </c>
      <c r="B288" s="4">
        <v>46056</v>
      </c>
      <c r="C288" s="5">
        <v>0.52846064814814819</v>
      </c>
      <c r="D288" s="8" t="s">
        <v>290</v>
      </c>
      <c r="E288" s="8" t="s">
        <v>11412</v>
      </c>
      <c r="F288" s="8" t="s">
        <v>60</v>
      </c>
      <c r="H288" s="8" t="s">
        <v>2936</v>
      </c>
      <c r="I288" s="8" t="s">
        <v>11346</v>
      </c>
      <c r="J288" s="8" t="s">
        <v>2986</v>
      </c>
      <c r="K288" t="s">
        <v>11347</v>
      </c>
      <c r="L288" t="s">
        <v>11348</v>
      </c>
      <c r="M288" s="3" t="str">
        <f>HYPERLINK(склад2въезд1319202122237[[#This Row],[RelativePath]])</f>
        <v>11 С ангара на базу\E33149364_4_20260203T124059Z.jpg</v>
      </c>
    </row>
    <row r="289" spans="1:13" x14ac:dyDescent="0.25">
      <c r="A289" s="2" t="s">
        <v>14</v>
      </c>
      <c r="B289" s="4">
        <v>46056</v>
      </c>
      <c r="C289" s="5">
        <v>0.53401620370370373</v>
      </c>
      <c r="D289" s="8" t="s">
        <v>290</v>
      </c>
      <c r="E289" s="8" t="s">
        <v>11412</v>
      </c>
      <c r="F289" s="8" t="s">
        <v>60</v>
      </c>
      <c r="H289" s="8" t="s">
        <v>2936</v>
      </c>
      <c r="I289" s="8" t="s">
        <v>11349</v>
      </c>
      <c r="J289" s="8" t="s">
        <v>2986</v>
      </c>
      <c r="K289" t="s">
        <v>11350</v>
      </c>
      <c r="L289" t="s">
        <v>11351</v>
      </c>
      <c r="M289" s="3" t="str">
        <f>HYPERLINK(склад2въезд1319202122237[[#This Row],[RelativePath]])</f>
        <v>11 С ангара на базу\E33149364_4_20260203T124859Z.jpg</v>
      </c>
    </row>
    <row r="290" spans="1:13" x14ac:dyDescent="0.25">
      <c r="A290" s="2" t="s">
        <v>14</v>
      </c>
      <c r="B290" s="4">
        <v>46056</v>
      </c>
      <c r="C290" s="5">
        <v>0.5352662037037037</v>
      </c>
      <c r="D290" s="8" t="s">
        <v>290</v>
      </c>
      <c r="E290" s="8" t="s">
        <v>11412</v>
      </c>
      <c r="F290" s="8" t="s">
        <v>60</v>
      </c>
      <c r="H290" s="8" t="s">
        <v>2936</v>
      </c>
      <c r="I290" s="8" t="s">
        <v>11352</v>
      </c>
      <c r="J290" s="8" t="s">
        <v>2986</v>
      </c>
      <c r="K290" t="s">
        <v>11353</v>
      </c>
      <c r="L290" t="s">
        <v>11354</v>
      </c>
      <c r="M290" s="3" t="str">
        <f>HYPERLINK(склад2въезд1319202122237[[#This Row],[RelativePath]])</f>
        <v>11 С ангара на базу\E33149364_4_20260203T125047Z.jpg</v>
      </c>
    </row>
    <row r="291" spans="1:13" x14ac:dyDescent="0.25">
      <c r="A291" s="2" t="s">
        <v>14</v>
      </c>
      <c r="B291" s="4">
        <v>46056</v>
      </c>
      <c r="C291" s="5">
        <v>0.53737268518518522</v>
      </c>
      <c r="D291" s="8" t="s">
        <v>290</v>
      </c>
      <c r="E291" s="8" t="s">
        <v>11412</v>
      </c>
      <c r="F291" s="8" t="s">
        <v>60</v>
      </c>
      <c r="H291" s="8" t="s">
        <v>2936</v>
      </c>
      <c r="I291" s="8" t="s">
        <v>11355</v>
      </c>
      <c r="J291" s="8" t="s">
        <v>2986</v>
      </c>
      <c r="K291" t="s">
        <v>11356</v>
      </c>
      <c r="L291" t="s">
        <v>11357</v>
      </c>
      <c r="M291" s="3" t="str">
        <f>HYPERLINK(склад2въезд1319202122237[[#This Row],[RelativePath]])</f>
        <v>11 С ангара на базу\E33149364_4_20260203T125349Z.jpg</v>
      </c>
    </row>
    <row r="292" spans="1:13" x14ac:dyDescent="0.25">
      <c r="A292" s="2" t="s">
        <v>14</v>
      </c>
      <c r="B292" s="4">
        <v>46056</v>
      </c>
      <c r="C292" s="5">
        <v>0.55482638888888891</v>
      </c>
      <c r="D292" s="8" t="s">
        <v>5105</v>
      </c>
      <c r="E292" s="8" t="s">
        <v>11412</v>
      </c>
      <c r="F292" s="8"/>
      <c r="H292" s="8"/>
      <c r="I292" s="8" t="s">
        <v>11358</v>
      </c>
      <c r="J292" s="8" t="s">
        <v>2986</v>
      </c>
      <c r="K292" t="s">
        <v>11359</v>
      </c>
      <c r="L292" t="s">
        <v>11360</v>
      </c>
      <c r="M292" s="3" t="str">
        <f>HYPERLINK(склад2въезд1319202122237[[#This Row],[RelativePath]])</f>
        <v>11 С ангара на базу\E33149364_4_20260203T131857Z.jpg</v>
      </c>
    </row>
    <row r="293" spans="1:13" x14ac:dyDescent="0.25">
      <c r="A293" s="2" t="s">
        <v>14</v>
      </c>
      <c r="B293" s="4">
        <v>46056</v>
      </c>
      <c r="C293" s="5">
        <v>0.62818287037037035</v>
      </c>
      <c r="D293" s="8" t="s">
        <v>651</v>
      </c>
      <c r="E293" s="8" t="s">
        <v>5480</v>
      </c>
      <c r="F293" s="8"/>
      <c r="H293" s="8"/>
      <c r="I293" s="8" t="s">
        <v>11361</v>
      </c>
      <c r="J293" s="8" t="s">
        <v>2986</v>
      </c>
      <c r="K293" t="s">
        <v>11362</v>
      </c>
      <c r="L293" t="s">
        <v>11363</v>
      </c>
      <c r="M293" s="3" t="str">
        <f>HYPERLINK(склад2въезд1319202122237[[#This Row],[RelativePath]])</f>
        <v>11 С ангара на базу\E33149364_4_20260203T150435Z.jpg</v>
      </c>
    </row>
    <row r="294" spans="1:13" x14ac:dyDescent="0.25">
      <c r="A294" s="2" t="s">
        <v>14</v>
      </c>
      <c r="B294" s="4">
        <v>46056</v>
      </c>
      <c r="C294" s="5">
        <v>0.63287037037037042</v>
      </c>
      <c r="D294" s="8" t="s">
        <v>651</v>
      </c>
      <c r="E294" s="8" t="s">
        <v>5480</v>
      </c>
      <c r="F294" s="8"/>
      <c r="H294" s="8"/>
      <c r="I294" s="8" t="s">
        <v>11364</v>
      </c>
      <c r="J294" s="8" t="s">
        <v>2986</v>
      </c>
      <c r="K294" t="s">
        <v>11365</v>
      </c>
      <c r="L294" t="s">
        <v>11366</v>
      </c>
      <c r="M294" s="3" t="str">
        <f>HYPERLINK(склад2въезд1319202122237[[#This Row],[RelativePath]])</f>
        <v>11 С ангара на базу\E33149364_4_20260203T151120Z.jpg</v>
      </c>
    </row>
    <row r="295" spans="1:13" x14ac:dyDescent="0.25">
      <c r="A295" s="2" t="s">
        <v>14</v>
      </c>
      <c r="B295" s="4">
        <v>46056</v>
      </c>
      <c r="C295" s="5">
        <v>0.64457175925925925</v>
      </c>
      <c r="D295" s="8" t="s">
        <v>651</v>
      </c>
      <c r="E295" s="8" t="s">
        <v>5480</v>
      </c>
      <c r="F295" s="8"/>
      <c r="H295" s="8"/>
      <c r="I295" s="8" t="s">
        <v>11367</v>
      </c>
      <c r="J295" s="8" t="s">
        <v>2986</v>
      </c>
      <c r="K295" t="s">
        <v>11368</v>
      </c>
      <c r="L295" t="s">
        <v>11369</v>
      </c>
      <c r="M295" s="3" t="str">
        <f>HYPERLINK(склад2въезд1319202122237[[#This Row],[RelativePath]])</f>
        <v>11 С ангара на базу\E33149364_4_20260203T152811Z.jpg</v>
      </c>
    </row>
    <row r="296" spans="1:13" x14ac:dyDescent="0.25">
      <c r="A296" s="2" t="s">
        <v>14</v>
      </c>
      <c r="B296" s="4">
        <v>46056</v>
      </c>
      <c r="C296" s="5">
        <v>0.65008101851851852</v>
      </c>
      <c r="D296" s="8" t="s">
        <v>651</v>
      </c>
      <c r="E296" s="8" t="s">
        <v>5480</v>
      </c>
      <c r="F296" s="8"/>
      <c r="H296" s="8"/>
      <c r="I296" s="8" t="s">
        <v>11370</v>
      </c>
      <c r="J296" s="8" t="s">
        <v>2986</v>
      </c>
      <c r="K296" t="s">
        <v>11371</v>
      </c>
      <c r="L296" t="s">
        <v>11372</v>
      </c>
      <c r="M296" s="3" t="str">
        <f>HYPERLINK(склад2въезд1319202122237[[#This Row],[RelativePath]])</f>
        <v>11 С ангара на базу\E33149364_4_20260203T153607Z.jpg</v>
      </c>
    </row>
    <row r="297" spans="1:13" x14ac:dyDescent="0.25">
      <c r="A297" s="2" t="s">
        <v>14</v>
      </c>
      <c r="B297" s="4">
        <v>46056</v>
      </c>
      <c r="C297" s="5">
        <v>0.6918981481481481</v>
      </c>
      <c r="D297" s="8" t="s">
        <v>651</v>
      </c>
      <c r="E297" s="8" t="s">
        <v>5480</v>
      </c>
      <c r="F297" s="8"/>
      <c r="H297" s="8"/>
      <c r="I297" s="8" t="s">
        <v>11373</v>
      </c>
      <c r="J297" s="8" t="s">
        <v>2986</v>
      </c>
      <c r="K297" t="s">
        <v>11374</v>
      </c>
      <c r="L297" t="s">
        <v>11375</v>
      </c>
      <c r="M297" s="3" t="str">
        <f>HYPERLINK(склад2въезд1319202122237[[#This Row],[RelativePath]])</f>
        <v>11 С ангара на базу\E33149364_4_20260203T163620Z.jpg</v>
      </c>
    </row>
    <row r="298" spans="1:13" x14ac:dyDescent="0.25">
      <c r="A298" s="2" t="s">
        <v>14</v>
      </c>
      <c r="B298" s="4">
        <v>46056</v>
      </c>
      <c r="C298" s="5">
        <v>0.71322916666666669</v>
      </c>
      <c r="D298" s="8" t="s">
        <v>4</v>
      </c>
      <c r="E298" s="8" t="s">
        <v>8</v>
      </c>
      <c r="F298" s="8"/>
      <c r="H298" s="8"/>
      <c r="I298" s="8" t="s">
        <v>11376</v>
      </c>
      <c r="J298" s="8" t="s">
        <v>2986</v>
      </c>
      <c r="K298" t="s">
        <v>11377</v>
      </c>
      <c r="L298" t="s">
        <v>11378</v>
      </c>
      <c r="M298" s="3" t="str">
        <f>HYPERLINK(склад2въезд1319202122237[[#This Row],[RelativePath]])</f>
        <v>11 С ангара на базу\E33149364_4_20260203T170703Z.jpg</v>
      </c>
    </row>
  </sheetData>
  <conditionalFormatting sqref="D299:D309 E299:E312 G2:H298 D2:E298">
    <cfRule type="containsText" dxfId="65" priority="14" operator="containsText" text="Выезд с территории">
      <formula>NOT(ISERROR(SEARCH("Выезд с территории",D2)))</formula>
    </cfRule>
  </conditionalFormatting>
  <conditionalFormatting sqref="F2:F298">
    <cfRule type="notContainsText" dxfId="64" priority="13" operator="notContains" text="порожний">
      <formula>ISERROR(SEARCH("порожний",F2))</formula>
    </cfRule>
  </conditionalFormatting>
  <conditionalFormatting sqref="E2:E312">
    <cfRule type="containsText" dxfId="63" priority="11" operator="containsText" text="Газель базы">
      <formula>NOT(ISERROR(SEARCH("Газель базы",E2)))</formula>
    </cfRule>
    <cfRule type="containsText" dxfId="62" priority="12" operator="containsText" text="Погрузчик базы">
      <formula>NOT(ISERROR(SEARCH("Погрузчик базы",E2)))</formula>
    </cfRule>
  </conditionalFormatting>
  <conditionalFormatting sqref="E2:E312">
    <cfRule type="containsText" dxfId="61" priority="10" operator="containsText" text="Трактор базы">
      <formula>NOT(ISERROR(SEARCH("Трактор базы",E2)))</formula>
    </cfRule>
  </conditionalFormatting>
  <conditionalFormatting sqref="A2:C298">
    <cfRule type="expression" dxfId="60" priority="9">
      <formula>$A2="пн"</formula>
    </cfRule>
  </conditionalFormatting>
  <conditionalFormatting sqref="A2:C300">
    <cfRule type="expression" dxfId="59" priority="3">
      <formula>$A2="вс"</formula>
    </cfRule>
    <cfRule type="expression" dxfId="58" priority="4">
      <formula>$A2="сб"</formula>
    </cfRule>
    <cfRule type="expression" dxfId="57" priority="5">
      <formula>$A2="пт"</formula>
    </cfRule>
    <cfRule type="expression" dxfId="56" priority="6">
      <formula>$A2="чт"</formula>
    </cfRule>
    <cfRule type="expression" dxfId="55" priority="7">
      <formula>$A2="ср"</formula>
    </cfRule>
    <cfRule type="expression" dxfId="54" priority="8">
      <formula>$A2="вт"</formula>
    </cfRule>
  </conditionalFormatting>
  <conditionalFormatting sqref="D2:D309">
    <cfRule type="containsText" dxfId="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9">
    <cfRule type="containsText" dxfId="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81"/>
  <sheetViews>
    <sheetView zoomScale="90" zoomScaleNormal="90" workbookViewId="0">
      <pane ySplit="1" topLeftCell="A173" activePane="bottomLeft" state="frozen"/>
      <selection pane="bottomLeft" activeCell="I178" sqref="I178:I18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710937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 t="s">
        <v>4</v>
      </c>
      <c r="E112" s="8" t="s">
        <v>7715</v>
      </c>
      <c r="F112" s="8"/>
      <c r="H112" s="8"/>
      <c r="I112" s="8" t="s">
        <v>7583</v>
      </c>
      <c r="J112" s="8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 t="s">
        <v>4</v>
      </c>
      <c r="E113" s="8" t="s">
        <v>7716</v>
      </c>
      <c r="F113" s="8"/>
      <c r="H113" s="8" t="s">
        <v>2936</v>
      </c>
      <c r="I113" s="8" t="s">
        <v>7586</v>
      </c>
      <c r="J113" s="8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 t="s">
        <v>4</v>
      </c>
      <c r="E114" s="8" t="s">
        <v>8</v>
      </c>
      <c r="F114" s="8"/>
      <c r="H114" s="8" t="s">
        <v>7717</v>
      </c>
      <c r="I114" s="8" t="s">
        <v>7589</v>
      </c>
      <c r="J114" s="8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 t="s">
        <v>4</v>
      </c>
      <c r="E115" s="8" t="s">
        <v>8</v>
      </c>
      <c r="F115" s="8"/>
      <c r="H115" s="8" t="s">
        <v>3078</v>
      </c>
      <c r="I115" s="8" t="s">
        <v>7592</v>
      </c>
      <c r="J115" s="8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8" t="s">
        <v>4</v>
      </c>
      <c r="E116" s="8" t="s">
        <v>8</v>
      </c>
      <c r="F116" s="8"/>
      <c r="H116" s="8"/>
      <c r="I116" s="8" t="s">
        <v>7777</v>
      </c>
      <c r="J116" s="8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8" t="s">
        <v>4</v>
      </c>
      <c r="E117" s="8" t="s">
        <v>8</v>
      </c>
      <c r="F117" s="8"/>
      <c r="H117" s="8" t="s">
        <v>2936</v>
      </c>
      <c r="I117" s="8" t="s">
        <v>7780</v>
      </c>
      <c r="J117" s="8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8" t="s">
        <v>4</v>
      </c>
      <c r="E118" s="8" t="s">
        <v>8</v>
      </c>
      <c r="F118" s="8"/>
      <c r="H118" s="8" t="s">
        <v>2936</v>
      </c>
      <c r="I118" s="8" t="s">
        <v>7783</v>
      </c>
      <c r="J118" s="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8" t="s">
        <v>4</v>
      </c>
      <c r="E119" s="8" t="s">
        <v>8</v>
      </c>
      <c r="F119" s="8"/>
      <c r="H119" s="8" t="s">
        <v>2936</v>
      </c>
      <c r="I119" s="8" t="s">
        <v>7786</v>
      </c>
      <c r="J119" s="8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8" t="s">
        <v>4</v>
      </c>
      <c r="E120" s="8" t="s">
        <v>8</v>
      </c>
      <c r="F120" s="8"/>
      <c r="H120" s="8" t="s">
        <v>2936</v>
      </c>
      <c r="I120" s="8" t="s">
        <v>7789</v>
      </c>
      <c r="J120" s="8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8" t="s">
        <v>4</v>
      </c>
      <c r="E121" s="8" t="s">
        <v>8</v>
      </c>
      <c r="F121" s="8"/>
      <c r="H121" s="8"/>
      <c r="I121" s="8" t="s">
        <v>7971</v>
      </c>
      <c r="J121" s="8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8" t="s">
        <v>4</v>
      </c>
      <c r="E122" s="8" t="s">
        <v>12</v>
      </c>
      <c r="F122" s="8"/>
      <c r="H122" s="8"/>
      <c r="I122" s="8" t="s">
        <v>7974</v>
      </c>
      <c r="J122" s="8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8" t="s">
        <v>4</v>
      </c>
      <c r="E123" s="8" t="s">
        <v>8</v>
      </c>
      <c r="F123" s="8"/>
      <c r="H123" s="8"/>
      <c r="I123" s="8" t="s">
        <v>7977</v>
      </c>
      <c r="J123" s="8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8" t="s">
        <v>4</v>
      </c>
      <c r="E124" s="8" t="s">
        <v>12</v>
      </c>
      <c r="F124" s="8"/>
      <c r="H124" s="8"/>
      <c r="I124" s="8" t="s">
        <v>7980</v>
      </c>
      <c r="J124" s="8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8" t="s">
        <v>2004</v>
      </c>
      <c r="E125" s="8" t="s">
        <v>8</v>
      </c>
      <c r="F125" s="8"/>
      <c r="H125" s="8"/>
      <c r="I125" s="8" t="s">
        <v>8315</v>
      </c>
      <c r="J125" s="8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8" t="s">
        <v>2004</v>
      </c>
      <c r="E126" s="8" t="s">
        <v>8</v>
      </c>
      <c r="F126" s="8"/>
      <c r="H126" s="8"/>
      <c r="I126" s="8" t="s">
        <v>8318</v>
      </c>
      <c r="J126" s="8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8" t="s">
        <v>2004</v>
      </c>
      <c r="E127" s="8" t="s">
        <v>8</v>
      </c>
      <c r="F127" s="8"/>
      <c r="H127" s="8"/>
      <c r="I127" s="8" t="s">
        <v>8321</v>
      </c>
      <c r="J127" s="8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8" t="s">
        <v>2004</v>
      </c>
      <c r="E128" s="8" t="s">
        <v>8</v>
      </c>
      <c r="F128" s="8"/>
      <c r="H128" s="8"/>
      <c r="I128" s="8" t="s">
        <v>8324</v>
      </c>
      <c r="J128" s="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8" t="s">
        <v>2004</v>
      </c>
      <c r="E129" s="8" t="s">
        <v>8</v>
      </c>
      <c r="F129" s="8"/>
      <c r="H129" s="8"/>
      <c r="I129" s="8" t="s">
        <v>8327</v>
      </c>
      <c r="J129" s="8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8" t="s">
        <v>2004</v>
      </c>
      <c r="E130" s="8" t="s">
        <v>8</v>
      </c>
      <c r="F130" s="8"/>
      <c r="H130" s="8"/>
      <c r="I130" s="8" t="s">
        <v>8456</v>
      </c>
      <c r="J130" s="8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8" t="s">
        <v>2004</v>
      </c>
      <c r="E131" s="8" t="s">
        <v>8</v>
      </c>
      <c r="F131" s="8"/>
      <c r="H131" s="8"/>
      <c r="I131" s="8" t="s">
        <v>8459</v>
      </c>
      <c r="J131" s="8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8" t="s">
        <v>2004</v>
      </c>
      <c r="E132" s="8" t="s">
        <v>8</v>
      </c>
      <c r="F132" s="8"/>
      <c r="H132" s="8"/>
      <c r="I132" s="8" t="s">
        <v>8462</v>
      </c>
      <c r="J132" s="8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8" t="s">
        <v>2004</v>
      </c>
      <c r="E133" s="8" t="s">
        <v>8</v>
      </c>
      <c r="F133" s="8"/>
      <c r="H133" s="8"/>
      <c r="I133" s="8" t="s">
        <v>8757</v>
      </c>
      <c r="J133" s="8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8" t="s">
        <v>2004</v>
      </c>
      <c r="E134" s="8" t="s">
        <v>8</v>
      </c>
      <c r="F134" s="8"/>
      <c r="H134" s="8"/>
      <c r="I134" s="8" t="s">
        <v>8760</v>
      </c>
      <c r="J134" s="8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8" t="s">
        <v>2004</v>
      </c>
      <c r="E135" s="8" t="s">
        <v>8</v>
      </c>
      <c r="F135" s="8"/>
      <c r="H135" s="8"/>
      <c r="I135" s="8" t="s">
        <v>8763</v>
      </c>
      <c r="J135" s="8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8" t="s">
        <v>2004</v>
      </c>
      <c r="E136" s="8" t="s">
        <v>8</v>
      </c>
      <c r="F136" s="8"/>
      <c r="H136" s="8"/>
      <c r="I136" s="8" t="s">
        <v>8766</v>
      </c>
      <c r="J136" s="8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8" t="s">
        <v>2004</v>
      </c>
      <c r="E137" s="8" t="s">
        <v>8</v>
      </c>
      <c r="F137" s="8"/>
      <c r="H137" s="8"/>
      <c r="I137" s="8" t="s">
        <v>8769</v>
      </c>
      <c r="J137" s="8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8" t="s">
        <v>2004</v>
      </c>
      <c r="E138" s="8" t="s">
        <v>8</v>
      </c>
      <c r="F138" s="8"/>
      <c r="H138" s="8"/>
      <c r="I138" s="8" t="s">
        <v>8772</v>
      </c>
      <c r="J138" s="8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8" t="s">
        <v>2004</v>
      </c>
      <c r="E139" s="8" t="s">
        <v>8</v>
      </c>
      <c r="F139" s="8"/>
      <c r="H139" s="8"/>
      <c r="I139" s="8" t="s">
        <v>8775</v>
      </c>
      <c r="J139" s="8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8" t="s">
        <v>4</v>
      </c>
      <c r="E140" s="8" t="s">
        <v>5480</v>
      </c>
      <c r="F140" s="8" t="s">
        <v>9190</v>
      </c>
      <c r="H140" s="8"/>
      <c r="I140" s="8" t="s">
        <v>9147</v>
      </c>
      <c r="J140" s="8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8" t="s">
        <v>4</v>
      </c>
      <c r="E141" s="8" t="s">
        <v>8</v>
      </c>
      <c r="F141" s="8"/>
      <c r="H141" s="8"/>
      <c r="I141" s="8" t="s">
        <v>9150</v>
      </c>
      <c r="J141" s="8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8" t="s">
        <v>4</v>
      </c>
      <c r="E142" s="8" t="s">
        <v>12</v>
      </c>
      <c r="F142" s="8"/>
      <c r="H142" s="8"/>
      <c r="I142" s="8" t="s">
        <v>9153</v>
      </c>
      <c r="J142" s="8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8" t="s">
        <v>4</v>
      </c>
      <c r="E143" s="8" t="s">
        <v>9211</v>
      </c>
      <c r="F143" s="8"/>
      <c r="H143" s="8"/>
      <c r="I143" s="8" t="s">
        <v>9156</v>
      </c>
      <c r="J143" s="8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8" t="s">
        <v>4</v>
      </c>
      <c r="E144" s="8" t="s">
        <v>8</v>
      </c>
      <c r="F144" s="8"/>
      <c r="H144" s="8"/>
      <c r="I144" s="8" t="s">
        <v>9159</v>
      </c>
      <c r="J144" s="8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8" t="s">
        <v>4</v>
      </c>
      <c r="E145" s="8" t="s">
        <v>12</v>
      </c>
      <c r="F145" s="8"/>
      <c r="H145" s="8"/>
      <c r="I145" s="8" t="s">
        <v>9162</v>
      </c>
      <c r="J145" s="8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8" t="s">
        <v>4</v>
      </c>
      <c r="E146" s="8" t="s">
        <v>12</v>
      </c>
      <c r="F146" s="8"/>
      <c r="H146" s="8"/>
      <c r="I146" s="8" t="s">
        <v>9165</v>
      </c>
      <c r="J146" s="8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8" t="s">
        <v>4</v>
      </c>
      <c r="E147" s="8" t="s">
        <v>8</v>
      </c>
      <c r="F147" s="8"/>
      <c r="H147" s="8"/>
      <c r="I147" s="8" t="s">
        <v>9315</v>
      </c>
      <c r="J147" s="8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8" t="s">
        <v>4</v>
      </c>
      <c r="E148" s="8" t="s">
        <v>12</v>
      </c>
      <c r="F148" s="8"/>
      <c r="H148" s="8"/>
      <c r="I148" s="8" t="s">
        <v>9318</v>
      </c>
      <c r="J148" s="8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8" t="s">
        <v>4</v>
      </c>
      <c r="E149" s="8" t="s">
        <v>8</v>
      </c>
      <c r="F149" s="8"/>
      <c r="H149" s="8"/>
      <c r="I149" s="8" t="s">
        <v>9321</v>
      </c>
      <c r="J149" s="8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8" t="s">
        <v>4</v>
      </c>
      <c r="E150" s="8" t="s">
        <v>12</v>
      </c>
      <c r="F150" s="8"/>
      <c r="H150" s="8"/>
      <c r="I150" s="8" t="s">
        <v>9543</v>
      </c>
      <c r="J150" s="8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8" t="s">
        <v>4</v>
      </c>
      <c r="E151" s="8" t="s">
        <v>12</v>
      </c>
      <c r="F151" s="8"/>
      <c r="H151" s="8"/>
      <c r="I151" s="8" t="s">
        <v>9546</v>
      </c>
      <c r="J151" s="8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8" t="s">
        <v>2004</v>
      </c>
      <c r="E152" s="8" t="s">
        <v>8</v>
      </c>
      <c r="F152" s="8"/>
      <c r="H152" s="8"/>
      <c r="I152" s="8" t="s">
        <v>9671</v>
      </c>
      <c r="J152" s="8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8" t="s">
        <v>2004</v>
      </c>
      <c r="E153" s="8" t="s">
        <v>8</v>
      </c>
      <c r="F153" s="8"/>
      <c r="H153" s="8"/>
      <c r="I153" s="8" t="s">
        <v>9674</v>
      </c>
      <c r="J153" s="8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8" t="s">
        <v>9876</v>
      </c>
      <c r="E154" s="8" t="s">
        <v>9201</v>
      </c>
      <c r="F154" s="8"/>
      <c r="H154" s="8"/>
      <c r="I154" s="8" t="s">
        <v>9852</v>
      </c>
      <c r="J154" s="8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8" t="s">
        <v>9876</v>
      </c>
      <c r="E155" s="8" t="s">
        <v>9201</v>
      </c>
      <c r="F155" s="8"/>
      <c r="H155" s="8" t="s">
        <v>2936</v>
      </c>
      <c r="I155" s="8" t="s">
        <v>9855</v>
      </c>
      <c r="J155" s="8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8" t="s">
        <v>9876</v>
      </c>
      <c r="E156" s="8" t="s">
        <v>9201</v>
      </c>
      <c r="F156" s="8"/>
      <c r="H156" s="8" t="s">
        <v>2936</v>
      </c>
      <c r="I156" s="8" t="s">
        <v>9858</v>
      </c>
      <c r="J156" s="8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8" t="s">
        <v>9914</v>
      </c>
      <c r="E157" s="8" t="s">
        <v>4247</v>
      </c>
      <c r="F157" s="8"/>
      <c r="H157" s="8" t="s">
        <v>2936</v>
      </c>
      <c r="I157" s="8" t="s">
        <v>9861</v>
      </c>
      <c r="J157" s="8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8" t="s">
        <v>9876</v>
      </c>
      <c r="E158" s="8" t="s">
        <v>9201</v>
      </c>
      <c r="F158" s="8"/>
      <c r="H158" s="8" t="s">
        <v>2936</v>
      </c>
      <c r="I158" s="8" t="s">
        <v>9864</v>
      </c>
      <c r="J158" s="8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8" t="s">
        <v>4</v>
      </c>
      <c r="E159" s="8" t="s">
        <v>8</v>
      </c>
      <c r="F159" s="8"/>
      <c r="H159" s="8"/>
      <c r="I159" s="8" t="s">
        <v>9867</v>
      </c>
      <c r="J159" s="8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s="8" t="s">
        <v>4</v>
      </c>
      <c r="E160" s="8" t="s">
        <v>8</v>
      </c>
      <c r="F160" s="8"/>
      <c r="H160" s="8"/>
      <c r="I160" s="8" t="s">
        <v>10104</v>
      </c>
      <c r="J160" s="8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s="8" t="s">
        <v>9876</v>
      </c>
      <c r="E161" s="8" t="s">
        <v>9201</v>
      </c>
      <c r="F161" s="8"/>
      <c r="H161" s="8"/>
      <c r="I161" s="8" t="s">
        <v>10107</v>
      </c>
      <c r="J161" s="8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s="8" t="s">
        <v>9876</v>
      </c>
      <c r="E162" s="8" t="s">
        <v>9201</v>
      </c>
      <c r="F162" s="8"/>
      <c r="H162" s="8"/>
      <c r="I162" s="8" t="s">
        <v>10110</v>
      </c>
      <c r="J162" s="8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s="8" t="s">
        <v>4</v>
      </c>
      <c r="E163" s="8" t="s">
        <v>8</v>
      </c>
      <c r="F163" s="8"/>
      <c r="H163" s="8"/>
      <c r="I163" s="8" t="s">
        <v>10424</v>
      </c>
      <c r="J163" s="8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s="8" t="s">
        <v>4</v>
      </c>
      <c r="E164" s="8" t="s">
        <v>8</v>
      </c>
      <c r="F164" s="8"/>
      <c r="H164" s="8" t="s">
        <v>2936</v>
      </c>
      <c r="I164" s="8" t="s">
        <v>10427</v>
      </c>
      <c r="J164" s="8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s="8" t="s">
        <v>4</v>
      </c>
      <c r="E165" s="8" t="s">
        <v>8</v>
      </c>
      <c r="F165" s="8"/>
      <c r="H165" s="8" t="s">
        <v>2936</v>
      </c>
      <c r="I165" s="8" t="s">
        <v>10430</v>
      </c>
      <c r="J165" s="8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s="8" t="s">
        <v>2004</v>
      </c>
      <c r="E166" s="8" t="s">
        <v>8</v>
      </c>
      <c r="F166" s="8"/>
      <c r="H166" s="8"/>
      <c r="I166" s="8" t="s">
        <v>10479</v>
      </c>
      <c r="J166" s="8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s="8" t="s">
        <v>2004</v>
      </c>
      <c r="E167" s="8" t="s">
        <v>8</v>
      </c>
      <c r="F167" s="8"/>
      <c r="H167" s="8"/>
      <c r="I167" s="8" t="s">
        <v>10482</v>
      </c>
      <c r="J167" s="8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s="8" t="s">
        <v>2004</v>
      </c>
      <c r="E168" s="8" t="s">
        <v>8</v>
      </c>
      <c r="F168" s="8"/>
      <c r="H168" s="8"/>
      <c r="I168" s="8" t="s">
        <v>10618</v>
      </c>
      <c r="J168" s="8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s="8" t="s">
        <v>9914</v>
      </c>
      <c r="E169" s="8" t="s">
        <v>4247</v>
      </c>
      <c r="F169" s="8"/>
      <c r="H169" s="8"/>
      <c r="I169" s="8" t="s">
        <v>10621</v>
      </c>
      <c r="J169" s="8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  <row r="170" spans="1:13" x14ac:dyDescent="0.25">
      <c r="A170" s="2" t="s">
        <v>15</v>
      </c>
      <c r="B170" s="4">
        <v>46050</v>
      </c>
      <c r="C170" s="5">
        <v>0.4213425925925926</v>
      </c>
      <c r="D170" s="8" t="s">
        <v>9876</v>
      </c>
      <c r="E170" s="8" t="s">
        <v>9201</v>
      </c>
      <c r="F170" s="8"/>
      <c r="H170" s="8"/>
      <c r="I170" s="8" t="s">
        <v>10860</v>
      </c>
      <c r="J170" s="8" t="s">
        <v>2987</v>
      </c>
      <c r="K170" t="s">
        <v>10861</v>
      </c>
      <c r="L170" t="s">
        <v>10862</v>
      </c>
      <c r="M170" s="3" t="str">
        <f>HYPERLINK(склад2въезд13192021222378[[#This Row],[RelativePath]])</f>
        <v>12 Площадка 3 кран\K07156189_20_20260128T100644Z.jpg</v>
      </c>
    </row>
    <row r="171" spans="1:13" x14ac:dyDescent="0.25">
      <c r="A171" s="2" t="s">
        <v>15</v>
      </c>
      <c r="B171" s="4">
        <v>46050</v>
      </c>
      <c r="C171" s="5">
        <v>0.75557870370370372</v>
      </c>
      <c r="D171" s="8" t="s">
        <v>9876</v>
      </c>
      <c r="E171" s="8" t="s">
        <v>9201</v>
      </c>
      <c r="F171" s="8"/>
      <c r="H171" s="8" t="s">
        <v>2936</v>
      </c>
      <c r="I171" s="8" t="s">
        <v>10863</v>
      </c>
      <c r="J171" s="8" t="s">
        <v>2987</v>
      </c>
      <c r="K171" t="s">
        <v>10864</v>
      </c>
      <c r="L171" t="s">
        <v>10865</v>
      </c>
      <c r="M171" s="3" t="str">
        <f>HYPERLINK(склад2въезд13192021222378[[#This Row],[RelativePath]])</f>
        <v>12 Площадка 3 кран\K07156189_20_20260128T180802Z.jpg</v>
      </c>
    </row>
    <row r="172" spans="1:13" x14ac:dyDescent="0.25">
      <c r="A172" s="2" t="s">
        <v>16</v>
      </c>
      <c r="B172" s="4">
        <v>46051</v>
      </c>
      <c r="C172" s="5">
        <v>0.43981481481481483</v>
      </c>
      <c r="D172" s="8" t="s">
        <v>9876</v>
      </c>
      <c r="E172" s="8" t="s">
        <v>9201</v>
      </c>
      <c r="F172" s="8"/>
      <c r="H172" s="8" t="s">
        <v>2936</v>
      </c>
      <c r="I172" s="8" t="s">
        <v>10866</v>
      </c>
      <c r="J172" s="8" t="s">
        <v>2987</v>
      </c>
      <c r="K172" t="s">
        <v>10867</v>
      </c>
      <c r="L172" t="s">
        <v>10868</v>
      </c>
      <c r="M172" s="3" t="str">
        <f>HYPERLINK(склад2въезд13192021222378[[#This Row],[RelativePath]])</f>
        <v>12 Площадка 3 кран\K07156189_20_20260129T103320Z.jpg</v>
      </c>
    </row>
    <row r="173" spans="1:13" x14ac:dyDescent="0.25">
      <c r="A173" s="2" t="s">
        <v>16</v>
      </c>
      <c r="B173" s="4">
        <v>46051</v>
      </c>
      <c r="C173" s="5">
        <v>0.53135416666666668</v>
      </c>
      <c r="D173" s="8" t="s">
        <v>9876</v>
      </c>
      <c r="E173" s="8" t="s">
        <v>9201</v>
      </c>
      <c r="F173" s="8"/>
      <c r="H173" s="8" t="s">
        <v>2936</v>
      </c>
      <c r="I173" s="8" t="s">
        <v>10869</v>
      </c>
      <c r="J173" s="8" t="s">
        <v>2987</v>
      </c>
      <c r="K173" t="s">
        <v>10870</v>
      </c>
      <c r="L173" t="s">
        <v>10871</v>
      </c>
      <c r="M173" s="3" t="str">
        <f>HYPERLINK(склад2въезд13192021222378[[#This Row],[RelativePath]])</f>
        <v>12 Площадка 3 кран\K07156189_20_20260129T124509Z.jpg</v>
      </c>
    </row>
    <row r="174" spans="1:13" x14ac:dyDescent="0.25">
      <c r="A174" s="2" t="s">
        <v>17</v>
      </c>
      <c r="B174" s="4">
        <v>46052</v>
      </c>
      <c r="C174" s="5">
        <v>0.48168981481481482</v>
      </c>
      <c r="D174" s="8" t="s">
        <v>11009</v>
      </c>
      <c r="E174" s="8" t="s">
        <v>9201</v>
      </c>
      <c r="F174" s="8"/>
      <c r="H174" s="8"/>
      <c r="I174" s="8" t="s">
        <v>10995</v>
      </c>
      <c r="J174" s="8" t="s">
        <v>2987</v>
      </c>
      <c r="K174" t="s">
        <v>10996</v>
      </c>
      <c r="L174" t="s">
        <v>10997</v>
      </c>
      <c r="M174" s="3" t="str">
        <f>HYPERLINK(склад2въезд13192021222378[[#This Row],[RelativePath]])</f>
        <v>12 Площадка 3 кран\K07156189_20_20260130T113338Z.jpg</v>
      </c>
    </row>
    <row r="175" spans="1:13" x14ac:dyDescent="0.25">
      <c r="A175" s="2" t="s">
        <v>17</v>
      </c>
      <c r="B175" s="4">
        <v>46052</v>
      </c>
      <c r="C175" s="5">
        <v>0.56170138888888888</v>
      </c>
      <c r="D175" s="8" t="s">
        <v>4</v>
      </c>
      <c r="E175" s="8" t="s">
        <v>8</v>
      </c>
      <c r="F175" s="8"/>
      <c r="H175" s="8"/>
      <c r="I175" s="8" t="s">
        <v>10998</v>
      </c>
      <c r="J175" s="8" t="s">
        <v>2987</v>
      </c>
      <c r="K175" t="s">
        <v>10999</v>
      </c>
      <c r="L175" t="s">
        <v>11000</v>
      </c>
      <c r="M175" s="3" t="str">
        <f>HYPERLINK(склад2въезд13192021222378[[#This Row],[RelativePath]])</f>
        <v>12 Площадка 3 кран\K07156189_20_20260130T132851Z.jpg</v>
      </c>
    </row>
    <row r="176" spans="1:13" x14ac:dyDescent="0.25">
      <c r="A176" s="2" t="s">
        <v>18</v>
      </c>
      <c r="B176" s="4">
        <v>46053</v>
      </c>
      <c r="C176" s="5">
        <v>0.77572916666666669</v>
      </c>
      <c r="D176" s="8" t="s">
        <v>2004</v>
      </c>
      <c r="E176" s="8" t="s">
        <v>8</v>
      </c>
      <c r="F176" s="8"/>
      <c r="H176" s="8" t="s">
        <v>2014</v>
      </c>
      <c r="I176" s="8" t="s">
        <v>11118</v>
      </c>
      <c r="J176" s="8" t="s">
        <v>2987</v>
      </c>
      <c r="K176" t="s">
        <v>11119</v>
      </c>
      <c r="L176" t="s">
        <v>11120</v>
      </c>
      <c r="M176" s="3" t="str">
        <f>HYPERLINK(склад2въезд13192021222378[[#This Row],[RelativePath]])</f>
        <v>12 Площадка 3 кран\K07156189_20_20260131T183703Z.jpg</v>
      </c>
    </row>
    <row r="177" spans="1:13" x14ac:dyDescent="0.25">
      <c r="A177" s="2" t="s">
        <v>22</v>
      </c>
      <c r="B177" s="4">
        <v>46054</v>
      </c>
      <c r="C177" s="5">
        <v>0.33914351851851854</v>
      </c>
      <c r="D177" s="8" t="s">
        <v>2004</v>
      </c>
      <c r="E177" s="8" t="s">
        <v>8</v>
      </c>
      <c r="F177" s="8"/>
      <c r="H177" s="8" t="s">
        <v>2014</v>
      </c>
      <c r="I177" s="8" t="s">
        <v>11121</v>
      </c>
      <c r="J177" s="8" t="s">
        <v>2987</v>
      </c>
      <c r="K177" t="s">
        <v>11122</v>
      </c>
      <c r="L177" t="s">
        <v>11123</v>
      </c>
      <c r="M177" s="3" t="str">
        <f>HYPERLINK(склад2въезд13192021222378[[#This Row],[RelativePath]])</f>
        <v>12 Площадка 3 кран\K07156189_20_20260201T080822Z.jpg</v>
      </c>
    </row>
    <row r="178" spans="1:13" x14ac:dyDescent="0.25">
      <c r="A178" s="2" t="s">
        <v>13</v>
      </c>
      <c r="B178" s="4">
        <v>46055</v>
      </c>
      <c r="C178" s="5">
        <v>0.46619212962962964</v>
      </c>
      <c r="D178" s="8" t="s">
        <v>4</v>
      </c>
      <c r="E178" s="8" t="s">
        <v>8</v>
      </c>
      <c r="F178" s="8"/>
      <c r="H178" s="8"/>
      <c r="I178" s="8" t="s">
        <v>11379</v>
      </c>
      <c r="J178" s="8" t="s">
        <v>2987</v>
      </c>
      <c r="K178" t="s">
        <v>11380</v>
      </c>
      <c r="L178" t="s">
        <v>11381</v>
      </c>
      <c r="M178" s="3" t="str">
        <f>HYPERLINK(склад2въезд13192021222378[[#This Row],[RelativePath]])</f>
        <v>12 Площадка 3 кран\K07156189_20_20260202T111119Z.jpg</v>
      </c>
    </row>
    <row r="179" spans="1:13" x14ac:dyDescent="0.25">
      <c r="A179" s="2" t="s">
        <v>13</v>
      </c>
      <c r="B179" s="4">
        <v>46055</v>
      </c>
      <c r="C179" s="5">
        <v>0.69478009259259255</v>
      </c>
      <c r="D179" s="8" t="s">
        <v>9876</v>
      </c>
      <c r="E179" s="8" t="s">
        <v>5137</v>
      </c>
      <c r="F179" s="8"/>
      <c r="H179" s="8"/>
      <c r="I179" s="8" t="s">
        <v>11382</v>
      </c>
      <c r="J179" s="8" t="s">
        <v>2987</v>
      </c>
      <c r="K179" t="s">
        <v>11383</v>
      </c>
      <c r="L179" t="s">
        <v>11384</v>
      </c>
      <c r="M179" s="3" t="str">
        <f>HYPERLINK(склад2въезд13192021222378[[#This Row],[RelativePath]])</f>
        <v>12 Площадка 3 кран\K07156189_20_20260202T164029Z.jpg</v>
      </c>
    </row>
    <row r="180" spans="1:13" x14ac:dyDescent="0.25">
      <c r="A180" s="2" t="s">
        <v>14</v>
      </c>
      <c r="B180" s="4">
        <v>46056</v>
      </c>
      <c r="C180" s="5">
        <v>0.41587962962962965</v>
      </c>
      <c r="D180" s="8" t="s">
        <v>9876</v>
      </c>
      <c r="E180" s="8" t="s">
        <v>5137</v>
      </c>
      <c r="F180" s="8"/>
      <c r="H180" s="8"/>
      <c r="I180" s="8" t="s">
        <v>11385</v>
      </c>
      <c r="J180" s="8" t="s">
        <v>2987</v>
      </c>
      <c r="K180" t="s">
        <v>11386</v>
      </c>
      <c r="L180" t="s">
        <v>11387</v>
      </c>
      <c r="M180" s="3" t="str">
        <f>HYPERLINK(склад2въезд13192021222378[[#This Row],[RelativePath]])</f>
        <v>12 Площадка 3 кран\K07156189_20_20260203T095852Z.jpg</v>
      </c>
    </row>
    <row r="181" spans="1:13" x14ac:dyDescent="0.25">
      <c r="A181" s="2" t="s">
        <v>14</v>
      </c>
      <c r="B181" s="4">
        <v>46056</v>
      </c>
      <c r="C181" s="5">
        <v>0.62693287037037038</v>
      </c>
      <c r="D181" s="8" t="s">
        <v>9876</v>
      </c>
      <c r="E181" s="8" t="s">
        <v>5137</v>
      </c>
      <c r="F181" s="8"/>
      <c r="H181" s="8"/>
      <c r="I181" s="8" t="s">
        <v>11388</v>
      </c>
      <c r="J181" s="8" t="s">
        <v>2987</v>
      </c>
      <c r="K181" t="s">
        <v>11389</v>
      </c>
      <c r="L181" t="s">
        <v>11390</v>
      </c>
      <c r="M181" s="3" t="str">
        <f>HYPERLINK(склад2въезд13192021222378[[#This Row],[RelativePath]])</f>
        <v>12 Площадка 3 кран\K07156189_20_20260203T150247Z.jpg</v>
      </c>
    </row>
  </sheetData>
  <conditionalFormatting sqref="D182:D192 E182:E195 G2:H181 D2:E181">
    <cfRule type="containsText" dxfId="51" priority="14" operator="containsText" text="Выезд с территории">
      <formula>NOT(ISERROR(SEARCH("Выезд с территории",D2)))</formula>
    </cfRule>
  </conditionalFormatting>
  <conditionalFormatting sqref="F2:F181">
    <cfRule type="notContainsText" dxfId="50" priority="13" operator="notContains" text="порожний">
      <formula>ISERROR(SEARCH("порожний",F2))</formula>
    </cfRule>
  </conditionalFormatting>
  <conditionalFormatting sqref="E2:E195">
    <cfRule type="containsText" dxfId="49" priority="11" operator="containsText" text="Газель базы">
      <formula>NOT(ISERROR(SEARCH("Газель базы",E2)))</formula>
    </cfRule>
    <cfRule type="containsText" dxfId="48" priority="12" operator="containsText" text="Погрузчик базы">
      <formula>NOT(ISERROR(SEARCH("Погрузчик базы",E2)))</formula>
    </cfRule>
  </conditionalFormatting>
  <conditionalFormatting sqref="E2:E195">
    <cfRule type="containsText" dxfId="47" priority="10" operator="containsText" text="Трактор базы">
      <formula>NOT(ISERROR(SEARCH("Трактор базы",E2)))</formula>
    </cfRule>
  </conditionalFormatting>
  <conditionalFormatting sqref="A2:C181">
    <cfRule type="expression" dxfId="46" priority="9">
      <formula>$A2="пн"</formula>
    </cfRule>
  </conditionalFormatting>
  <conditionalFormatting sqref="A2:C183">
    <cfRule type="expression" dxfId="45" priority="3">
      <formula>$A2="вс"</formula>
    </cfRule>
    <cfRule type="expression" dxfId="44" priority="4">
      <formula>$A2="сб"</formula>
    </cfRule>
    <cfRule type="expression" dxfId="43" priority="5">
      <formula>$A2="пт"</formula>
    </cfRule>
    <cfRule type="expression" dxfId="42" priority="6">
      <formula>$A2="чт"</formula>
    </cfRule>
    <cfRule type="expression" dxfId="41" priority="7">
      <formula>$A2="ср"</formula>
    </cfRule>
    <cfRule type="expression" dxfId="40" priority="8">
      <formula>$A2="вт"</formula>
    </cfRule>
  </conditionalFormatting>
  <conditionalFormatting sqref="D2:D192">
    <cfRule type="containsText" dxfId="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2">
    <cfRule type="containsText" dxfId="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59"/>
  <sheetViews>
    <sheetView zoomScale="90" zoomScaleNormal="90" workbookViewId="0">
      <pane ySplit="1" topLeftCell="A140" activePane="bottomLeft" state="frozen"/>
      <selection pane="bottomLeft" activeCell="I153" sqref="I153:I15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8554687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 t="s">
        <v>4223</v>
      </c>
      <c r="E86" s="8" t="s">
        <v>5480</v>
      </c>
      <c r="F86" s="8" t="s">
        <v>60</v>
      </c>
      <c r="H86" s="8"/>
      <c r="I86" s="8" t="s">
        <v>7679</v>
      </c>
      <c r="J86" s="8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 t="s">
        <v>2004</v>
      </c>
      <c r="E87" s="8" t="s">
        <v>8</v>
      </c>
      <c r="F87" s="8"/>
      <c r="H87" s="8"/>
      <c r="I87" s="8" t="s">
        <v>7682</v>
      </c>
      <c r="J87" s="8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 t="s">
        <v>4</v>
      </c>
      <c r="E88" s="8" t="s">
        <v>4193</v>
      </c>
      <c r="F88" s="8"/>
      <c r="H88" s="8" t="s">
        <v>7718</v>
      </c>
      <c r="I88" s="8" t="s">
        <v>7685</v>
      </c>
      <c r="J88" s="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 t="s">
        <v>4223</v>
      </c>
      <c r="E89" s="8" t="s">
        <v>5480</v>
      </c>
      <c r="F89" s="8" t="s">
        <v>7713</v>
      </c>
      <c r="H89" s="8"/>
      <c r="I89" s="8" t="s">
        <v>7688</v>
      </c>
      <c r="J89" s="8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 t="s">
        <v>4223</v>
      </c>
      <c r="E90" s="8" t="s">
        <v>5480</v>
      </c>
      <c r="F90" s="8" t="s">
        <v>7719</v>
      </c>
      <c r="H90" s="8"/>
      <c r="I90" s="8" t="s">
        <v>7691</v>
      </c>
      <c r="J90" s="8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8" t="s">
        <v>4223</v>
      </c>
      <c r="E91" s="8" t="s">
        <v>5480</v>
      </c>
      <c r="F91" s="8" t="s">
        <v>60</v>
      </c>
      <c r="H91" s="8"/>
      <c r="I91" s="8" t="s">
        <v>7792</v>
      </c>
      <c r="J91" s="8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8" t="s">
        <v>4223</v>
      </c>
      <c r="E92" s="8" t="s">
        <v>5480</v>
      </c>
      <c r="F92" s="8" t="s">
        <v>60</v>
      </c>
      <c r="H92" s="8"/>
      <c r="I92" s="8" t="s">
        <v>7795</v>
      </c>
      <c r="J92" s="8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8" t="s">
        <v>4223</v>
      </c>
      <c r="E93" s="8" t="s">
        <v>5480</v>
      </c>
      <c r="F93" s="8" t="s">
        <v>7719</v>
      </c>
      <c r="H93" s="8"/>
      <c r="I93" s="8" t="s">
        <v>7798</v>
      </c>
      <c r="J93" s="8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8" t="s">
        <v>4</v>
      </c>
      <c r="E94" s="8" t="s">
        <v>4193</v>
      </c>
      <c r="F94" s="8"/>
      <c r="H94" s="8" t="s">
        <v>7718</v>
      </c>
      <c r="I94" s="8" t="s">
        <v>7801</v>
      </c>
      <c r="J94" s="8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8" t="s">
        <v>4</v>
      </c>
      <c r="E95" s="8" t="s">
        <v>8</v>
      </c>
      <c r="F95" s="8"/>
      <c r="H95" s="8" t="s">
        <v>2936</v>
      </c>
      <c r="I95" s="8" t="s">
        <v>7804</v>
      </c>
      <c r="J95" s="8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8" t="s">
        <v>4</v>
      </c>
      <c r="E96" s="8" t="s">
        <v>8</v>
      </c>
      <c r="F96" s="8"/>
      <c r="H96" s="8" t="s">
        <v>2936</v>
      </c>
      <c r="I96" s="8" t="s">
        <v>7807</v>
      </c>
      <c r="J96" s="8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8" t="s">
        <v>4223</v>
      </c>
      <c r="E97" s="8" t="s">
        <v>5480</v>
      </c>
      <c r="F97" s="8" t="s">
        <v>7714</v>
      </c>
      <c r="H97" s="8"/>
      <c r="I97" s="8" t="s">
        <v>7810</v>
      </c>
      <c r="J97" s="8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8" t="s">
        <v>4223</v>
      </c>
      <c r="E98" s="8" t="s">
        <v>5480</v>
      </c>
      <c r="F98" s="8" t="s">
        <v>60</v>
      </c>
      <c r="H98" s="8"/>
      <c r="I98" s="8" t="s">
        <v>7813</v>
      </c>
      <c r="J98" s="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8" t="s">
        <v>4</v>
      </c>
      <c r="E99" s="8" t="s">
        <v>8</v>
      </c>
      <c r="F99" s="8"/>
      <c r="H99" s="8"/>
      <c r="I99" s="8" t="s">
        <v>7816</v>
      </c>
      <c r="J99" s="8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8" t="s">
        <v>4</v>
      </c>
      <c r="E100" s="8" t="s">
        <v>8</v>
      </c>
      <c r="F100" s="8"/>
      <c r="H100" s="8"/>
      <c r="I100" s="8" t="s">
        <v>7983</v>
      </c>
      <c r="J100" s="8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8" t="s">
        <v>4</v>
      </c>
      <c r="E101" s="8" t="s">
        <v>8</v>
      </c>
      <c r="F101" s="8"/>
      <c r="H101" s="8"/>
      <c r="I101" s="8" t="s">
        <v>7986</v>
      </c>
      <c r="J101" s="8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8" t="s">
        <v>4</v>
      </c>
      <c r="E102" s="8" t="s">
        <v>8</v>
      </c>
      <c r="F102" s="8"/>
      <c r="H102" s="8"/>
      <c r="I102" s="8" t="s">
        <v>7989</v>
      </c>
      <c r="J102" s="8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8" t="s">
        <v>533</v>
      </c>
      <c r="E103" s="8" t="s">
        <v>531</v>
      </c>
      <c r="F103" s="8" t="s">
        <v>8361</v>
      </c>
      <c r="H103" s="8"/>
      <c r="I103" s="8" t="s">
        <v>8273</v>
      </c>
      <c r="J103" s="8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8" t="s">
        <v>2004</v>
      </c>
      <c r="E104" s="8" t="s">
        <v>8</v>
      </c>
      <c r="F104" s="8"/>
      <c r="H104" s="8"/>
      <c r="I104" s="8" t="s">
        <v>8276</v>
      </c>
      <c r="J104" s="8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8" t="s">
        <v>2004</v>
      </c>
      <c r="E105" s="8" t="s">
        <v>8</v>
      </c>
      <c r="F105" s="8"/>
      <c r="H105" s="8"/>
      <c r="I105" s="8" t="s">
        <v>8279</v>
      </c>
      <c r="J105" s="8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8" t="s">
        <v>2004</v>
      </c>
      <c r="E106" s="8" t="s">
        <v>8</v>
      </c>
      <c r="F106" s="8"/>
      <c r="H106" s="8"/>
      <c r="I106" s="8" t="s">
        <v>8282</v>
      </c>
      <c r="J106" s="8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8" t="s">
        <v>2004</v>
      </c>
      <c r="E107" s="8" t="s">
        <v>8</v>
      </c>
      <c r="F107" s="8"/>
      <c r="H107" s="8"/>
      <c r="I107" s="8" t="s">
        <v>8465</v>
      </c>
      <c r="J107" s="8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8" t="s">
        <v>2004</v>
      </c>
      <c r="E108" s="8" t="s">
        <v>8</v>
      </c>
      <c r="F108" s="8"/>
      <c r="H108" s="8"/>
      <c r="I108" s="8" t="s">
        <v>8468</v>
      </c>
      <c r="J108" s="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8" t="s">
        <v>2004</v>
      </c>
      <c r="E109" s="8" t="s">
        <v>8</v>
      </c>
      <c r="F109" s="8"/>
      <c r="H109" s="8"/>
      <c r="I109" s="8" t="s">
        <v>8471</v>
      </c>
      <c r="J109" s="8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8" t="s">
        <v>2004</v>
      </c>
      <c r="E110" s="8" t="s">
        <v>8</v>
      </c>
      <c r="F110" s="8"/>
      <c r="H110" s="8"/>
      <c r="I110" s="8" t="s">
        <v>8778</v>
      </c>
      <c r="J110" s="8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8" t="s">
        <v>2004</v>
      </c>
      <c r="E111" s="8" t="s">
        <v>8</v>
      </c>
      <c r="F111" s="8"/>
      <c r="H111" s="8"/>
      <c r="I111" s="8" t="s">
        <v>8781</v>
      </c>
      <c r="J111" s="8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8" t="s">
        <v>2004</v>
      </c>
      <c r="E112" s="8" t="s">
        <v>8</v>
      </c>
      <c r="F112" s="8"/>
      <c r="H112" s="8"/>
      <c r="I112" s="8" t="s">
        <v>8784</v>
      </c>
      <c r="J112" s="8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8" t="s">
        <v>2004</v>
      </c>
      <c r="E113" s="8" t="s">
        <v>8</v>
      </c>
      <c r="F113" s="8"/>
      <c r="H113" s="8"/>
      <c r="I113" s="8" t="s">
        <v>8787</v>
      </c>
      <c r="J113" s="8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8" t="s">
        <v>2004</v>
      </c>
      <c r="E114" s="8" t="s">
        <v>8</v>
      </c>
      <c r="F114" s="8"/>
      <c r="H114" s="8"/>
      <c r="I114" s="8" t="s">
        <v>8790</v>
      </c>
      <c r="J114" s="8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8" t="s">
        <v>2004</v>
      </c>
      <c r="E115" s="8" t="s">
        <v>8</v>
      </c>
      <c r="F115" s="8"/>
      <c r="H115" s="8"/>
      <c r="I115" s="8" t="s">
        <v>8793</v>
      </c>
      <c r="J115" s="8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8" t="s">
        <v>2004</v>
      </c>
      <c r="E116" s="8" t="s">
        <v>8</v>
      </c>
      <c r="F116" s="8"/>
      <c r="H116" s="8"/>
      <c r="I116" s="8" t="s">
        <v>8796</v>
      </c>
      <c r="J116" s="8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8" t="s">
        <v>4</v>
      </c>
      <c r="E117" s="8" t="s">
        <v>8045</v>
      </c>
      <c r="F117" s="8"/>
      <c r="H117" s="8"/>
      <c r="I117" s="8" t="s">
        <v>9168</v>
      </c>
      <c r="J117" s="8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8" t="s">
        <v>7171</v>
      </c>
      <c r="E118" s="8" t="s">
        <v>5480</v>
      </c>
      <c r="F118" s="8" t="s">
        <v>9202</v>
      </c>
      <c r="H118" s="8"/>
      <c r="I118" s="8" t="s">
        <v>9171</v>
      </c>
      <c r="J118" s="8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8" t="s">
        <v>4</v>
      </c>
      <c r="E119" s="8" t="s">
        <v>8</v>
      </c>
      <c r="F119" s="8"/>
      <c r="H119" s="8"/>
      <c r="I119" s="8" t="s">
        <v>9174</v>
      </c>
      <c r="J119" s="8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8" t="s">
        <v>4</v>
      </c>
      <c r="E120" s="8" t="s">
        <v>9212</v>
      </c>
      <c r="F120" s="8"/>
      <c r="H120" s="8"/>
      <c r="I120" s="8" t="s">
        <v>9177</v>
      </c>
      <c r="J120" s="8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8" t="s">
        <v>4</v>
      </c>
      <c r="E121" s="8" t="s">
        <v>9212</v>
      </c>
      <c r="F121" s="8"/>
      <c r="H121" s="8"/>
      <c r="I121" s="8" t="s">
        <v>9180</v>
      </c>
      <c r="J121" s="8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8" t="s">
        <v>4</v>
      </c>
      <c r="E122" s="8" t="s">
        <v>8</v>
      </c>
      <c r="F122" s="8"/>
      <c r="H122" s="8"/>
      <c r="I122" s="8" t="s">
        <v>9183</v>
      </c>
      <c r="J122" s="8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8" t="s">
        <v>4</v>
      </c>
      <c r="E123" s="8" t="s">
        <v>8045</v>
      </c>
      <c r="F123" s="8"/>
      <c r="H123" s="8"/>
      <c r="I123" s="8" t="s">
        <v>9324</v>
      </c>
      <c r="J123" s="8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8" t="s">
        <v>4</v>
      </c>
      <c r="E124" s="8" t="s">
        <v>8045</v>
      </c>
      <c r="F124" s="8"/>
      <c r="H124" s="8"/>
      <c r="I124" s="8" t="s">
        <v>9327</v>
      </c>
      <c r="J124" s="8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8" t="s">
        <v>4</v>
      </c>
      <c r="E125" s="8" t="s">
        <v>8045</v>
      </c>
      <c r="F125" s="8"/>
      <c r="H125" s="8"/>
      <c r="I125" s="8" t="s">
        <v>9330</v>
      </c>
      <c r="J125" s="8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8" t="s">
        <v>4</v>
      </c>
      <c r="E126" s="8" t="s">
        <v>8</v>
      </c>
      <c r="F126" s="8"/>
      <c r="H126" s="8"/>
      <c r="I126" s="8" t="s">
        <v>9333</v>
      </c>
      <c r="J126" s="8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8" t="s">
        <v>4</v>
      </c>
      <c r="E127" s="8" t="s">
        <v>8</v>
      </c>
      <c r="F127" s="8"/>
      <c r="H127" s="8"/>
      <c r="I127" s="8" t="s">
        <v>9549</v>
      </c>
      <c r="J127" s="8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8" t="s">
        <v>4</v>
      </c>
      <c r="E128" s="8" t="s">
        <v>8</v>
      </c>
      <c r="F128" s="8"/>
      <c r="H128" s="8"/>
      <c r="I128" s="8" t="s">
        <v>9552</v>
      </c>
      <c r="J128" s="8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8" t="s">
        <v>4</v>
      </c>
      <c r="E129" s="8" t="s">
        <v>9212</v>
      </c>
      <c r="F129" s="8"/>
      <c r="H129" s="8"/>
      <c r="I129" s="8" t="s">
        <v>9555</v>
      </c>
      <c r="J129" s="8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8" t="s">
        <v>4</v>
      </c>
      <c r="E130" s="8" t="s">
        <v>9212</v>
      </c>
      <c r="F130" s="8"/>
      <c r="H130" s="8"/>
      <c r="I130" s="8" t="s">
        <v>9558</v>
      </c>
      <c r="J130" s="8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8" t="s">
        <v>4</v>
      </c>
      <c r="E131" s="8" t="s">
        <v>9212</v>
      </c>
      <c r="F131" s="8"/>
      <c r="H131" s="8"/>
      <c r="I131" s="8" t="s">
        <v>9561</v>
      </c>
      <c r="J131" s="8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8" t="s">
        <v>4</v>
      </c>
      <c r="E132" s="8" t="s">
        <v>9212</v>
      </c>
      <c r="F132" s="8"/>
      <c r="H132" s="8"/>
      <c r="I132" s="8" t="s">
        <v>9564</v>
      </c>
      <c r="J132" s="8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8" t="s">
        <v>4</v>
      </c>
      <c r="E133" s="8" t="s">
        <v>8</v>
      </c>
      <c r="F133" s="8"/>
      <c r="H133" s="8"/>
      <c r="I133" s="8" t="s">
        <v>9567</v>
      </c>
      <c r="J133" s="8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8" t="s">
        <v>2004</v>
      </c>
      <c r="E134" s="8" t="s">
        <v>8</v>
      </c>
      <c r="F134" s="8"/>
      <c r="H134" s="8"/>
      <c r="I134" s="8" t="s">
        <v>9677</v>
      </c>
      <c r="J134" s="8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8" t="s">
        <v>2004</v>
      </c>
      <c r="E135" s="8" t="s">
        <v>8</v>
      </c>
      <c r="F135" s="8"/>
      <c r="H135" s="8"/>
      <c r="I135" s="8" t="s">
        <v>9680</v>
      </c>
      <c r="J135" s="8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8" t="s">
        <v>2004</v>
      </c>
      <c r="E136" s="8" t="s">
        <v>8</v>
      </c>
      <c r="F136" s="8"/>
      <c r="H136" s="8"/>
      <c r="I136" s="8" t="s">
        <v>9870</v>
      </c>
      <c r="J136" s="8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8" t="s">
        <v>2004</v>
      </c>
      <c r="E137" s="8" t="s">
        <v>8</v>
      </c>
      <c r="F137" s="8"/>
      <c r="H137" s="8"/>
      <c r="I137" s="8" t="s">
        <v>9873</v>
      </c>
      <c r="J137" s="8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s="8" t="s">
        <v>2004</v>
      </c>
      <c r="E138" s="8" t="s">
        <v>8</v>
      </c>
      <c r="F138" s="8"/>
      <c r="H138" s="8"/>
      <c r="I138" s="8" t="s">
        <v>10113</v>
      </c>
      <c r="J138" s="8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s="8" t="s">
        <v>7171</v>
      </c>
      <c r="E139" s="8" t="s">
        <v>5480</v>
      </c>
      <c r="F139" s="8" t="s">
        <v>9202</v>
      </c>
      <c r="H139" s="8"/>
      <c r="I139" s="8" t="s">
        <v>10116</v>
      </c>
      <c r="J139" s="8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s="8" t="s">
        <v>4</v>
      </c>
      <c r="E140" s="8" t="s">
        <v>8</v>
      </c>
      <c r="F140" s="8"/>
      <c r="H140" s="8"/>
      <c r="I140" s="8" t="s">
        <v>10119</v>
      </c>
      <c r="J140" s="8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s="8" t="s">
        <v>4</v>
      </c>
      <c r="E141" s="8" t="s">
        <v>8</v>
      </c>
      <c r="F141" s="8"/>
      <c r="H141" s="8"/>
      <c r="I141" s="8" t="s">
        <v>10433</v>
      </c>
      <c r="J141" s="8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s="8" t="s">
        <v>4</v>
      </c>
      <c r="E142" s="8" t="s">
        <v>8</v>
      </c>
      <c r="F142" s="8"/>
      <c r="H142" s="8" t="s">
        <v>2936</v>
      </c>
      <c r="I142" s="8" t="s">
        <v>10436</v>
      </c>
      <c r="J142" s="8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s="8" t="s">
        <v>4</v>
      </c>
      <c r="E143" s="8" t="s">
        <v>8</v>
      </c>
      <c r="F143" s="8"/>
      <c r="H143" s="8" t="s">
        <v>2936</v>
      </c>
      <c r="I143" s="8" t="s">
        <v>10439</v>
      </c>
      <c r="J143" s="8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s="8" t="s">
        <v>2004</v>
      </c>
      <c r="E144" s="8" t="s">
        <v>8</v>
      </c>
      <c r="F144" s="8"/>
      <c r="H144" s="8"/>
      <c r="I144" s="8" t="s">
        <v>10485</v>
      </c>
      <c r="J144" s="8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s="8" t="s">
        <v>2004</v>
      </c>
      <c r="E145" s="8" t="s">
        <v>8</v>
      </c>
      <c r="F145" s="8"/>
      <c r="H145" s="8"/>
      <c r="I145" s="8" t="s">
        <v>10488</v>
      </c>
      <c r="J145" s="8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s="8" t="s">
        <v>2004</v>
      </c>
      <c r="E146" s="8" t="s">
        <v>8</v>
      </c>
      <c r="F146" s="8"/>
      <c r="H146" s="8"/>
      <c r="I146" s="8" t="s">
        <v>10624</v>
      </c>
      <c r="J146" s="8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s="8" t="s">
        <v>2004</v>
      </c>
      <c r="E147" s="8" t="s">
        <v>8</v>
      </c>
      <c r="F147" s="8"/>
      <c r="H147" s="8"/>
      <c r="I147" s="8" t="s">
        <v>10627</v>
      </c>
      <c r="J147" s="8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  <row r="148" spans="1:13" x14ac:dyDescent="0.25">
      <c r="A148" s="2" t="s">
        <v>15</v>
      </c>
      <c r="B148" s="4">
        <v>46050</v>
      </c>
      <c r="C148" s="5">
        <v>0.41715277777777776</v>
      </c>
      <c r="D148" s="8" t="s">
        <v>2004</v>
      </c>
      <c r="E148" s="8" t="s">
        <v>8</v>
      </c>
      <c r="F148" s="8"/>
      <c r="H148" s="8"/>
      <c r="I148" s="8" t="s">
        <v>10872</v>
      </c>
      <c r="J148" s="8" t="s">
        <v>2988</v>
      </c>
      <c r="K148" t="s">
        <v>10873</v>
      </c>
      <c r="L148" t="s">
        <v>10874</v>
      </c>
      <c r="M148" s="3" t="str">
        <f>HYPERLINK(склад2въезд131920212223789[[#This Row],[RelativePath]])</f>
        <v>13 Склад хол\K07156189_23_20260128T100042Z.jpg</v>
      </c>
    </row>
    <row r="149" spans="1:13" x14ac:dyDescent="0.25">
      <c r="A149" s="2" t="s">
        <v>16</v>
      </c>
      <c r="B149" s="4">
        <v>46051</v>
      </c>
      <c r="C149" s="5">
        <v>0.71858796296296301</v>
      </c>
      <c r="D149" s="8" t="s">
        <v>2004</v>
      </c>
      <c r="E149" s="8" t="s">
        <v>8</v>
      </c>
      <c r="F149" s="8"/>
      <c r="H149" s="8"/>
      <c r="I149" s="8" t="s">
        <v>10875</v>
      </c>
      <c r="J149" s="8" t="s">
        <v>2988</v>
      </c>
      <c r="K149" t="s">
        <v>10876</v>
      </c>
      <c r="L149" t="s">
        <v>10877</v>
      </c>
      <c r="M149" s="3" t="str">
        <f>HYPERLINK(склад2въезд131920212223789[[#This Row],[RelativePath]])</f>
        <v>13 Склад хол\K07156189_23_20260129T171446Z.jpg</v>
      </c>
    </row>
    <row r="150" spans="1:13" x14ac:dyDescent="0.25">
      <c r="A150" s="2" t="s">
        <v>17</v>
      </c>
      <c r="B150" s="4">
        <v>46052</v>
      </c>
      <c r="C150" s="5">
        <v>0.67129629629629628</v>
      </c>
      <c r="D150" s="8" t="s">
        <v>2004</v>
      </c>
      <c r="E150" s="8" t="s">
        <v>8</v>
      </c>
      <c r="F150" s="8"/>
      <c r="H150" s="8"/>
      <c r="I150" s="8" t="s">
        <v>11001</v>
      </c>
      <c r="J150" s="8" t="s">
        <v>2988</v>
      </c>
      <c r="K150" t="s">
        <v>11002</v>
      </c>
      <c r="L150" t="s">
        <v>11003</v>
      </c>
      <c r="M150" s="3" t="str">
        <f>HYPERLINK(склад2въезд131920212223789[[#This Row],[RelativePath]])</f>
        <v>13 Склад хол\K07156189_23_20260130T160640Z.jpg</v>
      </c>
    </row>
    <row r="151" spans="1:13" x14ac:dyDescent="0.25">
      <c r="A151" s="2" t="s">
        <v>18</v>
      </c>
      <c r="B151" s="4">
        <v>46053</v>
      </c>
      <c r="C151" s="5">
        <v>0.89428240740740739</v>
      </c>
      <c r="D151" s="8" t="s">
        <v>2014</v>
      </c>
      <c r="E151" s="8"/>
      <c r="F151" s="8"/>
      <c r="H151" s="8"/>
      <c r="I151" s="8" t="s">
        <v>11055</v>
      </c>
      <c r="J151" s="8" t="s">
        <v>2988</v>
      </c>
      <c r="K151" t="s">
        <v>11056</v>
      </c>
      <c r="L151" t="s">
        <v>11057</v>
      </c>
      <c r="M151" s="3" t="str">
        <f>HYPERLINK(склад2въезд131920212223789[[#This Row],[RelativePath]])</f>
        <v>13 Склад хол\K07156189_23_20260131T212746Z.jpg</v>
      </c>
    </row>
    <row r="152" spans="1:13" x14ac:dyDescent="0.25">
      <c r="A152" s="2" t="s">
        <v>22</v>
      </c>
      <c r="B152" s="4">
        <v>46054</v>
      </c>
      <c r="C152" s="5">
        <v>0.61293981481481485</v>
      </c>
      <c r="D152" s="8" t="s">
        <v>2004</v>
      </c>
      <c r="E152" s="8" t="s">
        <v>8</v>
      </c>
      <c r="F152" s="8"/>
      <c r="H152" s="8"/>
      <c r="I152" s="8" t="s">
        <v>11058</v>
      </c>
      <c r="J152" s="8" t="s">
        <v>2988</v>
      </c>
      <c r="K152" t="s">
        <v>11059</v>
      </c>
      <c r="L152" t="s">
        <v>11060</v>
      </c>
      <c r="M152" s="3" t="str">
        <f>HYPERLINK(склад2въезд131920212223789[[#This Row],[RelativePath]])</f>
        <v>13 Склад хол\K07156189_23_20260201T144238Z.jpg</v>
      </c>
    </row>
    <row r="153" spans="1:13" x14ac:dyDescent="0.25">
      <c r="A153" s="2" t="s">
        <v>13</v>
      </c>
      <c r="B153" s="4">
        <v>46055</v>
      </c>
      <c r="C153" s="5">
        <v>0.62550925925925926</v>
      </c>
      <c r="D153" s="8" t="s">
        <v>2004</v>
      </c>
      <c r="E153" s="8" t="s">
        <v>8</v>
      </c>
      <c r="F153" s="8"/>
      <c r="H153" s="8"/>
      <c r="I153" s="8" t="s">
        <v>11391</v>
      </c>
      <c r="J153" s="8" t="s">
        <v>2988</v>
      </c>
      <c r="K153" t="s">
        <v>11392</v>
      </c>
      <c r="L153" t="s">
        <v>11393</v>
      </c>
      <c r="M153" s="3" t="str">
        <f>HYPERLINK(склад2въезд131920212223789[[#This Row],[RelativePath]])</f>
        <v>13 Склад хол\K07156189_23_20260202T150044Z.jpg</v>
      </c>
    </row>
    <row r="154" spans="1:13" x14ac:dyDescent="0.25">
      <c r="A154" s="2" t="s">
        <v>14</v>
      </c>
      <c r="B154" s="4">
        <v>46056</v>
      </c>
      <c r="C154" s="5">
        <v>0.50785879629629627</v>
      </c>
      <c r="D154" s="8" t="s">
        <v>4</v>
      </c>
      <c r="E154" s="8" t="s">
        <v>8</v>
      </c>
      <c r="F154" s="8"/>
      <c r="H154" s="8"/>
      <c r="I154" s="8" t="s">
        <v>11394</v>
      </c>
      <c r="J154" s="8" t="s">
        <v>2988</v>
      </c>
      <c r="K154" t="s">
        <v>11395</v>
      </c>
      <c r="L154" t="s">
        <v>11396</v>
      </c>
      <c r="M154" s="3" t="str">
        <f>HYPERLINK(склад2въезд131920212223789[[#This Row],[RelativePath]])</f>
        <v>13 Склад хол\K07156189_23_20260203T121119Z.jpg</v>
      </c>
    </row>
    <row r="155" spans="1:13" x14ac:dyDescent="0.25">
      <c r="A155" s="2" t="s">
        <v>14</v>
      </c>
      <c r="B155" s="4">
        <v>46056</v>
      </c>
      <c r="C155" s="5">
        <v>0.61016203703703709</v>
      </c>
      <c r="D155" s="8" t="s">
        <v>159</v>
      </c>
      <c r="E155" s="8" t="s">
        <v>11424</v>
      </c>
      <c r="F155" s="8"/>
      <c r="H155" s="8"/>
      <c r="I155" s="8" t="s">
        <v>11397</v>
      </c>
      <c r="J155" s="8" t="s">
        <v>2988</v>
      </c>
      <c r="K155" t="s">
        <v>11398</v>
      </c>
      <c r="L155" t="s">
        <v>11399</v>
      </c>
      <c r="M155" s="3" t="str">
        <f>HYPERLINK(склад2въезд131920212223789[[#This Row],[RelativePath]])</f>
        <v>13 Склад хол\K07156189_23_20260203T143838Z.jpg</v>
      </c>
    </row>
    <row r="156" spans="1:13" x14ac:dyDescent="0.25">
      <c r="A156" s="2" t="s">
        <v>14</v>
      </c>
      <c r="B156" s="4">
        <v>46056</v>
      </c>
      <c r="C156" s="5">
        <v>0.6564699074074074</v>
      </c>
      <c r="D156" s="8" t="s">
        <v>4</v>
      </c>
      <c r="E156" s="8" t="s">
        <v>8</v>
      </c>
      <c r="F156" s="8"/>
      <c r="H156" s="8"/>
      <c r="I156" s="8" t="s">
        <v>11400</v>
      </c>
      <c r="J156" s="8" t="s">
        <v>2988</v>
      </c>
      <c r="K156" t="s">
        <v>11401</v>
      </c>
      <c r="L156" t="s">
        <v>11402</v>
      </c>
      <c r="M156" s="3" t="str">
        <f>HYPERLINK(склад2въезд131920212223789[[#This Row],[RelativePath]])</f>
        <v>13 Склад хол\K07156189_23_20260203T154519Z.jpg</v>
      </c>
    </row>
    <row r="157" spans="1:13" x14ac:dyDescent="0.25">
      <c r="A157" s="2" t="s">
        <v>14</v>
      </c>
      <c r="B157" s="4">
        <v>46056</v>
      </c>
      <c r="C157" s="5">
        <v>0.75703703703703706</v>
      </c>
      <c r="D157" s="8" t="s">
        <v>4</v>
      </c>
      <c r="E157" s="8" t="s">
        <v>8</v>
      </c>
      <c r="F157" s="8"/>
      <c r="H157" s="8"/>
      <c r="I157" s="8" t="s">
        <v>11403</v>
      </c>
      <c r="J157" s="8" t="s">
        <v>2988</v>
      </c>
      <c r="K157" t="s">
        <v>11404</v>
      </c>
      <c r="L157" t="s">
        <v>11405</v>
      </c>
      <c r="M157" s="3" t="str">
        <f>HYPERLINK(склад2въезд131920212223789[[#This Row],[RelativePath]])</f>
        <v>13 Склад хол\K07156189_23_20260203T181008Z.jpg</v>
      </c>
    </row>
    <row r="158" spans="1:13" x14ac:dyDescent="0.25">
      <c r="A158" s="2" t="s">
        <v>14</v>
      </c>
      <c r="B158" s="4">
        <v>46056</v>
      </c>
      <c r="C158" s="5">
        <v>0.81178240740740737</v>
      </c>
      <c r="D158" s="8" t="s">
        <v>11425</v>
      </c>
      <c r="E158" s="8"/>
      <c r="F158" s="8"/>
      <c r="H158" s="8"/>
      <c r="I158" s="8" t="s">
        <v>11406</v>
      </c>
      <c r="J158" s="8" t="s">
        <v>2988</v>
      </c>
      <c r="K158" t="s">
        <v>11407</v>
      </c>
      <c r="L158" t="s">
        <v>11408</v>
      </c>
      <c r="M158" s="3" t="str">
        <f>HYPERLINK(склад2въезд131920212223789[[#This Row],[RelativePath]])</f>
        <v>13 Склад хол\K07156189_23_20260203T192858Z.jpg</v>
      </c>
    </row>
    <row r="159" spans="1:13" x14ac:dyDescent="0.25">
      <c r="A159" s="2" t="s">
        <v>14</v>
      </c>
      <c r="B159" s="4">
        <v>46056</v>
      </c>
      <c r="C159" s="5">
        <v>0.82072916666666662</v>
      </c>
      <c r="D159" s="8" t="s">
        <v>4</v>
      </c>
      <c r="E159" s="8" t="s">
        <v>11426</v>
      </c>
      <c r="F159" s="8"/>
      <c r="H159" s="8"/>
      <c r="I159" s="8" t="s">
        <v>11409</v>
      </c>
      <c r="J159" s="8" t="s">
        <v>2988</v>
      </c>
      <c r="K159" t="s">
        <v>11410</v>
      </c>
      <c r="L159" t="s">
        <v>11411</v>
      </c>
      <c r="M159" s="3" t="str">
        <f>HYPERLINK(склад2въезд131920212223789[[#This Row],[RelativePath]])</f>
        <v>13 Склад хол\K07156189_23_20260203T194151Z.jpg</v>
      </c>
    </row>
  </sheetData>
  <conditionalFormatting sqref="D160:D170 E160:E173 G2:H159 D2:E159">
    <cfRule type="containsText" dxfId="37" priority="14" operator="containsText" text="Выезд с территории">
      <formula>NOT(ISERROR(SEARCH("Выезд с территории",D2)))</formula>
    </cfRule>
  </conditionalFormatting>
  <conditionalFormatting sqref="F2:F159">
    <cfRule type="notContainsText" dxfId="36" priority="13" operator="notContains" text="порожний">
      <formula>ISERROR(SEARCH("порожний",F2))</formula>
    </cfRule>
  </conditionalFormatting>
  <conditionalFormatting sqref="E2:E173">
    <cfRule type="containsText" dxfId="35" priority="11" operator="containsText" text="Газель базы">
      <formula>NOT(ISERROR(SEARCH("Газель базы",E2)))</formula>
    </cfRule>
    <cfRule type="containsText" dxfId="34" priority="12" operator="containsText" text="Погрузчик базы">
      <formula>NOT(ISERROR(SEARCH("Погрузчик базы",E2)))</formula>
    </cfRule>
  </conditionalFormatting>
  <conditionalFormatting sqref="E2:E173">
    <cfRule type="containsText" dxfId="33" priority="10" operator="containsText" text="Трактор базы">
      <formula>NOT(ISERROR(SEARCH("Трактор базы",E2)))</formula>
    </cfRule>
  </conditionalFormatting>
  <conditionalFormatting sqref="A2:C159">
    <cfRule type="expression" dxfId="32" priority="9">
      <formula>$A2="пн"</formula>
    </cfRule>
  </conditionalFormatting>
  <conditionalFormatting sqref="A2:C161">
    <cfRule type="expression" dxfId="31" priority="3">
      <formula>$A2="вс"</formula>
    </cfRule>
    <cfRule type="expression" dxfId="30" priority="4">
      <formula>$A2="сб"</formula>
    </cfRule>
    <cfRule type="expression" dxfId="29" priority="5">
      <formula>$A2="пт"</formula>
    </cfRule>
    <cfRule type="expression" dxfId="28" priority="6">
      <formula>$A2="чт"</formula>
    </cfRule>
    <cfRule type="expression" dxfId="27" priority="7">
      <formula>$A2="ср"</formula>
    </cfRule>
    <cfRule type="expression" dxfId="26" priority="8">
      <formula>$A2="вт"</formula>
    </cfRule>
  </conditionalFormatting>
  <conditionalFormatting sqref="D2:D170">
    <cfRule type="containsText" dxfId="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0">
    <cfRule type="containsText" dxfId="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632"/>
  <sheetViews>
    <sheetView topLeftCell="A3466" zoomScale="90" zoomScaleNormal="90" workbookViewId="0">
      <selection activeCell="C3643" sqref="C3643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x14ac:dyDescent="0.25">
      <c r="A681" t="s">
        <v>2004</v>
      </c>
      <c r="F681" t="s">
        <v>2133</v>
      </c>
      <c r="G681" t="s">
        <v>1104</v>
      </c>
    </row>
    <row r="682" spans="1:7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x14ac:dyDescent="0.25">
      <c r="A684" t="s">
        <v>2004</v>
      </c>
      <c r="F684" t="s">
        <v>2142</v>
      </c>
      <c r="G684" t="s">
        <v>1104</v>
      </c>
    </row>
    <row r="685" spans="1:7" x14ac:dyDescent="0.25">
      <c r="A685" t="s">
        <v>2004</v>
      </c>
      <c r="F685" t="s">
        <v>2145</v>
      </c>
      <c r="G685" t="s">
        <v>1104</v>
      </c>
    </row>
    <row r="686" spans="1:7" x14ac:dyDescent="0.25">
      <c r="A686" t="s">
        <v>2004</v>
      </c>
      <c r="F686" t="s">
        <v>2148</v>
      </c>
      <c r="G686" t="s">
        <v>1104</v>
      </c>
    </row>
    <row r="687" spans="1:7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hidden="1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hidden="1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hidden="1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hidden="1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hidden="1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hidden="1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hidden="1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hidden="1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hidden="1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hidden="1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hidden="1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hidden="1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hidden="1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hidden="1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hidden="1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hidden="1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hidden="1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hidden="1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hidden="1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hidden="1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hidden="1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hidden="1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hidden="1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hidden="1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hidden="1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hidden="1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hidden="1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hidden="1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hidden="1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hidden="1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hidden="1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hidden="1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hidden="1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hidden="1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hidden="1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hidden="1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hidden="1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hidden="1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hidden="1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hidden="1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hidden="1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hidden="1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hidden="1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hidden="1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hidden="1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hidden="1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hidden="1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hidden="1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hidden="1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hidden="1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hidden="1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hidden="1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hidden="1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hidden="1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hidden="1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hidden="1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hidden="1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hidden="1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hidden="1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hidden="1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hidden="1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hidden="1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hidden="1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hidden="1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hidden="1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hidden="1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hidden="1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hidden="1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hidden="1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hidden="1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hidden="1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hidden="1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hidden="1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hidden="1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hidden="1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hidden="1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hidden="1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hidden="1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hidden="1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hidden="1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hidden="1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hidden="1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hidden="1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hidden="1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hidden="1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hidden="1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hidden="1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hidden="1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hidden="1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hidden="1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hidden="1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hidden="1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hidden="1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hidden="1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hidden="1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hidden="1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hidden="1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hidden="1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hidden="1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hidden="1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hidden="1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hidden="1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hidden="1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hidden="1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hidden="1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hidden="1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hidden="1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hidden="1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hidden="1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hidden="1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hidden="1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hidden="1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hidden="1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hidden="1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hidden="1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hidden="1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hidden="1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hidden="1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hidden="1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hidden="1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hidden="1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hidden="1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hidden="1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hidden="1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hidden="1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hidden="1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hidden="1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hidden="1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hidden="1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hidden="1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hidden="1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hidden="1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hidden="1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hidden="1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hidden="1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hidden="1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hidden="1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hidden="1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hidden="1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hidden="1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hidden="1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hidden="1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hidden="1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hidden="1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hidden="1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hidden="1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hidden="1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hidden="1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hidden="1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hidden="1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hidden="1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hidden="1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hidden="1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hidden="1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hidden="1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hidden="1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hidden="1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hidden="1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hidden="1" x14ac:dyDescent="0.25">
      <c r="A3316" t="s">
        <v>2004</v>
      </c>
      <c r="F3316" t="s">
        <v>10452</v>
      </c>
      <c r="G3316" t="s">
        <v>1102</v>
      </c>
    </row>
    <row r="3317" spans="1:7" hidden="1" x14ac:dyDescent="0.25">
      <c r="A3317" t="s">
        <v>2004</v>
      </c>
      <c r="F3317" t="s">
        <v>10455</v>
      </c>
      <c r="G3317" t="s">
        <v>1102</v>
      </c>
    </row>
    <row r="3318" spans="1:7" hidden="1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hidden="1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hidden="1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hidden="1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hidden="1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hidden="1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hidden="1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hidden="1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hidden="1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hidden="1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hidden="1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hidden="1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hidden="1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hidden="1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hidden="1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hidden="1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hidden="1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hidden="1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hidden="1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hidden="1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hidden="1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hidden="1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hidden="1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hidden="1" x14ac:dyDescent="0.25">
      <c r="A3343" t="s">
        <v>2004</v>
      </c>
      <c r="F3343" t="s">
        <v>10534</v>
      </c>
      <c r="G3343" t="s">
        <v>1102</v>
      </c>
    </row>
    <row r="3344" spans="1:7" hidden="1" x14ac:dyDescent="0.25">
      <c r="A3344" t="s">
        <v>2004</v>
      </c>
      <c r="F3344" t="s">
        <v>10537</v>
      </c>
      <c r="G3344" t="s">
        <v>1102</v>
      </c>
    </row>
    <row r="3345" spans="1:7" hidden="1" x14ac:dyDescent="0.25">
      <c r="A3345" t="s">
        <v>2004</v>
      </c>
      <c r="B3345" t="s">
        <v>8</v>
      </c>
      <c r="F3345" t="s">
        <v>10528</v>
      </c>
      <c r="G3345" t="s">
        <v>1103</v>
      </c>
    </row>
    <row r="3346" spans="1:7" hidden="1" x14ac:dyDescent="0.25">
      <c r="A3346" t="s">
        <v>2004</v>
      </c>
      <c r="B3346" t="s">
        <v>8</v>
      </c>
      <c r="F3346" t="s">
        <v>10531</v>
      </c>
      <c r="G3346" t="s">
        <v>1103</v>
      </c>
    </row>
    <row r="3347" spans="1:7" hidden="1" x14ac:dyDescent="0.25">
      <c r="A3347" t="s">
        <v>4</v>
      </c>
      <c r="B3347" t="s">
        <v>8803</v>
      </c>
      <c r="F3347" t="s">
        <v>10558</v>
      </c>
      <c r="G3347" t="s">
        <v>91</v>
      </c>
    </row>
    <row r="3348" spans="1:7" hidden="1" x14ac:dyDescent="0.25">
      <c r="A3348" t="s">
        <v>4</v>
      </c>
      <c r="B3348" t="s">
        <v>8803</v>
      </c>
      <c r="F3348" t="s">
        <v>10561</v>
      </c>
      <c r="G3348" t="s">
        <v>91</v>
      </c>
    </row>
    <row r="3349" spans="1:7" x14ac:dyDescent="0.25">
      <c r="A3349" t="s">
        <v>2004</v>
      </c>
      <c r="B3349" t="s">
        <v>8</v>
      </c>
      <c r="F3349" t="s">
        <v>10540</v>
      </c>
      <c r="G3349" t="s">
        <v>1104</v>
      </c>
    </row>
    <row r="3350" spans="1:7" x14ac:dyDescent="0.25">
      <c r="A3350" t="s">
        <v>2004</v>
      </c>
      <c r="B3350" t="s">
        <v>8</v>
      </c>
      <c r="F3350" t="s">
        <v>10543</v>
      </c>
      <c r="G3350" t="s">
        <v>1104</v>
      </c>
    </row>
    <row r="3351" spans="1:7" hidden="1" x14ac:dyDescent="0.25">
      <c r="A3351" t="s">
        <v>4</v>
      </c>
      <c r="B3351" t="s">
        <v>2932</v>
      </c>
      <c r="F3351" t="s">
        <v>10546</v>
      </c>
      <c r="G3351" t="s">
        <v>1105</v>
      </c>
    </row>
    <row r="3352" spans="1:7" hidden="1" x14ac:dyDescent="0.25">
      <c r="A3352" t="s">
        <v>4</v>
      </c>
      <c r="B3352" t="s">
        <v>10630</v>
      </c>
      <c r="F3352" t="s">
        <v>10549</v>
      </c>
      <c r="G3352" t="s">
        <v>1105</v>
      </c>
    </row>
    <row r="3353" spans="1:7" hidden="1" x14ac:dyDescent="0.25">
      <c r="A3353" t="s">
        <v>2004</v>
      </c>
      <c r="B3353" t="s">
        <v>8</v>
      </c>
      <c r="F3353" t="s">
        <v>10552</v>
      </c>
      <c r="G3353" t="s">
        <v>1106</v>
      </c>
    </row>
    <row r="3354" spans="1:7" hidden="1" x14ac:dyDescent="0.25">
      <c r="A3354" t="s">
        <v>2004</v>
      </c>
      <c r="B3354" t="s">
        <v>8</v>
      </c>
      <c r="F3354" t="s">
        <v>10555</v>
      </c>
      <c r="G3354" t="s">
        <v>1106</v>
      </c>
    </row>
    <row r="3355" spans="1:7" hidden="1" x14ac:dyDescent="0.25">
      <c r="A3355" t="s">
        <v>2004</v>
      </c>
      <c r="B3355" t="s">
        <v>8</v>
      </c>
      <c r="F3355" t="s">
        <v>10631</v>
      </c>
      <c r="G3355" t="s">
        <v>1107</v>
      </c>
    </row>
    <row r="3356" spans="1:7" hidden="1" x14ac:dyDescent="0.25">
      <c r="A3356" t="s">
        <v>2004</v>
      </c>
      <c r="B3356" t="s">
        <v>8</v>
      </c>
      <c r="F3356" t="s">
        <v>10634</v>
      </c>
      <c r="G3356" t="s">
        <v>1107</v>
      </c>
    </row>
    <row r="3357" spans="1:7" hidden="1" x14ac:dyDescent="0.25">
      <c r="A3357" t="s">
        <v>9409</v>
      </c>
      <c r="B3357" t="s">
        <v>1607</v>
      </c>
      <c r="F3357" t="s">
        <v>10564</v>
      </c>
      <c r="G3357" t="s">
        <v>796</v>
      </c>
    </row>
    <row r="3358" spans="1:7" hidden="1" x14ac:dyDescent="0.25">
      <c r="A3358" t="s">
        <v>9409</v>
      </c>
      <c r="B3358" t="s">
        <v>1607</v>
      </c>
      <c r="E3358" t="s">
        <v>2936</v>
      </c>
      <c r="F3358" t="s">
        <v>10567</v>
      </c>
      <c r="G3358" t="s">
        <v>796</v>
      </c>
    </row>
    <row r="3359" spans="1:7" hidden="1" x14ac:dyDescent="0.25">
      <c r="A3359" t="s">
        <v>9409</v>
      </c>
      <c r="B3359" t="s">
        <v>1607</v>
      </c>
      <c r="E3359" t="s">
        <v>2936</v>
      </c>
      <c r="F3359" t="s">
        <v>10570</v>
      </c>
      <c r="G3359" t="s">
        <v>796</v>
      </c>
    </row>
    <row r="3360" spans="1:7" hidden="1" x14ac:dyDescent="0.25">
      <c r="A3360" t="s">
        <v>9409</v>
      </c>
      <c r="B3360" t="s">
        <v>1607</v>
      </c>
      <c r="E3360" t="s">
        <v>2936</v>
      </c>
      <c r="F3360" t="s">
        <v>10573</v>
      </c>
      <c r="G3360" t="s">
        <v>796</v>
      </c>
    </row>
    <row r="3361" spans="1:7" hidden="1" x14ac:dyDescent="0.25">
      <c r="A3361" t="s">
        <v>9409</v>
      </c>
      <c r="B3361" t="s">
        <v>1607</v>
      </c>
      <c r="E3361" t="s">
        <v>2936</v>
      </c>
      <c r="F3361" t="s">
        <v>10576</v>
      </c>
      <c r="G3361" t="s">
        <v>796</v>
      </c>
    </row>
    <row r="3362" spans="1:7" hidden="1" x14ac:dyDescent="0.25">
      <c r="A3362" t="s">
        <v>9409</v>
      </c>
      <c r="B3362" t="s">
        <v>1607</v>
      </c>
      <c r="E3362" t="s">
        <v>2936</v>
      </c>
      <c r="F3362" t="s">
        <v>10579</v>
      </c>
      <c r="G3362" t="s">
        <v>796</v>
      </c>
    </row>
    <row r="3363" spans="1:7" hidden="1" x14ac:dyDescent="0.25">
      <c r="A3363" t="s">
        <v>9409</v>
      </c>
      <c r="B3363" t="s">
        <v>1607</v>
      </c>
      <c r="E3363" t="s">
        <v>2936</v>
      </c>
      <c r="F3363" t="s">
        <v>10582</v>
      </c>
      <c r="G3363" t="s">
        <v>796</v>
      </c>
    </row>
    <row r="3364" spans="1:7" hidden="1" x14ac:dyDescent="0.25">
      <c r="A3364" t="s">
        <v>9455</v>
      </c>
      <c r="B3364" t="s">
        <v>531</v>
      </c>
      <c r="F3364" t="s">
        <v>10585</v>
      </c>
      <c r="G3364" t="s">
        <v>1100</v>
      </c>
    </row>
    <row r="3365" spans="1:7" hidden="1" x14ac:dyDescent="0.25">
      <c r="A3365" t="s">
        <v>10637</v>
      </c>
      <c r="B3365" t="s">
        <v>531</v>
      </c>
      <c r="F3365" t="s">
        <v>10588</v>
      </c>
      <c r="G3365" t="s">
        <v>1100</v>
      </c>
    </row>
    <row r="3366" spans="1:7" hidden="1" x14ac:dyDescent="0.25">
      <c r="A3366" t="s">
        <v>9455</v>
      </c>
      <c r="B3366" t="s">
        <v>531</v>
      </c>
      <c r="F3366" t="s">
        <v>10591</v>
      </c>
      <c r="G3366" t="s">
        <v>1100</v>
      </c>
    </row>
    <row r="3367" spans="1:7" hidden="1" x14ac:dyDescent="0.25">
      <c r="A3367" t="s">
        <v>10637</v>
      </c>
      <c r="B3367" t="s">
        <v>531</v>
      </c>
      <c r="F3367" t="s">
        <v>10594</v>
      </c>
      <c r="G3367" t="s">
        <v>1100</v>
      </c>
    </row>
    <row r="3368" spans="1:7" hidden="1" x14ac:dyDescent="0.25">
      <c r="A3368" t="s">
        <v>4</v>
      </c>
      <c r="B3368" t="s">
        <v>7709</v>
      </c>
      <c r="F3368" t="s">
        <v>10597</v>
      </c>
      <c r="G3368" t="s">
        <v>1100</v>
      </c>
    </row>
    <row r="3369" spans="1:7" hidden="1" x14ac:dyDescent="0.25">
      <c r="A3369" t="s">
        <v>4</v>
      </c>
      <c r="B3369" t="s">
        <v>10638</v>
      </c>
      <c r="F3369" t="s">
        <v>10600</v>
      </c>
      <c r="G3369" s="1" t="s">
        <v>1603</v>
      </c>
    </row>
    <row r="3370" spans="1:7" hidden="1" x14ac:dyDescent="0.25">
      <c r="A3370" t="s">
        <v>4</v>
      </c>
      <c r="B3370" t="s">
        <v>10638</v>
      </c>
      <c r="F3370" t="s">
        <v>10603</v>
      </c>
      <c r="G3370" s="1" t="s">
        <v>1603</v>
      </c>
    </row>
    <row r="3371" spans="1:7" hidden="1" x14ac:dyDescent="0.25">
      <c r="A3371" t="s">
        <v>4</v>
      </c>
      <c r="B3371" t="s">
        <v>10638</v>
      </c>
      <c r="F3371" t="s">
        <v>10606</v>
      </c>
      <c r="G3371" s="1" t="s">
        <v>1603</v>
      </c>
    </row>
    <row r="3372" spans="1:7" hidden="1" x14ac:dyDescent="0.25">
      <c r="A3372" t="s">
        <v>4</v>
      </c>
      <c r="B3372" t="s">
        <v>10524</v>
      </c>
      <c r="F3372" t="s">
        <v>10609</v>
      </c>
      <c r="G3372" s="1" t="s">
        <v>1603</v>
      </c>
    </row>
    <row r="3373" spans="1:7" hidden="1" x14ac:dyDescent="0.25">
      <c r="A3373" t="s">
        <v>10639</v>
      </c>
      <c r="B3373" t="s">
        <v>531</v>
      </c>
      <c r="F3373" t="s">
        <v>10612</v>
      </c>
      <c r="G3373" t="s">
        <v>1817</v>
      </c>
    </row>
    <row r="3374" spans="1:7" hidden="1" x14ac:dyDescent="0.25">
      <c r="A3374" t="s">
        <v>10640</v>
      </c>
      <c r="B3374" t="s">
        <v>531</v>
      </c>
      <c r="F3374" t="s">
        <v>10615</v>
      </c>
      <c r="G3374" t="s">
        <v>1817</v>
      </c>
    </row>
    <row r="3375" spans="1:7" hidden="1" x14ac:dyDescent="0.25">
      <c r="A3375" t="s">
        <v>2004</v>
      </c>
      <c r="B3375" t="s">
        <v>8</v>
      </c>
      <c r="F3375" t="s">
        <v>10618</v>
      </c>
      <c r="G3375" t="s">
        <v>1934</v>
      </c>
    </row>
    <row r="3376" spans="1:7" hidden="1" x14ac:dyDescent="0.25">
      <c r="A3376" t="s">
        <v>9914</v>
      </c>
      <c r="B3376" t="s">
        <v>4247</v>
      </c>
      <c r="F3376" t="s">
        <v>10621</v>
      </c>
      <c r="G3376" t="s">
        <v>1934</v>
      </c>
    </row>
    <row r="3377" spans="1:7" hidden="1" x14ac:dyDescent="0.25">
      <c r="A3377" t="s">
        <v>2004</v>
      </c>
      <c r="B3377" t="s">
        <v>8</v>
      </c>
      <c r="F3377" t="s">
        <v>10624</v>
      </c>
      <c r="G3377" t="s">
        <v>1997</v>
      </c>
    </row>
    <row r="3378" spans="1:7" hidden="1" x14ac:dyDescent="0.25">
      <c r="A3378" t="s">
        <v>2004</v>
      </c>
      <c r="B3378" t="s">
        <v>8</v>
      </c>
      <c r="F3378" t="s">
        <v>10627</v>
      </c>
      <c r="G3378" t="s">
        <v>1997</v>
      </c>
    </row>
    <row r="3379" spans="1:7" hidden="1" x14ac:dyDescent="0.25">
      <c r="A3379" t="s">
        <v>2004</v>
      </c>
      <c r="F3379" t="s">
        <v>10716</v>
      </c>
      <c r="G3379" t="s">
        <v>1102</v>
      </c>
    </row>
    <row r="3380" spans="1:7" hidden="1" x14ac:dyDescent="0.25">
      <c r="A3380" t="s">
        <v>62</v>
      </c>
      <c r="B3380" t="s">
        <v>10884</v>
      </c>
      <c r="C3380" t="s">
        <v>58</v>
      </c>
      <c r="D3380">
        <v>4</v>
      </c>
      <c r="E3380" t="s">
        <v>9336</v>
      </c>
      <c r="F3380" t="s">
        <v>10719</v>
      </c>
      <c r="G3380" t="s">
        <v>1102</v>
      </c>
    </row>
    <row r="3381" spans="1:7" hidden="1" x14ac:dyDescent="0.25">
      <c r="A3381" t="s">
        <v>158</v>
      </c>
      <c r="B3381" t="s">
        <v>1607</v>
      </c>
      <c r="C3381" t="s">
        <v>2929</v>
      </c>
      <c r="D3381">
        <v>1</v>
      </c>
      <c r="E3381" t="s">
        <v>3075</v>
      </c>
      <c r="F3381" t="s">
        <v>10641</v>
      </c>
      <c r="G3381" t="s">
        <v>1103</v>
      </c>
    </row>
    <row r="3382" spans="1:7" hidden="1" x14ac:dyDescent="0.25">
      <c r="A3382" t="s">
        <v>158</v>
      </c>
      <c r="B3382" t="s">
        <v>1607</v>
      </c>
      <c r="C3382" t="s">
        <v>2929</v>
      </c>
      <c r="D3382">
        <v>1</v>
      </c>
      <c r="E3382" t="s">
        <v>3075</v>
      </c>
      <c r="F3382" t="s">
        <v>10644</v>
      </c>
      <c r="G3382" t="s">
        <v>1103</v>
      </c>
    </row>
    <row r="3383" spans="1:7" hidden="1" x14ac:dyDescent="0.25">
      <c r="A3383" t="s">
        <v>158</v>
      </c>
      <c r="B3383" t="s">
        <v>1607</v>
      </c>
      <c r="C3383" t="s">
        <v>2929</v>
      </c>
      <c r="D3383">
        <v>1</v>
      </c>
      <c r="E3383" t="s">
        <v>3075</v>
      </c>
      <c r="F3383" t="s">
        <v>10647</v>
      </c>
      <c r="G3383" t="s">
        <v>1103</v>
      </c>
    </row>
    <row r="3384" spans="1:7" hidden="1" x14ac:dyDescent="0.25">
      <c r="A3384" t="s">
        <v>158</v>
      </c>
      <c r="B3384" t="s">
        <v>1607</v>
      </c>
      <c r="C3384" t="s">
        <v>2929</v>
      </c>
      <c r="D3384">
        <v>1</v>
      </c>
      <c r="E3384" t="s">
        <v>3075</v>
      </c>
      <c r="F3384" t="s">
        <v>10650</v>
      </c>
      <c r="G3384" t="s">
        <v>1103</v>
      </c>
    </row>
    <row r="3385" spans="1:7" hidden="1" x14ac:dyDescent="0.25">
      <c r="A3385" t="s">
        <v>289</v>
      </c>
      <c r="B3385" t="s">
        <v>10884</v>
      </c>
      <c r="C3385" t="s">
        <v>2929</v>
      </c>
      <c r="D3385">
        <v>1</v>
      </c>
      <c r="F3385" t="s">
        <v>10653</v>
      </c>
      <c r="G3385" t="s">
        <v>1103</v>
      </c>
    </row>
    <row r="3386" spans="1:7" hidden="1" x14ac:dyDescent="0.25">
      <c r="A3386" t="s">
        <v>289</v>
      </c>
      <c r="B3386" t="s">
        <v>10884</v>
      </c>
      <c r="C3386" t="s">
        <v>2929</v>
      </c>
      <c r="D3386">
        <v>1</v>
      </c>
      <c r="E3386" t="s">
        <v>2936</v>
      </c>
      <c r="F3386" t="s">
        <v>10656</v>
      </c>
      <c r="G3386" t="s">
        <v>1103</v>
      </c>
    </row>
    <row r="3387" spans="1:7" hidden="1" x14ac:dyDescent="0.25">
      <c r="A3387" t="s">
        <v>289</v>
      </c>
      <c r="B3387" t="s">
        <v>10884</v>
      </c>
      <c r="C3387" t="s">
        <v>2929</v>
      </c>
      <c r="D3387">
        <v>1</v>
      </c>
      <c r="E3387" t="s">
        <v>2936</v>
      </c>
      <c r="F3387" t="s">
        <v>10659</v>
      </c>
      <c r="G3387" t="s">
        <v>1103</v>
      </c>
    </row>
    <row r="3388" spans="1:7" hidden="1" x14ac:dyDescent="0.25">
      <c r="A3388" t="s">
        <v>289</v>
      </c>
      <c r="B3388" t="s">
        <v>10884</v>
      </c>
      <c r="C3388" t="s">
        <v>2929</v>
      </c>
      <c r="D3388">
        <v>1</v>
      </c>
      <c r="E3388" t="s">
        <v>2936</v>
      </c>
      <c r="F3388" t="s">
        <v>10662</v>
      </c>
      <c r="G3388" t="s">
        <v>1103</v>
      </c>
    </row>
    <row r="3389" spans="1:7" hidden="1" x14ac:dyDescent="0.25">
      <c r="A3389" t="s">
        <v>650</v>
      </c>
      <c r="B3389" t="s">
        <v>10884</v>
      </c>
      <c r="C3389" t="s">
        <v>58</v>
      </c>
      <c r="E3389" t="s">
        <v>9336</v>
      </c>
      <c r="F3389" t="s">
        <v>10665</v>
      </c>
      <c r="G3389" t="s">
        <v>1103</v>
      </c>
    </row>
    <row r="3390" spans="1:7" hidden="1" x14ac:dyDescent="0.25">
      <c r="A3390" t="s">
        <v>158</v>
      </c>
      <c r="B3390" t="s">
        <v>1607</v>
      </c>
      <c r="C3390" t="s">
        <v>2929</v>
      </c>
      <c r="D3390">
        <v>1</v>
      </c>
      <c r="E3390" t="s">
        <v>3075</v>
      </c>
      <c r="F3390" t="s">
        <v>10668</v>
      </c>
      <c r="G3390" t="s">
        <v>1103</v>
      </c>
    </row>
    <row r="3391" spans="1:7" hidden="1" x14ac:dyDescent="0.25">
      <c r="A3391" t="s">
        <v>158</v>
      </c>
      <c r="B3391" t="s">
        <v>1607</v>
      </c>
      <c r="C3391" t="s">
        <v>2929</v>
      </c>
      <c r="D3391">
        <v>2</v>
      </c>
      <c r="E3391" t="s">
        <v>3075</v>
      </c>
      <c r="F3391" t="s">
        <v>10671</v>
      </c>
      <c r="G3391" t="s">
        <v>1103</v>
      </c>
    </row>
    <row r="3392" spans="1:7" hidden="1" x14ac:dyDescent="0.25">
      <c r="A3392" t="s">
        <v>158</v>
      </c>
      <c r="B3392" t="s">
        <v>1607</v>
      </c>
      <c r="C3392" t="s">
        <v>2929</v>
      </c>
      <c r="D3392">
        <v>2</v>
      </c>
      <c r="E3392" t="s">
        <v>3075</v>
      </c>
      <c r="F3392" t="s">
        <v>10674</v>
      </c>
      <c r="G3392" t="s">
        <v>1103</v>
      </c>
    </row>
    <row r="3393" spans="1:7" hidden="1" x14ac:dyDescent="0.25">
      <c r="A3393" t="s">
        <v>158</v>
      </c>
      <c r="B3393" t="s">
        <v>1607</v>
      </c>
      <c r="C3393" t="s">
        <v>2929</v>
      </c>
      <c r="D3393">
        <v>2</v>
      </c>
      <c r="E3393" t="s">
        <v>3075</v>
      </c>
      <c r="F3393" t="s">
        <v>10677</v>
      </c>
      <c r="G3393" t="s">
        <v>1103</v>
      </c>
    </row>
    <row r="3394" spans="1:7" hidden="1" x14ac:dyDescent="0.25">
      <c r="A3394" t="s">
        <v>533</v>
      </c>
      <c r="B3394" t="s">
        <v>531</v>
      </c>
      <c r="C3394" t="s">
        <v>2929</v>
      </c>
      <c r="E3394" t="s">
        <v>10885</v>
      </c>
      <c r="F3394" t="s">
        <v>10683</v>
      </c>
      <c r="G3394" t="s">
        <v>1103</v>
      </c>
    </row>
    <row r="3395" spans="1:7" hidden="1" x14ac:dyDescent="0.25">
      <c r="A3395" t="s">
        <v>533</v>
      </c>
      <c r="B3395" t="s">
        <v>531</v>
      </c>
      <c r="C3395" t="s">
        <v>2929</v>
      </c>
      <c r="E3395" t="s">
        <v>10885</v>
      </c>
      <c r="F3395" t="s">
        <v>10689</v>
      </c>
      <c r="G3395" t="s">
        <v>1103</v>
      </c>
    </row>
    <row r="3396" spans="1:7" hidden="1" x14ac:dyDescent="0.25">
      <c r="A3396" t="s">
        <v>533</v>
      </c>
      <c r="B3396" t="s">
        <v>531</v>
      </c>
      <c r="C3396" t="s">
        <v>2929</v>
      </c>
      <c r="E3396" t="s">
        <v>10885</v>
      </c>
      <c r="F3396" t="s">
        <v>10692</v>
      </c>
      <c r="G3396" t="s">
        <v>1103</v>
      </c>
    </row>
    <row r="3397" spans="1:7" hidden="1" x14ac:dyDescent="0.25">
      <c r="A3397" t="s">
        <v>533</v>
      </c>
      <c r="B3397" t="s">
        <v>531</v>
      </c>
      <c r="C3397" t="s">
        <v>2929</v>
      </c>
      <c r="E3397" t="s">
        <v>10885</v>
      </c>
      <c r="F3397" t="s">
        <v>10698</v>
      </c>
      <c r="G3397" t="s">
        <v>1103</v>
      </c>
    </row>
    <row r="3398" spans="1:7" hidden="1" x14ac:dyDescent="0.25">
      <c r="A3398" t="s">
        <v>533</v>
      </c>
      <c r="B3398" t="s">
        <v>531</v>
      </c>
      <c r="C3398" t="s">
        <v>2929</v>
      </c>
      <c r="E3398" t="s">
        <v>10885</v>
      </c>
      <c r="F3398" t="s">
        <v>10701</v>
      </c>
      <c r="G3398" t="s">
        <v>1103</v>
      </c>
    </row>
    <row r="3399" spans="1:7" hidden="1" x14ac:dyDescent="0.25">
      <c r="A3399" t="s">
        <v>533</v>
      </c>
      <c r="B3399" t="s">
        <v>531</v>
      </c>
      <c r="C3399" t="s">
        <v>2929</v>
      </c>
      <c r="E3399" t="s">
        <v>10885</v>
      </c>
      <c r="F3399" t="s">
        <v>10707</v>
      </c>
      <c r="G3399" t="s">
        <v>1103</v>
      </c>
    </row>
    <row r="3400" spans="1:7" hidden="1" x14ac:dyDescent="0.25">
      <c r="A3400" t="s">
        <v>533</v>
      </c>
      <c r="B3400" t="s">
        <v>531</v>
      </c>
      <c r="C3400" t="s">
        <v>2929</v>
      </c>
      <c r="E3400" t="s">
        <v>10885</v>
      </c>
      <c r="F3400" t="s">
        <v>10680</v>
      </c>
      <c r="G3400" t="s">
        <v>1103</v>
      </c>
    </row>
    <row r="3401" spans="1:7" hidden="1" x14ac:dyDescent="0.25">
      <c r="A3401" t="s">
        <v>533</v>
      </c>
      <c r="B3401" t="s">
        <v>531</v>
      </c>
      <c r="C3401" t="s">
        <v>2929</v>
      </c>
      <c r="E3401" t="s">
        <v>10885</v>
      </c>
      <c r="F3401" t="s">
        <v>10686</v>
      </c>
      <c r="G3401" t="s">
        <v>1103</v>
      </c>
    </row>
    <row r="3402" spans="1:7" hidden="1" x14ac:dyDescent="0.25">
      <c r="A3402" t="s">
        <v>533</v>
      </c>
      <c r="B3402" t="s">
        <v>531</v>
      </c>
      <c r="C3402" t="s">
        <v>2929</v>
      </c>
      <c r="E3402" t="s">
        <v>10885</v>
      </c>
      <c r="F3402" t="s">
        <v>10695</v>
      </c>
      <c r="G3402" t="s">
        <v>1103</v>
      </c>
    </row>
    <row r="3403" spans="1:7" hidden="1" x14ac:dyDescent="0.25">
      <c r="A3403" t="s">
        <v>533</v>
      </c>
      <c r="B3403" t="s">
        <v>531</v>
      </c>
      <c r="C3403" t="s">
        <v>2929</v>
      </c>
      <c r="E3403" t="s">
        <v>10885</v>
      </c>
      <c r="F3403" t="s">
        <v>10704</v>
      </c>
      <c r="G3403" t="s">
        <v>1103</v>
      </c>
    </row>
    <row r="3404" spans="1:7" hidden="1" x14ac:dyDescent="0.25">
      <c r="A3404" t="s">
        <v>4</v>
      </c>
      <c r="B3404" t="s">
        <v>8803</v>
      </c>
      <c r="F3404" t="s">
        <v>10737</v>
      </c>
      <c r="G3404" t="s">
        <v>91</v>
      </c>
    </row>
    <row r="3405" spans="1:7" hidden="1" x14ac:dyDescent="0.25">
      <c r="A3405" t="s">
        <v>4</v>
      </c>
      <c r="B3405" t="s">
        <v>8803</v>
      </c>
      <c r="F3405" t="s">
        <v>10740</v>
      </c>
      <c r="G3405" t="s">
        <v>91</v>
      </c>
    </row>
    <row r="3406" spans="1:7" x14ac:dyDescent="0.25">
      <c r="A3406" t="s">
        <v>4</v>
      </c>
      <c r="B3406" t="s">
        <v>10886</v>
      </c>
      <c r="F3406" t="s">
        <v>10710</v>
      </c>
      <c r="G3406" t="s">
        <v>1104</v>
      </c>
    </row>
    <row r="3407" spans="1:7" x14ac:dyDescent="0.25">
      <c r="A3407" t="s">
        <v>4</v>
      </c>
      <c r="B3407" t="s">
        <v>8803</v>
      </c>
      <c r="F3407" t="s">
        <v>10713</v>
      </c>
      <c r="G3407" t="s">
        <v>1104</v>
      </c>
    </row>
    <row r="3408" spans="1:7" hidden="1" x14ac:dyDescent="0.25">
      <c r="A3408" t="s">
        <v>4</v>
      </c>
      <c r="B3408" t="s">
        <v>9876</v>
      </c>
      <c r="F3408" t="s">
        <v>10722</v>
      </c>
      <c r="G3408" t="s">
        <v>1105</v>
      </c>
    </row>
    <row r="3409" spans="1:7" hidden="1" x14ac:dyDescent="0.25">
      <c r="A3409" t="s">
        <v>158</v>
      </c>
      <c r="B3409" t="s">
        <v>86</v>
      </c>
      <c r="C3409" t="s">
        <v>60</v>
      </c>
      <c r="E3409" t="s">
        <v>10887</v>
      </c>
      <c r="F3409" t="s">
        <v>10725</v>
      </c>
      <c r="G3409" t="s">
        <v>1105</v>
      </c>
    </row>
    <row r="3410" spans="1:7" hidden="1" x14ac:dyDescent="0.25">
      <c r="A3410" t="s">
        <v>4</v>
      </c>
      <c r="B3410" t="s">
        <v>2932</v>
      </c>
      <c r="F3410" t="s">
        <v>10728</v>
      </c>
      <c r="G3410" t="s">
        <v>1105</v>
      </c>
    </row>
    <row r="3411" spans="1:7" hidden="1" x14ac:dyDescent="0.25">
      <c r="A3411" t="s">
        <v>4</v>
      </c>
      <c r="B3411" t="s">
        <v>9876</v>
      </c>
      <c r="F3411" t="s">
        <v>10731</v>
      </c>
      <c r="G3411" t="s">
        <v>1105</v>
      </c>
    </row>
    <row r="3412" spans="1:7" hidden="1" x14ac:dyDescent="0.25">
      <c r="A3412" t="s">
        <v>4</v>
      </c>
      <c r="B3412" t="s">
        <v>9876</v>
      </c>
      <c r="F3412" t="s">
        <v>10734</v>
      </c>
      <c r="G3412" t="s">
        <v>1105</v>
      </c>
    </row>
    <row r="3413" spans="1:7" hidden="1" x14ac:dyDescent="0.25">
      <c r="A3413" t="s">
        <v>2004</v>
      </c>
      <c r="B3413" t="s">
        <v>8</v>
      </c>
      <c r="F3413" t="s">
        <v>10782</v>
      </c>
      <c r="G3413" t="s">
        <v>1106</v>
      </c>
    </row>
    <row r="3414" spans="1:7" hidden="1" x14ac:dyDescent="0.25">
      <c r="A3414" t="s">
        <v>2004</v>
      </c>
      <c r="B3414" t="s">
        <v>8</v>
      </c>
      <c r="F3414" t="s">
        <v>10785</v>
      </c>
      <c r="G3414" t="s">
        <v>1106</v>
      </c>
    </row>
    <row r="3415" spans="1:7" hidden="1" x14ac:dyDescent="0.25">
      <c r="A3415" t="s">
        <v>2004</v>
      </c>
      <c r="B3415" t="s">
        <v>8</v>
      </c>
      <c r="F3415" t="s">
        <v>10878</v>
      </c>
      <c r="G3415" t="s">
        <v>1107</v>
      </c>
    </row>
    <row r="3416" spans="1:7" hidden="1" x14ac:dyDescent="0.25">
      <c r="A3416" t="s">
        <v>2004</v>
      </c>
      <c r="B3416" t="s">
        <v>8</v>
      </c>
      <c r="F3416" t="s">
        <v>10881</v>
      </c>
      <c r="G3416" t="s">
        <v>1107</v>
      </c>
    </row>
    <row r="3417" spans="1:7" hidden="1" x14ac:dyDescent="0.25">
      <c r="A3417" t="s">
        <v>10888</v>
      </c>
      <c r="B3417" t="s">
        <v>796</v>
      </c>
      <c r="F3417" t="s">
        <v>10743</v>
      </c>
      <c r="G3417" t="s">
        <v>796</v>
      </c>
    </row>
    <row r="3418" spans="1:7" hidden="1" x14ac:dyDescent="0.25">
      <c r="A3418" t="s">
        <v>10888</v>
      </c>
      <c r="B3418" t="s">
        <v>796</v>
      </c>
      <c r="F3418" t="s">
        <v>10746</v>
      </c>
      <c r="G3418" t="s">
        <v>796</v>
      </c>
    </row>
    <row r="3419" spans="1:7" hidden="1" x14ac:dyDescent="0.25">
      <c r="A3419" t="s">
        <v>2024</v>
      </c>
      <c r="B3419" t="s">
        <v>796</v>
      </c>
      <c r="F3419" t="s">
        <v>10749</v>
      </c>
      <c r="G3419" t="s">
        <v>796</v>
      </c>
    </row>
    <row r="3420" spans="1:7" hidden="1" x14ac:dyDescent="0.25">
      <c r="A3420" t="s">
        <v>10888</v>
      </c>
      <c r="B3420" t="s">
        <v>796</v>
      </c>
      <c r="F3420" t="s">
        <v>10752</v>
      </c>
      <c r="G3420" t="s">
        <v>796</v>
      </c>
    </row>
    <row r="3421" spans="1:7" hidden="1" x14ac:dyDescent="0.25">
      <c r="A3421" t="s">
        <v>2024</v>
      </c>
      <c r="B3421" t="s">
        <v>796</v>
      </c>
      <c r="F3421" t="s">
        <v>10755</v>
      </c>
      <c r="G3421" t="s">
        <v>796</v>
      </c>
    </row>
    <row r="3422" spans="1:7" hidden="1" x14ac:dyDescent="0.25">
      <c r="A3422" t="s">
        <v>2024</v>
      </c>
      <c r="B3422" t="s">
        <v>796</v>
      </c>
      <c r="F3422" t="s">
        <v>10758</v>
      </c>
      <c r="G3422" t="s">
        <v>796</v>
      </c>
    </row>
    <row r="3423" spans="1:7" hidden="1" x14ac:dyDescent="0.25">
      <c r="A3423" t="s">
        <v>2024</v>
      </c>
      <c r="B3423" t="s">
        <v>796</v>
      </c>
      <c r="F3423" t="s">
        <v>10761</v>
      </c>
      <c r="G3423" t="s">
        <v>796</v>
      </c>
    </row>
    <row r="3424" spans="1:7" hidden="1" x14ac:dyDescent="0.25">
      <c r="A3424" t="s">
        <v>9409</v>
      </c>
      <c r="B3424" t="s">
        <v>1607</v>
      </c>
      <c r="F3424" t="s">
        <v>10764</v>
      </c>
      <c r="G3424" t="s">
        <v>796</v>
      </c>
    </row>
    <row r="3425" spans="1:7" hidden="1" x14ac:dyDescent="0.25">
      <c r="A3425" t="s">
        <v>2024</v>
      </c>
      <c r="B3425" t="s">
        <v>796</v>
      </c>
      <c r="F3425" t="s">
        <v>10767</v>
      </c>
      <c r="G3425" t="s">
        <v>796</v>
      </c>
    </row>
    <row r="3426" spans="1:7" hidden="1" x14ac:dyDescent="0.25">
      <c r="A3426" t="s">
        <v>9409</v>
      </c>
      <c r="B3426" t="s">
        <v>1607</v>
      </c>
      <c r="F3426" t="s">
        <v>10770</v>
      </c>
      <c r="G3426" t="s">
        <v>796</v>
      </c>
    </row>
    <row r="3427" spans="1:7" hidden="1" x14ac:dyDescent="0.25">
      <c r="A3427" t="s">
        <v>9409</v>
      </c>
      <c r="B3427" t="s">
        <v>1607</v>
      </c>
      <c r="F3427" t="s">
        <v>10773</v>
      </c>
      <c r="G3427" t="s">
        <v>796</v>
      </c>
    </row>
    <row r="3428" spans="1:7" hidden="1" x14ac:dyDescent="0.25">
      <c r="A3428" t="s">
        <v>2024</v>
      </c>
      <c r="B3428" t="s">
        <v>796</v>
      </c>
      <c r="F3428" t="s">
        <v>10776</v>
      </c>
      <c r="G3428" t="s">
        <v>796</v>
      </c>
    </row>
    <row r="3429" spans="1:7" hidden="1" x14ac:dyDescent="0.25">
      <c r="A3429" t="s">
        <v>2024</v>
      </c>
      <c r="B3429" t="s">
        <v>796</v>
      </c>
      <c r="F3429" t="s">
        <v>10779</v>
      </c>
      <c r="G3429" t="s">
        <v>796</v>
      </c>
    </row>
    <row r="3430" spans="1:7" hidden="1" x14ac:dyDescent="0.25">
      <c r="A3430" t="s">
        <v>9455</v>
      </c>
      <c r="B3430" t="s">
        <v>531</v>
      </c>
      <c r="F3430" t="s">
        <v>10788</v>
      </c>
      <c r="G3430" t="s">
        <v>1100</v>
      </c>
    </row>
    <row r="3431" spans="1:7" hidden="1" x14ac:dyDescent="0.25">
      <c r="A3431" t="s">
        <v>4</v>
      </c>
      <c r="B3431" t="s">
        <v>7709</v>
      </c>
      <c r="F3431" t="s">
        <v>10791</v>
      </c>
      <c r="G3431" t="s">
        <v>1100</v>
      </c>
    </row>
    <row r="3432" spans="1:7" hidden="1" x14ac:dyDescent="0.25">
      <c r="A3432" t="s">
        <v>5476</v>
      </c>
      <c r="B3432" t="s">
        <v>5480</v>
      </c>
      <c r="C3432" t="s">
        <v>9202</v>
      </c>
      <c r="F3432" t="s">
        <v>10794</v>
      </c>
      <c r="G3432" t="s">
        <v>1100</v>
      </c>
    </row>
    <row r="3433" spans="1:7" hidden="1" x14ac:dyDescent="0.25">
      <c r="A3433" t="s">
        <v>9692</v>
      </c>
      <c r="B3433" t="s">
        <v>5137</v>
      </c>
      <c r="F3433" t="s">
        <v>10797</v>
      </c>
      <c r="G3433" t="s">
        <v>1100</v>
      </c>
    </row>
    <row r="3434" spans="1:7" hidden="1" x14ac:dyDescent="0.25">
      <c r="A3434" t="s">
        <v>5476</v>
      </c>
      <c r="B3434" t="s">
        <v>5480</v>
      </c>
      <c r="C3434" t="s">
        <v>9202</v>
      </c>
      <c r="F3434" t="s">
        <v>10800</v>
      </c>
      <c r="G3434" t="s">
        <v>1100</v>
      </c>
    </row>
    <row r="3435" spans="1:7" hidden="1" x14ac:dyDescent="0.25">
      <c r="A3435" t="s">
        <v>158</v>
      </c>
      <c r="B3435" t="s">
        <v>9201</v>
      </c>
      <c r="C3435" t="s">
        <v>2929</v>
      </c>
      <c r="F3435" t="s">
        <v>10803</v>
      </c>
      <c r="G3435" t="s">
        <v>1100</v>
      </c>
    </row>
    <row r="3436" spans="1:7" hidden="1" x14ac:dyDescent="0.25">
      <c r="A3436" t="s">
        <v>9200</v>
      </c>
      <c r="B3436" t="s">
        <v>5137</v>
      </c>
      <c r="F3436" t="s">
        <v>10806</v>
      </c>
      <c r="G3436" t="s">
        <v>1100</v>
      </c>
    </row>
    <row r="3437" spans="1:7" hidden="1" x14ac:dyDescent="0.25">
      <c r="A3437" t="s">
        <v>9455</v>
      </c>
      <c r="B3437" t="s">
        <v>531</v>
      </c>
      <c r="F3437" t="s">
        <v>10809</v>
      </c>
      <c r="G3437" t="s">
        <v>1100</v>
      </c>
    </row>
    <row r="3438" spans="1:7" hidden="1" x14ac:dyDescent="0.25">
      <c r="A3438" t="s">
        <v>9200</v>
      </c>
      <c r="B3438" t="s">
        <v>5137</v>
      </c>
      <c r="F3438" t="s">
        <v>10812</v>
      </c>
      <c r="G3438" t="s">
        <v>1100</v>
      </c>
    </row>
    <row r="3439" spans="1:7" hidden="1" x14ac:dyDescent="0.25">
      <c r="A3439" t="s">
        <v>9200</v>
      </c>
      <c r="B3439" t="s">
        <v>5137</v>
      </c>
      <c r="F3439" t="s">
        <v>10815</v>
      </c>
      <c r="G3439" t="s">
        <v>1100</v>
      </c>
    </row>
    <row r="3440" spans="1:7" hidden="1" x14ac:dyDescent="0.25">
      <c r="A3440" t="s">
        <v>2024</v>
      </c>
      <c r="B3440" t="s">
        <v>1304</v>
      </c>
      <c r="E3440" t="s">
        <v>10889</v>
      </c>
      <c r="F3440" t="s">
        <v>10818</v>
      </c>
      <c r="G3440" t="s">
        <v>1100</v>
      </c>
    </row>
    <row r="3441" spans="1:7" hidden="1" x14ac:dyDescent="0.25">
      <c r="A3441" t="s">
        <v>9200</v>
      </c>
      <c r="B3441" t="s">
        <v>5137</v>
      </c>
      <c r="F3441" t="s">
        <v>10821</v>
      </c>
      <c r="G3441" t="s">
        <v>1100</v>
      </c>
    </row>
    <row r="3442" spans="1:7" hidden="1" x14ac:dyDescent="0.25">
      <c r="A3442" t="s">
        <v>4223</v>
      </c>
      <c r="B3442" t="s">
        <v>86</v>
      </c>
      <c r="C3442" t="s">
        <v>9202</v>
      </c>
      <c r="F3442" t="s">
        <v>10824</v>
      </c>
      <c r="G3442" s="1" t="s">
        <v>1603</v>
      </c>
    </row>
    <row r="3443" spans="1:7" hidden="1" x14ac:dyDescent="0.25">
      <c r="A3443" t="s">
        <v>533</v>
      </c>
      <c r="B3443" t="s">
        <v>1607</v>
      </c>
      <c r="C3443" t="s">
        <v>2929</v>
      </c>
      <c r="F3443" t="s">
        <v>10827</v>
      </c>
      <c r="G3443" s="1" t="s">
        <v>1603</v>
      </c>
    </row>
    <row r="3444" spans="1:7" hidden="1" x14ac:dyDescent="0.25">
      <c r="A3444" t="s">
        <v>4223</v>
      </c>
      <c r="B3444" t="s">
        <v>86</v>
      </c>
      <c r="C3444" t="s">
        <v>9202</v>
      </c>
      <c r="F3444" t="s">
        <v>10830</v>
      </c>
      <c r="G3444" s="1" t="s">
        <v>1603</v>
      </c>
    </row>
    <row r="3445" spans="1:7" hidden="1" x14ac:dyDescent="0.25">
      <c r="A3445" t="s">
        <v>533</v>
      </c>
      <c r="B3445" t="s">
        <v>1607</v>
      </c>
      <c r="C3445" t="s">
        <v>2929</v>
      </c>
      <c r="E3445" t="s">
        <v>6339</v>
      </c>
      <c r="F3445" t="s">
        <v>10833</v>
      </c>
      <c r="G3445" s="1" t="s">
        <v>1603</v>
      </c>
    </row>
    <row r="3446" spans="1:7" hidden="1" x14ac:dyDescent="0.25">
      <c r="A3446" t="s">
        <v>533</v>
      </c>
      <c r="B3446" t="s">
        <v>1607</v>
      </c>
      <c r="C3446" t="s">
        <v>2929</v>
      </c>
      <c r="F3446" t="s">
        <v>10836</v>
      </c>
      <c r="G3446" s="1" t="s">
        <v>1603</v>
      </c>
    </row>
    <row r="3447" spans="1:7" hidden="1" x14ac:dyDescent="0.25">
      <c r="A3447" t="s">
        <v>533</v>
      </c>
      <c r="B3447" t="s">
        <v>1607</v>
      </c>
      <c r="C3447" t="s">
        <v>2929</v>
      </c>
      <c r="F3447" t="s">
        <v>10839</v>
      </c>
      <c r="G3447" s="1" t="s">
        <v>1603</v>
      </c>
    </row>
    <row r="3448" spans="1:7" hidden="1" x14ac:dyDescent="0.25">
      <c r="A3448" t="s">
        <v>533</v>
      </c>
      <c r="B3448" t="s">
        <v>1607</v>
      </c>
      <c r="C3448" t="s">
        <v>2929</v>
      </c>
      <c r="F3448" t="s">
        <v>10842</v>
      </c>
      <c r="G3448" s="1" t="s">
        <v>1603</v>
      </c>
    </row>
    <row r="3449" spans="1:7" hidden="1" x14ac:dyDescent="0.25">
      <c r="A3449" t="s">
        <v>533</v>
      </c>
      <c r="B3449" t="s">
        <v>1607</v>
      </c>
      <c r="C3449" t="s">
        <v>2929</v>
      </c>
      <c r="F3449" t="s">
        <v>10845</v>
      </c>
      <c r="G3449" s="1" t="s">
        <v>1603</v>
      </c>
    </row>
    <row r="3450" spans="1:7" hidden="1" x14ac:dyDescent="0.25">
      <c r="A3450" t="s">
        <v>533</v>
      </c>
      <c r="B3450" t="s">
        <v>1607</v>
      </c>
      <c r="C3450" t="s">
        <v>2929</v>
      </c>
      <c r="F3450" t="s">
        <v>10848</v>
      </c>
      <c r="G3450" s="1" t="s">
        <v>1603</v>
      </c>
    </row>
    <row r="3451" spans="1:7" hidden="1" x14ac:dyDescent="0.25">
      <c r="A3451" t="s">
        <v>533</v>
      </c>
      <c r="B3451" t="s">
        <v>1607</v>
      </c>
      <c r="C3451" t="s">
        <v>2929</v>
      </c>
      <c r="F3451" t="s">
        <v>10851</v>
      </c>
      <c r="G3451" s="1" t="s">
        <v>1603</v>
      </c>
    </row>
    <row r="3452" spans="1:7" hidden="1" x14ac:dyDescent="0.25">
      <c r="A3452" t="s">
        <v>2004</v>
      </c>
      <c r="B3452" t="s">
        <v>8</v>
      </c>
      <c r="F3452" t="s">
        <v>10854</v>
      </c>
      <c r="G3452" t="s">
        <v>1817</v>
      </c>
    </row>
    <row r="3453" spans="1:7" hidden="1" x14ac:dyDescent="0.25">
      <c r="A3453" t="s">
        <v>2004</v>
      </c>
      <c r="B3453" t="s">
        <v>8</v>
      </c>
      <c r="F3453" t="s">
        <v>10857</v>
      </c>
      <c r="G3453" t="s">
        <v>1817</v>
      </c>
    </row>
    <row r="3454" spans="1:7" hidden="1" x14ac:dyDescent="0.25">
      <c r="A3454" t="s">
        <v>9876</v>
      </c>
      <c r="B3454" t="s">
        <v>9201</v>
      </c>
      <c r="F3454" t="s">
        <v>10860</v>
      </c>
      <c r="G3454" t="s">
        <v>1934</v>
      </c>
    </row>
    <row r="3455" spans="1:7" hidden="1" x14ac:dyDescent="0.25">
      <c r="A3455" t="s">
        <v>9876</v>
      </c>
      <c r="B3455" t="s">
        <v>9201</v>
      </c>
      <c r="E3455" t="s">
        <v>2936</v>
      </c>
      <c r="F3455" t="s">
        <v>10863</v>
      </c>
      <c r="G3455" t="s">
        <v>1934</v>
      </c>
    </row>
    <row r="3456" spans="1:7" hidden="1" x14ac:dyDescent="0.25">
      <c r="A3456" t="s">
        <v>9876</v>
      </c>
      <c r="B3456" t="s">
        <v>9201</v>
      </c>
      <c r="E3456" t="s">
        <v>2936</v>
      </c>
      <c r="F3456" t="s">
        <v>10866</v>
      </c>
      <c r="G3456" t="s">
        <v>1934</v>
      </c>
    </row>
    <row r="3457" spans="1:7" hidden="1" x14ac:dyDescent="0.25">
      <c r="A3457" t="s">
        <v>9876</v>
      </c>
      <c r="B3457" t="s">
        <v>9201</v>
      </c>
      <c r="E3457" t="s">
        <v>2936</v>
      </c>
      <c r="F3457" t="s">
        <v>10869</v>
      </c>
      <c r="G3457" t="s">
        <v>1934</v>
      </c>
    </row>
    <row r="3458" spans="1:7" hidden="1" x14ac:dyDescent="0.25">
      <c r="A3458" t="s">
        <v>2004</v>
      </c>
      <c r="B3458" t="s">
        <v>8</v>
      </c>
      <c r="F3458" t="s">
        <v>10872</v>
      </c>
      <c r="G3458" t="s">
        <v>1997</v>
      </c>
    </row>
    <row r="3459" spans="1:7" hidden="1" x14ac:dyDescent="0.25">
      <c r="A3459" t="s">
        <v>2004</v>
      </c>
      <c r="B3459" t="s">
        <v>8</v>
      </c>
      <c r="F3459" t="s">
        <v>10875</v>
      </c>
      <c r="G3459" t="s">
        <v>1997</v>
      </c>
    </row>
    <row r="3460" spans="1:7" hidden="1" x14ac:dyDescent="0.25">
      <c r="A3460" t="s">
        <v>91</v>
      </c>
      <c r="B3460" t="s">
        <v>70</v>
      </c>
      <c r="C3460" t="s">
        <v>5076</v>
      </c>
      <c r="F3460" t="s">
        <v>10902</v>
      </c>
      <c r="G3460" t="s">
        <v>1102</v>
      </c>
    </row>
    <row r="3461" spans="1:7" hidden="1" x14ac:dyDescent="0.25">
      <c r="A3461" t="s">
        <v>62</v>
      </c>
      <c r="B3461" t="s">
        <v>70</v>
      </c>
      <c r="C3461" t="s">
        <v>5093</v>
      </c>
      <c r="F3461" t="s">
        <v>10905</v>
      </c>
      <c r="G3461" t="s">
        <v>1102</v>
      </c>
    </row>
    <row r="3462" spans="1:7" hidden="1" x14ac:dyDescent="0.25">
      <c r="A3462" t="s">
        <v>1606</v>
      </c>
      <c r="B3462" t="s">
        <v>10140</v>
      </c>
      <c r="F3462" t="s">
        <v>10890</v>
      </c>
      <c r="G3462" t="s">
        <v>1103</v>
      </c>
    </row>
    <row r="3463" spans="1:7" hidden="1" x14ac:dyDescent="0.25">
      <c r="A3463" t="s">
        <v>650</v>
      </c>
      <c r="B3463" t="s">
        <v>10140</v>
      </c>
      <c r="F3463" t="s">
        <v>10893</v>
      </c>
      <c r="G3463" t="s">
        <v>1103</v>
      </c>
    </row>
    <row r="3464" spans="1:7" hidden="1" x14ac:dyDescent="0.25">
      <c r="A3464" t="s">
        <v>4</v>
      </c>
      <c r="B3464" t="s">
        <v>8803</v>
      </c>
      <c r="F3464" t="s">
        <v>10896</v>
      </c>
      <c r="G3464" t="s">
        <v>91</v>
      </c>
    </row>
    <row r="3465" spans="1:7" hidden="1" x14ac:dyDescent="0.25">
      <c r="A3465" t="s">
        <v>4</v>
      </c>
      <c r="B3465" t="s">
        <v>8803</v>
      </c>
      <c r="F3465" t="s">
        <v>10899</v>
      </c>
      <c r="G3465" t="s">
        <v>91</v>
      </c>
    </row>
    <row r="3466" spans="1:7" x14ac:dyDescent="0.25">
      <c r="A3466" t="s">
        <v>4</v>
      </c>
      <c r="B3466" t="s">
        <v>70</v>
      </c>
      <c r="C3466" t="s">
        <v>5093</v>
      </c>
      <c r="F3466" t="s">
        <v>10908</v>
      </c>
      <c r="G3466" t="s">
        <v>1104</v>
      </c>
    </row>
    <row r="3467" spans="1:7" x14ac:dyDescent="0.25">
      <c r="A3467" t="s">
        <v>289</v>
      </c>
      <c r="B3467" t="s">
        <v>70</v>
      </c>
      <c r="C3467" t="s">
        <v>5093</v>
      </c>
      <c r="F3467" t="s">
        <v>10911</v>
      </c>
      <c r="G3467" t="s">
        <v>1104</v>
      </c>
    </row>
    <row r="3468" spans="1:7" hidden="1" x14ac:dyDescent="0.25">
      <c r="A3468" t="s">
        <v>4</v>
      </c>
      <c r="B3468" t="s">
        <v>8045</v>
      </c>
      <c r="F3468" t="s">
        <v>10914</v>
      </c>
      <c r="G3468" t="s">
        <v>1105</v>
      </c>
    </row>
    <row r="3469" spans="1:7" hidden="1" x14ac:dyDescent="0.25">
      <c r="A3469" t="s">
        <v>4</v>
      </c>
      <c r="B3469" t="s">
        <v>8045</v>
      </c>
      <c r="F3469" t="s">
        <v>10917</v>
      </c>
      <c r="G3469" t="s">
        <v>1105</v>
      </c>
    </row>
    <row r="3470" spans="1:7" hidden="1" x14ac:dyDescent="0.25">
      <c r="A3470" t="s">
        <v>2004</v>
      </c>
      <c r="B3470" t="s">
        <v>8</v>
      </c>
      <c r="F3470" t="s">
        <v>10920</v>
      </c>
      <c r="G3470" t="s">
        <v>1106</v>
      </c>
    </row>
    <row r="3471" spans="1:7" hidden="1" x14ac:dyDescent="0.25">
      <c r="A3471" t="s">
        <v>2004</v>
      </c>
      <c r="B3471" t="s">
        <v>8</v>
      </c>
      <c r="F3471" t="s">
        <v>11004</v>
      </c>
      <c r="G3471" t="s">
        <v>1107</v>
      </c>
    </row>
    <row r="3472" spans="1:7" hidden="1" x14ac:dyDescent="0.25">
      <c r="A3472" t="s">
        <v>4</v>
      </c>
      <c r="B3472" t="s">
        <v>9</v>
      </c>
      <c r="F3472" t="s">
        <v>10923</v>
      </c>
      <c r="G3472" t="s">
        <v>796</v>
      </c>
    </row>
    <row r="3473" spans="1:7" hidden="1" x14ac:dyDescent="0.25">
      <c r="A3473" t="s">
        <v>9409</v>
      </c>
      <c r="B3473" t="s">
        <v>1607</v>
      </c>
      <c r="F3473" t="s">
        <v>10926</v>
      </c>
      <c r="G3473" t="s">
        <v>796</v>
      </c>
    </row>
    <row r="3474" spans="1:7" hidden="1" x14ac:dyDescent="0.25">
      <c r="A3474" t="s">
        <v>10888</v>
      </c>
      <c r="B3474" t="s">
        <v>796</v>
      </c>
      <c r="F3474" t="s">
        <v>10929</v>
      </c>
      <c r="G3474" t="s">
        <v>796</v>
      </c>
    </row>
    <row r="3475" spans="1:7" hidden="1" x14ac:dyDescent="0.25">
      <c r="A3475" t="s">
        <v>2024</v>
      </c>
      <c r="B3475" t="s">
        <v>796</v>
      </c>
      <c r="F3475" t="s">
        <v>10932</v>
      </c>
      <c r="G3475" t="s">
        <v>796</v>
      </c>
    </row>
    <row r="3476" spans="1:7" hidden="1" x14ac:dyDescent="0.25">
      <c r="A3476" t="s">
        <v>10888</v>
      </c>
      <c r="B3476" t="s">
        <v>796</v>
      </c>
      <c r="F3476" t="s">
        <v>10935</v>
      </c>
      <c r="G3476" t="s">
        <v>796</v>
      </c>
    </row>
    <row r="3477" spans="1:7" hidden="1" x14ac:dyDescent="0.25">
      <c r="A3477" t="s">
        <v>2024</v>
      </c>
      <c r="B3477" t="s">
        <v>796</v>
      </c>
      <c r="F3477" t="s">
        <v>10938</v>
      </c>
      <c r="G3477" t="s">
        <v>796</v>
      </c>
    </row>
    <row r="3478" spans="1:7" hidden="1" x14ac:dyDescent="0.25">
      <c r="A3478" t="s">
        <v>10888</v>
      </c>
      <c r="B3478" t="s">
        <v>796</v>
      </c>
      <c r="F3478" t="s">
        <v>10941</v>
      </c>
      <c r="G3478" t="s">
        <v>796</v>
      </c>
    </row>
    <row r="3479" spans="1:7" hidden="1" x14ac:dyDescent="0.25">
      <c r="A3479" t="s">
        <v>2024</v>
      </c>
      <c r="B3479" t="s">
        <v>796</v>
      </c>
      <c r="F3479" t="s">
        <v>10944</v>
      </c>
      <c r="G3479" t="s">
        <v>796</v>
      </c>
    </row>
    <row r="3480" spans="1:7" hidden="1" x14ac:dyDescent="0.25">
      <c r="A3480" t="s">
        <v>9455</v>
      </c>
      <c r="B3480" t="s">
        <v>531</v>
      </c>
      <c r="F3480" t="s">
        <v>10947</v>
      </c>
      <c r="G3480" t="s">
        <v>1100</v>
      </c>
    </row>
    <row r="3481" spans="1:7" hidden="1" x14ac:dyDescent="0.25">
      <c r="A3481" t="s">
        <v>4</v>
      </c>
      <c r="B3481" t="s">
        <v>7709</v>
      </c>
      <c r="F3481" t="s">
        <v>10950</v>
      </c>
      <c r="G3481" t="s">
        <v>1100</v>
      </c>
    </row>
    <row r="3482" spans="1:7" hidden="1" x14ac:dyDescent="0.25">
      <c r="A3482" t="s">
        <v>4</v>
      </c>
      <c r="B3482" t="s">
        <v>5480</v>
      </c>
      <c r="E3482" t="s">
        <v>5479</v>
      </c>
      <c r="F3482" t="s">
        <v>10953</v>
      </c>
      <c r="G3482" t="s">
        <v>1100</v>
      </c>
    </row>
    <row r="3483" spans="1:7" hidden="1" x14ac:dyDescent="0.25">
      <c r="A3483" t="s">
        <v>1606</v>
      </c>
      <c r="B3483" t="s">
        <v>70</v>
      </c>
      <c r="F3483" t="s">
        <v>10956</v>
      </c>
      <c r="G3483" s="1" t="s">
        <v>1603</v>
      </c>
    </row>
    <row r="3484" spans="1:7" hidden="1" x14ac:dyDescent="0.25">
      <c r="A3484" t="s">
        <v>289</v>
      </c>
      <c r="B3484" t="s">
        <v>70</v>
      </c>
      <c r="C3484" t="s">
        <v>11007</v>
      </c>
      <c r="F3484" t="s">
        <v>10959</v>
      </c>
      <c r="G3484" s="1" t="s">
        <v>1603</v>
      </c>
    </row>
    <row r="3485" spans="1:7" hidden="1" x14ac:dyDescent="0.25">
      <c r="A3485" t="s">
        <v>289</v>
      </c>
      <c r="B3485" t="s">
        <v>70</v>
      </c>
      <c r="C3485" t="s">
        <v>11007</v>
      </c>
      <c r="E3485" t="s">
        <v>2936</v>
      </c>
      <c r="F3485" t="s">
        <v>10962</v>
      </c>
      <c r="G3485" s="1" t="s">
        <v>1603</v>
      </c>
    </row>
    <row r="3486" spans="1:7" hidden="1" x14ac:dyDescent="0.25">
      <c r="A3486" t="s">
        <v>289</v>
      </c>
      <c r="B3486" t="s">
        <v>70</v>
      </c>
      <c r="C3486" t="s">
        <v>11007</v>
      </c>
      <c r="E3486" t="s">
        <v>2936</v>
      </c>
      <c r="F3486" t="s">
        <v>10965</v>
      </c>
      <c r="G3486" s="1" t="s">
        <v>1603</v>
      </c>
    </row>
    <row r="3487" spans="1:7" hidden="1" x14ac:dyDescent="0.25">
      <c r="A3487" t="s">
        <v>289</v>
      </c>
      <c r="B3487" t="s">
        <v>70</v>
      </c>
      <c r="C3487" t="s">
        <v>11007</v>
      </c>
      <c r="E3487" t="s">
        <v>2936</v>
      </c>
      <c r="F3487" t="s">
        <v>10968</v>
      </c>
      <c r="G3487" s="1" t="s">
        <v>1603</v>
      </c>
    </row>
    <row r="3488" spans="1:7" hidden="1" x14ac:dyDescent="0.25">
      <c r="A3488" t="s">
        <v>650</v>
      </c>
      <c r="B3488" t="s">
        <v>70</v>
      </c>
      <c r="F3488" t="s">
        <v>10971</v>
      </c>
      <c r="G3488" s="1" t="s">
        <v>1603</v>
      </c>
    </row>
    <row r="3489" spans="1:7" hidden="1" x14ac:dyDescent="0.25">
      <c r="A3489" t="s">
        <v>4223</v>
      </c>
      <c r="B3489" t="s">
        <v>86</v>
      </c>
      <c r="C3489" t="s">
        <v>9202</v>
      </c>
      <c r="F3489" t="s">
        <v>10974</v>
      </c>
      <c r="G3489" s="1" t="s">
        <v>1603</v>
      </c>
    </row>
    <row r="3490" spans="1:7" hidden="1" x14ac:dyDescent="0.25">
      <c r="A3490" t="s">
        <v>159</v>
      </c>
      <c r="B3490" t="s">
        <v>10140</v>
      </c>
      <c r="F3490" t="s">
        <v>10977</v>
      </c>
      <c r="G3490" s="1" t="s">
        <v>1603</v>
      </c>
    </row>
    <row r="3491" spans="1:7" hidden="1" x14ac:dyDescent="0.25">
      <c r="A3491" t="s">
        <v>1606</v>
      </c>
      <c r="B3491" t="s">
        <v>10140</v>
      </c>
      <c r="F3491" t="s">
        <v>10980</v>
      </c>
      <c r="G3491" s="1" t="s">
        <v>1603</v>
      </c>
    </row>
    <row r="3492" spans="1:7" hidden="1" x14ac:dyDescent="0.25">
      <c r="A3492" t="s">
        <v>4</v>
      </c>
      <c r="B3492" t="s">
        <v>11008</v>
      </c>
      <c r="F3492" t="s">
        <v>10983</v>
      </c>
      <c r="G3492" s="1" t="s">
        <v>1603</v>
      </c>
    </row>
    <row r="3493" spans="1:7" hidden="1" x14ac:dyDescent="0.25">
      <c r="A3493" t="s">
        <v>650</v>
      </c>
      <c r="B3493" t="s">
        <v>10140</v>
      </c>
      <c r="F3493" t="s">
        <v>10986</v>
      </c>
      <c r="G3493" s="1" t="s">
        <v>1603</v>
      </c>
    </row>
    <row r="3494" spans="1:7" hidden="1" x14ac:dyDescent="0.25">
      <c r="A3494" t="s">
        <v>2004</v>
      </c>
      <c r="B3494" t="s">
        <v>8</v>
      </c>
      <c r="F3494" t="s">
        <v>10989</v>
      </c>
      <c r="G3494" t="s">
        <v>1817</v>
      </c>
    </row>
    <row r="3495" spans="1:7" hidden="1" x14ac:dyDescent="0.25">
      <c r="A3495" t="s">
        <v>2004</v>
      </c>
      <c r="B3495" t="s">
        <v>8</v>
      </c>
      <c r="F3495" t="s">
        <v>10992</v>
      </c>
      <c r="G3495" t="s">
        <v>1817</v>
      </c>
    </row>
    <row r="3496" spans="1:7" hidden="1" x14ac:dyDescent="0.25">
      <c r="A3496" t="s">
        <v>11009</v>
      </c>
      <c r="B3496" t="s">
        <v>9201</v>
      </c>
      <c r="F3496" t="s">
        <v>10995</v>
      </c>
      <c r="G3496" t="s">
        <v>1934</v>
      </c>
    </row>
    <row r="3497" spans="1:7" hidden="1" x14ac:dyDescent="0.25">
      <c r="A3497" t="s">
        <v>4</v>
      </c>
      <c r="B3497" t="s">
        <v>8</v>
      </c>
      <c r="F3497" t="s">
        <v>10998</v>
      </c>
      <c r="G3497" t="s">
        <v>1934</v>
      </c>
    </row>
    <row r="3498" spans="1:7" hidden="1" x14ac:dyDescent="0.25">
      <c r="A3498" t="s">
        <v>2004</v>
      </c>
      <c r="B3498" t="s">
        <v>8</v>
      </c>
      <c r="F3498" t="s">
        <v>11001</v>
      </c>
      <c r="G3498" t="s">
        <v>1997</v>
      </c>
    </row>
    <row r="3499" spans="1:7" hidden="1" x14ac:dyDescent="0.25">
      <c r="A3499" t="s">
        <v>91</v>
      </c>
      <c r="B3499" t="s">
        <v>11124</v>
      </c>
      <c r="F3499" t="s">
        <v>11010</v>
      </c>
      <c r="G3499" t="s">
        <v>1102</v>
      </c>
    </row>
    <row r="3500" spans="1:7" hidden="1" x14ac:dyDescent="0.25">
      <c r="A3500" t="s">
        <v>62</v>
      </c>
      <c r="B3500" t="s">
        <v>11124</v>
      </c>
      <c r="C3500" t="s">
        <v>53</v>
      </c>
      <c r="D3500">
        <v>11</v>
      </c>
      <c r="F3500" t="s">
        <v>11013</v>
      </c>
      <c r="G3500" t="s">
        <v>1102</v>
      </c>
    </row>
    <row r="3501" spans="1:7" hidden="1" x14ac:dyDescent="0.25">
      <c r="A3501" t="s">
        <v>91</v>
      </c>
      <c r="B3501" t="s">
        <v>11125</v>
      </c>
      <c r="F3501" t="s">
        <v>11016</v>
      </c>
      <c r="G3501" t="s">
        <v>1102</v>
      </c>
    </row>
    <row r="3502" spans="1:7" hidden="1" x14ac:dyDescent="0.25">
      <c r="A3502" t="s">
        <v>2004</v>
      </c>
      <c r="F3502" t="s">
        <v>11019</v>
      </c>
      <c r="G3502" t="s">
        <v>1102</v>
      </c>
    </row>
    <row r="3503" spans="1:7" hidden="1" x14ac:dyDescent="0.25">
      <c r="A3503" t="s">
        <v>2004</v>
      </c>
      <c r="B3503" t="s">
        <v>8</v>
      </c>
      <c r="F3503" t="s">
        <v>11022</v>
      </c>
      <c r="G3503" t="s">
        <v>1103</v>
      </c>
    </row>
    <row r="3504" spans="1:7" hidden="1" x14ac:dyDescent="0.25">
      <c r="A3504" t="s">
        <v>2004</v>
      </c>
      <c r="B3504" t="s">
        <v>8</v>
      </c>
      <c r="F3504" t="s">
        <v>11025</v>
      </c>
      <c r="G3504" t="s">
        <v>1103</v>
      </c>
    </row>
    <row r="3505" spans="1:7" hidden="1" x14ac:dyDescent="0.25">
      <c r="A3505" t="s">
        <v>4</v>
      </c>
      <c r="B3505" t="s">
        <v>11124</v>
      </c>
      <c r="F3505" t="s">
        <v>11061</v>
      </c>
      <c r="G3505" t="s">
        <v>91</v>
      </c>
    </row>
    <row r="3506" spans="1:7" hidden="1" x14ac:dyDescent="0.25">
      <c r="A3506" t="s">
        <v>2004</v>
      </c>
      <c r="B3506" t="s">
        <v>8</v>
      </c>
      <c r="F3506" t="s">
        <v>11064</v>
      </c>
      <c r="G3506" t="s">
        <v>91</v>
      </c>
    </row>
    <row r="3507" spans="1:7" x14ac:dyDescent="0.25">
      <c r="A3507" t="s">
        <v>2004</v>
      </c>
      <c r="B3507" t="s">
        <v>8</v>
      </c>
      <c r="F3507" t="s">
        <v>11028</v>
      </c>
      <c r="G3507" t="s">
        <v>1104</v>
      </c>
    </row>
    <row r="3508" spans="1:7" x14ac:dyDescent="0.25">
      <c r="A3508" t="s">
        <v>2004</v>
      </c>
      <c r="B3508" t="s">
        <v>8</v>
      </c>
      <c r="F3508" t="s">
        <v>11031</v>
      </c>
      <c r="G3508" t="s">
        <v>1104</v>
      </c>
    </row>
    <row r="3509" spans="1:7" hidden="1" x14ac:dyDescent="0.25">
      <c r="A3509" t="s">
        <v>4</v>
      </c>
      <c r="B3509" t="s">
        <v>8</v>
      </c>
      <c r="F3509" t="s">
        <v>11067</v>
      </c>
      <c r="G3509" t="s">
        <v>1105</v>
      </c>
    </row>
    <row r="3510" spans="1:7" hidden="1" x14ac:dyDescent="0.25">
      <c r="A3510" t="s">
        <v>650</v>
      </c>
      <c r="B3510" t="s">
        <v>11125</v>
      </c>
      <c r="E3510" t="s">
        <v>11126</v>
      </c>
      <c r="F3510" t="s">
        <v>11070</v>
      </c>
      <c r="G3510" t="s">
        <v>1105</v>
      </c>
    </row>
    <row r="3511" spans="1:7" hidden="1" x14ac:dyDescent="0.25">
      <c r="A3511" t="s">
        <v>4</v>
      </c>
      <c r="B3511" t="s">
        <v>9876</v>
      </c>
      <c r="F3511" t="s">
        <v>11073</v>
      </c>
      <c r="G3511" t="s">
        <v>1105</v>
      </c>
    </row>
    <row r="3512" spans="1:7" hidden="1" x14ac:dyDescent="0.25">
      <c r="A3512" t="s">
        <v>4</v>
      </c>
      <c r="B3512" t="s">
        <v>8045</v>
      </c>
      <c r="F3512" t="s">
        <v>11034</v>
      </c>
      <c r="G3512" t="s">
        <v>1106</v>
      </c>
    </row>
    <row r="3513" spans="1:7" hidden="1" x14ac:dyDescent="0.25">
      <c r="A3513" t="s">
        <v>2004</v>
      </c>
      <c r="B3513" t="s">
        <v>8</v>
      </c>
      <c r="F3513" t="s">
        <v>11037</v>
      </c>
      <c r="G3513" t="s">
        <v>1106</v>
      </c>
    </row>
    <row r="3514" spans="1:7" hidden="1" x14ac:dyDescent="0.25">
      <c r="A3514" t="s">
        <v>2004</v>
      </c>
      <c r="B3514" t="s">
        <v>8</v>
      </c>
      <c r="F3514" t="s">
        <v>11127</v>
      </c>
      <c r="G3514" t="s">
        <v>1107</v>
      </c>
    </row>
    <row r="3515" spans="1:7" hidden="1" x14ac:dyDescent="0.25">
      <c r="A3515" t="s">
        <v>2004</v>
      </c>
      <c r="B3515" t="s">
        <v>8</v>
      </c>
      <c r="F3515" t="s">
        <v>11130</v>
      </c>
      <c r="G3515" t="s">
        <v>1107</v>
      </c>
    </row>
    <row r="3516" spans="1:7" hidden="1" x14ac:dyDescent="0.25">
      <c r="A3516" t="s">
        <v>9455</v>
      </c>
      <c r="B3516" t="s">
        <v>1607</v>
      </c>
      <c r="F3516" t="s">
        <v>11040</v>
      </c>
      <c r="G3516" t="s">
        <v>796</v>
      </c>
    </row>
    <row r="3517" spans="1:7" hidden="1" x14ac:dyDescent="0.25">
      <c r="A3517" t="s">
        <v>2024</v>
      </c>
      <c r="B3517" t="s">
        <v>796</v>
      </c>
      <c r="F3517" t="s">
        <v>11043</v>
      </c>
      <c r="G3517" t="s">
        <v>796</v>
      </c>
    </row>
    <row r="3518" spans="1:7" hidden="1" x14ac:dyDescent="0.25">
      <c r="A3518" t="s">
        <v>11133</v>
      </c>
      <c r="B3518" t="s">
        <v>11134</v>
      </c>
      <c r="F3518" t="s">
        <v>11046</v>
      </c>
      <c r="G3518" t="s">
        <v>1100</v>
      </c>
    </row>
    <row r="3519" spans="1:7" hidden="1" x14ac:dyDescent="0.25">
      <c r="A3519" t="s">
        <v>9692</v>
      </c>
      <c r="B3519" t="s">
        <v>1607</v>
      </c>
      <c r="F3519" t="s">
        <v>11049</v>
      </c>
      <c r="G3519" t="s">
        <v>1100</v>
      </c>
    </row>
    <row r="3520" spans="1:7" hidden="1" x14ac:dyDescent="0.25">
      <c r="A3520" t="s">
        <v>289</v>
      </c>
      <c r="B3520" t="s">
        <v>11124</v>
      </c>
      <c r="C3520" t="s">
        <v>7167</v>
      </c>
      <c r="D3520">
        <v>1</v>
      </c>
      <c r="F3520" t="s">
        <v>11076</v>
      </c>
      <c r="G3520" s="1" t="s">
        <v>1603</v>
      </c>
    </row>
    <row r="3521" spans="1:7" hidden="1" x14ac:dyDescent="0.25">
      <c r="A3521" t="s">
        <v>289</v>
      </c>
      <c r="B3521" t="s">
        <v>11124</v>
      </c>
      <c r="C3521" t="s">
        <v>7167</v>
      </c>
      <c r="D3521">
        <v>1</v>
      </c>
      <c r="F3521" t="s">
        <v>11079</v>
      </c>
      <c r="G3521" s="1" t="s">
        <v>1603</v>
      </c>
    </row>
    <row r="3522" spans="1:7" hidden="1" x14ac:dyDescent="0.25">
      <c r="A3522" t="s">
        <v>289</v>
      </c>
      <c r="B3522" t="s">
        <v>11124</v>
      </c>
      <c r="C3522" t="s">
        <v>7167</v>
      </c>
      <c r="D3522">
        <v>1</v>
      </c>
      <c r="F3522" t="s">
        <v>11082</v>
      </c>
      <c r="G3522" s="1" t="s">
        <v>1603</v>
      </c>
    </row>
    <row r="3523" spans="1:7" hidden="1" x14ac:dyDescent="0.25">
      <c r="A3523" t="s">
        <v>289</v>
      </c>
      <c r="B3523" t="s">
        <v>11124</v>
      </c>
      <c r="C3523" t="s">
        <v>7167</v>
      </c>
      <c r="D3523">
        <v>1</v>
      </c>
      <c r="F3523" t="s">
        <v>11085</v>
      </c>
      <c r="G3523" s="1" t="s">
        <v>1603</v>
      </c>
    </row>
    <row r="3524" spans="1:7" hidden="1" x14ac:dyDescent="0.25">
      <c r="A3524" t="s">
        <v>289</v>
      </c>
      <c r="B3524" t="s">
        <v>11124</v>
      </c>
      <c r="C3524" t="s">
        <v>7167</v>
      </c>
      <c r="D3524">
        <v>1</v>
      </c>
      <c r="F3524" t="s">
        <v>11088</v>
      </c>
      <c r="G3524" s="1" t="s">
        <v>1603</v>
      </c>
    </row>
    <row r="3525" spans="1:7" hidden="1" x14ac:dyDescent="0.25">
      <c r="A3525" t="s">
        <v>289</v>
      </c>
      <c r="B3525" t="s">
        <v>11124</v>
      </c>
      <c r="C3525" t="s">
        <v>7167</v>
      </c>
      <c r="D3525">
        <v>1</v>
      </c>
      <c r="F3525" t="s">
        <v>11091</v>
      </c>
      <c r="G3525" s="1" t="s">
        <v>1603</v>
      </c>
    </row>
    <row r="3526" spans="1:7" hidden="1" x14ac:dyDescent="0.25">
      <c r="A3526" t="s">
        <v>289</v>
      </c>
      <c r="B3526" t="s">
        <v>11124</v>
      </c>
      <c r="C3526" t="s">
        <v>7167</v>
      </c>
      <c r="D3526">
        <v>1</v>
      </c>
      <c r="F3526" t="s">
        <v>11094</v>
      </c>
      <c r="G3526" s="1" t="s">
        <v>1603</v>
      </c>
    </row>
    <row r="3527" spans="1:7" hidden="1" x14ac:dyDescent="0.25">
      <c r="A3527" t="s">
        <v>289</v>
      </c>
      <c r="B3527" t="s">
        <v>11124</v>
      </c>
      <c r="C3527" t="s">
        <v>7167</v>
      </c>
      <c r="D3527">
        <v>1</v>
      </c>
      <c r="F3527" t="s">
        <v>11097</v>
      </c>
      <c r="G3527" s="1" t="s">
        <v>1603</v>
      </c>
    </row>
    <row r="3528" spans="1:7" hidden="1" x14ac:dyDescent="0.25">
      <c r="A3528" t="s">
        <v>289</v>
      </c>
      <c r="B3528" t="s">
        <v>11124</v>
      </c>
      <c r="C3528" t="s">
        <v>7167</v>
      </c>
      <c r="D3528">
        <v>1</v>
      </c>
      <c r="F3528" t="s">
        <v>11100</v>
      </c>
      <c r="G3528" s="1" t="s">
        <v>1603</v>
      </c>
    </row>
    <row r="3529" spans="1:7" hidden="1" x14ac:dyDescent="0.25">
      <c r="A3529" t="s">
        <v>289</v>
      </c>
      <c r="B3529" t="s">
        <v>11124</v>
      </c>
      <c r="C3529" t="s">
        <v>7167</v>
      </c>
      <c r="D3529">
        <v>1</v>
      </c>
      <c r="F3529" t="s">
        <v>11103</v>
      </c>
      <c r="G3529" s="1" t="s">
        <v>1603</v>
      </c>
    </row>
    <row r="3530" spans="1:7" hidden="1" x14ac:dyDescent="0.25">
      <c r="A3530" t="s">
        <v>289</v>
      </c>
      <c r="B3530" t="s">
        <v>11124</v>
      </c>
      <c r="C3530" t="s">
        <v>7167</v>
      </c>
      <c r="D3530">
        <v>1</v>
      </c>
      <c r="F3530" t="s">
        <v>11106</v>
      </c>
      <c r="G3530" s="1" t="s">
        <v>1603</v>
      </c>
    </row>
    <row r="3531" spans="1:7" hidden="1" x14ac:dyDescent="0.25">
      <c r="A3531" t="s">
        <v>650</v>
      </c>
      <c r="B3531" t="s">
        <v>11124</v>
      </c>
      <c r="F3531" t="s">
        <v>11109</v>
      </c>
      <c r="G3531" s="1" t="s">
        <v>1603</v>
      </c>
    </row>
    <row r="3532" spans="1:7" hidden="1" x14ac:dyDescent="0.25">
      <c r="A3532" t="s">
        <v>533</v>
      </c>
      <c r="B3532" t="s">
        <v>1607</v>
      </c>
      <c r="C3532" t="s">
        <v>2929</v>
      </c>
      <c r="F3532" t="s">
        <v>11112</v>
      </c>
      <c r="G3532" s="1" t="s">
        <v>1603</v>
      </c>
    </row>
    <row r="3533" spans="1:7" hidden="1" x14ac:dyDescent="0.25">
      <c r="A3533" t="s">
        <v>533</v>
      </c>
      <c r="B3533" t="s">
        <v>1607</v>
      </c>
      <c r="C3533" t="s">
        <v>2929</v>
      </c>
      <c r="F3533" t="s">
        <v>11115</v>
      </c>
      <c r="G3533" s="1" t="s">
        <v>1603</v>
      </c>
    </row>
    <row r="3534" spans="1:7" hidden="1" x14ac:dyDescent="0.25">
      <c r="A3534" t="s">
        <v>2004</v>
      </c>
      <c r="B3534" t="s">
        <v>8</v>
      </c>
      <c r="F3534" t="s">
        <v>11052</v>
      </c>
      <c r="G3534" t="s">
        <v>1817</v>
      </c>
    </row>
    <row r="3535" spans="1:7" hidden="1" x14ac:dyDescent="0.25">
      <c r="A3535" t="s">
        <v>11138</v>
      </c>
      <c r="F3535" t="s">
        <v>11135</v>
      </c>
      <c r="G3535" t="s">
        <v>1817</v>
      </c>
    </row>
    <row r="3536" spans="1:7" hidden="1" x14ac:dyDescent="0.25">
      <c r="A3536" t="s">
        <v>2004</v>
      </c>
      <c r="B3536" t="s">
        <v>8</v>
      </c>
      <c r="E3536" t="s">
        <v>2014</v>
      </c>
      <c r="F3536" t="s">
        <v>11118</v>
      </c>
      <c r="G3536" t="s">
        <v>1934</v>
      </c>
    </row>
    <row r="3537" spans="1:7" hidden="1" x14ac:dyDescent="0.25">
      <c r="A3537" t="s">
        <v>2004</v>
      </c>
      <c r="B3537" t="s">
        <v>8</v>
      </c>
      <c r="E3537" t="s">
        <v>2014</v>
      </c>
      <c r="F3537" t="s">
        <v>11121</v>
      </c>
      <c r="G3537" t="s">
        <v>1934</v>
      </c>
    </row>
    <row r="3538" spans="1:7" hidden="1" x14ac:dyDescent="0.25">
      <c r="A3538" t="s">
        <v>2014</v>
      </c>
      <c r="F3538" t="s">
        <v>11055</v>
      </c>
      <c r="G3538" t="s">
        <v>1997</v>
      </c>
    </row>
    <row r="3539" spans="1:7" hidden="1" x14ac:dyDescent="0.25">
      <c r="A3539" t="s">
        <v>2004</v>
      </c>
      <c r="B3539" t="s">
        <v>8</v>
      </c>
      <c r="F3539" t="s">
        <v>11058</v>
      </c>
      <c r="G3539" t="s">
        <v>1997</v>
      </c>
    </row>
    <row r="3540" spans="1:7" hidden="1" x14ac:dyDescent="0.25">
      <c r="A3540" t="s">
        <v>2004</v>
      </c>
      <c r="F3540" s="8" t="s">
        <v>11145</v>
      </c>
      <c r="G3540" t="s">
        <v>1102</v>
      </c>
    </row>
    <row r="3541" spans="1:7" hidden="1" x14ac:dyDescent="0.25">
      <c r="A3541" t="s">
        <v>91</v>
      </c>
      <c r="B3541" t="s">
        <v>11412</v>
      </c>
      <c r="C3541" t="s">
        <v>60</v>
      </c>
      <c r="F3541" s="8" t="s">
        <v>11148</v>
      </c>
      <c r="G3541" t="s">
        <v>1102</v>
      </c>
    </row>
    <row r="3542" spans="1:7" hidden="1" x14ac:dyDescent="0.25">
      <c r="A3542" t="s">
        <v>62</v>
      </c>
      <c r="B3542" t="s">
        <v>11412</v>
      </c>
      <c r="C3542" t="s">
        <v>51</v>
      </c>
      <c r="F3542" s="8" t="s">
        <v>11151</v>
      </c>
      <c r="G3542" t="s">
        <v>1102</v>
      </c>
    </row>
    <row r="3543" spans="1:7" hidden="1" x14ac:dyDescent="0.25">
      <c r="A3543" t="s">
        <v>62</v>
      </c>
      <c r="B3543" t="s">
        <v>6190</v>
      </c>
      <c r="C3543" t="s">
        <v>11413</v>
      </c>
      <c r="F3543" s="8" t="s">
        <v>11154</v>
      </c>
      <c r="G3543" t="s">
        <v>1102</v>
      </c>
    </row>
    <row r="3544" spans="1:7" hidden="1" x14ac:dyDescent="0.25">
      <c r="A3544" t="s">
        <v>91</v>
      </c>
      <c r="B3544" t="s">
        <v>6190</v>
      </c>
      <c r="F3544" s="8" t="s">
        <v>11157</v>
      </c>
      <c r="G3544" t="s">
        <v>1102</v>
      </c>
    </row>
    <row r="3545" spans="1:7" hidden="1" x14ac:dyDescent="0.25">
      <c r="A3545" t="s">
        <v>2004</v>
      </c>
      <c r="B3545" t="s">
        <v>8</v>
      </c>
      <c r="F3545" s="8" t="s">
        <v>11139</v>
      </c>
      <c r="G3545" t="s">
        <v>1103</v>
      </c>
    </row>
    <row r="3546" spans="1:7" hidden="1" x14ac:dyDescent="0.25">
      <c r="A3546" t="s">
        <v>4</v>
      </c>
      <c r="B3546" t="s">
        <v>10140</v>
      </c>
      <c r="F3546" s="8" t="s">
        <v>11142</v>
      </c>
      <c r="G3546" t="s">
        <v>1103</v>
      </c>
    </row>
    <row r="3547" spans="1:7" hidden="1" x14ac:dyDescent="0.25">
      <c r="A3547" t="s">
        <v>4</v>
      </c>
      <c r="B3547" t="s">
        <v>8803</v>
      </c>
      <c r="F3547" s="8" t="s">
        <v>11172</v>
      </c>
      <c r="G3547" t="s">
        <v>91</v>
      </c>
    </row>
    <row r="3548" spans="1:7" hidden="1" x14ac:dyDescent="0.25">
      <c r="A3548" t="s">
        <v>4</v>
      </c>
      <c r="B3548" t="s">
        <v>8803</v>
      </c>
      <c r="F3548" s="8" t="s">
        <v>11175</v>
      </c>
      <c r="G3548" t="s">
        <v>91</v>
      </c>
    </row>
    <row r="3549" spans="1:7" hidden="1" x14ac:dyDescent="0.25">
      <c r="A3549" t="s">
        <v>4</v>
      </c>
      <c r="B3549" t="s">
        <v>8803</v>
      </c>
      <c r="F3549" s="8" t="s">
        <v>11178</v>
      </c>
      <c r="G3549" t="s">
        <v>91</v>
      </c>
    </row>
    <row r="3550" spans="1:7" x14ac:dyDescent="0.25">
      <c r="A3550" t="s">
        <v>4</v>
      </c>
      <c r="B3550" t="s">
        <v>8803</v>
      </c>
      <c r="F3550" t="s">
        <v>11187</v>
      </c>
      <c r="G3550" t="s">
        <v>1104</v>
      </c>
    </row>
    <row r="3551" spans="1:7" hidden="1" x14ac:dyDescent="0.25">
      <c r="A3551" t="s">
        <v>4</v>
      </c>
      <c r="B3551" t="s">
        <v>9876</v>
      </c>
      <c r="F3551" s="8" t="s">
        <v>11160</v>
      </c>
      <c r="G3551" t="s">
        <v>1105</v>
      </c>
    </row>
    <row r="3552" spans="1:7" hidden="1" x14ac:dyDescent="0.25">
      <c r="A3552" t="s">
        <v>4</v>
      </c>
      <c r="B3552" t="s">
        <v>9876</v>
      </c>
      <c r="F3552" s="8" t="s">
        <v>11163</v>
      </c>
      <c r="G3552" t="s">
        <v>1105</v>
      </c>
    </row>
    <row r="3553" spans="1:7" hidden="1" x14ac:dyDescent="0.25">
      <c r="A3553" t="s">
        <v>4</v>
      </c>
      <c r="B3553" t="s">
        <v>9876</v>
      </c>
      <c r="F3553" s="8" t="s">
        <v>11166</v>
      </c>
      <c r="G3553" t="s">
        <v>1105</v>
      </c>
    </row>
    <row r="3554" spans="1:7" hidden="1" x14ac:dyDescent="0.25">
      <c r="A3554" t="s">
        <v>4</v>
      </c>
      <c r="B3554" t="s">
        <v>9876</v>
      </c>
      <c r="F3554" s="8" t="s">
        <v>11169</v>
      </c>
      <c r="G3554" t="s">
        <v>1105</v>
      </c>
    </row>
    <row r="3555" spans="1:7" hidden="1" x14ac:dyDescent="0.25">
      <c r="A3555" t="s">
        <v>2004</v>
      </c>
      <c r="B3555" t="s">
        <v>8</v>
      </c>
      <c r="F3555" s="8" t="s">
        <v>11181</v>
      </c>
      <c r="G3555" t="s">
        <v>1106</v>
      </c>
    </row>
    <row r="3556" spans="1:7" hidden="1" x14ac:dyDescent="0.25">
      <c r="A3556" t="s">
        <v>4</v>
      </c>
      <c r="B3556" t="s">
        <v>8045</v>
      </c>
      <c r="F3556" s="8" t="s">
        <v>11184</v>
      </c>
      <c r="G3556" t="s">
        <v>1106</v>
      </c>
    </row>
    <row r="3557" spans="1:7" hidden="1" x14ac:dyDescent="0.25">
      <c r="A3557" t="s">
        <v>2004</v>
      </c>
      <c r="B3557" t="s">
        <v>8</v>
      </c>
      <c r="F3557" s="8" t="s">
        <v>11414</v>
      </c>
      <c r="G3557" t="s">
        <v>1107</v>
      </c>
    </row>
    <row r="3558" spans="1:7" hidden="1" x14ac:dyDescent="0.25">
      <c r="A3558" t="s">
        <v>2004</v>
      </c>
      <c r="B3558" t="s">
        <v>8</v>
      </c>
      <c r="F3558" s="8" t="s">
        <v>11417</v>
      </c>
      <c r="G3558" t="s">
        <v>1107</v>
      </c>
    </row>
    <row r="3559" spans="1:7" hidden="1" x14ac:dyDescent="0.25">
      <c r="A3559" t="s">
        <v>2024</v>
      </c>
      <c r="B3559" t="s">
        <v>796</v>
      </c>
      <c r="F3559" s="8" t="s">
        <v>11199</v>
      </c>
      <c r="G3559" t="s">
        <v>796</v>
      </c>
    </row>
    <row r="3560" spans="1:7" hidden="1" x14ac:dyDescent="0.25">
      <c r="A3560" t="s">
        <v>9409</v>
      </c>
      <c r="B3560" t="s">
        <v>1607</v>
      </c>
      <c r="F3560" s="8" t="s">
        <v>11202</v>
      </c>
      <c r="G3560" t="s">
        <v>796</v>
      </c>
    </row>
    <row r="3561" spans="1:7" hidden="1" x14ac:dyDescent="0.25">
      <c r="A3561" t="s">
        <v>9409</v>
      </c>
      <c r="B3561" t="s">
        <v>1607</v>
      </c>
      <c r="F3561" s="8" t="s">
        <v>11205</v>
      </c>
      <c r="G3561" t="s">
        <v>796</v>
      </c>
    </row>
    <row r="3562" spans="1:7" hidden="1" x14ac:dyDescent="0.25">
      <c r="A3562" t="s">
        <v>9409</v>
      </c>
      <c r="B3562" t="s">
        <v>1607</v>
      </c>
      <c r="F3562" s="8" t="s">
        <v>11208</v>
      </c>
      <c r="G3562" t="s">
        <v>796</v>
      </c>
    </row>
    <row r="3563" spans="1:7" hidden="1" x14ac:dyDescent="0.25">
      <c r="A3563" t="s">
        <v>4</v>
      </c>
      <c r="B3563" t="s">
        <v>9</v>
      </c>
      <c r="F3563" s="8" t="s">
        <v>11211</v>
      </c>
      <c r="G3563" t="s">
        <v>796</v>
      </c>
    </row>
    <row r="3564" spans="1:7" hidden="1" x14ac:dyDescent="0.25">
      <c r="A3564" t="s">
        <v>9409</v>
      </c>
      <c r="B3564" t="s">
        <v>1607</v>
      </c>
      <c r="F3564" s="8" t="s">
        <v>11214</v>
      </c>
      <c r="G3564" t="s">
        <v>796</v>
      </c>
    </row>
    <row r="3565" spans="1:7" hidden="1" x14ac:dyDescent="0.25">
      <c r="A3565" t="s">
        <v>2024</v>
      </c>
      <c r="B3565" t="s">
        <v>796</v>
      </c>
      <c r="F3565" s="8" t="s">
        <v>11217</v>
      </c>
      <c r="G3565" t="s">
        <v>796</v>
      </c>
    </row>
    <row r="3566" spans="1:7" hidden="1" x14ac:dyDescent="0.25">
      <c r="A3566" t="s">
        <v>9409</v>
      </c>
      <c r="B3566" t="s">
        <v>1607</v>
      </c>
      <c r="F3566" s="8" t="s">
        <v>11220</v>
      </c>
      <c r="G3566" t="s">
        <v>796</v>
      </c>
    </row>
    <row r="3567" spans="1:7" hidden="1" x14ac:dyDescent="0.25">
      <c r="A3567" t="s">
        <v>2024</v>
      </c>
      <c r="B3567" t="s">
        <v>796</v>
      </c>
      <c r="F3567" s="8" t="s">
        <v>11223</v>
      </c>
      <c r="G3567" t="s">
        <v>796</v>
      </c>
    </row>
    <row r="3568" spans="1:7" hidden="1" x14ac:dyDescent="0.25">
      <c r="A3568" t="s">
        <v>4</v>
      </c>
      <c r="B3568" t="s">
        <v>9</v>
      </c>
      <c r="F3568" s="8" t="s">
        <v>11226</v>
      </c>
      <c r="G3568" t="s">
        <v>1100</v>
      </c>
    </row>
    <row r="3569" spans="1:7" hidden="1" x14ac:dyDescent="0.25">
      <c r="A3569" t="s">
        <v>158</v>
      </c>
      <c r="B3569" t="s">
        <v>5480</v>
      </c>
      <c r="C3569" t="s">
        <v>528</v>
      </c>
      <c r="D3569">
        <v>1</v>
      </c>
      <c r="F3569" s="8" t="s">
        <v>11229</v>
      </c>
      <c r="G3569" t="s">
        <v>1100</v>
      </c>
    </row>
    <row r="3570" spans="1:7" hidden="1" x14ac:dyDescent="0.25">
      <c r="A3570" t="s">
        <v>5476</v>
      </c>
      <c r="B3570" t="s">
        <v>5480</v>
      </c>
      <c r="C3570" t="s">
        <v>9203</v>
      </c>
      <c r="D3570">
        <v>1</v>
      </c>
      <c r="F3570" s="8" t="s">
        <v>11232</v>
      </c>
      <c r="G3570" t="s">
        <v>1100</v>
      </c>
    </row>
    <row r="3571" spans="1:7" hidden="1" x14ac:dyDescent="0.25">
      <c r="A3571" t="s">
        <v>9200</v>
      </c>
      <c r="B3571" t="s">
        <v>9201</v>
      </c>
      <c r="F3571" s="8" t="s">
        <v>11235</v>
      </c>
      <c r="G3571" t="s">
        <v>1100</v>
      </c>
    </row>
    <row r="3572" spans="1:7" hidden="1" x14ac:dyDescent="0.25">
      <c r="A3572" t="s">
        <v>2024</v>
      </c>
      <c r="B3572" t="s">
        <v>1304</v>
      </c>
      <c r="E3572" t="s">
        <v>10889</v>
      </c>
      <c r="F3572" s="8" t="s">
        <v>11238</v>
      </c>
      <c r="G3572" t="s">
        <v>1100</v>
      </c>
    </row>
    <row r="3573" spans="1:7" hidden="1" x14ac:dyDescent="0.25">
      <c r="A3573" t="s">
        <v>9200</v>
      </c>
      <c r="B3573" t="s">
        <v>9201</v>
      </c>
      <c r="F3573" s="8" t="s">
        <v>11241</v>
      </c>
      <c r="G3573" t="s">
        <v>1100</v>
      </c>
    </row>
    <row r="3574" spans="1:7" hidden="1" x14ac:dyDescent="0.25">
      <c r="A3574" t="s">
        <v>9200</v>
      </c>
      <c r="B3574" t="s">
        <v>9201</v>
      </c>
      <c r="F3574" s="8" t="s">
        <v>11244</v>
      </c>
      <c r="G3574" t="s">
        <v>1100</v>
      </c>
    </row>
    <row r="3575" spans="1:7" hidden="1" x14ac:dyDescent="0.25">
      <c r="A3575" t="s">
        <v>9692</v>
      </c>
      <c r="B3575" t="s">
        <v>1607</v>
      </c>
      <c r="F3575" s="8" t="s">
        <v>11247</v>
      </c>
      <c r="G3575" t="s">
        <v>1100</v>
      </c>
    </row>
    <row r="3576" spans="1:7" hidden="1" x14ac:dyDescent="0.25">
      <c r="A3576" t="s">
        <v>4</v>
      </c>
      <c r="B3576" t="s">
        <v>7709</v>
      </c>
      <c r="F3576" s="8" t="s">
        <v>11250</v>
      </c>
      <c r="G3576" t="s">
        <v>1100</v>
      </c>
    </row>
    <row r="3577" spans="1:7" hidden="1" x14ac:dyDescent="0.25">
      <c r="A3577" t="s">
        <v>533</v>
      </c>
      <c r="B3577" t="s">
        <v>1607</v>
      </c>
      <c r="C3577" t="s">
        <v>2929</v>
      </c>
      <c r="F3577" s="8" t="s">
        <v>11253</v>
      </c>
      <c r="G3577" s="1" t="s">
        <v>1603</v>
      </c>
    </row>
    <row r="3578" spans="1:7" hidden="1" x14ac:dyDescent="0.25">
      <c r="A3578" t="s">
        <v>11420</v>
      </c>
      <c r="B3578" t="s">
        <v>86</v>
      </c>
      <c r="F3578" s="8" t="s">
        <v>11256</v>
      </c>
      <c r="G3578" s="1" t="s">
        <v>1603</v>
      </c>
    </row>
    <row r="3579" spans="1:7" hidden="1" x14ac:dyDescent="0.25">
      <c r="A3579" t="s">
        <v>11421</v>
      </c>
      <c r="B3579" t="s">
        <v>86</v>
      </c>
      <c r="F3579" s="8" t="s">
        <v>11259</v>
      </c>
      <c r="G3579" s="1" t="s">
        <v>1603</v>
      </c>
    </row>
    <row r="3580" spans="1:7" hidden="1" x14ac:dyDescent="0.25">
      <c r="A3580" t="s">
        <v>533</v>
      </c>
      <c r="B3580" t="s">
        <v>1607</v>
      </c>
      <c r="C3580" t="s">
        <v>2929</v>
      </c>
      <c r="F3580" s="8" t="s">
        <v>11262</v>
      </c>
      <c r="G3580" s="1" t="s">
        <v>1603</v>
      </c>
    </row>
    <row r="3581" spans="1:7" hidden="1" x14ac:dyDescent="0.25">
      <c r="A3581" t="s">
        <v>533</v>
      </c>
      <c r="B3581" t="s">
        <v>531</v>
      </c>
      <c r="C3581" t="s">
        <v>9202</v>
      </c>
      <c r="F3581" s="8" t="s">
        <v>11265</v>
      </c>
      <c r="G3581" s="1" t="s">
        <v>1603</v>
      </c>
    </row>
    <row r="3582" spans="1:7" hidden="1" x14ac:dyDescent="0.25">
      <c r="A3582" t="s">
        <v>1606</v>
      </c>
      <c r="B3582" t="s">
        <v>10140</v>
      </c>
      <c r="F3582" s="8" t="s">
        <v>11268</v>
      </c>
      <c r="G3582" s="1" t="s">
        <v>1603</v>
      </c>
    </row>
    <row r="3583" spans="1:7" hidden="1" x14ac:dyDescent="0.25">
      <c r="A3583" t="s">
        <v>11422</v>
      </c>
      <c r="B3583" t="s">
        <v>10140</v>
      </c>
      <c r="F3583" s="8" t="s">
        <v>11271</v>
      </c>
      <c r="G3583" s="1" t="s">
        <v>1603</v>
      </c>
    </row>
    <row r="3584" spans="1:7" hidden="1" x14ac:dyDescent="0.25">
      <c r="A3584" t="s">
        <v>11423</v>
      </c>
      <c r="B3584" t="s">
        <v>86</v>
      </c>
      <c r="F3584" s="8" t="s">
        <v>11274</v>
      </c>
      <c r="G3584" s="1" t="s">
        <v>1603</v>
      </c>
    </row>
    <row r="3585" spans="1:7" hidden="1" x14ac:dyDescent="0.25">
      <c r="A3585" t="s">
        <v>533</v>
      </c>
      <c r="B3585" t="s">
        <v>1607</v>
      </c>
      <c r="C3585" t="s">
        <v>2929</v>
      </c>
      <c r="F3585" s="8" t="s">
        <v>11277</v>
      </c>
      <c r="G3585" s="1" t="s">
        <v>1603</v>
      </c>
    </row>
    <row r="3586" spans="1:7" hidden="1" x14ac:dyDescent="0.25">
      <c r="A3586" t="s">
        <v>650</v>
      </c>
      <c r="B3586" t="s">
        <v>10140</v>
      </c>
      <c r="F3586" s="8" t="s">
        <v>11280</v>
      </c>
      <c r="G3586" s="1" t="s">
        <v>1603</v>
      </c>
    </row>
    <row r="3587" spans="1:7" hidden="1" x14ac:dyDescent="0.25">
      <c r="A3587" t="s">
        <v>2004</v>
      </c>
      <c r="B3587" t="s">
        <v>8</v>
      </c>
      <c r="F3587" s="8" t="s">
        <v>11283</v>
      </c>
      <c r="G3587" t="s">
        <v>1817</v>
      </c>
    </row>
    <row r="3588" spans="1:7" hidden="1" x14ac:dyDescent="0.25">
      <c r="A3588" t="s">
        <v>290</v>
      </c>
      <c r="B3588" s="8" t="s">
        <v>11412</v>
      </c>
      <c r="C3588" t="s">
        <v>60</v>
      </c>
      <c r="F3588" s="8" t="s">
        <v>11286</v>
      </c>
      <c r="G3588" t="s">
        <v>1817</v>
      </c>
    </row>
    <row r="3589" spans="1:7" hidden="1" x14ac:dyDescent="0.25">
      <c r="A3589" t="s">
        <v>290</v>
      </c>
      <c r="B3589" s="8" t="s">
        <v>11412</v>
      </c>
      <c r="C3589" t="s">
        <v>60</v>
      </c>
      <c r="E3589" t="s">
        <v>2936</v>
      </c>
      <c r="F3589" s="8" t="s">
        <v>11289</v>
      </c>
      <c r="G3589" t="s">
        <v>1817</v>
      </c>
    </row>
    <row r="3590" spans="1:7" hidden="1" x14ac:dyDescent="0.25">
      <c r="A3590" t="s">
        <v>290</v>
      </c>
      <c r="B3590" s="8" t="s">
        <v>11412</v>
      </c>
      <c r="C3590" t="s">
        <v>60</v>
      </c>
      <c r="E3590" t="s">
        <v>2936</v>
      </c>
      <c r="F3590" s="8" t="s">
        <v>11292</v>
      </c>
      <c r="G3590" t="s">
        <v>1817</v>
      </c>
    </row>
    <row r="3591" spans="1:7" hidden="1" x14ac:dyDescent="0.25">
      <c r="A3591" t="s">
        <v>290</v>
      </c>
      <c r="B3591" s="8" t="s">
        <v>11412</v>
      </c>
      <c r="C3591" t="s">
        <v>60</v>
      </c>
      <c r="E3591" t="s">
        <v>2936</v>
      </c>
      <c r="F3591" s="8" t="s">
        <v>11295</v>
      </c>
      <c r="G3591" t="s">
        <v>1817</v>
      </c>
    </row>
    <row r="3592" spans="1:7" hidden="1" x14ac:dyDescent="0.25">
      <c r="A3592" t="s">
        <v>290</v>
      </c>
      <c r="B3592" s="8" t="s">
        <v>11412</v>
      </c>
      <c r="C3592" t="s">
        <v>60</v>
      </c>
      <c r="E3592" t="s">
        <v>2936</v>
      </c>
      <c r="F3592" s="8" t="s">
        <v>11298</v>
      </c>
      <c r="G3592" t="s">
        <v>1817</v>
      </c>
    </row>
    <row r="3593" spans="1:7" hidden="1" x14ac:dyDescent="0.25">
      <c r="A3593" t="s">
        <v>290</v>
      </c>
      <c r="B3593" s="8" t="s">
        <v>11412</v>
      </c>
      <c r="C3593" t="s">
        <v>60</v>
      </c>
      <c r="E3593" t="s">
        <v>2936</v>
      </c>
      <c r="F3593" s="8" t="s">
        <v>11301</v>
      </c>
      <c r="G3593" t="s">
        <v>1817</v>
      </c>
    </row>
    <row r="3594" spans="1:7" hidden="1" x14ac:dyDescent="0.25">
      <c r="A3594" t="s">
        <v>290</v>
      </c>
      <c r="B3594" s="8" t="s">
        <v>11412</v>
      </c>
      <c r="C3594" t="s">
        <v>60</v>
      </c>
      <c r="E3594" t="s">
        <v>2936</v>
      </c>
      <c r="F3594" s="8" t="s">
        <v>11304</v>
      </c>
      <c r="G3594" t="s">
        <v>1817</v>
      </c>
    </row>
    <row r="3595" spans="1:7" hidden="1" x14ac:dyDescent="0.25">
      <c r="A3595" t="s">
        <v>290</v>
      </c>
      <c r="B3595" s="8" t="s">
        <v>11412</v>
      </c>
      <c r="C3595" t="s">
        <v>60</v>
      </c>
      <c r="E3595" t="s">
        <v>2936</v>
      </c>
      <c r="F3595" s="8" t="s">
        <v>11307</v>
      </c>
      <c r="G3595" t="s">
        <v>1817</v>
      </c>
    </row>
    <row r="3596" spans="1:7" hidden="1" x14ac:dyDescent="0.25">
      <c r="A3596" t="s">
        <v>290</v>
      </c>
      <c r="B3596" s="8" t="s">
        <v>11412</v>
      </c>
      <c r="C3596" t="s">
        <v>60</v>
      </c>
      <c r="E3596" t="s">
        <v>2936</v>
      </c>
      <c r="F3596" s="8" t="s">
        <v>11310</v>
      </c>
      <c r="G3596" t="s">
        <v>1817</v>
      </c>
    </row>
    <row r="3597" spans="1:7" hidden="1" x14ac:dyDescent="0.25">
      <c r="A3597" t="s">
        <v>290</v>
      </c>
      <c r="B3597" s="8" t="s">
        <v>11412</v>
      </c>
      <c r="C3597" t="s">
        <v>60</v>
      </c>
      <c r="E3597" t="s">
        <v>2936</v>
      </c>
      <c r="F3597" s="8" t="s">
        <v>11313</v>
      </c>
      <c r="G3597" t="s">
        <v>1817</v>
      </c>
    </row>
    <row r="3598" spans="1:7" hidden="1" x14ac:dyDescent="0.25">
      <c r="A3598" t="s">
        <v>290</v>
      </c>
      <c r="B3598" s="8" t="s">
        <v>11412</v>
      </c>
      <c r="C3598" t="s">
        <v>60</v>
      </c>
      <c r="E3598" t="s">
        <v>2936</v>
      </c>
      <c r="F3598" s="8" t="s">
        <v>11316</v>
      </c>
      <c r="G3598" t="s">
        <v>1817</v>
      </c>
    </row>
    <row r="3599" spans="1:7" hidden="1" x14ac:dyDescent="0.25">
      <c r="A3599" t="s">
        <v>290</v>
      </c>
      <c r="B3599" s="8" t="s">
        <v>11412</v>
      </c>
      <c r="C3599" t="s">
        <v>60</v>
      </c>
      <c r="E3599" t="s">
        <v>2936</v>
      </c>
      <c r="F3599" s="8" t="s">
        <v>11319</v>
      </c>
      <c r="G3599" t="s">
        <v>1817</v>
      </c>
    </row>
    <row r="3600" spans="1:7" hidden="1" x14ac:dyDescent="0.25">
      <c r="A3600" t="s">
        <v>11422</v>
      </c>
      <c r="B3600" s="8" t="s">
        <v>11412</v>
      </c>
      <c r="F3600" s="8" t="s">
        <v>11322</v>
      </c>
      <c r="G3600" t="s">
        <v>1817</v>
      </c>
    </row>
    <row r="3601" spans="1:7" hidden="1" x14ac:dyDescent="0.25">
      <c r="A3601" t="s">
        <v>290</v>
      </c>
      <c r="B3601" s="8" t="s">
        <v>11412</v>
      </c>
      <c r="C3601" t="s">
        <v>60</v>
      </c>
      <c r="F3601" s="8" t="s">
        <v>11325</v>
      </c>
      <c r="G3601" t="s">
        <v>1817</v>
      </c>
    </row>
    <row r="3602" spans="1:7" hidden="1" x14ac:dyDescent="0.25">
      <c r="A3602" t="s">
        <v>290</v>
      </c>
      <c r="B3602" s="8" t="s">
        <v>11412</v>
      </c>
      <c r="C3602" t="s">
        <v>60</v>
      </c>
      <c r="E3602" t="s">
        <v>2936</v>
      </c>
      <c r="F3602" s="8" t="s">
        <v>11328</v>
      </c>
      <c r="G3602" t="s">
        <v>1817</v>
      </c>
    </row>
    <row r="3603" spans="1:7" hidden="1" x14ac:dyDescent="0.25">
      <c r="A3603" t="s">
        <v>290</v>
      </c>
      <c r="B3603" s="8" t="s">
        <v>11412</v>
      </c>
      <c r="C3603" t="s">
        <v>60</v>
      </c>
      <c r="E3603" t="s">
        <v>2936</v>
      </c>
      <c r="F3603" s="8" t="s">
        <v>11331</v>
      </c>
      <c r="G3603" t="s">
        <v>1817</v>
      </c>
    </row>
    <row r="3604" spans="1:7" hidden="1" x14ac:dyDescent="0.25">
      <c r="A3604" t="s">
        <v>290</v>
      </c>
      <c r="B3604" s="8" t="s">
        <v>11412</v>
      </c>
      <c r="C3604" t="s">
        <v>60</v>
      </c>
      <c r="E3604" t="s">
        <v>2936</v>
      </c>
      <c r="F3604" s="8" t="s">
        <v>11334</v>
      </c>
      <c r="G3604" t="s">
        <v>1817</v>
      </c>
    </row>
    <row r="3605" spans="1:7" hidden="1" x14ac:dyDescent="0.25">
      <c r="A3605" t="s">
        <v>290</v>
      </c>
      <c r="B3605" s="8" t="s">
        <v>11412</v>
      </c>
      <c r="C3605" t="s">
        <v>60</v>
      </c>
      <c r="E3605" t="s">
        <v>2936</v>
      </c>
      <c r="F3605" s="8" t="s">
        <v>11337</v>
      </c>
      <c r="G3605" t="s">
        <v>1817</v>
      </c>
    </row>
    <row r="3606" spans="1:7" hidden="1" x14ac:dyDescent="0.25">
      <c r="A3606" t="s">
        <v>290</v>
      </c>
      <c r="B3606" s="8" t="s">
        <v>11412</v>
      </c>
      <c r="C3606" t="s">
        <v>60</v>
      </c>
      <c r="E3606" t="s">
        <v>2936</v>
      </c>
      <c r="F3606" s="8" t="s">
        <v>11340</v>
      </c>
      <c r="G3606" t="s">
        <v>1817</v>
      </c>
    </row>
    <row r="3607" spans="1:7" hidden="1" x14ac:dyDescent="0.25">
      <c r="A3607" t="s">
        <v>290</v>
      </c>
      <c r="B3607" s="8" t="s">
        <v>11412</v>
      </c>
      <c r="C3607" t="s">
        <v>60</v>
      </c>
      <c r="E3607" t="s">
        <v>2936</v>
      </c>
      <c r="F3607" s="8" t="s">
        <v>11343</v>
      </c>
      <c r="G3607" t="s">
        <v>1817</v>
      </c>
    </row>
    <row r="3608" spans="1:7" hidden="1" x14ac:dyDescent="0.25">
      <c r="A3608" t="s">
        <v>290</v>
      </c>
      <c r="B3608" s="8" t="s">
        <v>11412</v>
      </c>
      <c r="C3608" t="s">
        <v>60</v>
      </c>
      <c r="E3608" t="s">
        <v>2936</v>
      </c>
      <c r="F3608" s="8" t="s">
        <v>11346</v>
      </c>
      <c r="G3608" t="s">
        <v>1817</v>
      </c>
    </row>
    <row r="3609" spans="1:7" hidden="1" x14ac:dyDescent="0.25">
      <c r="A3609" t="s">
        <v>290</v>
      </c>
      <c r="B3609" s="8" t="s">
        <v>11412</v>
      </c>
      <c r="C3609" t="s">
        <v>60</v>
      </c>
      <c r="E3609" t="s">
        <v>2936</v>
      </c>
      <c r="F3609" s="8" t="s">
        <v>11349</v>
      </c>
      <c r="G3609" t="s">
        <v>1817</v>
      </c>
    </row>
    <row r="3610" spans="1:7" hidden="1" x14ac:dyDescent="0.25">
      <c r="A3610" t="s">
        <v>290</v>
      </c>
      <c r="B3610" s="8" t="s">
        <v>11412</v>
      </c>
      <c r="C3610" t="s">
        <v>60</v>
      </c>
      <c r="E3610" t="s">
        <v>2936</v>
      </c>
      <c r="F3610" s="8" t="s">
        <v>11352</v>
      </c>
      <c r="G3610" t="s">
        <v>1817</v>
      </c>
    </row>
    <row r="3611" spans="1:7" hidden="1" x14ac:dyDescent="0.25">
      <c r="A3611" t="s">
        <v>290</v>
      </c>
      <c r="B3611" s="8" t="s">
        <v>11412</v>
      </c>
      <c r="C3611" t="s">
        <v>60</v>
      </c>
      <c r="E3611" t="s">
        <v>2936</v>
      </c>
      <c r="F3611" s="8" t="s">
        <v>11355</v>
      </c>
      <c r="G3611" t="s">
        <v>1817</v>
      </c>
    </row>
    <row r="3612" spans="1:7" hidden="1" x14ac:dyDescent="0.25">
      <c r="A3612" t="s">
        <v>5105</v>
      </c>
      <c r="B3612" s="8" t="s">
        <v>11412</v>
      </c>
      <c r="F3612" s="8" t="s">
        <v>11358</v>
      </c>
      <c r="G3612" t="s">
        <v>1817</v>
      </c>
    </row>
    <row r="3613" spans="1:7" hidden="1" x14ac:dyDescent="0.25">
      <c r="A3613" t="s">
        <v>651</v>
      </c>
      <c r="B3613" t="s">
        <v>5480</v>
      </c>
      <c r="F3613" s="8" t="s">
        <v>11361</v>
      </c>
      <c r="G3613" t="s">
        <v>1817</v>
      </c>
    </row>
    <row r="3614" spans="1:7" hidden="1" x14ac:dyDescent="0.25">
      <c r="A3614" t="s">
        <v>651</v>
      </c>
      <c r="B3614" t="s">
        <v>5480</v>
      </c>
      <c r="F3614" s="8" t="s">
        <v>11364</v>
      </c>
      <c r="G3614" t="s">
        <v>1817</v>
      </c>
    </row>
    <row r="3615" spans="1:7" hidden="1" x14ac:dyDescent="0.25">
      <c r="A3615" t="s">
        <v>651</v>
      </c>
      <c r="B3615" t="s">
        <v>5480</v>
      </c>
      <c r="F3615" s="8" t="s">
        <v>11367</v>
      </c>
      <c r="G3615" t="s">
        <v>1817</v>
      </c>
    </row>
    <row r="3616" spans="1:7" hidden="1" x14ac:dyDescent="0.25">
      <c r="A3616" t="s">
        <v>651</v>
      </c>
      <c r="B3616" t="s">
        <v>5480</v>
      </c>
      <c r="F3616" s="8" t="s">
        <v>11370</v>
      </c>
      <c r="G3616" t="s">
        <v>1817</v>
      </c>
    </row>
    <row r="3617" spans="1:7" hidden="1" x14ac:dyDescent="0.25">
      <c r="A3617" t="s">
        <v>651</v>
      </c>
      <c r="B3617" t="s">
        <v>5480</v>
      </c>
      <c r="F3617" s="8" t="s">
        <v>11373</v>
      </c>
      <c r="G3617" t="s">
        <v>1817</v>
      </c>
    </row>
    <row r="3618" spans="1:7" hidden="1" x14ac:dyDescent="0.25">
      <c r="A3618" t="s">
        <v>4</v>
      </c>
      <c r="B3618" t="s">
        <v>8</v>
      </c>
      <c r="F3618" s="8" t="s">
        <v>11376</v>
      </c>
      <c r="G3618" t="s">
        <v>1817</v>
      </c>
    </row>
    <row r="3619" spans="1:7" hidden="1" x14ac:dyDescent="0.25">
      <c r="A3619" t="s">
        <v>4</v>
      </c>
      <c r="B3619" t="s">
        <v>8</v>
      </c>
      <c r="F3619" s="8" t="s">
        <v>11379</v>
      </c>
      <c r="G3619" t="s">
        <v>1934</v>
      </c>
    </row>
    <row r="3620" spans="1:7" hidden="1" x14ac:dyDescent="0.25">
      <c r="A3620" t="s">
        <v>9876</v>
      </c>
      <c r="B3620" t="s">
        <v>5137</v>
      </c>
      <c r="F3620" s="8" t="s">
        <v>11382</v>
      </c>
      <c r="G3620" t="s">
        <v>1934</v>
      </c>
    </row>
    <row r="3621" spans="1:7" hidden="1" x14ac:dyDescent="0.25">
      <c r="A3621" t="s">
        <v>9876</v>
      </c>
      <c r="B3621" t="s">
        <v>5137</v>
      </c>
      <c r="F3621" s="8" t="s">
        <v>11385</v>
      </c>
      <c r="G3621" t="s">
        <v>1934</v>
      </c>
    </row>
    <row r="3622" spans="1:7" hidden="1" x14ac:dyDescent="0.25">
      <c r="A3622" t="s">
        <v>9876</v>
      </c>
      <c r="B3622" t="s">
        <v>5137</v>
      </c>
      <c r="F3622" s="8" t="s">
        <v>11388</v>
      </c>
      <c r="G3622" t="s">
        <v>1934</v>
      </c>
    </row>
    <row r="3623" spans="1:7" hidden="1" x14ac:dyDescent="0.25">
      <c r="A3623" t="s">
        <v>2004</v>
      </c>
      <c r="B3623" t="s">
        <v>8</v>
      </c>
      <c r="F3623" s="8" t="s">
        <v>11391</v>
      </c>
      <c r="G3623" t="s">
        <v>1997</v>
      </c>
    </row>
    <row r="3624" spans="1:7" hidden="1" x14ac:dyDescent="0.25">
      <c r="A3624" t="s">
        <v>4</v>
      </c>
      <c r="B3624" t="s">
        <v>8</v>
      </c>
      <c r="F3624" s="8" t="s">
        <v>11394</v>
      </c>
      <c r="G3624" t="s">
        <v>1997</v>
      </c>
    </row>
    <row r="3625" spans="1:7" hidden="1" x14ac:dyDescent="0.25">
      <c r="A3625" t="s">
        <v>159</v>
      </c>
      <c r="B3625" t="s">
        <v>11424</v>
      </c>
      <c r="F3625" s="8" t="s">
        <v>11397</v>
      </c>
      <c r="G3625" t="s">
        <v>1997</v>
      </c>
    </row>
    <row r="3626" spans="1:7" hidden="1" x14ac:dyDescent="0.25">
      <c r="A3626" t="s">
        <v>4</v>
      </c>
      <c r="B3626" t="s">
        <v>8</v>
      </c>
      <c r="F3626" s="8" t="s">
        <v>11400</v>
      </c>
      <c r="G3626" t="s">
        <v>1997</v>
      </c>
    </row>
    <row r="3627" spans="1:7" hidden="1" x14ac:dyDescent="0.25">
      <c r="A3627" t="s">
        <v>4</v>
      </c>
      <c r="B3627" t="s">
        <v>8</v>
      </c>
      <c r="F3627" s="8" t="s">
        <v>11403</v>
      </c>
      <c r="G3627" t="s">
        <v>1997</v>
      </c>
    </row>
    <row r="3628" spans="1:7" hidden="1" x14ac:dyDescent="0.25">
      <c r="A3628" t="s">
        <v>11425</v>
      </c>
      <c r="F3628" s="8" t="s">
        <v>11406</v>
      </c>
      <c r="G3628" t="s">
        <v>1997</v>
      </c>
    </row>
    <row r="3629" spans="1:7" hidden="1" x14ac:dyDescent="0.25">
      <c r="A3629" t="s">
        <v>4</v>
      </c>
      <c r="B3629" t="s">
        <v>11426</v>
      </c>
      <c r="F3629" s="8" t="s">
        <v>11409</v>
      </c>
      <c r="G3629" t="s">
        <v>1997</v>
      </c>
    </row>
    <row r="3630" spans="1:7" x14ac:dyDescent="0.25">
      <c r="A3630" t="s">
        <v>289</v>
      </c>
      <c r="B3630" t="s">
        <v>6190</v>
      </c>
      <c r="C3630" t="s">
        <v>11413</v>
      </c>
      <c r="F3630" s="8" t="s">
        <v>11190</v>
      </c>
      <c r="G3630" t="s">
        <v>1104</v>
      </c>
    </row>
    <row r="3631" spans="1:7" x14ac:dyDescent="0.25">
      <c r="A3631" t="s">
        <v>650</v>
      </c>
      <c r="B3631" t="s">
        <v>6190</v>
      </c>
      <c r="C3631" t="s">
        <v>11413</v>
      </c>
      <c r="F3631" s="8" t="s">
        <v>11193</v>
      </c>
      <c r="G3631" t="s">
        <v>1104</v>
      </c>
    </row>
    <row r="3632" spans="1:7" x14ac:dyDescent="0.25">
      <c r="A3632" t="s">
        <v>1606</v>
      </c>
      <c r="B3632" t="s">
        <v>6190</v>
      </c>
      <c r="F3632" s="8" t="s">
        <v>11196</v>
      </c>
      <c r="G3632" t="s">
        <v>1104</v>
      </c>
    </row>
  </sheetData>
  <phoneticPr fontId="2" type="noConversion"/>
  <conditionalFormatting sqref="C2:C11 C14 C16:C18 C23:C24">
    <cfRule type="notContainsText" dxfId="645" priority="521" operator="notContains" text="порожний">
      <formula>ISERROR(SEARCH("порожний",C2))</formula>
    </cfRule>
  </conditionalFormatting>
  <conditionalFormatting sqref="B11 A695 A697:A701 A825 B932 A3437:B3437 B3588:B3600">
    <cfRule type="containsText" dxfId="644" priority="520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43" priority="519" operator="notContains" text="порожний">
      <formula>ISERROR(SEARCH("порожний",C12))</formula>
    </cfRule>
  </conditionalFormatting>
  <conditionalFormatting sqref="B12:B14">
    <cfRule type="containsText" dxfId="642" priority="518" operator="containsText" text="Выезд с территории">
      <formula>NOT(ISERROR(SEARCH("Выезд с территории",B12)))</formula>
    </cfRule>
  </conditionalFormatting>
  <conditionalFormatting sqref="C15">
    <cfRule type="notContainsText" dxfId="641" priority="517" operator="notContains" text="порожний">
      <formula>ISERROR(SEARCH("порожний",C15))</formula>
    </cfRule>
  </conditionalFormatting>
  <conditionalFormatting sqref="C19:C22">
    <cfRule type="notContainsText" dxfId="640" priority="516" operator="notContains" text="порожний">
      <formula>ISERROR(SEARCH("порожний",C19))</formula>
    </cfRule>
  </conditionalFormatting>
  <conditionalFormatting sqref="C25">
    <cfRule type="notContainsText" dxfId="639" priority="515" operator="notContains" text="порожний">
      <formula>ISERROR(SEARCH("порожний",C25))</formula>
    </cfRule>
  </conditionalFormatting>
  <conditionalFormatting sqref="C26:C27">
    <cfRule type="notContainsText" dxfId="638" priority="514" operator="notContains" text="порожний">
      <formula>ISERROR(SEARCH("порожний",C26))</formula>
    </cfRule>
  </conditionalFormatting>
  <conditionalFormatting sqref="C29">
    <cfRule type="notContainsText" dxfId="637" priority="513" operator="notContains" text="порожний">
      <formula>ISERROR(SEARCH("порожний",C29))</formula>
    </cfRule>
  </conditionalFormatting>
  <conditionalFormatting sqref="C39">
    <cfRule type="notContainsText" dxfId="636" priority="508" operator="notContains" text="порожний">
      <formula>ISERROR(SEARCH("порожний",C39))</formula>
    </cfRule>
  </conditionalFormatting>
  <conditionalFormatting sqref="C32">
    <cfRule type="notContainsText" dxfId="635" priority="512" operator="notContains" text="порожний">
      <formula>ISERROR(SEARCH("порожний",C32))</formula>
    </cfRule>
  </conditionalFormatting>
  <conditionalFormatting sqref="C34">
    <cfRule type="notContainsText" dxfId="634" priority="511" operator="notContains" text="порожний">
      <formula>ISERROR(SEARCH("порожний",C34))</formula>
    </cfRule>
  </conditionalFormatting>
  <conditionalFormatting sqref="C36">
    <cfRule type="notContainsText" dxfId="633" priority="510" operator="notContains" text="порожний">
      <formula>ISERROR(SEARCH("порожний",C36))</formula>
    </cfRule>
  </conditionalFormatting>
  <conditionalFormatting sqref="C38">
    <cfRule type="notContainsText" dxfId="632" priority="509" operator="notContains" text="порожний">
      <formula>ISERROR(SEARCH("порожний",C38))</formula>
    </cfRule>
  </conditionalFormatting>
  <conditionalFormatting sqref="E147">
    <cfRule type="containsText" dxfId="631" priority="507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30" priority="506" operator="notContains" text="порожний">
      <formula>ISERROR(SEARCH("порожний",C581))</formula>
    </cfRule>
  </conditionalFormatting>
  <conditionalFormatting sqref="C586">
    <cfRule type="notContainsText" dxfId="629" priority="505" operator="notContains" text="порожний">
      <formula>ISERROR(SEARCH("порожний",C586))</formula>
    </cfRule>
  </conditionalFormatting>
  <conditionalFormatting sqref="B609">
    <cfRule type="containsText" dxfId="628" priority="504" operator="containsText" text="Выезд с территории">
      <formula>NOT(ISERROR(SEARCH("Выезд с территории",B609)))</formula>
    </cfRule>
  </conditionalFormatting>
  <conditionalFormatting sqref="B609 B932 B3437 B3588:B3600">
    <cfRule type="containsText" dxfId="627" priority="502" operator="containsText" text="Газель базы">
      <formula>NOT(ISERROR(SEARCH("Газель базы",B609)))</formula>
    </cfRule>
    <cfRule type="containsText" dxfId="626" priority="503" operator="containsText" text="Погрузчик базы">
      <formula>NOT(ISERROR(SEARCH("Погрузчик базы",B609)))</formula>
    </cfRule>
  </conditionalFormatting>
  <conditionalFormatting sqref="B609 B932 B3437 B3588:B3600">
    <cfRule type="containsText" dxfId="625" priority="501" operator="containsText" text="Трактор базы">
      <formula>NOT(ISERROR(SEARCH("Трактор базы",B609)))</formula>
    </cfRule>
  </conditionalFormatting>
  <conditionalFormatting sqref="B614">
    <cfRule type="containsText" dxfId="624" priority="497" operator="containsText" text="Трактор базы">
      <formula>NOT(ISERROR(SEARCH("Трактор базы",B614)))</formula>
    </cfRule>
  </conditionalFormatting>
  <conditionalFormatting sqref="B614">
    <cfRule type="containsText" dxfId="623" priority="500" operator="containsText" text="Выезд с территории">
      <formula>NOT(ISERROR(SEARCH("Выезд с территории",B614)))</formula>
    </cfRule>
  </conditionalFormatting>
  <conditionalFormatting sqref="B614">
    <cfRule type="containsText" dxfId="622" priority="498" operator="containsText" text="Газель базы">
      <formula>NOT(ISERROR(SEARCH("Газель базы",B614)))</formula>
    </cfRule>
    <cfRule type="containsText" dxfId="621" priority="499" operator="containsText" text="Погрузчик базы">
      <formula>NOT(ISERROR(SEARCH("Погрузчик базы",B614)))</formula>
    </cfRule>
  </conditionalFormatting>
  <conditionalFormatting sqref="C649">
    <cfRule type="notContainsText" dxfId="620" priority="496" operator="notContains" text="порожний">
      <formula>ISERROR(SEARCH("порожний",C649))</formula>
    </cfRule>
  </conditionalFormatting>
  <conditionalFormatting sqref="C655">
    <cfRule type="notContainsText" dxfId="619" priority="493" operator="notContains" text="порожний">
      <formula>ISERROR(SEARCH("порожний",C655))</formula>
    </cfRule>
  </conditionalFormatting>
  <conditionalFormatting sqref="C650">
    <cfRule type="notContainsText" dxfId="618" priority="495" operator="notContains" text="порожний">
      <formula>ISERROR(SEARCH("порожний",C650))</formula>
    </cfRule>
  </conditionalFormatting>
  <conditionalFormatting sqref="C654">
    <cfRule type="notContainsText" dxfId="617" priority="494" operator="notContains" text="порожний">
      <formula>ISERROR(SEARCH("порожний",C654))</formula>
    </cfRule>
  </conditionalFormatting>
  <conditionalFormatting sqref="A663:A666 A668:A670 A695 A697:A701 A825 A3437">
    <cfRule type="containsText" dxfId="616" priority="490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15" priority="492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14" priority="491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13" priority="487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12" priority="489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11" priority="488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10" priority="477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09" priority="486" operator="containsText" text="Выезд с территории">
      <formula>NOT(ISERROR(SEARCH("Выезд с территории",A681)))</formula>
    </cfRule>
  </conditionalFormatting>
  <conditionalFormatting sqref="A681">
    <cfRule type="containsText" dxfId="608" priority="485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07" priority="484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06" priority="480" operator="containsText" text="Трактор базы">
      <formula>NOT(ISERROR(SEARCH("Трактор базы",B682)))</formula>
    </cfRule>
  </conditionalFormatting>
  <conditionalFormatting sqref="B682">
    <cfRule type="containsText" dxfId="605" priority="483" operator="containsText" text="Выезд с территории">
      <formula>NOT(ISERROR(SEARCH("Выезд с территории",B682)))</formula>
    </cfRule>
  </conditionalFormatting>
  <conditionalFormatting sqref="B682">
    <cfRule type="containsText" dxfId="604" priority="481" operator="containsText" text="Газель базы">
      <formula>NOT(ISERROR(SEARCH("Газель базы",B682)))</formula>
    </cfRule>
    <cfRule type="containsText" dxfId="603" priority="482" operator="containsText" text="Погрузчик базы">
      <formula>NOT(ISERROR(SEARCH("Погрузчик базы",B682)))</formula>
    </cfRule>
  </conditionalFormatting>
  <conditionalFormatting sqref="A684:A687">
    <cfRule type="containsText" dxfId="602" priority="479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01" priority="478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00" priority="468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99" priority="470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98" priority="469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97" priority="465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96" priority="467" operator="containsText" text="Выезд с территории">
      <formula>NOT(ISERROR(SEARCH("Выезд с территории",A824)))</formula>
    </cfRule>
  </conditionalFormatting>
  <conditionalFormatting sqref="A824">
    <cfRule type="containsText" dxfId="595" priority="466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94" priority="461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93" priority="459" operator="containsText" text="Газель базы">
      <formula>NOT(ISERROR(SEARCH("Газель базы",B846)))</formula>
    </cfRule>
    <cfRule type="containsText" dxfId="592" priority="460" operator="containsText" text="Погрузчик базы">
      <formula>NOT(ISERROR(SEARCH("Погрузчик базы",B846)))</formula>
    </cfRule>
  </conditionalFormatting>
  <conditionalFormatting sqref="B846:B850">
    <cfRule type="containsText" dxfId="591" priority="458" operator="containsText" text="Трактор базы">
      <formula>NOT(ISERROR(SEARCH("Трактор базы",B846)))</formula>
    </cfRule>
  </conditionalFormatting>
  <conditionalFormatting sqref="A916:A917">
    <cfRule type="containsText" dxfId="590" priority="452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89" priority="457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88" priority="455" operator="containsText" text="Газель базы">
      <formula>NOT(ISERROR(SEARCH("Газель базы",B916)))</formula>
    </cfRule>
    <cfRule type="containsText" dxfId="587" priority="456" operator="containsText" text="Погрузчик базы">
      <formula>NOT(ISERROR(SEARCH("Погрузчик базы",B916)))</formula>
    </cfRule>
  </conditionalFormatting>
  <conditionalFormatting sqref="B916:B917">
    <cfRule type="containsText" dxfId="586" priority="454" operator="containsText" text="Трактор базы">
      <formula>NOT(ISERROR(SEARCH("Трактор базы",B916)))</formula>
    </cfRule>
  </conditionalFormatting>
  <conditionalFormatting sqref="A916:A917">
    <cfRule type="containsText" dxfId="585" priority="453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84" priority="451" operator="containsText" text="Выезд с территории">
      <formula>NOT(ISERROR(SEARCH("Выезд с территории",E916)))</formula>
    </cfRule>
  </conditionalFormatting>
  <conditionalFormatting sqref="A932">
    <cfRule type="containsText" dxfId="583" priority="428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82" priority="450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81" priority="448" operator="containsText" text="Газель базы">
      <formula>NOT(ISERROR(SEARCH("Газель базы",B918)))</formula>
    </cfRule>
    <cfRule type="containsText" dxfId="580" priority="449" operator="containsText" text="Погрузчик базы">
      <formula>NOT(ISERROR(SEARCH("Погрузчик базы",B918)))</formula>
    </cfRule>
  </conditionalFormatting>
  <conditionalFormatting sqref="B918:B924">
    <cfRule type="containsText" dxfId="579" priority="447" operator="containsText" text="Трактор базы">
      <formula>NOT(ISERROR(SEARCH("Трактор базы",B918)))</formula>
    </cfRule>
  </conditionalFormatting>
  <conditionalFormatting sqref="A918">
    <cfRule type="containsText" dxfId="578" priority="446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77" priority="445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76" priority="439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75" priority="444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74" priority="442" operator="containsText" text="Газель базы">
      <formula>NOT(ISERROR(SEARCH("Газель базы",B926)))</formula>
    </cfRule>
    <cfRule type="containsText" dxfId="573" priority="443" operator="containsText" text="Погрузчик базы">
      <formula>NOT(ISERROR(SEARCH("Погрузчик базы",B926)))</formula>
    </cfRule>
  </conditionalFormatting>
  <conditionalFormatting sqref="B926:B928">
    <cfRule type="containsText" dxfId="572" priority="441" operator="containsText" text="Трактор базы">
      <formula>NOT(ISERROR(SEARCH("Трактор базы",B926)))</formula>
    </cfRule>
  </conditionalFormatting>
  <conditionalFormatting sqref="A926:A928">
    <cfRule type="containsText" dxfId="571" priority="440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70" priority="438" operator="containsText" text="Выезд с территории">
      <formula>NOT(ISERROR(SEARCH("Выезд с территории",E926)))</formula>
    </cfRule>
  </conditionalFormatting>
  <conditionalFormatting sqref="A930">
    <cfRule type="containsText" dxfId="569" priority="432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68" priority="437" operator="containsText" text="Выезд с территории">
      <formula>NOT(ISERROR(SEARCH("Выезд с территории",A930)))</formula>
    </cfRule>
  </conditionalFormatting>
  <conditionalFormatting sqref="B930">
    <cfRule type="containsText" dxfId="567" priority="435" operator="containsText" text="Газель базы">
      <formula>NOT(ISERROR(SEARCH("Газель базы",B930)))</formula>
    </cfRule>
    <cfRule type="containsText" dxfId="566" priority="436" operator="containsText" text="Погрузчик базы">
      <formula>NOT(ISERROR(SEARCH("Погрузчик базы",B930)))</formula>
    </cfRule>
  </conditionalFormatting>
  <conditionalFormatting sqref="B930">
    <cfRule type="containsText" dxfId="565" priority="434" operator="containsText" text="Трактор базы">
      <formula>NOT(ISERROR(SEARCH("Трактор базы",B930)))</formula>
    </cfRule>
  </conditionalFormatting>
  <conditionalFormatting sqref="A930">
    <cfRule type="containsText" dxfId="564" priority="433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63" priority="431" operator="containsText" text="Выезд с территории">
      <formula>NOT(ISERROR(SEARCH("Выезд с территории",E930)))</formula>
    </cfRule>
  </conditionalFormatting>
  <conditionalFormatting sqref="A932">
    <cfRule type="containsText" dxfId="562" priority="430" operator="containsText" text="Выезд с территории">
      <formula>NOT(ISERROR(SEARCH("Выезд с территории",A932)))</formula>
    </cfRule>
  </conditionalFormatting>
  <conditionalFormatting sqref="A932">
    <cfRule type="containsText" dxfId="561" priority="429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60" priority="425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59" priority="427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58" priority="426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57" priority="424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56" priority="423" operator="notContains" text="порожний">
      <formula>ISERROR(SEARCH("порожний",C954))</formula>
    </cfRule>
  </conditionalFormatting>
  <conditionalFormatting sqref="B954:B956">
    <cfRule type="containsText" dxfId="555" priority="421" operator="containsText" text="Газель базы">
      <formula>NOT(ISERROR(SEARCH("Газель базы",B954)))</formula>
    </cfRule>
    <cfRule type="containsText" dxfId="554" priority="422" operator="containsText" text="Погрузчик базы">
      <formula>NOT(ISERROR(SEARCH("Погрузчик базы",B954)))</formula>
    </cfRule>
  </conditionalFormatting>
  <conditionalFormatting sqref="B954:B956">
    <cfRule type="containsText" dxfId="553" priority="420" operator="containsText" text="Трактор базы">
      <formula>NOT(ISERROR(SEARCH("Трактор базы",B954)))</formula>
    </cfRule>
  </conditionalFormatting>
  <conditionalFormatting sqref="A954:A956">
    <cfRule type="containsText" dxfId="552" priority="419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51" priority="418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50" priority="416" operator="notContains" text="порожний">
      <formula>ISERROR(SEARCH("порожний",C995))</formula>
    </cfRule>
  </conditionalFormatting>
  <conditionalFormatting sqref="C987">
    <cfRule type="notContainsText" dxfId="549" priority="417" operator="notContains" text="порожний">
      <formula>ISERROR(SEARCH("порожний",C987))</formula>
    </cfRule>
  </conditionalFormatting>
  <conditionalFormatting sqref="B999">
    <cfRule type="containsText" dxfId="548" priority="415" operator="containsText" text="Выезд с территории">
      <formula>NOT(ISERROR(SEARCH("Выезд с территории",B999)))</formula>
    </cfRule>
  </conditionalFormatting>
  <conditionalFormatting sqref="B999">
    <cfRule type="containsText" dxfId="547" priority="413" operator="containsText" text="Газель базы">
      <formula>NOT(ISERROR(SEARCH("Газель базы",B999)))</formula>
    </cfRule>
    <cfRule type="containsText" dxfId="546" priority="414" operator="containsText" text="Погрузчик базы">
      <formula>NOT(ISERROR(SEARCH("Погрузчик базы",B999)))</formula>
    </cfRule>
  </conditionalFormatting>
  <conditionalFormatting sqref="B999">
    <cfRule type="containsText" dxfId="545" priority="412" operator="containsText" text="Трактор базы">
      <formula>NOT(ISERROR(SEARCH("Трактор базы",B999)))</formula>
    </cfRule>
  </conditionalFormatting>
  <conditionalFormatting sqref="B1019:B1022">
    <cfRule type="containsText" dxfId="544" priority="408" operator="containsText" text="Трактор базы">
      <formula>NOT(ISERROR(SEARCH("Трактор базы",B1019)))</formula>
    </cfRule>
  </conditionalFormatting>
  <conditionalFormatting sqref="B1019:B1022">
    <cfRule type="containsText" dxfId="543" priority="411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42" priority="409" operator="containsText" text="Газель базы">
      <formula>NOT(ISERROR(SEARCH("Газель базы",B1019)))</formula>
    </cfRule>
    <cfRule type="containsText" dxfId="541" priority="410" operator="containsText" text="Погрузчик базы">
      <formula>NOT(ISERROR(SEARCH("Погрузчик базы",B1019)))</formula>
    </cfRule>
  </conditionalFormatting>
  <conditionalFormatting sqref="C966">
    <cfRule type="notContainsText" dxfId="540" priority="407" operator="notContains" text="порожний">
      <formula>ISERROR(SEARCH("порожний",C966))</formula>
    </cfRule>
  </conditionalFormatting>
  <conditionalFormatting sqref="A1029">
    <cfRule type="containsText" dxfId="539" priority="404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38" priority="406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37" priority="405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36" priority="403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35" priority="401" operator="containsText" text="Газель базы">
      <formula>NOT(ISERROR(SEARCH("Газель базы",B1030)))</formula>
    </cfRule>
    <cfRule type="containsText" dxfId="534" priority="402" operator="containsText" text="Погрузчик базы">
      <formula>NOT(ISERROR(SEARCH("Погрузчик базы",B1030)))</formula>
    </cfRule>
  </conditionalFormatting>
  <conditionalFormatting sqref="B1030">
    <cfRule type="containsText" dxfId="533" priority="400" operator="containsText" text="Трактор базы">
      <formula>NOT(ISERROR(SEARCH("Трактор базы",B1030)))</formula>
    </cfRule>
  </conditionalFormatting>
  <conditionalFormatting sqref="A1035">
    <cfRule type="containsText" dxfId="532" priority="394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31" priority="397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30" priority="399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29" priority="398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28" priority="396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27" priority="395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26" priority="393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25" priority="391" operator="containsText" text="Газель базы">
      <formula>NOT(ISERROR(SEARCH("Газель базы",B1138)))</formula>
    </cfRule>
    <cfRule type="containsText" dxfId="524" priority="392" operator="containsText" text="Погрузчик базы">
      <formula>NOT(ISERROR(SEARCH("Погрузчик базы",B1138)))</formula>
    </cfRule>
  </conditionalFormatting>
  <conditionalFormatting sqref="B1138:B1161">
    <cfRule type="containsText" dxfId="523" priority="390" operator="containsText" text="Трактор базы">
      <formula>NOT(ISERROR(SEARCH("Трактор базы",B1138)))</formula>
    </cfRule>
  </conditionalFormatting>
  <conditionalFormatting sqref="B1258:B1262">
    <cfRule type="containsText" dxfId="522" priority="374" operator="containsText" text="Трактор базы">
      <formula>NOT(ISERROR(SEARCH("Трактор базы",B1258)))</formula>
    </cfRule>
  </conditionalFormatting>
  <conditionalFormatting sqref="B1244:B1252">
    <cfRule type="containsText" dxfId="521" priority="389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20" priority="387" operator="containsText" text="Газель базы">
      <formula>NOT(ISERROR(SEARCH("Газель базы",B1244)))</formula>
    </cfRule>
    <cfRule type="containsText" dxfId="519" priority="388" operator="containsText" text="Погрузчик базы">
      <formula>NOT(ISERROR(SEARCH("Погрузчик базы",B1244)))</formula>
    </cfRule>
  </conditionalFormatting>
  <conditionalFormatting sqref="B1244:B1252">
    <cfRule type="containsText" dxfId="518" priority="386" operator="containsText" text="Трактор базы">
      <formula>NOT(ISERROR(SEARCH("Трактор базы",B1244)))</formula>
    </cfRule>
  </conditionalFormatting>
  <conditionalFormatting sqref="B1253:B1256">
    <cfRule type="containsText" dxfId="517" priority="385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16" priority="383" operator="containsText" text="Газель базы">
      <formula>NOT(ISERROR(SEARCH("Газель базы",B1253)))</formula>
    </cfRule>
    <cfRule type="containsText" dxfId="515" priority="384" operator="containsText" text="Погрузчик базы">
      <formula>NOT(ISERROR(SEARCH("Погрузчик базы",B1253)))</formula>
    </cfRule>
  </conditionalFormatting>
  <conditionalFormatting sqref="B1253:B1256">
    <cfRule type="containsText" dxfId="514" priority="382" operator="containsText" text="Трактор базы">
      <formula>NOT(ISERROR(SEARCH("Трактор базы",B1253)))</formula>
    </cfRule>
  </conditionalFormatting>
  <conditionalFormatting sqref="B1257">
    <cfRule type="containsText" dxfId="513" priority="381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12" priority="379" operator="containsText" text="Газель базы">
      <formula>NOT(ISERROR(SEARCH("Газель базы",B1257)))</formula>
    </cfRule>
    <cfRule type="containsText" dxfId="511" priority="380" operator="containsText" text="Погрузчик базы">
      <formula>NOT(ISERROR(SEARCH("Погрузчик базы",B1257)))</formula>
    </cfRule>
  </conditionalFormatting>
  <conditionalFormatting sqref="B1257">
    <cfRule type="containsText" dxfId="510" priority="378" operator="containsText" text="Трактор базы">
      <formula>NOT(ISERROR(SEARCH("Трактор базы",B1257)))</formula>
    </cfRule>
  </conditionalFormatting>
  <conditionalFormatting sqref="B1258:B1262">
    <cfRule type="containsText" dxfId="509" priority="377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08" priority="375" operator="containsText" text="Газель базы">
      <formula>NOT(ISERROR(SEARCH("Газель базы",B1258)))</formula>
    </cfRule>
    <cfRule type="containsText" dxfId="507" priority="376" operator="containsText" text="Погрузчик базы">
      <formula>NOT(ISERROR(SEARCH("Погрузчик базы",B1258)))</formula>
    </cfRule>
  </conditionalFormatting>
  <conditionalFormatting sqref="B1281:B1287">
    <cfRule type="containsText" dxfId="506" priority="373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05" priority="371" operator="containsText" text="Газель базы">
      <formula>NOT(ISERROR(SEARCH("Газель базы",B1281)))</formula>
    </cfRule>
    <cfRule type="containsText" dxfId="504" priority="372" operator="containsText" text="Погрузчик базы">
      <formula>NOT(ISERROR(SEARCH("Погрузчик базы",B1281)))</formula>
    </cfRule>
  </conditionalFormatting>
  <conditionalFormatting sqref="B1281:B1287">
    <cfRule type="containsText" dxfId="503" priority="370" operator="containsText" text="Трактор базы">
      <formula>NOT(ISERROR(SEARCH("Трактор базы",B1281)))</formula>
    </cfRule>
  </conditionalFormatting>
  <conditionalFormatting sqref="B1296">
    <cfRule type="containsText" dxfId="502" priority="366" operator="containsText" text="Трактор базы">
      <formula>NOT(ISERROR(SEARCH("Трактор базы",B1296)))</formula>
    </cfRule>
  </conditionalFormatting>
  <conditionalFormatting sqref="B1296">
    <cfRule type="containsText" dxfId="501" priority="369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00" priority="367" operator="containsText" text="Газель базы">
      <formula>NOT(ISERROR(SEARCH("Газель базы",B1296)))</formula>
    </cfRule>
    <cfRule type="containsText" dxfId="499" priority="368" operator="containsText" text="Погрузчик базы">
      <formula>NOT(ISERROR(SEARCH("Погрузчик базы",B1296)))</formula>
    </cfRule>
  </conditionalFormatting>
  <conditionalFormatting sqref="C1320:C1321">
    <cfRule type="notContainsText" dxfId="498" priority="364" operator="notContains" text="порожний">
      <formula>ISERROR(SEARCH("порожний",C1320))</formula>
    </cfRule>
  </conditionalFormatting>
  <conditionalFormatting sqref="A1323">
    <cfRule type="containsText" dxfId="497" priority="358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96" priority="361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95" priority="363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94" priority="362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93" priority="360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92" priority="359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91" priority="357" operator="notContains" text="порожний">
      <formula>ISERROR(SEARCH("порожний",C1336))</formula>
    </cfRule>
  </conditionalFormatting>
  <conditionalFormatting sqref="C1346">
    <cfRule type="notContainsText" dxfId="490" priority="356" operator="notContains" text="порожний">
      <formula>ISERROR(SEARCH("порожний",C1346))</formula>
    </cfRule>
  </conditionalFormatting>
  <conditionalFormatting sqref="A1391">
    <cfRule type="containsText" dxfId="489" priority="350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88" priority="352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87" priority="351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86" priority="347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85" priority="349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84" priority="348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83" priority="346" operator="notContains" text="порожний">
      <formula>ISERROR(SEARCH("порожний",C1606))</formula>
    </cfRule>
  </conditionalFormatting>
  <conditionalFormatting sqref="B1633:B1636">
    <cfRule type="containsText" dxfId="482" priority="345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81" priority="343" operator="containsText" text="Газель базы">
      <formula>NOT(ISERROR(SEARCH("Газель базы",B1633)))</formula>
    </cfRule>
    <cfRule type="containsText" dxfId="480" priority="344" operator="containsText" text="Погрузчик базы">
      <formula>NOT(ISERROR(SEARCH("Погрузчик базы",B1633)))</formula>
    </cfRule>
  </conditionalFormatting>
  <conditionalFormatting sqref="B1633:B1636">
    <cfRule type="containsText" dxfId="479" priority="342" operator="containsText" text="Трактор базы">
      <formula>NOT(ISERROR(SEARCH("Трактор базы",B1633)))</formula>
    </cfRule>
  </conditionalFormatting>
  <conditionalFormatting sqref="B1637:B1642">
    <cfRule type="containsText" dxfId="478" priority="341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77" priority="339" operator="containsText" text="Газель базы">
      <formula>NOT(ISERROR(SEARCH("Газель базы",B1637)))</formula>
    </cfRule>
    <cfRule type="containsText" dxfId="476" priority="340" operator="containsText" text="Погрузчик базы">
      <formula>NOT(ISERROR(SEARCH("Погрузчик базы",B1637)))</formula>
    </cfRule>
  </conditionalFormatting>
  <conditionalFormatting sqref="B1637:B1642">
    <cfRule type="containsText" dxfId="475" priority="338" operator="containsText" text="Трактор базы">
      <formula>NOT(ISERROR(SEARCH("Трактор базы",B1637)))</formula>
    </cfRule>
  </conditionalFormatting>
  <conditionalFormatting sqref="B1671:B1672">
    <cfRule type="containsText" dxfId="474" priority="334" operator="containsText" text="Трактор базы">
      <formula>NOT(ISERROR(SEARCH("Трактор базы",B1671)))</formula>
    </cfRule>
  </conditionalFormatting>
  <conditionalFormatting sqref="B1671:B1672">
    <cfRule type="containsText" dxfId="473" priority="337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72" priority="335" operator="containsText" text="Газель базы">
      <formula>NOT(ISERROR(SEARCH("Газель базы",B1671)))</formula>
    </cfRule>
    <cfRule type="containsText" dxfId="471" priority="336" operator="containsText" text="Погрузчик базы">
      <formula>NOT(ISERROR(SEARCH("Погрузчик базы",B1671)))</formula>
    </cfRule>
  </conditionalFormatting>
  <conditionalFormatting sqref="B1675">
    <cfRule type="containsText" dxfId="470" priority="330" operator="containsText" text="Трактор базы">
      <formula>NOT(ISERROR(SEARCH("Трактор базы",B1675)))</formula>
    </cfRule>
  </conditionalFormatting>
  <conditionalFormatting sqref="B1675">
    <cfRule type="containsText" dxfId="469" priority="333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68" priority="331" operator="containsText" text="Газель базы">
      <formula>NOT(ISERROR(SEARCH("Газель базы",B1675)))</formula>
    </cfRule>
    <cfRule type="containsText" dxfId="467" priority="332" operator="containsText" text="Погрузчик базы">
      <formula>NOT(ISERROR(SEARCH("Погрузчик базы",B1675)))</formula>
    </cfRule>
  </conditionalFormatting>
  <conditionalFormatting sqref="A1678">
    <cfRule type="containsText" dxfId="466" priority="327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65" priority="329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64" priority="328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63" priority="326" operator="notContains" text="порожний">
      <formula>ISERROR(SEARCH("порожний",C1723))</formula>
    </cfRule>
  </conditionalFormatting>
  <conditionalFormatting sqref="C1725:C1726">
    <cfRule type="notContainsText" dxfId="462" priority="325" operator="notContains" text="порожний">
      <formula>ISERROR(SEARCH("порожний",C1725))</formula>
    </cfRule>
  </conditionalFormatting>
  <conditionalFormatting sqref="C1727">
    <cfRule type="notContainsText" dxfId="461" priority="324" operator="notContains" text="порожний">
      <formula>ISERROR(SEARCH("порожний",C1727))</formula>
    </cfRule>
  </conditionalFormatting>
  <conditionalFormatting sqref="C1728">
    <cfRule type="notContainsText" dxfId="460" priority="323" operator="notContains" text="порожний">
      <formula>ISERROR(SEARCH("порожний",C1728))</formula>
    </cfRule>
  </conditionalFormatting>
  <conditionalFormatting sqref="B1732:B1733">
    <cfRule type="containsText" dxfId="459" priority="322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58" priority="320" operator="containsText" text="Газель базы">
      <formula>NOT(ISERROR(SEARCH("Газель базы",B1732)))</formula>
    </cfRule>
    <cfRule type="containsText" dxfId="457" priority="321" operator="containsText" text="Погрузчик базы">
      <formula>NOT(ISERROR(SEARCH("Погрузчик базы",B1732)))</formula>
    </cfRule>
  </conditionalFormatting>
  <conditionalFormatting sqref="B1732:B1733">
    <cfRule type="containsText" dxfId="456" priority="319" operator="containsText" text="Трактор базы">
      <formula>NOT(ISERROR(SEARCH("Трактор базы",B1732)))</formula>
    </cfRule>
  </conditionalFormatting>
  <conditionalFormatting sqref="B1734:B1735">
    <cfRule type="containsText" dxfId="455" priority="318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54" priority="316" operator="containsText" text="Газель базы">
      <formula>NOT(ISERROR(SEARCH("Газель базы",B1734)))</formula>
    </cfRule>
    <cfRule type="containsText" dxfId="453" priority="317" operator="containsText" text="Погрузчик базы">
      <formula>NOT(ISERROR(SEARCH("Погрузчик базы",B1734)))</formula>
    </cfRule>
  </conditionalFormatting>
  <conditionalFormatting sqref="B1734:B1735">
    <cfRule type="containsText" dxfId="452" priority="315" operator="containsText" text="Трактор базы">
      <formula>NOT(ISERROR(SEARCH("Трактор базы",B1734)))</formula>
    </cfRule>
  </conditionalFormatting>
  <conditionalFormatting sqref="B1762:B1764">
    <cfRule type="containsText" dxfId="451" priority="301" operator="containsText" text="Трактор базы">
      <formula>NOT(ISERROR(SEARCH("Трактор базы",B1762)))</formula>
    </cfRule>
  </conditionalFormatting>
  <conditionalFormatting sqref="B1740:B1741">
    <cfRule type="containsText" dxfId="450" priority="314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49" priority="312" operator="containsText" text="Газель базы">
      <formula>NOT(ISERROR(SEARCH("Газель базы",B1740)))</formula>
    </cfRule>
    <cfRule type="containsText" dxfId="448" priority="313" operator="containsText" text="Погрузчик базы">
      <formula>NOT(ISERROR(SEARCH("Погрузчик базы",B1740)))</formula>
    </cfRule>
  </conditionalFormatting>
  <conditionalFormatting sqref="B1740:B1741">
    <cfRule type="containsText" dxfId="447" priority="311" operator="containsText" text="Трактор базы">
      <formula>NOT(ISERROR(SEARCH("Трактор базы",B1740)))</formula>
    </cfRule>
  </conditionalFormatting>
  <conditionalFormatting sqref="A1755">
    <cfRule type="containsText" dxfId="446" priority="308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45" priority="310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44" priority="309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43" priority="305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42" priority="307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41" priority="306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40" priority="292" operator="containsText" text="Трактор базы">
      <formula>NOT(ISERROR(SEARCH("Трактор базы",B1773)))</formula>
    </cfRule>
  </conditionalFormatting>
  <conditionalFormatting sqref="B1762:B1764">
    <cfRule type="containsText" dxfId="439" priority="304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38" priority="302" operator="containsText" text="Газель базы">
      <formula>NOT(ISERROR(SEARCH("Газель базы",B1762)))</formula>
    </cfRule>
    <cfRule type="containsText" dxfId="437" priority="303" operator="containsText" text="Погрузчик базы">
      <formula>NOT(ISERROR(SEARCH("Погрузчик базы",B1762)))</formula>
    </cfRule>
  </conditionalFormatting>
  <conditionalFormatting sqref="B1776:B1777">
    <cfRule type="containsText" dxfId="436" priority="283" operator="containsText" text="Трактор базы">
      <formula>NOT(ISERROR(SEARCH("Трактор базы",B1776)))</formula>
    </cfRule>
  </conditionalFormatting>
  <conditionalFormatting sqref="B1770:B1771">
    <cfRule type="containsText" dxfId="435" priority="300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34" priority="298" operator="containsText" text="Газель базы">
      <formula>NOT(ISERROR(SEARCH("Газель базы",B1770)))</formula>
    </cfRule>
    <cfRule type="containsText" dxfId="433" priority="299" operator="containsText" text="Погрузчик базы">
      <formula>NOT(ISERROR(SEARCH("Погрузчик базы",B1770)))</formula>
    </cfRule>
  </conditionalFormatting>
  <conditionalFormatting sqref="B1770:B1771">
    <cfRule type="containsText" dxfId="432" priority="297" operator="containsText" text="Трактор базы">
      <formula>NOT(ISERROR(SEARCH("Трактор базы",B1770)))</formula>
    </cfRule>
  </conditionalFormatting>
  <conditionalFormatting sqref="B1773">
    <cfRule type="containsText" dxfId="431" priority="296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30" priority="295" operator="notContains" text="порожний">
      <formula>ISERROR(SEARCH("порожний",C1773))</formula>
    </cfRule>
  </conditionalFormatting>
  <conditionalFormatting sqref="B1773">
    <cfRule type="containsText" dxfId="429" priority="293" operator="containsText" text="Газель базы">
      <formula>NOT(ISERROR(SEARCH("Газель базы",B1773)))</formula>
    </cfRule>
    <cfRule type="containsText" dxfId="428" priority="294" operator="containsText" text="Погрузчик базы">
      <formula>NOT(ISERROR(SEARCH("Погрузчик базы",B1773)))</formula>
    </cfRule>
  </conditionalFormatting>
  <conditionalFormatting sqref="B1775">
    <cfRule type="containsText" dxfId="427" priority="287" operator="containsText" text="Трактор базы">
      <formula>NOT(ISERROR(SEARCH("Трактор базы",B1775)))</formula>
    </cfRule>
  </conditionalFormatting>
  <conditionalFormatting sqref="B1775">
    <cfRule type="containsText" dxfId="426" priority="291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25" priority="290" operator="notContains" text="порожний">
      <formula>ISERROR(SEARCH("порожний",C1775))</formula>
    </cfRule>
  </conditionalFormatting>
  <conditionalFormatting sqref="B1775">
    <cfRule type="containsText" dxfId="424" priority="288" operator="containsText" text="Газель базы">
      <formula>NOT(ISERROR(SEARCH("Газель базы",B1775)))</formula>
    </cfRule>
    <cfRule type="containsText" dxfId="423" priority="289" operator="containsText" text="Погрузчик базы">
      <formula>NOT(ISERROR(SEARCH("Погрузчик базы",B1775)))</formula>
    </cfRule>
  </conditionalFormatting>
  <conditionalFormatting sqref="B1776:B1777">
    <cfRule type="containsText" dxfId="422" priority="286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21" priority="284" operator="containsText" text="Газель базы">
      <formula>NOT(ISERROR(SEARCH("Газель базы",B1776)))</formula>
    </cfRule>
    <cfRule type="containsText" dxfId="420" priority="285" operator="containsText" text="Погрузчик базы">
      <formula>NOT(ISERROR(SEARCH("Погрузчик базы",B1776)))</formula>
    </cfRule>
  </conditionalFormatting>
  <conditionalFormatting sqref="B1891">
    <cfRule type="containsText" dxfId="419" priority="275" operator="containsText" text="Трактор базы">
      <formula>NOT(ISERROR(SEARCH("Трактор базы",B1891)))</formula>
    </cfRule>
  </conditionalFormatting>
  <conditionalFormatting sqref="B1889">
    <cfRule type="containsText" dxfId="418" priority="282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17" priority="280" operator="containsText" text="Газель базы">
      <formula>NOT(ISERROR(SEARCH("Газель базы",B1889)))</formula>
    </cfRule>
    <cfRule type="containsText" dxfId="416" priority="281" operator="containsText" text="Погрузчик базы">
      <formula>NOT(ISERROR(SEARCH("Погрузчик базы",B1889)))</formula>
    </cfRule>
  </conditionalFormatting>
  <conditionalFormatting sqref="B1889">
    <cfRule type="containsText" dxfId="415" priority="279" operator="containsText" text="Трактор базы">
      <formula>NOT(ISERROR(SEARCH("Трактор базы",B1889)))</formula>
    </cfRule>
  </conditionalFormatting>
  <conditionalFormatting sqref="B1891">
    <cfRule type="containsText" dxfId="414" priority="278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13" priority="276" operator="containsText" text="Газель базы">
      <formula>NOT(ISERROR(SEARCH("Газель базы",B1891)))</formula>
    </cfRule>
    <cfRule type="containsText" dxfId="412" priority="277" operator="containsText" text="Погрузчик базы">
      <formula>NOT(ISERROR(SEARCH("Погрузчик базы",B1891)))</formula>
    </cfRule>
  </conditionalFormatting>
  <conditionalFormatting sqref="B1920">
    <cfRule type="containsText" dxfId="411" priority="263" operator="containsText" text="Трактор базы">
      <formula>NOT(ISERROR(SEARCH("Трактор базы",B1920)))</formula>
    </cfRule>
  </conditionalFormatting>
  <conditionalFormatting sqref="B1904:B1914">
    <cfRule type="containsText" dxfId="410" priority="274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09" priority="272" operator="containsText" text="Газель базы">
      <formula>NOT(ISERROR(SEARCH("Газель базы",B1904)))</formula>
    </cfRule>
    <cfRule type="containsText" dxfId="408" priority="273" operator="containsText" text="Погрузчик базы">
      <formula>NOT(ISERROR(SEARCH("Погрузчик базы",B1904)))</formula>
    </cfRule>
  </conditionalFormatting>
  <conditionalFormatting sqref="B1904:B1914">
    <cfRule type="containsText" dxfId="407" priority="271" operator="containsText" text="Трактор базы">
      <formula>NOT(ISERROR(SEARCH("Трактор базы",B1904)))</formula>
    </cfRule>
  </conditionalFormatting>
  <conditionalFormatting sqref="B1915:B1919">
    <cfRule type="containsText" dxfId="406" priority="270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05" priority="268" operator="containsText" text="Газель базы">
      <formula>NOT(ISERROR(SEARCH("Газель базы",B1915)))</formula>
    </cfRule>
    <cfRule type="containsText" dxfId="404" priority="269" operator="containsText" text="Погрузчик базы">
      <formula>NOT(ISERROR(SEARCH("Погрузчик базы",B1915)))</formula>
    </cfRule>
  </conditionalFormatting>
  <conditionalFormatting sqref="B1915:B1919">
    <cfRule type="containsText" dxfId="403" priority="267" operator="containsText" text="Трактор базы">
      <formula>NOT(ISERROR(SEARCH("Трактор базы",B1915)))</formula>
    </cfRule>
  </conditionalFormatting>
  <conditionalFormatting sqref="B1920">
    <cfRule type="containsText" dxfId="402" priority="266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01" priority="264" operator="containsText" text="Газель базы">
      <formula>NOT(ISERROR(SEARCH("Газель базы",B1920)))</formula>
    </cfRule>
    <cfRule type="containsText" dxfId="400" priority="265" operator="containsText" text="Погрузчик базы">
      <formula>NOT(ISERROR(SEARCH("Погрузчик базы",B1920)))</formula>
    </cfRule>
  </conditionalFormatting>
  <conditionalFormatting sqref="B1939">
    <cfRule type="containsText" dxfId="399" priority="259" operator="containsText" text="Трактор базы">
      <formula>NOT(ISERROR(SEARCH("Трактор базы",B1939)))</formula>
    </cfRule>
  </conditionalFormatting>
  <conditionalFormatting sqref="B1939">
    <cfRule type="containsText" dxfId="398" priority="262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97" priority="260" operator="containsText" text="Газель базы">
      <formula>NOT(ISERROR(SEARCH("Газель базы",B1939)))</formula>
    </cfRule>
    <cfRule type="containsText" dxfId="396" priority="261" operator="containsText" text="Погрузчик базы">
      <formula>NOT(ISERROR(SEARCH("Погрузчик базы",B1939)))</formula>
    </cfRule>
  </conditionalFormatting>
  <conditionalFormatting sqref="A1943">
    <cfRule type="containsText" dxfId="395" priority="256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94" priority="258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93" priority="257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92" priority="240" operator="containsText" text="Трактор базы">
      <formula>NOT(ISERROR(SEARCH("Трактор базы",B1977)))</formula>
    </cfRule>
  </conditionalFormatting>
  <conditionalFormatting sqref="B1974">
    <cfRule type="containsText" dxfId="391" priority="255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90" priority="253" operator="containsText" text="Газель базы">
      <formula>NOT(ISERROR(SEARCH("Газель базы",B1974)))</formula>
    </cfRule>
    <cfRule type="containsText" dxfId="389" priority="254" operator="containsText" text="Погрузчик базы">
      <formula>NOT(ISERROR(SEARCH("Погрузчик базы",B1974)))</formula>
    </cfRule>
  </conditionalFormatting>
  <conditionalFormatting sqref="B1974">
    <cfRule type="containsText" dxfId="388" priority="252" operator="containsText" text="Трактор базы">
      <formula>NOT(ISERROR(SEARCH("Трактор базы",B1974)))</formula>
    </cfRule>
  </conditionalFormatting>
  <conditionalFormatting sqref="B1975">
    <cfRule type="containsText" dxfId="387" priority="251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86" priority="249" operator="containsText" text="Газель базы">
      <formula>NOT(ISERROR(SEARCH("Газель базы",B1975)))</formula>
    </cfRule>
    <cfRule type="containsText" dxfId="385" priority="250" operator="containsText" text="Погрузчик базы">
      <formula>NOT(ISERROR(SEARCH("Погрузчик базы",B1975)))</formula>
    </cfRule>
  </conditionalFormatting>
  <conditionalFormatting sqref="B1975">
    <cfRule type="containsText" dxfId="384" priority="248" operator="containsText" text="Трактор базы">
      <formula>NOT(ISERROR(SEARCH("Трактор базы",B1975)))</formula>
    </cfRule>
  </conditionalFormatting>
  <conditionalFormatting sqref="B1976">
    <cfRule type="containsText" dxfId="383" priority="247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82" priority="245" operator="containsText" text="Газель базы">
      <formula>NOT(ISERROR(SEARCH("Газель базы",B1976)))</formula>
    </cfRule>
    <cfRule type="containsText" dxfId="381" priority="246" operator="containsText" text="Погрузчик базы">
      <formula>NOT(ISERROR(SEARCH("Погрузчик базы",B1976)))</formula>
    </cfRule>
  </conditionalFormatting>
  <conditionalFormatting sqref="B1976">
    <cfRule type="containsText" dxfId="380" priority="244" operator="containsText" text="Трактор базы">
      <formula>NOT(ISERROR(SEARCH("Трактор базы",B1976)))</formula>
    </cfRule>
  </conditionalFormatting>
  <conditionalFormatting sqref="B1977">
    <cfRule type="containsText" dxfId="379" priority="243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78" priority="241" operator="containsText" text="Газель базы">
      <formula>NOT(ISERROR(SEARCH("Газель базы",B1977)))</formula>
    </cfRule>
    <cfRule type="containsText" dxfId="377" priority="242" operator="containsText" text="Погрузчик базы">
      <formula>NOT(ISERROR(SEARCH("Погрузчик базы",B1977)))</formula>
    </cfRule>
  </conditionalFormatting>
  <conditionalFormatting sqref="C1965">
    <cfRule type="notContainsText" dxfId="376" priority="239" operator="notContains" text="порожний">
      <formula>ISERROR(SEARCH("порожний",C1965))</formula>
    </cfRule>
  </conditionalFormatting>
  <conditionalFormatting sqref="B2042">
    <cfRule type="containsText" dxfId="375" priority="235" operator="containsText" text="Трактор базы">
      <formula>NOT(ISERROR(SEARCH("Трактор базы",B2042)))</formula>
    </cfRule>
  </conditionalFormatting>
  <conditionalFormatting sqref="B2042">
    <cfRule type="containsText" dxfId="374" priority="238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73" priority="236" operator="containsText" text="Газель базы">
      <formula>NOT(ISERROR(SEARCH("Газель базы",B2042)))</formula>
    </cfRule>
    <cfRule type="containsText" dxfId="372" priority="237" operator="containsText" text="Погрузчик базы">
      <formula>NOT(ISERROR(SEARCH("Погрузчик базы",B2042)))</formula>
    </cfRule>
  </conditionalFormatting>
  <conditionalFormatting sqref="C2050">
    <cfRule type="notContainsText" dxfId="371" priority="234" operator="notContains" text="порожний">
      <formula>ISERROR(SEARCH("порожний",C2050))</formula>
    </cfRule>
  </conditionalFormatting>
  <conditionalFormatting sqref="B2054">
    <cfRule type="containsText" dxfId="370" priority="233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69" priority="231" operator="containsText" text="Газель базы">
      <formula>NOT(ISERROR(SEARCH("Газель базы",B2054)))</formula>
    </cfRule>
    <cfRule type="containsText" dxfId="368" priority="232" operator="containsText" text="Погрузчик базы">
      <formula>NOT(ISERROR(SEARCH("Погрузчик базы",B2054)))</formula>
    </cfRule>
  </conditionalFormatting>
  <conditionalFormatting sqref="B2054">
    <cfRule type="containsText" dxfId="367" priority="230" operator="containsText" text="Трактор базы">
      <formula>NOT(ISERROR(SEARCH("Трактор базы",B2054)))</formula>
    </cfRule>
  </conditionalFormatting>
  <conditionalFormatting sqref="B2055">
    <cfRule type="containsText" dxfId="366" priority="226" operator="containsText" text="Трактор базы">
      <formula>NOT(ISERROR(SEARCH("Трактор базы",B2055)))</formula>
    </cfRule>
  </conditionalFormatting>
  <conditionalFormatting sqref="B2055">
    <cfRule type="containsText" dxfId="365" priority="229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64" priority="227" operator="containsText" text="Газель базы">
      <formula>NOT(ISERROR(SEARCH("Газель базы",B2055)))</formula>
    </cfRule>
    <cfRule type="containsText" dxfId="363" priority="228" operator="containsText" text="Погрузчик базы">
      <formula>NOT(ISERROR(SEARCH("Погрузчик базы",B2055)))</formula>
    </cfRule>
  </conditionalFormatting>
  <conditionalFormatting sqref="A2087:A2089">
    <cfRule type="containsText" dxfId="362" priority="219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61" priority="225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60" priority="224" operator="notContains" text="порожний">
      <formula>ISERROR(SEARCH("порожний",C2087))</formula>
    </cfRule>
  </conditionalFormatting>
  <conditionalFormatting sqref="B2087:B2089">
    <cfRule type="containsText" dxfId="359" priority="222" operator="containsText" text="Газель базы">
      <formula>NOT(ISERROR(SEARCH("Газель базы",B2087)))</formula>
    </cfRule>
    <cfRule type="containsText" dxfId="358" priority="223" operator="containsText" text="Погрузчик базы">
      <formula>NOT(ISERROR(SEARCH("Погрузчик базы",B2087)))</formula>
    </cfRule>
  </conditionalFormatting>
  <conditionalFormatting sqref="B2087:B2089">
    <cfRule type="containsText" dxfId="357" priority="221" operator="containsText" text="Трактор базы">
      <formula>NOT(ISERROR(SEARCH("Трактор базы",B2087)))</formula>
    </cfRule>
  </conditionalFormatting>
  <conditionalFormatting sqref="A2087:A2089">
    <cfRule type="containsText" dxfId="356" priority="220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55" priority="218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54" priority="216" operator="containsText" text="Газель базы">
      <formula>NOT(ISERROR(SEARCH("Газель базы",B2101)))</formula>
    </cfRule>
    <cfRule type="containsText" dxfId="353" priority="217" operator="containsText" text="Погрузчик базы">
      <formula>NOT(ISERROR(SEARCH("Погрузчик базы",B2101)))</formula>
    </cfRule>
  </conditionalFormatting>
  <conditionalFormatting sqref="B2101">
    <cfRule type="containsText" dxfId="352" priority="215" operator="containsText" text="Трактор базы">
      <formula>NOT(ISERROR(SEARCH("Трактор базы",B2101)))</formula>
    </cfRule>
  </conditionalFormatting>
  <conditionalFormatting sqref="B2102">
    <cfRule type="containsText" dxfId="351" priority="214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50" priority="212" operator="containsText" text="Газель базы">
      <formula>NOT(ISERROR(SEARCH("Газель базы",B2102)))</formula>
    </cfRule>
    <cfRule type="containsText" dxfId="349" priority="213" operator="containsText" text="Погрузчик базы">
      <formula>NOT(ISERROR(SEARCH("Погрузчик базы",B2102)))</formula>
    </cfRule>
  </conditionalFormatting>
  <conditionalFormatting sqref="B2102">
    <cfRule type="containsText" dxfId="348" priority="211" operator="containsText" text="Трактор базы">
      <formula>NOT(ISERROR(SEARCH("Трактор базы",B2102)))</formula>
    </cfRule>
  </conditionalFormatting>
  <conditionalFormatting sqref="B2103">
    <cfRule type="containsText" dxfId="347" priority="207" operator="containsText" text="Трактор базы">
      <formula>NOT(ISERROR(SEARCH("Трактор базы",B2103)))</formula>
    </cfRule>
  </conditionalFormatting>
  <conditionalFormatting sqref="B2103">
    <cfRule type="containsText" dxfId="346" priority="210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45" priority="208" operator="containsText" text="Газель базы">
      <formula>NOT(ISERROR(SEARCH("Газель базы",B2103)))</formula>
    </cfRule>
    <cfRule type="containsText" dxfId="344" priority="209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43" priority="204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42" priority="206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41" priority="205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40" priority="203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39" priority="201" operator="containsText" text="Газель базы">
      <formula>NOT(ISERROR(SEARCH("Газель базы",B2276)))</formula>
    </cfRule>
    <cfRule type="containsText" dxfId="338" priority="202" operator="containsText" text="Погрузчик базы">
      <formula>NOT(ISERROR(SEARCH("Погрузчик базы",B2276)))</formula>
    </cfRule>
  </conditionalFormatting>
  <conditionalFormatting sqref="B2276">
    <cfRule type="containsText" dxfId="337" priority="200" operator="containsText" text="Трактор базы">
      <formula>NOT(ISERROR(SEARCH("Трактор базы",B2276)))</formula>
    </cfRule>
  </conditionalFormatting>
  <conditionalFormatting sqref="B2277">
    <cfRule type="containsText" dxfId="336" priority="196" operator="containsText" text="Трактор базы">
      <formula>NOT(ISERROR(SEARCH("Трактор базы",B2277)))</formula>
    </cfRule>
  </conditionalFormatting>
  <conditionalFormatting sqref="B2277">
    <cfRule type="containsText" dxfId="335" priority="199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34" priority="197" operator="containsText" text="Газель базы">
      <formula>NOT(ISERROR(SEARCH("Газель базы",B2277)))</formula>
    </cfRule>
    <cfRule type="containsText" dxfId="333" priority="198" operator="containsText" text="Погрузчик базы">
      <formula>NOT(ISERROR(SEARCH("Погрузчик базы",B2277)))</formula>
    </cfRule>
  </conditionalFormatting>
  <conditionalFormatting sqref="A2279">
    <cfRule type="containsText" dxfId="332" priority="193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31" priority="195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30" priority="194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29" priority="190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28" priority="192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27" priority="191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26" priority="171" operator="containsText" text="Трактор базы">
      <formula>NOT(ISERROR(SEARCH("Трактор базы",B2382)))</formula>
    </cfRule>
  </conditionalFormatting>
  <conditionalFormatting sqref="B2348:B2349">
    <cfRule type="containsText" dxfId="325" priority="189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24" priority="187" operator="containsText" text="Газель базы">
      <formula>NOT(ISERROR(SEARCH("Газель базы",B2348)))</formula>
    </cfRule>
    <cfRule type="containsText" dxfId="323" priority="188" operator="containsText" text="Погрузчик базы">
      <formula>NOT(ISERROR(SEARCH("Погрузчик базы",B2348)))</formula>
    </cfRule>
  </conditionalFormatting>
  <conditionalFormatting sqref="B2348:B2349">
    <cfRule type="containsText" dxfId="322" priority="186" operator="containsText" text="Трактор базы">
      <formula>NOT(ISERROR(SEARCH("Трактор базы",B2348)))</formula>
    </cfRule>
  </conditionalFormatting>
  <conditionalFormatting sqref="A2350">
    <cfRule type="containsText" dxfId="321" priority="183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20" priority="185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19" priority="184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18" priority="182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17" priority="180" operator="containsText" text="Газель базы">
      <formula>NOT(ISERROR(SEARCH("Газель базы",B2352)))</formula>
    </cfRule>
    <cfRule type="containsText" dxfId="316" priority="181" operator="containsText" text="Погрузчик базы">
      <formula>NOT(ISERROR(SEARCH("Погрузчик базы",B2352)))</formula>
    </cfRule>
  </conditionalFormatting>
  <conditionalFormatting sqref="B2352:B2354">
    <cfRule type="containsText" dxfId="315" priority="179" operator="containsText" text="Трактор базы">
      <formula>NOT(ISERROR(SEARCH("Трактор базы",B2352)))</formula>
    </cfRule>
  </conditionalFormatting>
  <conditionalFormatting sqref="B2358">
    <cfRule type="containsText" dxfId="314" priority="178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13" priority="176" operator="containsText" text="Газель базы">
      <formula>NOT(ISERROR(SEARCH("Газель базы",B2358)))</formula>
    </cfRule>
    <cfRule type="containsText" dxfId="312" priority="177" operator="containsText" text="Погрузчик базы">
      <formula>NOT(ISERROR(SEARCH("Погрузчик базы",B2358)))</formula>
    </cfRule>
  </conditionalFormatting>
  <conditionalFormatting sqref="B2358">
    <cfRule type="containsText" dxfId="311" priority="175" operator="containsText" text="Трактор базы">
      <formula>NOT(ISERROR(SEARCH("Трактор базы",B2358)))</formula>
    </cfRule>
  </conditionalFormatting>
  <conditionalFormatting sqref="B2382">
    <cfRule type="containsText" dxfId="310" priority="174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09" priority="172" operator="containsText" text="Газель базы">
      <formula>NOT(ISERROR(SEARCH("Газель базы",B2382)))</formula>
    </cfRule>
    <cfRule type="containsText" dxfId="308" priority="173" operator="containsText" text="Погрузчик базы">
      <formula>NOT(ISERROR(SEARCH("Погрузчик базы",B2382)))</formula>
    </cfRule>
  </conditionalFormatting>
  <conditionalFormatting sqref="B2423:B2424">
    <cfRule type="containsText" dxfId="307" priority="170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06" priority="168" operator="containsText" text="Газель базы">
      <formula>NOT(ISERROR(SEARCH("Газель базы",B2423)))</formula>
    </cfRule>
    <cfRule type="containsText" dxfId="305" priority="169" operator="containsText" text="Погрузчик базы">
      <formula>NOT(ISERROR(SEARCH("Погрузчик базы",B2423)))</formula>
    </cfRule>
  </conditionalFormatting>
  <conditionalFormatting sqref="B2423:B2424">
    <cfRule type="containsText" dxfId="304" priority="167" operator="containsText" text="Трактор базы">
      <formula>NOT(ISERROR(SEARCH("Трактор базы",B2423)))</formula>
    </cfRule>
  </conditionalFormatting>
  <conditionalFormatting sqref="B2431">
    <cfRule type="containsText" dxfId="303" priority="166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02" priority="164" operator="containsText" text="Газель базы">
      <formula>NOT(ISERROR(SEARCH("Газель базы",B2431)))</formula>
    </cfRule>
    <cfRule type="containsText" dxfId="301" priority="165" operator="containsText" text="Погрузчик базы">
      <formula>NOT(ISERROR(SEARCH("Погрузчик базы",B2431)))</formula>
    </cfRule>
  </conditionalFormatting>
  <conditionalFormatting sqref="B2431">
    <cfRule type="containsText" dxfId="300" priority="163" operator="containsText" text="Трактор базы">
      <formula>NOT(ISERROR(SEARCH("Трактор базы",B2431)))</formula>
    </cfRule>
  </conditionalFormatting>
  <conditionalFormatting sqref="B2478">
    <cfRule type="containsText" dxfId="299" priority="151" operator="containsText" text="Трактор базы">
      <formula>NOT(ISERROR(SEARCH("Трактор базы",B2478)))</formula>
    </cfRule>
  </conditionalFormatting>
  <conditionalFormatting sqref="B2462:B2463">
    <cfRule type="containsText" dxfId="298" priority="162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97" priority="160" operator="containsText" text="Газель базы">
      <formula>NOT(ISERROR(SEARCH("Газель базы",B2462)))</formula>
    </cfRule>
    <cfRule type="containsText" dxfId="296" priority="161" operator="containsText" text="Погрузчик базы">
      <formula>NOT(ISERROR(SEARCH("Погрузчик базы",B2462)))</formula>
    </cfRule>
  </conditionalFormatting>
  <conditionalFormatting sqref="B2462:B2463">
    <cfRule type="containsText" dxfId="295" priority="159" operator="containsText" text="Трактор базы">
      <formula>NOT(ISERROR(SEARCH("Трактор базы",B2462)))</formula>
    </cfRule>
  </conditionalFormatting>
  <conditionalFormatting sqref="B2467">
    <cfRule type="containsText" dxfId="294" priority="158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93" priority="156" operator="containsText" text="Газель базы">
      <formula>NOT(ISERROR(SEARCH("Газель базы",B2467)))</formula>
    </cfRule>
    <cfRule type="containsText" dxfId="292" priority="157" operator="containsText" text="Погрузчик базы">
      <formula>NOT(ISERROR(SEARCH("Погрузчик базы",B2467)))</formula>
    </cfRule>
  </conditionalFormatting>
  <conditionalFormatting sqref="B2467">
    <cfRule type="containsText" dxfId="291" priority="155" operator="containsText" text="Трактор базы">
      <formula>NOT(ISERROR(SEARCH("Трактор базы",B2467)))</formula>
    </cfRule>
  </conditionalFormatting>
  <conditionalFormatting sqref="B2478">
    <cfRule type="containsText" dxfId="290" priority="154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89" priority="152" operator="containsText" text="Газель базы">
      <formula>NOT(ISERROR(SEARCH("Газель базы",B2478)))</formula>
    </cfRule>
    <cfRule type="containsText" dxfId="288" priority="153" operator="containsText" text="Погрузчик базы">
      <formula>NOT(ISERROR(SEARCH("Погрузчик базы",B2478)))</formula>
    </cfRule>
  </conditionalFormatting>
  <conditionalFormatting sqref="B2499">
    <cfRule type="containsText" dxfId="287" priority="139" operator="containsText" text="Трактор базы">
      <formula>NOT(ISERROR(SEARCH("Трактор базы",B2499)))</formula>
    </cfRule>
  </conditionalFormatting>
  <conditionalFormatting sqref="B2497">
    <cfRule type="containsText" dxfId="286" priority="150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85" priority="148" operator="containsText" text="Газель базы">
      <formula>NOT(ISERROR(SEARCH("Газель базы",B2497)))</formula>
    </cfRule>
    <cfRule type="containsText" dxfId="284" priority="149" operator="containsText" text="Погрузчик базы">
      <formula>NOT(ISERROR(SEARCH("Погрузчик базы",B2497)))</formula>
    </cfRule>
  </conditionalFormatting>
  <conditionalFormatting sqref="B2497">
    <cfRule type="containsText" dxfId="283" priority="147" operator="containsText" text="Трактор базы">
      <formula>NOT(ISERROR(SEARCH("Трактор базы",B2497)))</formula>
    </cfRule>
  </conditionalFormatting>
  <conditionalFormatting sqref="B2498">
    <cfRule type="containsText" dxfId="282" priority="146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81" priority="144" operator="containsText" text="Газель базы">
      <formula>NOT(ISERROR(SEARCH("Газель базы",B2498)))</formula>
    </cfRule>
    <cfRule type="containsText" dxfId="280" priority="145" operator="containsText" text="Погрузчик базы">
      <formula>NOT(ISERROR(SEARCH("Погрузчик базы",B2498)))</formula>
    </cfRule>
  </conditionalFormatting>
  <conditionalFormatting sqref="B2498">
    <cfRule type="containsText" dxfId="279" priority="143" operator="containsText" text="Трактор базы">
      <formula>NOT(ISERROR(SEARCH("Трактор базы",B2498)))</formula>
    </cfRule>
  </conditionalFormatting>
  <conditionalFormatting sqref="B2499">
    <cfRule type="containsText" dxfId="278" priority="142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77" priority="140" operator="containsText" text="Газель базы">
      <formula>NOT(ISERROR(SEARCH("Газель базы",B2499)))</formula>
    </cfRule>
    <cfRule type="containsText" dxfId="276" priority="141" operator="containsText" text="Погрузчик базы">
      <formula>NOT(ISERROR(SEARCH("Погрузчик базы",B2499)))</formula>
    </cfRule>
  </conditionalFormatting>
  <conditionalFormatting sqref="B2512:B2513">
    <cfRule type="containsText" dxfId="275" priority="113" operator="containsText" text="Трактор базы">
      <formula>NOT(ISERROR(SEARCH("Трактор базы",B2512)))</formula>
    </cfRule>
  </conditionalFormatting>
  <conditionalFormatting sqref="B2500">
    <cfRule type="containsText" dxfId="274" priority="138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73" priority="136" operator="containsText" text="Газель базы">
      <formula>NOT(ISERROR(SEARCH("Газель базы",B2500)))</formula>
    </cfRule>
    <cfRule type="containsText" dxfId="272" priority="137" operator="containsText" text="Погрузчик базы">
      <formula>NOT(ISERROR(SEARCH("Погрузчик базы",B2500)))</formula>
    </cfRule>
  </conditionalFormatting>
  <conditionalFormatting sqref="B2500">
    <cfRule type="containsText" dxfId="271" priority="135" operator="containsText" text="Трактор базы">
      <formula>NOT(ISERROR(SEARCH("Трактор базы",B2500)))</formula>
    </cfRule>
  </conditionalFormatting>
  <conditionalFormatting sqref="B2501">
    <cfRule type="containsText" dxfId="270" priority="134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69" priority="132" operator="containsText" text="Газель базы">
      <formula>NOT(ISERROR(SEARCH("Газель базы",B2501)))</formula>
    </cfRule>
    <cfRule type="containsText" dxfId="268" priority="133" operator="containsText" text="Погрузчик базы">
      <formula>NOT(ISERROR(SEARCH("Погрузчик базы",B2501)))</formula>
    </cfRule>
  </conditionalFormatting>
  <conditionalFormatting sqref="B2501">
    <cfRule type="containsText" dxfId="267" priority="131" operator="containsText" text="Трактор базы">
      <formula>NOT(ISERROR(SEARCH("Трактор базы",B2501)))</formula>
    </cfRule>
  </conditionalFormatting>
  <conditionalFormatting sqref="B2502">
    <cfRule type="containsText" dxfId="266" priority="127" operator="containsText" text="Трактор базы">
      <formula>NOT(ISERROR(SEARCH("Трактор базы",B2502)))</formula>
    </cfRule>
  </conditionalFormatting>
  <conditionalFormatting sqref="B2502">
    <cfRule type="containsText" dxfId="265" priority="130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64" priority="128" operator="containsText" text="Газель базы">
      <formula>NOT(ISERROR(SEARCH("Газель базы",B2502)))</formula>
    </cfRule>
    <cfRule type="containsText" dxfId="263" priority="129" operator="containsText" text="Погрузчик базы">
      <formula>NOT(ISERROR(SEARCH("Погрузчик базы",B2502)))</formula>
    </cfRule>
  </conditionalFormatting>
  <conditionalFormatting sqref="A2503:A2504">
    <cfRule type="containsText" dxfId="262" priority="124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61" priority="126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60" priority="125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59" priority="121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58" priority="123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57" priority="122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56" priority="120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55" priority="118" operator="containsText" text="Газель базы">
      <formula>NOT(ISERROR(SEARCH("Газель базы",B2509)))</formula>
    </cfRule>
    <cfRule type="containsText" dxfId="254" priority="119" operator="containsText" text="Погрузчик базы">
      <formula>NOT(ISERROR(SEARCH("Погрузчик базы",B2509)))</formula>
    </cfRule>
  </conditionalFormatting>
  <conditionalFormatting sqref="B2509">
    <cfRule type="containsText" dxfId="253" priority="117" operator="containsText" text="Трактор базы">
      <formula>NOT(ISERROR(SEARCH("Трактор базы",B2509)))</formula>
    </cfRule>
  </conditionalFormatting>
  <conditionalFormatting sqref="B2512:B2513">
    <cfRule type="containsText" dxfId="252" priority="116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51" priority="114" operator="containsText" text="Газель базы">
      <formula>NOT(ISERROR(SEARCH("Газель базы",B2512)))</formula>
    </cfRule>
    <cfRule type="containsText" dxfId="250" priority="115" operator="containsText" text="Погрузчик базы">
      <formula>NOT(ISERROR(SEARCH("Погрузчик базы",B2512)))</formula>
    </cfRule>
  </conditionalFormatting>
  <conditionalFormatting sqref="E2586">
    <cfRule type="containsText" dxfId="249" priority="112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48" priority="109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47" priority="111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46" priority="110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45" priority="108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44" priority="106" operator="containsText" text="Газель базы">
      <formula>NOT(ISERROR(SEARCH("Газель базы",B2810)))</formula>
    </cfRule>
    <cfRule type="containsText" dxfId="243" priority="107" operator="containsText" text="Погрузчик базы">
      <formula>NOT(ISERROR(SEARCH("Погрузчик базы",B2810)))</formula>
    </cfRule>
  </conditionalFormatting>
  <conditionalFormatting sqref="B2810:B2811">
    <cfRule type="containsText" dxfId="242" priority="105" operator="containsText" text="Трактор базы">
      <formula>NOT(ISERROR(SEARCH("Трактор базы",B2810)))</formula>
    </cfRule>
  </conditionalFormatting>
  <conditionalFormatting sqref="B2923:B2927">
    <cfRule type="containsText" dxfId="241" priority="101" operator="containsText" text="Трактор базы">
      <formula>NOT(ISERROR(SEARCH("Трактор базы",B2923)))</formula>
    </cfRule>
  </conditionalFormatting>
  <conditionalFormatting sqref="B2923:B2927">
    <cfRule type="containsText" dxfId="240" priority="104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39" priority="102" operator="containsText" text="Газель базы">
      <formula>NOT(ISERROR(SEARCH("Газель базы",B2923)))</formula>
    </cfRule>
    <cfRule type="containsText" dxfId="238" priority="103" operator="containsText" text="Погрузчик базы">
      <formula>NOT(ISERROR(SEARCH("Погрузчик базы",B2923)))</formula>
    </cfRule>
  </conditionalFormatting>
  <conditionalFormatting sqref="A2991">
    <cfRule type="containsText" dxfId="237" priority="100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36" priority="99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35" priority="98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34" priority="97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33" priority="95" operator="containsText" text="Газель базы">
      <formula>NOT(ISERROR(SEARCH("Газель базы",B2993)))</formula>
    </cfRule>
    <cfRule type="containsText" dxfId="232" priority="96" operator="containsText" text="Погрузчик базы">
      <formula>NOT(ISERROR(SEARCH("Погрузчик базы",B2993)))</formula>
    </cfRule>
  </conditionalFormatting>
  <conditionalFormatting sqref="B2993">
    <cfRule type="containsText" dxfId="231" priority="94" operator="containsText" text="Трактор базы">
      <formula>NOT(ISERROR(SEARCH("Трактор базы",B2993)))</formula>
    </cfRule>
  </conditionalFormatting>
  <conditionalFormatting sqref="B2995">
    <cfRule type="containsText" dxfId="230" priority="90" operator="containsText" text="Трактор базы">
      <formula>NOT(ISERROR(SEARCH("Трактор базы",B2995)))</formula>
    </cfRule>
  </conditionalFormatting>
  <conditionalFormatting sqref="B2995">
    <cfRule type="containsText" dxfId="229" priority="93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28" priority="91" operator="containsText" text="Газель базы">
      <formula>NOT(ISERROR(SEARCH("Газель базы",B2995)))</formula>
    </cfRule>
    <cfRule type="containsText" dxfId="227" priority="92" operator="containsText" text="Погрузчик базы">
      <formula>NOT(ISERROR(SEARCH("Погрузчик базы",B2995)))</formula>
    </cfRule>
  </conditionalFormatting>
  <conditionalFormatting sqref="A3008">
    <cfRule type="containsText" dxfId="226" priority="87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25" priority="89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24" priority="88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23" priority="84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22" priority="86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21" priority="85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20" priority="81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19" priority="83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18" priority="82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17" priority="77" operator="containsText" text="Трактор базы">
      <formula>NOT(ISERROR(SEARCH("Трактор базы",B3150)))</formula>
    </cfRule>
  </conditionalFormatting>
  <conditionalFormatting sqref="B3203">
    <cfRule type="containsText" dxfId="216" priority="69" operator="containsText" text="Трактор базы">
      <formula>NOT(ISERROR(SEARCH("Трактор базы",B3203)))</formula>
    </cfRule>
  </conditionalFormatting>
  <conditionalFormatting sqref="B3150:B3151">
    <cfRule type="containsText" dxfId="215" priority="80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14" priority="78" operator="containsText" text="Газель базы">
      <formula>NOT(ISERROR(SEARCH("Газель базы",B3150)))</formula>
    </cfRule>
    <cfRule type="containsText" dxfId="213" priority="79" operator="containsText" text="Погрузчик базы">
      <formula>NOT(ISERROR(SEARCH("Погрузчик базы",B3150)))</formula>
    </cfRule>
  </conditionalFormatting>
  <conditionalFormatting sqref="B3201">
    <cfRule type="containsText" dxfId="212" priority="73" operator="containsText" text="Трактор базы">
      <formula>NOT(ISERROR(SEARCH("Трактор базы",B3201)))</formula>
    </cfRule>
  </conditionalFormatting>
  <conditionalFormatting sqref="B3201">
    <cfRule type="containsText" dxfId="211" priority="76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10" priority="74" operator="containsText" text="Газель базы">
      <formula>NOT(ISERROR(SEARCH("Газель базы",B3201)))</formula>
    </cfRule>
    <cfRule type="containsText" dxfId="209" priority="75" operator="containsText" text="Погрузчик базы">
      <formula>NOT(ISERROR(SEARCH("Погрузчик базы",B3201)))</formula>
    </cfRule>
  </conditionalFormatting>
  <conditionalFormatting sqref="B3203">
    <cfRule type="containsText" dxfId="208" priority="72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07" priority="70" operator="containsText" text="Газель базы">
      <formula>NOT(ISERROR(SEARCH("Газель базы",B3203)))</formula>
    </cfRule>
    <cfRule type="containsText" dxfId="206" priority="71" operator="containsText" text="Погрузчик базы">
      <formula>NOT(ISERROR(SEARCH("Погрузчик базы",B3203)))</formula>
    </cfRule>
  </conditionalFormatting>
  <conditionalFormatting sqref="B3227:B3229">
    <cfRule type="containsText" dxfId="205" priority="68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04" priority="66" operator="containsText" text="Газель базы">
      <formula>NOT(ISERROR(SEARCH("Газель базы",B3227)))</formula>
    </cfRule>
    <cfRule type="containsText" dxfId="203" priority="67" operator="containsText" text="Погрузчик базы">
      <formula>NOT(ISERROR(SEARCH("Погрузчик базы",B3227)))</formula>
    </cfRule>
  </conditionalFormatting>
  <conditionalFormatting sqref="B3227:B3229">
    <cfRule type="containsText" dxfId="202" priority="65" operator="containsText" text="Трактор базы">
      <formula>NOT(ISERROR(SEARCH("Трактор базы",B3227)))</formula>
    </cfRule>
  </conditionalFormatting>
  <conditionalFormatting sqref="B3259:B3261">
    <cfRule type="containsText" dxfId="201" priority="64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00" priority="62" operator="containsText" text="Газель базы">
      <formula>NOT(ISERROR(SEARCH("Газель базы",B3259)))</formula>
    </cfRule>
    <cfRule type="containsText" dxfId="199" priority="63" operator="containsText" text="Погрузчик базы">
      <formula>NOT(ISERROR(SEARCH("Погрузчик базы",B3259)))</formula>
    </cfRule>
  </conditionalFormatting>
  <conditionalFormatting sqref="B3259:B3261">
    <cfRule type="containsText" dxfId="198" priority="61" operator="containsText" text="Трактор базы">
      <formula>NOT(ISERROR(SEARCH("Трактор базы",B3259)))</formula>
    </cfRule>
  </conditionalFormatting>
  <conditionalFormatting sqref="A3335:A3336 A3373:A3374">
    <cfRule type="containsText" dxfId="197" priority="55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196" priority="57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195" priority="56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94" priority="52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93" priority="54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92" priority="53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91" priority="51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90" priority="49" operator="containsText" text="Газель базы">
      <formula>NOT(ISERROR(SEARCH("Газель базы",B3364)))</formula>
    </cfRule>
    <cfRule type="containsText" dxfId="189" priority="50" operator="containsText" text="Погрузчик базы">
      <formula>NOT(ISERROR(SEARCH("Погрузчик базы",B3364)))</formula>
    </cfRule>
  </conditionalFormatting>
  <conditionalFormatting sqref="B3364:B3365">
    <cfRule type="containsText" dxfId="188" priority="48" operator="containsText" text="Трактор базы">
      <formula>NOT(ISERROR(SEARCH("Трактор базы",B3364)))</formula>
    </cfRule>
  </conditionalFormatting>
  <conditionalFormatting sqref="A3364">
    <cfRule type="containsText" dxfId="187" priority="47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86" priority="46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85" priority="45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84" priority="43" operator="containsText" text="Газель базы">
      <formula>NOT(ISERROR(SEARCH("Газель базы",B3366)))</formula>
    </cfRule>
    <cfRule type="containsText" dxfId="183" priority="44" operator="containsText" text="Погрузчик базы">
      <formula>NOT(ISERROR(SEARCH("Погрузчик базы",B3366)))</formula>
    </cfRule>
  </conditionalFormatting>
  <conditionalFormatting sqref="B3366">
    <cfRule type="containsText" dxfId="182" priority="42" operator="containsText" text="Трактор базы">
      <formula>NOT(ISERROR(SEARCH("Трактор базы",B3366)))</formula>
    </cfRule>
  </conditionalFormatting>
  <conditionalFormatting sqref="A3366">
    <cfRule type="containsText" dxfId="181" priority="41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80" priority="40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79" priority="39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78" priority="37" operator="containsText" text="Газель базы">
      <formula>NOT(ISERROR(SEARCH("Газель базы",B3367)))</formula>
    </cfRule>
    <cfRule type="containsText" dxfId="177" priority="38" operator="containsText" text="Погрузчик базы">
      <formula>NOT(ISERROR(SEARCH("Погрузчик базы",B3367)))</formula>
    </cfRule>
  </conditionalFormatting>
  <conditionalFormatting sqref="B3367">
    <cfRule type="containsText" dxfId="176" priority="36" operator="containsText" text="Трактор базы">
      <formula>NOT(ISERROR(SEARCH("Трактор базы",B3367)))</formula>
    </cfRule>
  </conditionalFormatting>
  <conditionalFormatting sqref="A3430:B3430">
    <cfRule type="containsText" dxfId="175" priority="35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74" priority="33" operator="containsText" text="Газель базы">
      <formula>NOT(ISERROR(SEARCH("Газель базы",B3430)))</formula>
    </cfRule>
    <cfRule type="containsText" dxfId="173" priority="34" operator="containsText" text="Погрузчик базы">
      <formula>NOT(ISERROR(SEARCH("Погрузчик базы",B3430)))</formula>
    </cfRule>
  </conditionalFormatting>
  <conditionalFormatting sqref="B3430">
    <cfRule type="containsText" dxfId="172" priority="32" operator="containsText" text="Трактор базы">
      <formula>NOT(ISERROR(SEARCH("Трактор базы",B3430)))</formula>
    </cfRule>
  </conditionalFormatting>
  <conditionalFormatting sqref="A3430">
    <cfRule type="containsText" dxfId="171" priority="31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70" priority="30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69" priority="21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68" priority="23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67" priority="22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66" priority="20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65" priority="18" operator="containsText" text="Газель базы">
      <formula>NOT(ISERROR(SEARCH("Газель базы",B3480)))</formula>
    </cfRule>
    <cfRule type="containsText" dxfId="164" priority="19" operator="containsText" text="Погрузчик базы">
      <formula>NOT(ISERROR(SEARCH("Погрузчик базы",B3480)))</formula>
    </cfRule>
  </conditionalFormatting>
  <conditionalFormatting sqref="B3480">
    <cfRule type="containsText" dxfId="163" priority="17" operator="containsText" text="Трактор базы">
      <formula>NOT(ISERROR(SEARCH("Трактор базы",B3480)))</formula>
    </cfRule>
  </conditionalFormatting>
  <conditionalFormatting sqref="A3480">
    <cfRule type="containsText" dxfId="162" priority="15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61" priority="16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60" priority="12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59" priority="14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58" priority="13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57" priority="9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56" priority="11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55" priority="10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54" priority="1" operator="containsText" text="Трактор базы">
      <formula>NOT(ISERROR(SEARCH("Трактор базы",B3601)))</formula>
    </cfRule>
  </conditionalFormatting>
  <conditionalFormatting sqref="B3601:B3612">
    <cfRule type="containsText" dxfId="153" priority="4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52" priority="2" operator="containsText" text="Газель базы">
      <formula>NOT(ISERROR(SEARCH("Газель базы",B3601)))</formula>
    </cfRule>
    <cfRule type="containsText" dxfId="151" priority="3" operator="containsText" text="Погрузчик базы">
      <formula>NOT(ISERROR(SEARCH("Погрузчик базы",B3601)))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32"/>
  <sheetViews>
    <sheetView topLeftCell="A219" zoomScale="80" zoomScaleNormal="80" workbookViewId="0">
      <selection activeCell="N206" sqref="N206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s="8" t="s">
        <v>1398</v>
      </c>
      <c r="J2" s="8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s="8" t="s">
        <v>409</v>
      </c>
      <c r="J3" s="8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s="8" t="s">
        <v>1456</v>
      </c>
      <c r="J4" s="8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s="8" t="s">
        <v>1459</v>
      </c>
      <c r="J5" s="8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s="8" t="s">
        <v>400</v>
      </c>
      <c r="J6" s="8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s="8" t="s">
        <v>403</v>
      </c>
      <c r="J7" s="8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s="8" t="s">
        <v>406</v>
      </c>
      <c r="J8" s="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s="8" t="s">
        <v>1462</v>
      </c>
      <c r="J9" s="8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s="8" t="s">
        <v>1480</v>
      </c>
      <c r="J10" s="8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s="8" t="s">
        <v>1483</v>
      </c>
      <c r="J11" s="8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s="8" t="s">
        <v>1486</v>
      </c>
      <c r="J12" s="8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s="8" t="s">
        <v>1471</v>
      </c>
      <c r="J13" s="8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s="8" t="s">
        <v>1474</v>
      </c>
      <c r="J14" s="8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s="8" t="s">
        <v>1477</v>
      </c>
      <c r="J15" s="8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s="8" t="s">
        <v>376</v>
      </c>
      <c r="J16" s="8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s="8" t="s">
        <v>379</v>
      </c>
      <c r="J17" s="8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s="8" t="s">
        <v>382</v>
      </c>
      <c r="J18" s="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s="8" t="s">
        <v>367</v>
      </c>
      <c r="J19" s="8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s="8" t="s">
        <v>370</v>
      </c>
      <c r="J20" s="8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s="8" t="s">
        <v>373</v>
      </c>
      <c r="J21" s="8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s="8" t="s">
        <v>391</v>
      </c>
      <c r="J22" s="8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s="8" t="s">
        <v>394</v>
      </c>
      <c r="J23" s="8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s="8" t="s">
        <v>397</v>
      </c>
      <c r="J24" s="8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s="8" t="s">
        <v>385</v>
      </c>
      <c r="J25" s="8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s="8" t="s">
        <v>388</v>
      </c>
      <c r="J26" s="8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s="8" t="s">
        <v>1522</v>
      </c>
      <c r="J27" s="8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s="8" t="s">
        <v>1525</v>
      </c>
      <c r="J28" s="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s="8" t="s">
        <v>1271</v>
      </c>
      <c r="J29" s="8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s="8" t="s">
        <v>2699</v>
      </c>
      <c r="J30" s="8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s="8" t="s">
        <v>2701</v>
      </c>
      <c r="J31" s="8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s="8" t="s">
        <v>2697</v>
      </c>
      <c r="J32" s="8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s="8" t="s">
        <v>2679</v>
      </c>
      <c r="J33" s="8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s="8" t="s">
        <v>2535</v>
      </c>
      <c r="J34" s="8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s="8" t="s">
        <v>2550</v>
      </c>
      <c r="J35" s="8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s="8" t="s">
        <v>2547</v>
      </c>
      <c r="J36" s="8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s="8" t="s">
        <v>2538</v>
      </c>
      <c r="J37" s="8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s="8" t="s">
        <v>2541</v>
      </c>
      <c r="J38" s="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s="8" t="s">
        <v>2664</v>
      </c>
      <c r="J39" s="8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s="8" t="s">
        <v>2070</v>
      </c>
      <c r="J40" s="8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s="8" t="s">
        <v>2658</v>
      </c>
      <c r="J41" s="8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s="8" t="s">
        <v>2661</v>
      </c>
      <c r="J42" s="8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s="8" t="s">
        <v>2673</v>
      </c>
      <c r="J43" s="8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s="8" t="s">
        <v>2667</v>
      </c>
      <c r="J44" s="8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s="8" t="s">
        <v>2670</v>
      </c>
      <c r="J45" s="8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s="8" t="s">
        <v>2676</v>
      </c>
      <c r="J46" s="8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s="8" t="s">
        <v>2779</v>
      </c>
      <c r="J47" s="8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s="8" t="s">
        <v>2776</v>
      </c>
      <c r="J48" s="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s="8" t="s">
        <v>2770</v>
      </c>
      <c r="J49" s="8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s="8" t="s">
        <v>2773</v>
      </c>
      <c r="J50" s="8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s="8" t="s">
        <v>2791</v>
      </c>
      <c r="J51" s="8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s="8" t="s">
        <v>2761</v>
      </c>
      <c r="J52" s="8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s="8" t="s">
        <v>2788</v>
      </c>
      <c r="J53" s="8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s="8" t="s">
        <v>2782</v>
      </c>
      <c r="J54" s="8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s="8" t="s">
        <v>2785</v>
      </c>
      <c r="J55" s="8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s="8" t="s">
        <v>2740</v>
      </c>
      <c r="J56" s="8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s="8" t="s">
        <v>2743</v>
      </c>
      <c r="J57" s="8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s="8" t="s">
        <v>2746</v>
      </c>
      <c r="J58" s="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s="8" t="s">
        <v>2731</v>
      </c>
      <c r="J59" s="8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s="8" t="s">
        <v>2734</v>
      </c>
      <c r="J60" s="8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s="8" t="s">
        <v>2737</v>
      </c>
      <c r="J61" s="8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s="8" t="s">
        <v>2758</v>
      </c>
      <c r="J62" s="8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s="8" t="s">
        <v>2764</v>
      </c>
      <c r="J63" s="8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s="8" t="s">
        <v>2767</v>
      </c>
      <c r="J64" s="8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s="8" t="s">
        <v>2749</v>
      </c>
      <c r="J65" s="8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s="8" t="s">
        <v>2752</v>
      </c>
      <c r="J66" s="8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s="8" t="s">
        <v>2755</v>
      </c>
      <c r="J67" s="8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s="8" t="s">
        <v>2082</v>
      </c>
      <c r="J68" s="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s="8" t="s">
        <v>3940</v>
      </c>
      <c r="J69" s="8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s="8" t="s">
        <v>3931</v>
      </c>
      <c r="J70" s="8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s="8" t="s">
        <v>3928</v>
      </c>
      <c r="J71" s="8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s="8" t="s">
        <v>3937</v>
      </c>
      <c r="J72" s="8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s="8" t="s">
        <v>3934</v>
      </c>
      <c r="J73" s="8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s="8" t="s">
        <v>3943</v>
      </c>
      <c r="J74" s="8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s="8" t="s">
        <v>3946</v>
      </c>
      <c r="J75" s="8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s="8" t="s">
        <v>3949</v>
      </c>
      <c r="J76" s="8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s="8" t="s">
        <v>3955</v>
      </c>
      <c r="J77" s="8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s="8" t="s">
        <v>3980</v>
      </c>
      <c r="J78" s="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s="8" t="s">
        <v>3965</v>
      </c>
      <c r="J79" s="8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s="8" t="s">
        <v>3968</v>
      </c>
      <c r="J80" s="8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s="8" t="s">
        <v>3983</v>
      </c>
      <c r="J81" s="8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s="8" t="s">
        <v>4013</v>
      </c>
      <c r="J82" s="8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s="8" t="s">
        <v>4097</v>
      </c>
      <c r="J83" s="8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s="8" t="s">
        <v>4100</v>
      </c>
      <c r="J84" s="8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s="8" t="s">
        <v>4103</v>
      </c>
      <c r="J85" s="8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s="8" t="s">
        <v>4094</v>
      </c>
      <c r="J86" s="8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s="8" t="s">
        <v>3992</v>
      </c>
      <c r="J87" s="8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s="8" t="s">
        <v>3995</v>
      </c>
      <c r="J88" s="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s="8" t="s">
        <v>4010</v>
      </c>
      <c r="J89" s="8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s="8" t="s">
        <v>3989</v>
      </c>
      <c r="J90" s="8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s="8" t="s">
        <v>4007</v>
      </c>
      <c r="J91" s="8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s="8" t="s">
        <v>3977</v>
      </c>
      <c r="J92" s="8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s="8" t="s">
        <v>3974</v>
      </c>
      <c r="J93" s="8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s="8" t="s">
        <v>3971</v>
      </c>
      <c r="J94" s="8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s="8" t="s">
        <v>4004</v>
      </c>
      <c r="J95" s="8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s="8" t="s">
        <v>3630</v>
      </c>
      <c r="J96" s="8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s="8" t="s">
        <v>3627</v>
      </c>
      <c r="J97" s="8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s="8" t="s">
        <v>3689</v>
      </c>
      <c r="J98" s="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s="8" t="s">
        <v>3659</v>
      </c>
      <c r="J99" s="8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s="8" t="s">
        <v>3624</v>
      </c>
      <c r="J100" s="8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s="8" t="s">
        <v>3615</v>
      </c>
      <c r="J101" s="8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s="8" t="s">
        <v>3645</v>
      </c>
      <c r="J102" s="8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s="8" t="s">
        <v>3653</v>
      </c>
      <c r="J103" s="8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s="8" t="s">
        <v>3656</v>
      </c>
      <c r="J104" s="8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s="8" t="s">
        <v>3618</v>
      </c>
      <c r="J105" s="8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s="8" t="s">
        <v>3621</v>
      </c>
      <c r="J106" s="8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s="8" t="s">
        <v>3633</v>
      </c>
      <c r="J107" s="8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s="8" t="s">
        <v>3677</v>
      </c>
      <c r="J108" s="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s="8" t="s">
        <v>3662</v>
      </c>
      <c r="J109" s="8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s="8" t="s">
        <v>3665</v>
      </c>
      <c r="J110" s="8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s="8" t="s">
        <v>3462</v>
      </c>
      <c r="J111" s="8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s="8" t="s">
        <v>3671</v>
      </c>
      <c r="J112" s="8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s="8" t="s">
        <v>3674</v>
      </c>
      <c r="J113" s="8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s="8" t="s">
        <v>3668</v>
      </c>
      <c r="J114" s="8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s="8" t="s">
        <v>3698</v>
      </c>
      <c r="J115" s="8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s="8" t="s">
        <v>3683</v>
      </c>
      <c r="J116" s="8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s="8" t="s">
        <v>3686</v>
      </c>
      <c r="J117" s="8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s="8" t="s">
        <v>3680</v>
      </c>
      <c r="J118" s="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s="8" t="s">
        <v>3692</v>
      </c>
      <c r="J119" s="8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s="8" t="s">
        <v>3695</v>
      </c>
      <c r="J120" s="8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s="8" t="s">
        <v>3701</v>
      </c>
      <c r="J121" s="8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s="8" t="s">
        <v>3704</v>
      </c>
      <c r="J122" s="8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s="8" t="s">
        <v>3707</v>
      </c>
      <c r="J123" s="8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s="8" t="s">
        <v>3606</v>
      </c>
      <c r="J124" s="8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s="8" t="s">
        <v>3450</v>
      </c>
      <c r="J125" s="8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s="8" t="s">
        <v>3710</v>
      </c>
      <c r="J126" s="8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s="8" t="s">
        <v>3612</v>
      </c>
      <c r="J127" s="8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s="8" t="s">
        <v>3594</v>
      </c>
      <c r="J128" s="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s="8" t="s">
        <v>3600</v>
      </c>
      <c r="J129" s="8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s="8" t="s">
        <v>3597</v>
      </c>
      <c r="J130" s="8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s="8" t="s">
        <v>3585</v>
      </c>
      <c r="J131" s="8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s="8" t="s">
        <v>3603</v>
      </c>
      <c r="J132" s="8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s="8" t="s">
        <v>3591</v>
      </c>
      <c r="J133" s="8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s="8" t="s">
        <v>3588</v>
      </c>
      <c r="J134" s="8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s="8" t="s">
        <v>3570</v>
      </c>
      <c r="J135" s="8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s="8" t="s">
        <v>3567</v>
      </c>
      <c r="J136" s="8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s="8" t="s">
        <v>3582</v>
      </c>
      <c r="J137" s="8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s="8" t="s">
        <v>3573</v>
      </c>
      <c r="J138" s="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s="8" t="s">
        <v>3636</v>
      </c>
      <c r="J139" s="8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s="8" t="s">
        <v>3639</v>
      </c>
      <c r="J140" s="8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s="8" t="s">
        <v>3642</v>
      </c>
      <c r="J141" s="8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s="8" t="s">
        <v>3456</v>
      </c>
      <c r="J142" s="8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s="8" t="s">
        <v>3459</v>
      </c>
      <c r="J143" s="8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s="8" t="s">
        <v>3453</v>
      </c>
      <c r="J144" s="8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s="8" t="s">
        <v>3375</v>
      </c>
      <c r="J145" s="8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s="8" t="s">
        <v>3579</v>
      </c>
      <c r="J146" s="8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s="8" t="s">
        <v>3576</v>
      </c>
      <c r="J147" s="8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s="8" t="s">
        <v>3447</v>
      </c>
      <c r="J148" s="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s="8" t="s">
        <v>4459</v>
      </c>
      <c r="J149" s="8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s="8" t="s">
        <v>5086</v>
      </c>
      <c r="J150" s="8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s="8" t="s">
        <v>4468</v>
      </c>
      <c r="J151" s="8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s="8" t="s">
        <v>4471</v>
      </c>
      <c r="J152" s="8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s="8" t="s">
        <v>4474</v>
      </c>
      <c r="J153" s="8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s="8" t="s">
        <v>4477</v>
      </c>
      <c r="J154" s="8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s="8" t="s">
        <v>5166</v>
      </c>
      <c r="J155" s="8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s="8" t="s">
        <v>5163</v>
      </c>
      <c r="J156" s="8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s="8" t="s">
        <v>5190</v>
      </c>
      <c r="J157" s="8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s="8" t="s">
        <v>5187</v>
      </c>
      <c r="J158" s="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s="8" t="s">
        <v>5154</v>
      </c>
      <c r="J159" s="8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s="8" t="s">
        <v>5151</v>
      </c>
      <c r="J160" s="8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s="8" t="s">
        <v>5160</v>
      </c>
      <c r="J161" s="8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s="8" t="s">
        <v>5157</v>
      </c>
      <c r="J162" s="8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s="8" t="s">
        <v>6113</v>
      </c>
      <c r="J163" s="8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s="8" t="s">
        <v>6116</v>
      </c>
      <c r="J164" s="8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s="8" t="s">
        <v>6119</v>
      </c>
      <c r="J165" s="8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s="8" t="s">
        <v>6122</v>
      </c>
      <c r="J166" s="8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s="8" t="s">
        <v>6125</v>
      </c>
      <c r="J167" s="8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s="8" t="s">
        <v>6128</v>
      </c>
      <c r="J168" s="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s="8" t="s">
        <v>6131</v>
      </c>
      <c r="J169" s="8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s="8" t="s">
        <v>6134</v>
      </c>
      <c r="J170" s="8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s="8" t="s">
        <v>6452</v>
      </c>
      <c r="J171" s="8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s="8" t="s">
        <v>6455</v>
      </c>
      <c r="J172" s="8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s="8" t="s">
        <v>6458</v>
      </c>
      <c r="J173" s="8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s="8" t="s">
        <v>6443</v>
      </c>
      <c r="J174" s="8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s="8" t="s">
        <v>6446</v>
      </c>
      <c r="J175" s="8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s="8" t="s">
        <v>6449</v>
      </c>
      <c r="J176" s="8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s="8" t="s">
        <v>6461</v>
      </c>
      <c r="J177" s="8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0.4783101851851852</v>
      </c>
      <c r="D178" s="2" t="s">
        <v>289</v>
      </c>
      <c r="E178" t="s">
        <v>6329</v>
      </c>
      <c r="F178" t="s">
        <v>58</v>
      </c>
      <c r="H178" t="s">
        <v>2936</v>
      </c>
      <c r="I178" s="8" t="s">
        <v>6464</v>
      </c>
      <c r="J178" s="8" t="s">
        <v>6392</v>
      </c>
      <c r="K178" t="s">
        <v>6465</v>
      </c>
      <c r="L178" t="s">
        <v>6466</v>
      </c>
      <c r="M178" s="3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4">
        <v>46006</v>
      </c>
      <c r="C179" s="6">
        <v>0.47834490740740743</v>
      </c>
      <c r="D179" s="2" t="s">
        <v>289</v>
      </c>
      <c r="E179" t="s">
        <v>6329</v>
      </c>
      <c r="F179" t="s">
        <v>58</v>
      </c>
      <c r="H179" t="s">
        <v>2936</v>
      </c>
      <c r="I179" s="8" t="s">
        <v>6467</v>
      </c>
      <c r="J179" s="8" t="s">
        <v>6392</v>
      </c>
      <c r="K179" t="s">
        <v>6468</v>
      </c>
      <c r="L179" t="s">
        <v>6469</v>
      </c>
      <c r="M179" s="3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4">
        <v>46006</v>
      </c>
      <c r="C180" s="6">
        <v>0.61089120370370376</v>
      </c>
      <c r="D180" s="2" t="s">
        <v>289</v>
      </c>
      <c r="E180" t="s">
        <v>6527</v>
      </c>
      <c r="F180" t="s">
        <v>1099</v>
      </c>
      <c r="G180">
        <v>2</v>
      </c>
      <c r="I180" s="8" t="s">
        <v>6479</v>
      </c>
      <c r="J180" s="8" t="s">
        <v>6392</v>
      </c>
      <c r="K180" t="s">
        <v>6480</v>
      </c>
      <c r="L180" t="s">
        <v>6481</v>
      </c>
      <c r="M180" s="3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4">
        <v>46006</v>
      </c>
      <c r="C181" s="6">
        <v>0.47047453703703701</v>
      </c>
      <c r="D181" s="2" t="s">
        <v>289</v>
      </c>
      <c r="E181" t="s">
        <v>6329</v>
      </c>
      <c r="F181" t="s">
        <v>58</v>
      </c>
      <c r="H181" t="s">
        <v>2936</v>
      </c>
      <c r="I181" s="8" t="s">
        <v>6440</v>
      </c>
      <c r="J181" s="8" t="s">
        <v>6392</v>
      </c>
      <c r="K181" t="s">
        <v>6441</v>
      </c>
      <c r="L181" t="s">
        <v>6442</v>
      </c>
      <c r="M181" s="3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4">
        <v>46006</v>
      </c>
      <c r="C182" s="6">
        <v>0.46650462962962963</v>
      </c>
      <c r="D182" s="2" t="s">
        <v>289</v>
      </c>
      <c r="E182" t="s">
        <v>6329</v>
      </c>
      <c r="F182" t="s">
        <v>58</v>
      </c>
      <c r="H182" t="s">
        <v>2936</v>
      </c>
      <c r="I182" s="8" t="s">
        <v>6410</v>
      </c>
      <c r="J182" s="8" t="s">
        <v>6392</v>
      </c>
      <c r="K182" t="s">
        <v>6411</v>
      </c>
      <c r="L182" t="s">
        <v>6412</v>
      </c>
      <c r="M182" s="3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4">
        <v>46006</v>
      </c>
      <c r="C183" s="6">
        <v>0.46740740740740738</v>
      </c>
      <c r="D183" s="2" t="s">
        <v>289</v>
      </c>
      <c r="E183" t="s">
        <v>6329</v>
      </c>
      <c r="F183" t="s">
        <v>58</v>
      </c>
      <c r="H183" t="s">
        <v>2936</v>
      </c>
      <c r="I183" s="8" t="s">
        <v>6413</v>
      </c>
      <c r="J183" s="8" t="s">
        <v>6392</v>
      </c>
      <c r="K183" t="s">
        <v>6414</v>
      </c>
      <c r="L183" t="s">
        <v>6415</v>
      </c>
      <c r="M183" s="3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4">
        <v>46006</v>
      </c>
      <c r="C184" s="6">
        <v>0.46766203703703701</v>
      </c>
      <c r="D184" s="2" t="s">
        <v>289</v>
      </c>
      <c r="E184" t="s">
        <v>6329</v>
      </c>
      <c r="F184" t="s">
        <v>58</v>
      </c>
      <c r="H184" t="s">
        <v>2936</v>
      </c>
      <c r="I184" s="8" t="s">
        <v>6416</v>
      </c>
      <c r="J184" s="8" t="s">
        <v>6392</v>
      </c>
      <c r="K184" t="s">
        <v>6417</v>
      </c>
      <c r="L184" t="s">
        <v>6418</v>
      </c>
      <c r="M184" s="3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4">
        <v>46006</v>
      </c>
      <c r="C185" s="6">
        <v>0.51274305555555555</v>
      </c>
      <c r="D185" s="2" t="s">
        <v>289</v>
      </c>
      <c r="E185" t="s">
        <v>70</v>
      </c>
      <c r="F185" t="s">
        <v>6340</v>
      </c>
      <c r="I185" s="8" t="s">
        <v>6310</v>
      </c>
      <c r="J185" s="8" t="s">
        <v>6309</v>
      </c>
      <c r="K185" t="s">
        <v>6311</v>
      </c>
      <c r="L185" t="s">
        <v>6312</v>
      </c>
      <c r="M185" s="3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4">
        <v>46006</v>
      </c>
      <c r="C186" s="6">
        <v>0.46620370370370373</v>
      </c>
      <c r="D186" s="2" t="s">
        <v>289</v>
      </c>
      <c r="E186" t="s">
        <v>6329</v>
      </c>
      <c r="F186" t="s">
        <v>58</v>
      </c>
      <c r="H186" t="s">
        <v>1620</v>
      </c>
      <c r="I186" s="8" t="s">
        <v>6404</v>
      </c>
      <c r="J186" s="8" t="s">
        <v>6392</v>
      </c>
      <c r="K186" t="s">
        <v>6405</v>
      </c>
      <c r="L186" t="s">
        <v>6406</v>
      </c>
      <c r="M186" s="3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4">
        <v>46006</v>
      </c>
      <c r="C187" s="6">
        <v>0.46644675925925927</v>
      </c>
      <c r="D187" s="2" t="s">
        <v>289</v>
      </c>
      <c r="E187" t="s">
        <v>6329</v>
      </c>
      <c r="F187" t="s">
        <v>58</v>
      </c>
      <c r="H187" t="s">
        <v>2936</v>
      </c>
      <c r="I187" s="8" t="s">
        <v>6407</v>
      </c>
      <c r="J187" s="8" t="s">
        <v>6392</v>
      </c>
      <c r="K187" t="s">
        <v>6408</v>
      </c>
      <c r="L187" t="s">
        <v>6409</v>
      </c>
      <c r="M187" s="3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4">
        <v>46006</v>
      </c>
      <c r="C188" s="6">
        <v>0.46770833333333334</v>
      </c>
      <c r="D188" s="2" t="s">
        <v>289</v>
      </c>
      <c r="E188" t="s">
        <v>6329</v>
      </c>
      <c r="F188" t="s">
        <v>58</v>
      </c>
      <c r="H188" t="s">
        <v>2936</v>
      </c>
      <c r="I188" s="8" t="s">
        <v>6419</v>
      </c>
      <c r="J188" s="8" t="s">
        <v>6392</v>
      </c>
      <c r="K188" t="s">
        <v>6420</v>
      </c>
      <c r="L188" t="s">
        <v>6421</v>
      </c>
      <c r="M188" s="3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4">
        <v>46006</v>
      </c>
      <c r="C189" s="6">
        <v>0.46927083333333336</v>
      </c>
      <c r="D189" s="2" t="s">
        <v>289</v>
      </c>
      <c r="E189" t="s">
        <v>6329</v>
      </c>
      <c r="F189" t="s">
        <v>58</v>
      </c>
      <c r="H189" t="s">
        <v>2936</v>
      </c>
      <c r="I189" s="8" t="s">
        <v>6431</v>
      </c>
      <c r="J189" s="8" t="s">
        <v>6392</v>
      </c>
      <c r="K189" t="s">
        <v>6432</v>
      </c>
      <c r="L189" t="s">
        <v>6433</v>
      </c>
      <c r="M189" s="3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4">
        <v>46006</v>
      </c>
      <c r="C190" s="6">
        <v>0.47002314814814816</v>
      </c>
      <c r="D190" s="2" t="s">
        <v>289</v>
      </c>
      <c r="E190" t="s">
        <v>6329</v>
      </c>
      <c r="F190" t="s">
        <v>58</v>
      </c>
      <c r="H190" t="s">
        <v>2936</v>
      </c>
      <c r="I190" s="8" t="s">
        <v>6434</v>
      </c>
      <c r="J190" s="8" t="s">
        <v>6392</v>
      </c>
      <c r="K190" t="s">
        <v>6435</v>
      </c>
      <c r="L190" t="s">
        <v>6436</v>
      </c>
      <c r="M190" s="3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4">
        <v>46006</v>
      </c>
      <c r="C191" s="6">
        <v>0.47033564814814816</v>
      </c>
      <c r="D191" s="2" t="s">
        <v>289</v>
      </c>
      <c r="E191" t="s">
        <v>6329</v>
      </c>
      <c r="F191" t="s">
        <v>58</v>
      </c>
      <c r="H191" t="s">
        <v>2936</v>
      </c>
      <c r="I191" s="8" t="s">
        <v>6437</v>
      </c>
      <c r="J191" s="8" t="s">
        <v>6392</v>
      </c>
      <c r="K191" t="s">
        <v>6438</v>
      </c>
      <c r="L191" t="s">
        <v>6439</v>
      </c>
      <c r="M191" s="3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4">
        <v>46006</v>
      </c>
      <c r="C192" s="6">
        <v>0.46807870370370369</v>
      </c>
      <c r="D192" s="2" t="s">
        <v>289</v>
      </c>
      <c r="E192" t="s">
        <v>6329</v>
      </c>
      <c r="F192" t="s">
        <v>58</v>
      </c>
      <c r="H192" t="s">
        <v>2936</v>
      </c>
      <c r="I192" s="8" t="s">
        <v>6422</v>
      </c>
      <c r="J192" s="8" t="s">
        <v>6392</v>
      </c>
      <c r="K192" t="s">
        <v>6423</v>
      </c>
      <c r="L192" t="s">
        <v>6424</v>
      </c>
      <c r="M192" s="3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4">
        <v>46006</v>
      </c>
      <c r="C193" s="6">
        <v>0.46834490740740742</v>
      </c>
      <c r="D193" s="2" t="s">
        <v>289</v>
      </c>
      <c r="E193" t="s">
        <v>6329</v>
      </c>
      <c r="F193" t="s">
        <v>58</v>
      </c>
      <c r="H193" t="s">
        <v>2936</v>
      </c>
      <c r="I193" s="8" t="s">
        <v>6425</v>
      </c>
      <c r="J193" s="8" t="s">
        <v>6392</v>
      </c>
      <c r="K193" t="s">
        <v>6426</v>
      </c>
      <c r="L193" t="s">
        <v>6427</v>
      </c>
      <c r="M193" s="3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4">
        <v>46006</v>
      </c>
      <c r="C194" s="6">
        <v>0.4692013888888889</v>
      </c>
      <c r="D194" s="2" t="s">
        <v>289</v>
      </c>
      <c r="E194" t="s">
        <v>6329</v>
      </c>
      <c r="F194" t="s">
        <v>58</v>
      </c>
      <c r="H194" t="s">
        <v>2936</v>
      </c>
      <c r="I194" s="8" t="s">
        <v>6428</v>
      </c>
      <c r="J194" s="8" t="s">
        <v>6392</v>
      </c>
      <c r="K194" t="s">
        <v>6429</v>
      </c>
      <c r="L194" t="s">
        <v>6430</v>
      </c>
      <c r="M194" s="3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s="8" t="s">
        <v>6548</v>
      </c>
      <c r="J195" s="8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0.50045138888888885</v>
      </c>
      <c r="D196" s="2" t="s">
        <v>289</v>
      </c>
      <c r="E196" t="s">
        <v>70</v>
      </c>
      <c r="F196" t="s">
        <v>58</v>
      </c>
      <c r="H196" t="s">
        <v>1618</v>
      </c>
      <c r="I196" s="8" t="s">
        <v>7502</v>
      </c>
      <c r="J196" s="8" t="s">
        <v>6392</v>
      </c>
      <c r="K196" t="s">
        <v>7503</v>
      </c>
      <c r="L196" t="s">
        <v>7504</v>
      </c>
      <c r="M196" s="3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4">
        <v>46016</v>
      </c>
      <c r="C197" s="6">
        <v>0.50079861111111112</v>
      </c>
      <c r="D197" s="2" t="s">
        <v>289</v>
      </c>
      <c r="E197" t="s">
        <v>70</v>
      </c>
      <c r="F197" t="s">
        <v>58</v>
      </c>
      <c r="H197" t="s">
        <v>2936</v>
      </c>
      <c r="I197" s="8" t="s">
        <v>7505</v>
      </c>
      <c r="J197" s="8" t="s">
        <v>6392</v>
      </c>
      <c r="K197" t="s">
        <v>7506</v>
      </c>
      <c r="L197" t="s">
        <v>7507</v>
      </c>
      <c r="M197" s="3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s="8" t="s">
        <v>7508</v>
      </c>
      <c r="J198" s="8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0.50189814814814815</v>
      </c>
      <c r="D199" s="2" t="s">
        <v>289</v>
      </c>
      <c r="E199" t="s">
        <v>70</v>
      </c>
      <c r="F199" t="s">
        <v>58</v>
      </c>
      <c r="H199" t="s">
        <v>2936</v>
      </c>
      <c r="I199" s="8" t="s">
        <v>7511</v>
      </c>
      <c r="J199" s="8" t="s">
        <v>6392</v>
      </c>
      <c r="K199" t="s">
        <v>7512</v>
      </c>
      <c r="L199" t="s">
        <v>7513</v>
      </c>
      <c r="M199" s="3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4">
        <v>46016</v>
      </c>
      <c r="C200" s="6">
        <v>0.50423611111111111</v>
      </c>
      <c r="D200" s="2" t="s">
        <v>289</v>
      </c>
      <c r="E200" t="s">
        <v>70</v>
      </c>
      <c r="F200" t="s">
        <v>58</v>
      </c>
      <c r="H200" t="s">
        <v>2936</v>
      </c>
      <c r="I200" s="8" t="s">
        <v>7514</v>
      </c>
      <c r="J200" s="8" t="s">
        <v>6392</v>
      </c>
      <c r="K200" t="s">
        <v>7515</v>
      </c>
      <c r="L200" t="s">
        <v>7516</v>
      </c>
      <c r="M200" s="3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4">
        <v>46017</v>
      </c>
      <c r="C201" s="6">
        <v>0.40710648148148149</v>
      </c>
      <c r="D201" s="2" t="s">
        <v>289</v>
      </c>
      <c r="E201" t="s">
        <v>2927</v>
      </c>
      <c r="F201" t="s">
        <v>7169</v>
      </c>
      <c r="I201" s="8" t="s">
        <v>7819</v>
      </c>
      <c r="J201" s="8" t="s">
        <v>2990</v>
      </c>
      <c r="K201" t="s">
        <v>7820</v>
      </c>
      <c r="L201" t="s">
        <v>7821</v>
      </c>
      <c r="M201" s="3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s="8" t="s">
        <v>7822</v>
      </c>
      <c r="J202" s="8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0.40768518518518521</v>
      </c>
      <c r="D203" s="2" t="s">
        <v>289</v>
      </c>
      <c r="E203" t="s">
        <v>2927</v>
      </c>
      <c r="F203" t="s">
        <v>7169</v>
      </c>
      <c r="H203" t="s">
        <v>2936</v>
      </c>
      <c r="I203" s="8" t="s">
        <v>7825</v>
      </c>
      <c r="J203" s="8" t="s">
        <v>2990</v>
      </c>
      <c r="K203" t="s">
        <v>7826</v>
      </c>
      <c r="L203" t="s">
        <v>7827</v>
      </c>
      <c r="M203" s="3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s="8" t="s">
        <v>8228</v>
      </c>
      <c r="J204" s="8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0.41230324074074076</v>
      </c>
      <c r="D205" s="2" t="s">
        <v>289</v>
      </c>
      <c r="E205" t="s">
        <v>9187</v>
      </c>
      <c r="F205" t="s">
        <v>9188</v>
      </c>
      <c r="H205" t="s">
        <v>2936</v>
      </c>
      <c r="I205" s="8" t="s">
        <v>8982</v>
      </c>
      <c r="J205" s="8" t="s">
        <v>8976</v>
      </c>
      <c r="K205" t="s">
        <v>8983</v>
      </c>
      <c r="L205" t="s">
        <v>8984</v>
      </c>
      <c r="M205" s="3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4">
        <v>46035</v>
      </c>
      <c r="C206" s="6">
        <v>0.41223379629629631</v>
      </c>
      <c r="D206" s="2" t="s">
        <v>289</v>
      </c>
      <c r="E206" t="s">
        <v>9187</v>
      </c>
      <c r="F206" t="s">
        <v>9188</v>
      </c>
      <c r="I206" s="8" t="s">
        <v>8979</v>
      </c>
      <c r="J206" s="8" t="s">
        <v>8976</v>
      </c>
      <c r="K206" t="s">
        <v>8980</v>
      </c>
      <c r="L206" t="s">
        <v>8981</v>
      </c>
      <c r="M206" s="3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s="8" t="s">
        <v>9507</v>
      </c>
      <c r="J207" s="8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0.59203703703703703</v>
      </c>
      <c r="D208" s="2" t="s">
        <v>289</v>
      </c>
      <c r="E208" t="s">
        <v>8352</v>
      </c>
      <c r="F208" t="s">
        <v>58</v>
      </c>
      <c r="H208" t="s">
        <v>10443</v>
      </c>
      <c r="I208" s="8" t="s">
        <v>10394</v>
      </c>
      <c r="J208" s="8" t="s">
        <v>2985</v>
      </c>
      <c r="K208" t="s">
        <v>10395</v>
      </c>
      <c r="L208" t="s">
        <v>10396</v>
      </c>
      <c r="M208" s="3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s="8" t="s">
        <v>10377</v>
      </c>
      <c r="J209" s="8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0.45423611111111112</v>
      </c>
      <c r="D210" s="2" t="s">
        <v>289</v>
      </c>
      <c r="E210" t="s">
        <v>8352</v>
      </c>
      <c r="F210" t="s">
        <v>58</v>
      </c>
      <c r="H210" t="s">
        <v>2936</v>
      </c>
      <c r="I210" s="8" t="s">
        <v>10380</v>
      </c>
      <c r="J210" s="8" t="s">
        <v>2993</v>
      </c>
      <c r="K210" t="s">
        <v>10381</v>
      </c>
      <c r="L210" t="s">
        <v>10382</v>
      </c>
      <c r="M210" s="3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4">
        <v>46051</v>
      </c>
      <c r="C211" s="6">
        <v>0.47310185185185183</v>
      </c>
      <c r="D211" s="2" t="s">
        <v>289</v>
      </c>
      <c r="E211" t="s">
        <v>10884</v>
      </c>
      <c r="F211" t="s">
        <v>2929</v>
      </c>
      <c r="G211">
        <v>1</v>
      </c>
      <c r="I211" s="8" t="s">
        <v>10653</v>
      </c>
      <c r="J211" s="8" t="s">
        <v>2989</v>
      </c>
      <c r="K211" t="s">
        <v>10654</v>
      </c>
      <c r="L211" t="s">
        <v>10655</v>
      </c>
      <c r="M211" s="3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4">
        <v>46051</v>
      </c>
      <c r="C212" s="6">
        <v>0.47327546296296297</v>
      </c>
      <c r="D212" s="2" t="s">
        <v>289</v>
      </c>
      <c r="E212" t="s">
        <v>10884</v>
      </c>
      <c r="F212" t="s">
        <v>2929</v>
      </c>
      <c r="G212">
        <v>1</v>
      </c>
      <c r="H212" t="s">
        <v>2936</v>
      </c>
      <c r="I212" s="8" t="s">
        <v>10656</v>
      </c>
      <c r="J212" s="8" t="s">
        <v>2989</v>
      </c>
      <c r="K212" t="s">
        <v>10657</v>
      </c>
      <c r="L212" t="s">
        <v>10658</v>
      </c>
      <c r="M212" s="3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4">
        <v>46051</v>
      </c>
      <c r="C213" s="6">
        <v>0.47359953703703705</v>
      </c>
      <c r="D213" s="2" t="s">
        <v>289</v>
      </c>
      <c r="E213" t="s">
        <v>10884</v>
      </c>
      <c r="F213" t="s">
        <v>2929</v>
      </c>
      <c r="G213">
        <v>1</v>
      </c>
      <c r="H213" t="s">
        <v>2936</v>
      </c>
      <c r="I213" s="8" t="s">
        <v>10659</v>
      </c>
      <c r="J213" s="8" t="s">
        <v>2989</v>
      </c>
      <c r="K213" t="s">
        <v>10660</v>
      </c>
      <c r="L213" t="s">
        <v>10661</v>
      </c>
      <c r="M213" s="3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4">
        <v>46051</v>
      </c>
      <c r="C214" s="6">
        <v>0.4737615740740741</v>
      </c>
      <c r="D214" s="2" t="s">
        <v>289</v>
      </c>
      <c r="E214" t="s">
        <v>10884</v>
      </c>
      <c r="F214" t="s">
        <v>2929</v>
      </c>
      <c r="G214">
        <v>1</v>
      </c>
      <c r="H214" t="s">
        <v>2936</v>
      </c>
      <c r="I214" s="8" t="s">
        <v>10662</v>
      </c>
      <c r="J214" s="8" t="s">
        <v>2989</v>
      </c>
      <c r="K214" t="s">
        <v>10663</v>
      </c>
      <c r="L214" t="s">
        <v>10664</v>
      </c>
      <c r="M214" s="3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4">
        <v>46052</v>
      </c>
      <c r="C215" s="6">
        <v>0.38785879629629627</v>
      </c>
      <c r="D215" s="2" t="s">
        <v>289</v>
      </c>
      <c r="E215" t="s">
        <v>70</v>
      </c>
      <c r="F215" t="s">
        <v>5093</v>
      </c>
      <c r="I215" s="8" t="s">
        <v>10911</v>
      </c>
      <c r="J215" s="8" t="s">
        <v>2991</v>
      </c>
      <c r="K215" t="s">
        <v>10912</v>
      </c>
      <c r="L215" t="s">
        <v>10913</v>
      </c>
      <c r="M215" s="3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4">
        <v>46052</v>
      </c>
      <c r="C216" s="6">
        <v>0.38319444444444445</v>
      </c>
      <c r="D216" s="2" t="s">
        <v>289</v>
      </c>
      <c r="E216" t="s">
        <v>70</v>
      </c>
      <c r="F216" t="s">
        <v>11007</v>
      </c>
      <c r="I216" s="8" t="s">
        <v>10959</v>
      </c>
      <c r="J216" s="8" t="s">
        <v>2985</v>
      </c>
      <c r="K216" t="s">
        <v>10960</v>
      </c>
      <c r="L216" t="s">
        <v>10961</v>
      </c>
      <c r="M216" s="3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4">
        <v>46052</v>
      </c>
      <c r="C217" s="6">
        <v>0.3832638888888889</v>
      </c>
      <c r="D217" s="2" t="s">
        <v>289</v>
      </c>
      <c r="E217" t="s">
        <v>70</v>
      </c>
      <c r="F217" t="s">
        <v>11007</v>
      </c>
      <c r="H217" t="s">
        <v>2936</v>
      </c>
      <c r="I217" s="8" t="s">
        <v>10962</v>
      </c>
      <c r="J217" s="8" t="s">
        <v>2985</v>
      </c>
      <c r="K217" t="s">
        <v>10963</v>
      </c>
      <c r="L217" t="s">
        <v>10964</v>
      </c>
      <c r="M217" s="3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4">
        <v>46052</v>
      </c>
      <c r="C218" s="6">
        <v>0.38341435185185185</v>
      </c>
      <c r="D218" s="2" t="s">
        <v>289</v>
      </c>
      <c r="E218" t="s">
        <v>70</v>
      </c>
      <c r="F218" t="s">
        <v>11007</v>
      </c>
      <c r="H218" t="s">
        <v>2936</v>
      </c>
      <c r="I218" s="8" t="s">
        <v>10965</v>
      </c>
      <c r="J218" s="8" t="s">
        <v>2985</v>
      </c>
      <c r="K218" t="s">
        <v>10966</v>
      </c>
      <c r="L218" t="s">
        <v>10967</v>
      </c>
      <c r="M218" s="3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4">
        <v>46052</v>
      </c>
      <c r="C219" s="6">
        <v>0.38377314814814817</v>
      </c>
      <c r="D219" s="2" t="s">
        <v>289</v>
      </c>
      <c r="E219" t="s">
        <v>70</v>
      </c>
      <c r="F219" t="s">
        <v>11007</v>
      </c>
      <c r="H219" t="s">
        <v>2936</v>
      </c>
      <c r="I219" s="8" t="s">
        <v>10968</v>
      </c>
      <c r="J219" s="8" t="s">
        <v>2985</v>
      </c>
      <c r="K219" t="s">
        <v>10969</v>
      </c>
      <c r="L219" t="s">
        <v>10970</v>
      </c>
      <c r="M219" s="3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4">
        <v>46053</v>
      </c>
      <c r="C220" s="6">
        <v>0.49326388888888889</v>
      </c>
      <c r="D220" s="2" t="s">
        <v>289</v>
      </c>
      <c r="E220" t="s">
        <v>11124</v>
      </c>
      <c r="F220" t="s">
        <v>7167</v>
      </c>
      <c r="G220">
        <v>1</v>
      </c>
      <c r="I220" s="8" t="s">
        <v>11076</v>
      </c>
      <c r="J220" s="8" t="s">
        <v>2985</v>
      </c>
      <c r="K220" t="s">
        <v>11077</v>
      </c>
      <c r="L220" t="s">
        <v>11078</v>
      </c>
      <c r="M220" s="3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4">
        <v>46053</v>
      </c>
      <c r="C221" s="6">
        <v>0.49449074074074073</v>
      </c>
      <c r="D221" s="2" t="s">
        <v>289</v>
      </c>
      <c r="E221" t="s">
        <v>11124</v>
      </c>
      <c r="F221" t="s">
        <v>7167</v>
      </c>
      <c r="G221">
        <v>1</v>
      </c>
      <c r="I221" s="8" t="s">
        <v>11079</v>
      </c>
      <c r="J221" s="8" t="s">
        <v>2985</v>
      </c>
      <c r="K221" t="s">
        <v>11080</v>
      </c>
      <c r="L221" t="s">
        <v>11081</v>
      </c>
      <c r="M221" s="3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4">
        <v>46053</v>
      </c>
      <c r="C222" s="6">
        <v>0.49556712962962962</v>
      </c>
      <c r="D222" s="2" t="s">
        <v>289</v>
      </c>
      <c r="E222" t="s">
        <v>11124</v>
      </c>
      <c r="F222" t="s">
        <v>7167</v>
      </c>
      <c r="G222">
        <v>1</v>
      </c>
      <c r="I222" s="8" t="s">
        <v>11082</v>
      </c>
      <c r="J222" s="8" t="s">
        <v>2985</v>
      </c>
      <c r="K222" t="s">
        <v>11083</v>
      </c>
      <c r="L222" t="s">
        <v>11084</v>
      </c>
      <c r="M222" s="3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4">
        <v>46053</v>
      </c>
      <c r="C223" s="6">
        <v>0.49659722222222225</v>
      </c>
      <c r="D223" s="2" t="s">
        <v>289</v>
      </c>
      <c r="E223" t="s">
        <v>11124</v>
      </c>
      <c r="F223" t="s">
        <v>7167</v>
      </c>
      <c r="G223">
        <v>1</v>
      </c>
      <c r="I223" s="8" t="s">
        <v>11085</v>
      </c>
      <c r="J223" s="8" t="s">
        <v>2985</v>
      </c>
      <c r="K223" t="s">
        <v>11086</v>
      </c>
      <c r="L223" t="s">
        <v>11087</v>
      </c>
      <c r="M223" s="3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4">
        <v>46053</v>
      </c>
      <c r="C224" s="6">
        <v>0.49760416666666668</v>
      </c>
      <c r="D224" s="2" t="s">
        <v>289</v>
      </c>
      <c r="E224" t="s">
        <v>11124</v>
      </c>
      <c r="F224" t="s">
        <v>7167</v>
      </c>
      <c r="G224">
        <v>1</v>
      </c>
      <c r="I224" s="8" t="s">
        <v>11088</v>
      </c>
      <c r="J224" s="8" t="s">
        <v>2985</v>
      </c>
      <c r="K224" t="s">
        <v>11089</v>
      </c>
      <c r="L224" t="s">
        <v>11090</v>
      </c>
      <c r="M224" s="3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4">
        <v>46053</v>
      </c>
      <c r="C225" s="6">
        <v>0.49864583333333334</v>
      </c>
      <c r="D225" s="2" t="s">
        <v>289</v>
      </c>
      <c r="E225" t="s">
        <v>11124</v>
      </c>
      <c r="F225" t="s">
        <v>7167</v>
      </c>
      <c r="G225">
        <v>1</v>
      </c>
      <c r="I225" s="8" t="s">
        <v>11091</v>
      </c>
      <c r="J225" s="8" t="s">
        <v>2985</v>
      </c>
      <c r="K225" t="s">
        <v>11092</v>
      </c>
      <c r="L225" t="s">
        <v>11093</v>
      </c>
      <c r="M225" s="3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4">
        <v>46053</v>
      </c>
      <c r="C226" s="6">
        <v>0.49983796296296296</v>
      </c>
      <c r="D226" s="2" t="s">
        <v>289</v>
      </c>
      <c r="E226" t="s">
        <v>11124</v>
      </c>
      <c r="F226" t="s">
        <v>7167</v>
      </c>
      <c r="G226">
        <v>1</v>
      </c>
      <c r="I226" s="8" t="s">
        <v>11094</v>
      </c>
      <c r="J226" s="8" t="s">
        <v>2985</v>
      </c>
      <c r="K226" t="s">
        <v>11095</v>
      </c>
      <c r="L226" t="s">
        <v>11096</v>
      </c>
      <c r="M226" s="3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4">
        <v>46053</v>
      </c>
      <c r="C227" s="6">
        <v>0.50087962962962962</v>
      </c>
      <c r="D227" s="2" t="s">
        <v>289</v>
      </c>
      <c r="E227" t="s">
        <v>11124</v>
      </c>
      <c r="F227" t="s">
        <v>7167</v>
      </c>
      <c r="G227">
        <v>1</v>
      </c>
      <c r="I227" s="8" t="s">
        <v>11097</v>
      </c>
      <c r="J227" s="8" t="s">
        <v>2985</v>
      </c>
      <c r="K227" t="s">
        <v>11098</v>
      </c>
      <c r="L227" t="s">
        <v>11099</v>
      </c>
      <c r="M227" s="3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4">
        <v>46053</v>
      </c>
      <c r="C228" s="6">
        <v>0.50236111111111115</v>
      </c>
      <c r="D228" s="2" t="s">
        <v>289</v>
      </c>
      <c r="E228" t="s">
        <v>11124</v>
      </c>
      <c r="F228" t="s">
        <v>7167</v>
      </c>
      <c r="G228">
        <v>1</v>
      </c>
      <c r="I228" s="8" t="s">
        <v>11100</v>
      </c>
      <c r="J228" s="8" t="s">
        <v>2985</v>
      </c>
      <c r="K228" t="s">
        <v>11101</v>
      </c>
      <c r="L228" t="s">
        <v>11102</v>
      </c>
      <c r="M228" s="3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4">
        <v>46053</v>
      </c>
      <c r="C229" s="6">
        <v>0.50332175925925926</v>
      </c>
      <c r="D229" s="2" t="s">
        <v>289</v>
      </c>
      <c r="E229" t="s">
        <v>11124</v>
      </c>
      <c r="F229" t="s">
        <v>7167</v>
      </c>
      <c r="G229">
        <v>1</v>
      </c>
      <c r="I229" s="8" t="s">
        <v>11103</v>
      </c>
      <c r="J229" s="8" t="s">
        <v>2985</v>
      </c>
      <c r="K229" t="s">
        <v>11104</v>
      </c>
      <c r="L229" t="s">
        <v>11105</v>
      </c>
      <c r="M229" s="3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4">
        <v>46053</v>
      </c>
      <c r="C230" s="6">
        <v>0.50494212962962959</v>
      </c>
      <c r="D230" s="2" t="s">
        <v>289</v>
      </c>
      <c r="E230" t="s">
        <v>11124</v>
      </c>
      <c r="F230" t="s">
        <v>7167</v>
      </c>
      <c r="G230">
        <v>1</v>
      </c>
      <c r="I230" s="8" t="s">
        <v>11106</v>
      </c>
      <c r="J230" s="8" t="s">
        <v>2985</v>
      </c>
      <c r="K230" t="s">
        <v>11107</v>
      </c>
      <c r="L230" t="s">
        <v>11108</v>
      </c>
      <c r="M230" s="3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4">
        <v>46056</v>
      </c>
      <c r="C231" s="6">
        <v>0.79167824074074078</v>
      </c>
      <c r="D231" s="2" t="s">
        <v>289</v>
      </c>
      <c r="E231" t="s">
        <v>6190</v>
      </c>
      <c r="F231" t="s">
        <v>11413</v>
      </c>
      <c r="I231" s="8" t="s">
        <v>11190</v>
      </c>
      <c r="J231" s="8" t="s">
        <v>2991</v>
      </c>
      <c r="K231" t="s">
        <v>11191</v>
      </c>
      <c r="L231" t="s">
        <v>11192</v>
      </c>
      <c r="M231" s="3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4">
        <v>46056</v>
      </c>
      <c r="C232" s="6">
        <v>0.79401620370370374</v>
      </c>
      <c r="D232" s="2" t="s">
        <v>289</v>
      </c>
      <c r="E232" t="s">
        <v>6190</v>
      </c>
      <c r="F232" t="s">
        <v>11413</v>
      </c>
      <c r="I232" s="8" t="s">
        <v>11193</v>
      </c>
      <c r="J232" s="8" t="s">
        <v>2991</v>
      </c>
      <c r="K232" t="s">
        <v>11194</v>
      </c>
      <c r="L232" t="s">
        <v>11195</v>
      </c>
      <c r="M232" s="3" t="str">
        <f>HYPERLINK(Таблица3[[#This Row],[RelativePath]])</f>
        <v>4 Крыльцо офиса\K07156189_21_20260203T190323Z.jpg</v>
      </c>
    </row>
  </sheetData>
  <phoneticPr fontId="2" type="noConversion"/>
  <conditionalFormatting sqref="E233:E254 D2:E232">
    <cfRule type="containsText" dxfId="23" priority="7" operator="containsText" text="Выезд с территории">
      <formula>NOT(ISERROR(SEARCH("Выезд с территории",D2)))</formula>
    </cfRule>
  </conditionalFormatting>
  <conditionalFormatting sqref="D2:D232">
    <cfRule type="containsText" dxfId="22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2">
    <cfRule type="containsText" dxfId="21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54">
    <cfRule type="containsText" dxfId="20" priority="2" operator="containsText" text="Газель базы">
      <formula>NOT(ISERROR(SEARCH("Газель базы",E2)))</formula>
    </cfRule>
    <cfRule type="containsText" dxfId="19" priority="3" operator="containsText" text="Погрузчик базы">
      <formula>NOT(ISERROR(SEARCH("Погрузчик базы",E2)))</formula>
    </cfRule>
  </conditionalFormatting>
  <conditionalFormatting sqref="E2:E254">
    <cfRule type="containsText" dxfId="1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38"/>
  <sheetViews>
    <sheetView topLeftCell="A115" zoomScale="80" zoomScaleNormal="80" workbookViewId="0">
      <selection activeCell="E131" sqref="E131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43.14062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8.4257812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s="8" t="s">
        <v>29</v>
      </c>
      <c r="J2" s="8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s="8" t="s">
        <v>28</v>
      </c>
      <c r="J3" s="8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s="8" t="s">
        <v>27</v>
      </c>
      <c r="J4" s="8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s="8" t="s">
        <v>415</v>
      </c>
      <c r="J5" s="8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s="8" t="s">
        <v>36</v>
      </c>
      <c r="J6" s="8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s="8" t="s">
        <v>37</v>
      </c>
      <c r="J7" s="8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s="8" t="s">
        <v>38</v>
      </c>
      <c r="J8" s="8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s="8" t="s">
        <v>42</v>
      </c>
      <c r="J12" s="8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s="8" t="s">
        <v>41</v>
      </c>
      <c r="J13" s="8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s="8" t="s">
        <v>81</v>
      </c>
      <c r="J14" s="8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s="8" t="s">
        <v>80</v>
      </c>
      <c r="J15" s="8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s="8" t="s">
        <v>83</v>
      </c>
      <c r="J16" s="8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s="8" t="s">
        <v>82</v>
      </c>
      <c r="J17" s="8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s="8" t="s">
        <v>77</v>
      </c>
      <c r="J18" s="8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s="8" t="s">
        <v>75</v>
      </c>
      <c r="J19" s="8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s="8" t="s">
        <v>79</v>
      </c>
      <c r="J20" s="8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s="8" t="s">
        <v>78</v>
      </c>
      <c r="J21" s="8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s="8" t="s">
        <v>1112</v>
      </c>
      <c r="J22" s="8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s="8" t="s">
        <v>1114</v>
      </c>
      <c r="J23" s="8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s="8" t="s">
        <v>2003</v>
      </c>
      <c r="J24" s="8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s="8" t="s">
        <v>1108</v>
      </c>
      <c r="J25" s="8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s="8" t="s">
        <v>1110</v>
      </c>
      <c r="J26" s="8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s="8" t="s">
        <v>1111</v>
      </c>
      <c r="J27" s="8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s="8" t="s">
        <v>2054</v>
      </c>
      <c r="J28" s="8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s="8" t="s">
        <v>2053</v>
      </c>
      <c r="J29" s="8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s="8" t="s">
        <v>2052</v>
      </c>
      <c r="J30" s="8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s="8" t="s">
        <v>2058</v>
      </c>
      <c r="J31" s="8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s="8" t="s">
        <v>2057</v>
      </c>
      <c r="J32" s="8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s="8" t="s">
        <v>3231</v>
      </c>
      <c r="J33" s="8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s="8" t="s">
        <v>3234</v>
      </c>
      <c r="J34" s="8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s="8" t="s">
        <v>3225</v>
      </c>
      <c r="J35" s="8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s="8" t="s">
        <v>3228</v>
      </c>
      <c r="J36" s="8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s="8" t="s">
        <v>3240</v>
      </c>
      <c r="J37" s="8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s="8" t="s">
        <v>3237</v>
      </c>
      <c r="J38" s="8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s="8" t="s">
        <v>3246</v>
      </c>
      <c r="J39" s="8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s="8" t="s">
        <v>3243</v>
      </c>
      <c r="J40" s="8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s="8" t="s">
        <v>3255</v>
      </c>
      <c r="J41" s="8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s="8" t="s">
        <v>3258</v>
      </c>
      <c r="J42" s="8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s="8" t="s">
        <v>3249</v>
      </c>
      <c r="J43" s="8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s="8" t="s">
        <v>3252</v>
      </c>
      <c r="J44" s="8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s="8" t="s">
        <v>4405</v>
      </c>
      <c r="J45" s="8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s="8" t="s">
        <v>4402</v>
      </c>
      <c r="J46" s="8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s="8" t="s">
        <v>5146</v>
      </c>
      <c r="J47" s="8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s="8" t="s">
        <v>5144</v>
      </c>
      <c r="J48" s="8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s="8" t="s">
        <v>5274</v>
      </c>
      <c r="J49" s="8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s="8" t="s">
        <v>5272</v>
      </c>
      <c r="J50" s="8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s="8" t="s">
        <v>5490</v>
      </c>
      <c r="J51" s="8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s="8" t="s">
        <v>5493</v>
      </c>
      <c r="J52" s="8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s="8" t="s">
        <v>5496</v>
      </c>
      <c r="J53" s="8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s="8" t="s">
        <v>5481</v>
      </c>
      <c r="J54" s="8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s="8" t="s">
        <v>5484</v>
      </c>
      <c r="J55" s="8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s="8" t="s">
        <v>5487</v>
      </c>
      <c r="J56" s="8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s="8" t="s">
        <v>5502</v>
      </c>
      <c r="J57" s="8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s="8" t="s">
        <v>5499</v>
      </c>
      <c r="J58" s="8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s="8" t="s">
        <v>6035</v>
      </c>
      <c r="J59" s="8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s="8" t="s">
        <v>6038</v>
      </c>
      <c r="J60" s="8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s="8" t="s">
        <v>6041</v>
      </c>
      <c r="J61" s="8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s="8" t="s">
        <v>6032</v>
      </c>
      <c r="J62" s="8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s="8" t="s">
        <v>6023</v>
      </c>
      <c r="J63" s="8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s="8" t="s">
        <v>6026</v>
      </c>
      <c r="J64" s="8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s="8" t="s">
        <v>6029</v>
      </c>
      <c r="J65" s="8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s="8" t="s">
        <v>6269</v>
      </c>
      <c r="J66" s="8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s="8" t="s">
        <v>6278</v>
      </c>
      <c r="J67" s="8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s="8" t="s">
        <v>6266</v>
      </c>
      <c r="J68" s="8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s="8" t="s">
        <v>6263</v>
      </c>
      <c r="J69" s="8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s="8" t="s">
        <v>6343</v>
      </c>
      <c r="J70" s="8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s="8" t="s">
        <v>6539</v>
      </c>
      <c r="J71" s="8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s="8" t="s">
        <v>6542</v>
      </c>
      <c r="J72" s="8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s="8" t="s">
        <v>6533</v>
      </c>
      <c r="J73" s="8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s="8" t="s">
        <v>6536</v>
      </c>
      <c r="J74" s="8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s="8" t="s">
        <v>6679</v>
      </c>
      <c r="J75" s="8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s="8" t="s">
        <v>6667</v>
      </c>
      <c r="J76" s="8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s="8" t="s">
        <v>7245</v>
      </c>
      <c r="J77" s="8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s="8" t="s">
        <v>7242</v>
      </c>
      <c r="J78" s="8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s="8" t="s">
        <v>7251</v>
      </c>
      <c r="J79" s="8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s="8" t="s">
        <v>7248</v>
      </c>
      <c r="J80" s="8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s="8" t="s">
        <v>7421</v>
      </c>
      <c r="J81" s="8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s="8" t="s">
        <v>7436</v>
      </c>
      <c r="J82" s="8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s="8" t="s">
        <v>7430</v>
      </c>
      <c r="J83" s="8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s="8" t="s">
        <v>7424</v>
      </c>
      <c r="J84" s="8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s="8" t="s">
        <v>7726</v>
      </c>
      <c r="J85" s="8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s="8" t="s">
        <v>7723</v>
      </c>
      <c r="J86" s="8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s="8" t="s">
        <v>7896</v>
      </c>
      <c r="J87" s="8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s="8" t="s">
        <v>7899</v>
      </c>
      <c r="J88" s="8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s="8" t="s">
        <v>7890</v>
      </c>
      <c r="J89" s="8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s="8" t="s">
        <v>7893</v>
      </c>
      <c r="J90" s="8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s="8" t="s">
        <v>7917</v>
      </c>
      <c r="J91" s="8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s="8" t="s">
        <v>7920</v>
      </c>
      <c r="J92" s="8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s="8" t="s">
        <v>7923</v>
      </c>
      <c r="J93" s="8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s="8" t="s">
        <v>7902</v>
      </c>
      <c r="J94" s="8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s="8" t="s">
        <v>7905</v>
      </c>
      <c r="J95" s="8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s="8" t="s">
        <v>7911</v>
      </c>
      <c r="J96" s="8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s="8" t="s">
        <v>8378</v>
      </c>
      <c r="J97" s="8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s="8" t="s">
        <v>8375</v>
      </c>
      <c r="J98" s="8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s="8" t="s">
        <v>8511</v>
      </c>
      <c r="J99" s="8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s="8" t="s">
        <v>8508</v>
      </c>
      <c r="J100" s="8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s="8" t="s">
        <v>8520</v>
      </c>
      <c r="J101" s="8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s="8" t="s">
        <v>8517</v>
      </c>
      <c r="J102" s="8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s="8" t="s">
        <v>8526</v>
      </c>
      <c r="J103" s="8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s="8" t="s">
        <v>8523</v>
      </c>
      <c r="J104" s="8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s="8" t="s">
        <v>8538</v>
      </c>
      <c r="J105" s="8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s="8" t="s">
        <v>8541</v>
      </c>
      <c r="J106" s="8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s="8" t="s">
        <v>8544</v>
      </c>
      <c r="J107" s="8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s="8" t="s">
        <v>8529</v>
      </c>
      <c r="J108" s="8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s="8" t="s">
        <v>8532</v>
      </c>
      <c r="J109" s="8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s="8" t="s">
        <v>8535</v>
      </c>
      <c r="J110" s="8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s="8" t="s">
        <v>8553</v>
      </c>
      <c r="J111" s="8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s="8" t="s">
        <v>8550</v>
      </c>
      <c r="J112" s="8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s="8" t="s">
        <v>8858</v>
      </c>
      <c r="J113" s="8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s="8" t="s">
        <v>8855</v>
      </c>
      <c r="J114" s="8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s="8" t="s">
        <v>9246</v>
      </c>
      <c r="J115" s="8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s="8" t="s">
        <v>9243</v>
      </c>
      <c r="J116" s="8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s="8" t="s">
        <v>9252</v>
      </c>
      <c r="J117" s="8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s="8" t="s">
        <v>9600</v>
      </c>
      <c r="J118" s="8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s="8" t="s">
        <v>9603</v>
      </c>
      <c r="J119" s="8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s="8" t="s">
        <v>9606</v>
      </c>
      <c r="J120" s="8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s="8" t="s">
        <v>9591</v>
      </c>
      <c r="J121" s="8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s="8" t="s">
        <v>9594</v>
      </c>
      <c r="J122" s="8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s="8" t="s">
        <v>9597</v>
      </c>
      <c r="J123" s="8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s="8" t="s">
        <v>10158</v>
      </c>
      <c r="J124" s="8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s="8" t="s">
        <v>9933</v>
      </c>
      <c r="J125" s="8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s="8" t="s">
        <v>9930</v>
      </c>
      <c r="J126" s="8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s="8" t="s">
        <v>10149</v>
      </c>
      <c r="J127" s="8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s="8" t="s">
        <v>10152</v>
      </c>
      <c r="J128" s="8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s="8" t="s">
        <v>10155</v>
      </c>
      <c r="J129" s="8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s="8" t="s">
        <v>10161</v>
      </c>
      <c r="J130" s="8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s="8" t="s">
        <v>10143</v>
      </c>
      <c r="J131" s="8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s="8" t="s">
        <v>10146</v>
      </c>
      <c r="J132" s="8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  <row r="133" spans="1:13" x14ac:dyDescent="0.25">
      <c r="A133" t="s">
        <v>16</v>
      </c>
      <c r="B133" s="4">
        <v>46051</v>
      </c>
      <c r="C133" s="6">
        <v>0.4944560185185185</v>
      </c>
      <c r="D133" s="7" t="s">
        <v>62</v>
      </c>
      <c r="E133" t="s">
        <v>10884</v>
      </c>
      <c r="F133" t="s">
        <v>58</v>
      </c>
      <c r="G133">
        <v>4</v>
      </c>
      <c r="H133" t="s">
        <v>9336</v>
      </c>
      <c r="I133" s="8" t="s">
        <v>10719</v>
      </c>
      <c r="J133" s="8" t="s">
        <v>2981</v>
      </c>
      <c r="K133" t="s">
        <v>10720</v>
      </c>
      <c r="L133" t="s">
        <v>10721</v>
      </c>
      <c r="M133" s="3" t="str">
        <f>HYPERLINK(СторонТрансп[[#This Row],[RelativePath]])</f>
        <v>1 Ангар Склад 2 въезд\E33149364_6_20260129T115201Z.jpg</v>
      </c>
    </row>
    <row r="134" spans="1:13" x14ac:dyDescent="0.25">
      <c r="A134" t="s">
        <v>18</v>
      </c>
      <c r="B134" s="4">
        <v>46053</v>
      </c>
      <c r="C134" s="6">
        <v>0.7240509259259259</v>
      </c>
      <c r="D134" s="7" t="s">
        <v>91</v>
      </c>
      <c r="E134" t="s">
        <v>11125</v>
      </c>
      <c r="I134" s="8" t="s">
        <v>11016</v>
      </c>
      <c r="J134" s="8" t="s">
        <v>2981</v>
      </c>
      <c r="K134" t="s">
        <v>11017</v>
      </c>
      <c r="L134" t="s">
        <v>11018</v>
      </c>
      <c r="M134" s="3" t="str">
        <f>HYPERLINK(СторонТрансп[[#This Row],[RelativePath]])</f>
        <v>1 Ангар Склад 2 въезд\E33149364_6_20260131T172238Z.jpg</v>
      </c>
    </row>
    <row r="135" spans="1:13" x14ac:dyDescent="0.25">
      <c r="A135" t="s">
        <v>18</v>
      </c>
      <c r="B135" s="4">
        <v>46053</v>
      </c>
      <c r="C135" s="6">
        <v>0.5067476851851852</v>
      </c>
      <c r="D135" s="7" t="s">
        <v>62</v>
      </c>
      <c r="E135" t="s">
        <v>11124</v>
      </c>
      <c r="F135" t="s">
        <v>53</v>
      </c>
      <c r="G135">
        <v>11</v>
      </c>
      <c r="I135" s="8" t="s">
        <v>11013</v>
      </c>
      <c r="J135" s="8" t="s">
        <v>2981</v>
      </c>
      <c r="K135" t="s">
        <v>11014</v>
      </c>
      <c r="L135" t="s">
        <v>11015</v>
      </c>
      <c r="M135" s="3" t="str">
        <f>HYPERLINK(СторонТрансп[[#This Row],[RelativePath]])</f>
        <v>1 Ангар Склад 2 въезд\E33149364_6_20260131T120943Z.jpg</v>
      </c>
    </row>
    <row r="136" spans="1:13" x14ac:dyDescent="0.25">
      <c r="A136" t="s">
        <v>18</v>
      </c>
      <c r="B136" s="4">
        <v>46053</v>
      </c>
      <c r="C136" s="6">
        <v>0.48749999999999999</v>
      </c>
      <c r="D136" s="7" t="s">
        <v>91</v>
      </c>
      <c r="E136" t="s">
        <v>11124</v>
      </c>
      <c r="I136" s="8" t="s">
        <v>11010</v>
      </c>
      <c r="J136" s="8" t="s">
        <v>2981</v>
      </c>
      <c r="K136" t="s">
        <v>11011</v>
      </c>
      <c r="L136" t="s">
        <v>11012</v>
      </c>
      <c r="M136" s="3" t="str">
        <f>HYPERLINK(СторонТрансп[[#This Row],[RelativePath]])</f>
        <v>1 Ангар Склад 2 въезд\E33149364_6_20260131T114200Z.jpg</v>
      </c>
    </row>
    <row r="137" spans="1:13" x14ac:dyDescent="0.25">
      <c r="A137" t="s">
        <v>14</v>
      </c>
      <c r="B137" s="4">
        <v>46056</v>
      </c>
      <c r="C137" s="6">
        <v>0.56745370370370374</v>
      </c>
      <c r="D137" s="7" t="s">
        <v>62</v>
      </c>
      <c r="E137" t="s">
        <v>11412</v>
      </c>
      <c r="F137" t="s">
        <v>51</v>
      </c>
      <c r="I137" s="8" t="s">
        <v>11151</v>
      </c>
      <c r="J137" s="8" t="s">
        <v>2981</v>
      </c>
      <c r="K137" t="s">
        <v>11152</v>
      </c>
      <c r="L137" t="s">
        <v>11153</v>
      </c>
      <c r="M137" s="3" t="str">
        <f>HYPERLINK(СторонТрансп[[#This Row],[RelativePath]])</f>
        <v>1 Ангар Склад 2 въезд\E33149364_6_20260203T133708Z.jpg</v>
      </c>
    </row>
    <row r="138" spans="1:13" x14ac:dyDescent="0.25">
      <c r="A138" t="s">
        <v>14</v>
      </c>
      <c r="B138" s="4">
        <v>46056</v>
      </c>
      <c r="C138" s="6">
        <v>0.44545138888888891</v>
      </c>
      <c r="D138" s="7" t="s">
        <v>91</v>
      </c>
      <c r="E138" t="s">
        <v>11412</v>
      </c>
      <c r="F138" t="s">
        <v>60</v>
      </c>
      <c r="I138" s="8" t="s">
        <v>11148</v>
      </c>
      <c r="J138" s="8" t="s">
        <v>2981</v>
      </c>
      <c r="K138" t="s">
        <v>11149</v>
      </c>
      <c r="L138" t="s">
        <v>11150</v>
      </c>
      <c r="M138" s="3" t="str">
        <f>HYPERLINK(СторонТрансп[[#This Row],[RelativePath]])</f>
        <v>1 Ангар Склад 2 въезд\E33149364_6_20260203T104127Z.jpg</v>
      </c>
    </row>
  </sheetData>
  <conditionalFormatting sqref="E139:E160 D2:E138">
    <cfRule type="containsText" dxfId="17" priority="6" operator="containsText" text="Выезд с территории">
      <formula>NOT(ISERROR(SEARCH("Выезд с территории",D2)))</formula>
    </cfRule>
  </conditionalFormatting>
  <conditionalFormatting sqref="D2:D138">
    <cfRule type="containsText" dxfId="1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8">
    <cfRule type="containsText" dxfId="15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60">
    <cfRule type="containsText" dxfId="14" priority="2" operator="containsText" text="Газель базы">
      <formula>NOT(ISERROR(SEARCH("Газель базы",E2)))</formula>
    </cfRule>
    <cfRule type="containsText" dxfId="13" priority="3" operator="containsText" text="Погрузчик базы">
      <formula>NOT(ISERROR(SEARCH("Погрузчик базы",E2)))</formula>
    </cfRule>
  </conditionalFormatting>
  <conditionalFormatting sqref="E2:E160">
    <cfRule type="containsText" dxfId="1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2026-02-06T04:47:06Z</dcterms:modified>
</cp:coreProperties>
</file>