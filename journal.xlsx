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F2072C5A-F62E-428A-854B-146D6A72DFE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прСобытий" sheetId="20" r:id="rId15"/>
  </sheets>
  <definedNames>
    <definedName name="ExternalData_1" localSheetId="0" hidden="1">'1 Ангар Склад 2 въезд'!$A$1:$L$104</definedName>
    <definedName name="ExternalData_1" localSheetId="9" hidden="1">'10 Сушилка навес'!$A$1:$L$285</definedName>
    <definedName name="ExternalData_1" localSheetId="10" hidden="1">'11 С ангара на базу'!$A$1:$L$120</definedName>
    <definedName name="ExternalData_1" localSheetId="11" hidden="1">'12 Площадка 3 кран'!$A$1:$L$86</definedName>
    <definedName name="ExternalData_1" localSheetId="12" hidden="1">'13 Склад хол'!$A$1:$L$47</definedName>
    <definedName name="ExternalData_1" localSheetId="1" hidden="1">'2 Пилорама поката'!$A$1:$L$133</definedName>
    <definedName name="ExternalData_1" localSheetId="2" hidden="1">'3 Въезд на базу'!$A$1:$L$74</definedName>
    <definedName name="ExternalData_1" localSheetId="3" hidden="1">'4 Крыльцо офиса'!$A$1:$L$65</definedName>
    <definedName name="ExternalData_1" localSheetId="4" hidden="1">'5 Крыльцо общага'!$A$1:$L$96</definedName>
    <definedName name="ExternalData_1" localSheetId="5" hidden="1">'6 Площадка 1 общага'!$A$1:$L$62</definedName>
    <definedName name="ExternalData_1" localSheetId="6" hidden="1">'7 Площадка 2 бетонщики'!$A$1:$L$188</definedName>
    <definedName name="ExternalData_1" localSheetId="7" hidden="1">'8 Рейсмус'!$A$1:$L$116</definedName>
    <definedName name="ExternalData_1" localSheetId="8" hidden="1">'9 Ангар пилорама'!$A$1:$L$290</definedName>
    <definedName name="ExternalData_1" localSheetId="13" hidden="1">Загрузка!$A$1:$L$162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</connections>
</file>

<file path=xl/sharedStrings.xml><?xml version="1.0" encoding="utf-8"?>
<sst xmlns="http://schemas.openxmlformats.org/spreadsheetml/2006/main" count="22182" uniqueCount="5307">
  <si>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</si>
  <si>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</si>
  <si>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</si>
  <si>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</si>
  <si>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</si>
  <si>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</si>
  <si>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</si>
  <si>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</si>
  <si>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</si>
  <si>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</si>
  <si>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</si>
  <si>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</si>
  <si>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</si>
  <si>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</si>
  <si>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</si>
  <si>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</si>
  <si>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</si>
  <si>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</si>
  <si>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</si>
  <si>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</si>
  <si>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</si>
  <si>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</si>
  <si>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</si>
  <si>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</si>
  <si>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</si>
  <si>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</si>
  <si>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</si>
  <si>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</si>
  <si>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</si>
  <si>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</si>
  <si>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</si>
  <si>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</si>
  <si>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</si>
  <si>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</si>
  <si>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</si>
  <si>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</si>
  <si>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</si>
  <si>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</si>
  <si>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</si>
  <si>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</si>
  <si>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</si>
  <si>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</si>
  <si>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</si>
  <si>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</si>
  <si>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</si>
  <si>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</si>
  <si>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</si>
  <si>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</si>
  <si>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</si>
  <si>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</si>
  <si>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</si>
  <si>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</si>
  <si>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</si>
  <si>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</si>
  <si>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</si>
  <si>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</si>
  <si>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</si>
  <si>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</si>
  <si>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</si>
  <si>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</si>
  <si>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</si>
  <si>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</si>
  <si>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</si>
  <si>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</si>
  <si>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</si>
  <si>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</si>
  <si>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</si>
  <si>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</si>
  <si>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</si>
  <si>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</si>
  <si>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</si>
  <si>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</si>
  <si>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</si>
  <si>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</si>
  <si>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</si>
  <si>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</si>
  <si>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</si>
  <si>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</si>
  <si>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</si>
  <si>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</si>
  <si>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</si>
  <si>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</si>
  <si>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</si>
  <si>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</si>
  <si>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</si>
  <si>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</si>
  <si>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</si>
  <si>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</si>
  <si>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</si>
  <si>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</si>
  <si>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</si>
  <si>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</si>
  <si>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</si>
  <si>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</si>
  <si>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</si>
  <si>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</si>
  <si>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</si>
  <si>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</si>
  <si>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</si>
  <si>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</si>
  <si>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</si>
  <si>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</si>
  <si>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</si>
  <si>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</si>
  <si>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</si>
  <si>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</si>
  <si>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</si>
  <si>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</si>
  <si>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</si>
  <si>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</si>
  <si>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</si>
  <si>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</si>
  <si>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</si>
  <si>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</si>
  <si>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</si>
  <si>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</si>
  <si>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</si>
  <si>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</si>
  <si>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</si>
  <si>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</si>
  <si>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</si>
  <si>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</si>
  <si>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</si>
  <si>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</si>
  <si>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</si>
  <si>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</si>
  <si>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</si>
  <si>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</si>
  <si>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</si>
  <si>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</si>
  <si>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</si>
  <si>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</si>
  <si>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</si>
  <si>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</si>
  <si>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</si>
  <si>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</si>
  <si>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</si>
  <si>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</si>
  <si>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</si>
  <si>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</si>
  <si>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</si>
  <si>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</si>
  <si>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</si>
  <si>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</si>
  <si>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</si>
  <si>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</si>
  <si>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</si>
  <si>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</si>
  <si>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</si>
  <si>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</si>
  <si>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</si>
  <si>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</si>
  <si>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</si>
  <si>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</si>
  <si>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</si>
  <si>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</si>
  <si>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</si>
  <si>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</si>
  <si>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</si>
  <si>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</si>
  <si>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</si>
  <si>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</si>
  <si>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</si>
  <si>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</si>
  <si>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</si>
  <si>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</si>
  <si>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</si>
  <si>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</si>
  <si>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</si>
  <si>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</si>
  <si>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</si>
  <si>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</si>
  <si>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</si>
  <si>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</si>
  <si>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</si>
  <si>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</si>
  <si>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</si>
  <si>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</si>
  <si>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</si>
  <si>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</si>
  <si>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</si>
  <si>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</si>
  <si>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</si>
  <si>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</si>
  <si>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</si>
  <si>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</si>
  <si>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</si>
  <si>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</si>
  <si>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</si>
  <si>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</si>
  <si>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</si>
  <si>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</si>
  <si>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</si>
  <si>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</si>
  <si>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</si>
  <si>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</si>
  <si>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</si>
  <si>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</si>
  <si>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</si>
  <si>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</si>
  <si>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</si>
  <si>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</si>
  <si>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</si>
  <si>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</si>
  <si>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</si>
  <si>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</si>
  <si>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</si>
  <si>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</si>
  <si>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</si>
  <si>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</si>
  <si>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</si>
  <si>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</si>
  <si>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</si>
  <si>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</si>
  <si>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</si>
  <si>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</si>
  <si>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</si>
  <si>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</si>
  <si>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</si>
  <si>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</si>
  <si>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</si>
  <si>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</si>
  <si>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</si>
  <si>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</si>
  <si>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</si>
  <si>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</si>
  <si>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</si>
  <si>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</si>
  <si>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</si>
  <si>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</si>
  <si>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</si>
  <si>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</si>
  <si>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</si>
  <si>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</si>
  <si>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</si>
  <si>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</si>
  <si>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</si>
  <si>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</si>
  <si>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</si>
  <si>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</si>
  <si>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</si>
  <si>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</si>
  <si>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</si>
  <si>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</si>
  <si>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</si>
  <si>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</si>
  <si>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</si>
  <si>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</si>
  <si>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</si>
  <si>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</si>
  <si>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</si>
  <si>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</si>
  <si>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</si>
  <si>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</si>
  <si>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</si>
  <si>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</si>
  <si>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</si>
  <si>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</si>
  <si>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</si>
  <si>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</si>
  <si>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</si>
  <si>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</si>
  <si>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</si>
  <si>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</si>
  <si>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</si>
  <si>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</si>
  <si>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</si>
  <si>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</si>
  <si>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</si>
  <si>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</si>
  <si>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</si>
  <si>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</si>
  <si>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</si>
  <si>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</si>
  <si>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</si>
  <si>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</si>
  <si>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</si>
  <si>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</si>
  <si>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</si>
  <si>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</si>
  <si>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</si>
  <si>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</si>
  <si>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</si>
  <si>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</si>
  <si>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</si>
  <si>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</si>
  <si>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</si>
  <si>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</si>
  <si>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</si>
  <si>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</si>
  <si>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</si>
  <si>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</si>
  <si>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</si>
  <si>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</si>
  <si>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</si>
  <si>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</si>
  <si>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</si>
  <si>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</si>
  <si>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</si>
  <si>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</si>
  <si>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</si>
  <si>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</si>
  <si>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</si>
  <si>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</si>
  <si>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</si>
  <si>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</si>
  <si>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</si>
  <si>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</si>
  <si>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</si>
  <si>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</si>
  <si>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</si>
  <si>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</si>
  <si>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</si>
  <si>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</si>
  <si>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</si>
  <si>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</si>
  <si>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</si>
  <si>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</si>
  <si>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</si>
  <si>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</si>
  <si>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</si>
  <si>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</si>
  <si>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</si>
  <si>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</si>
  <si>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</si>
  <si>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</si>
  <si>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</si>
  <si>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</si>
  <si>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</si>
  <si>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</si>
  <si>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</si>
  <si>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</si>
  <si>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</si>
  <si>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</si>
  <si>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</si>
  <si>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</si>
  <si>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</si>
  <si>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</si>
  <si>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</si>
  <si>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</si>
  <si>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</si>
  <si>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</si>
  <si>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</si>
  <si>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</si>
  <si>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</si>
  <si>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</si>
  <si>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</si>
  <si>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</si>
  <si>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</si>
  <si>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</si>
  <si>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</si>
  <si>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</si>
  <si>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</si>
  <si>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</si>
  <si>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</si>
  <si>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</si>
  <si>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</si>
  <si>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</si>
  <si>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</si>
  <si>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</si>
  <si>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</si>
  <si>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</si>
  <si>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</si>
  <si>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</si>
  <si>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</si>
  <si>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</si>
  <si>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</si>
  <si>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</si>
  <si>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</si>
  <si>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</si>
  <si>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</si>
  <si>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</si>
  <si>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</si>
  <si>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</si>
  <si>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</si>
  <si>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</si>
  <si>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</si>
  <si>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</si>
  <si>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</si>
  <si>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</si>
  <si>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</si>
  <si>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</si>
  <si>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</si>
  <si>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</si>
  <si>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</si>
  <si>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</si>
  <si>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</si>
  <si>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</si>
  <si>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</si>
  <si>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</si>
  <si>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</si>
  <si>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</si>
  <si>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</si>
  <si>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</si>
  <si>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</si>
  <si>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</si>
  <si>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</si>
  <si>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</si>
  <si>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</si>
  <si>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</si>
  <si>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</si>
  <si>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</si>
  <si>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</si>
  <si>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</si>
  <si>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</si>
  <si>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</si>
  <si>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</si>
  <si>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</si>
  <si>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</si>
  <si>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</si>
  <si>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</si>
  <si>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</si>
  <si>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</si>
  <si>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</si>
  <si>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</si>
  <si>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</si>
  <si>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</si>
  <si>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</si>
  <si>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</si>
  <si>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</si>
  <si>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</si>
  <si>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</si>
  <si>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</si>
  <si>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</si>
  <si>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</si>
  <si>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</si>
  <si>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</si>
  <si>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</si>
  <si>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</si>
  <si>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</si>
  <si>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</si>
  <si>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</si>
  <si>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</si>
  <si>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</si>
  <si>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</si>
  <si>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</si>
  <si>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</si>
  <si>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</si>
  <si>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</si>
  <si>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</si>
  <si>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</si>
  <si>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</si>
  <si>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</si>
  <si>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</si>
  <si>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</si>
  <si>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</si>
  <si>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</si>
  <si>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</si>
  <si>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</si>
  <si>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</si>
  <si>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</si>
  <si>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</si>
  <si>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</si>
  <si>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</si>
  <si>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</si>
  <si>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</si>
  <si>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</si>
  <si>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</si>
  <si>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</si>
  <si>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</si>
  <si>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</si>
  <si>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</si>
  <si>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</si>
  <si>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</si>
  <si>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</si>
  <si>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</si>
  <si>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</si>
  <si>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</si>
  <si>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</si>
  <si>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</si>
  <si>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</si>
  <si>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</si>
  <si>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</si>
  <si>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</si>
  <si>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</si>
  <si>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</si>
  <si>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</si>
  <si>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</si>
  <si>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</si>
  <si>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</si>
  <si>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</si>
  <si>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</si>
  <si>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</si>
  <si>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</si>
  <si>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</si>
  <si>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</si>
  <si>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</si>
  <si>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</si>
  <si>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</si>
  <si>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</si>
  <si>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</si>
  <si>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</si>
  <si>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</si>
  <si>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</si>
  <si>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</si>
  <si>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</si>
  <si>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</si>
  <si>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</si>
  <si>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</si>
  <si>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</si>
  <si>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</si>
  <si>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</si>
  <si>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</si>
  <si>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</si>
  <si>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</si>
  <si>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</si>
  <si>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</si>
  <si>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</si>
  <si>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</si>
  <si>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</si>
  <si>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</si>
  <si>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</si>
  <si>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</si>
  <si>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</si>
  <si>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</si>
  <si>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</si>
  <si>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</si>
  <si>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</si>
  <si>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</si>
  <si>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</si>
  <si>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</si>
  <si>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</si>
  <si>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</si>
  <si>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</si>
  <si>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</si>
  <si>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</si>
  <si>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</si>
  <si>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</si>
  <si>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</si>
  <si>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</si>
  <si>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</si>
  <si>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</si>
  <si>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</si>
  <si>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</si>
  <si>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</si>
  <si>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</si>
  <si>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</si>
  <si>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</si>
  <si>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</si>
  <si>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</si>
  <si>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</si>
  <si>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</si>
  <si>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</si>
  <si>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</si>
  <si>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</si>
  <si>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</si>
  <si>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</si>
  <si>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</si>
  <si>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</si>
  <si>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</si>
  <si>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</si>
  <si>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</si>
  <si>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</si>
  <si>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</si>
  <si>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</si>
  <si>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</si>
  <si>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</si>
  <si>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</si>
  <si>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</si>
  <si>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</si>
  <si>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</si>
  <si>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</si>
  <si>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</si>
  <si>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</si>
  <si>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</si>
  <si>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</si>
  <si>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</si>
  <si>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</si>
  <si>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</si>
  <si>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</si>
  <si>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</si>
  <si>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</si>
  <si>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</si>
  <si>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</si>
  <si>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</si>
  <si>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</si>
  <si>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</si>
  <si>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</si>
  <si>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</si>
  <si>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</si>
  <si>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</si>
  <si>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</si>
  <si>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</si>
  <si>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</si>
  <si>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</si>
  <si>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</si>
  <si>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</si>
  <si>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</si>
  <si>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</si>
  <si>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</si>
  <si>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</si>
  <si>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</si>
  <si>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</si>
  <si>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</si>
  <si>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</si>
  <si>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</si>
  <si>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</si>
  <si>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</si>
  <si>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</si>
  <si>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</si>
  <si>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</si>
  <si>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</si>
  <si>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</si>
  <si>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</si>
  <si>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</si>
  <si>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</si>
  <si>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</si>
  <si>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</si>
  <si>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</si>
  <si>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</si>
  <si>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</si>
  <si>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</si>
  <si>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</si>
  <si>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</si>
  <si>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</si>
  <si>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</si>
  <si>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</si>
  <si>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</si>
  <si>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</si>
  <si>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</si>
  <si>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</si>
  <si>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</si>
  <si>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</si>
  <si>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</si>
  <si>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</si>
  <si>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</si>
  <si>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</si>
  <si>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</si>
  <si>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</si>
  <si>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</si>
  <si>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</si>
  <si>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</si>
  <si>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</si>
  <si>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</si>
  <si>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</si>
  <si>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</si>
  <si>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</si>
  <si>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</si>
  <si>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</si>
  <si>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</si>
  <si>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</si>
  <si>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</si>
  <si>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</si>
  <si>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</si>
  <si>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</si>
  <si>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</si>
  <si>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</si>
  <si>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</si>
  <si>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</si>
  <si>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</si>
  <si>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</si>
  <si>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</si>
  <si>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</si>
  <si>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</si>
  <si>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</si>
  <si>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</si>
  <si>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</si>
  <si>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</si>
  <si>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</si>
  <si>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</si>
  <si>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</si>
  <si>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</si>
  <si>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</si>
  <si>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</si>
  <si>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</si>
  <si>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</si>
  <si>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</si>
  <si>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</si>
  <si>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</si>
  <si>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</si>
  <si>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</si>
  <si>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</si>
  <si>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</si>
  <si>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</si>
  <si>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</si>
  <si>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</si>
  <si>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</si>
  <si>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</si>
  <si>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</si>
  <si>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</si>
  <si>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</si>
  <si>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</si>
  <si>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</si>
  <si>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</si>
  <si>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</si>
  <si>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</si>
  <si>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</si>
  <si>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</si>
  <si>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</si>
  <si>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</si>
  <si>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</si>
  <si>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</si>
  <si>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</si>
  <si>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</si>
  <si>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</si>
  <si>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</si>
  <si>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</si>
  <si>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</si>
  <si>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</si>
  <si>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</si>
  <si>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</si>
  <si>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</si>
  <si>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</si>
  <si>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</si>
  <si>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</si>
  <si>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</si>
  <si>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</si>
  <si>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</si>
  <si>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</si>
  <si>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</si>
  <si>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</si>
  <si>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</si>
  <si>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</si>
  <si>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</si>
  <si>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</si>
  <si>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</si>
  <si>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</si>
  <si>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</si>
  <si>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</si>
  <si>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</si>
  <si>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</si>
  <si>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</si>
  <si>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</si>
  <si>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</si>
  <si>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</si>
  <si>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</si>
  <si>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</si>
  <si>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</si>
  <si>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</si>
  <si>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</si>
  <si>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</si>
  <si>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</si>
  <si>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</si>
  <si>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</si>
  <si>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</si>
  <si>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</si>
  <si>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</si>
  <si>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</si>
  <si>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</si>
  <si>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</si>
  <si>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</si>
  <si>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</si>
  <si>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</si>
  <si>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</si>
  <si>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</si>
  <si>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</si>
  <si>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</si>
  <si>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</si>
  <si>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</si>
  <si>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</si>
  <si>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</si>
  <si>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</si>
  <si>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</si>
  <si>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</si>
  <si>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</si>
  <si>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</si>
  <si>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</si>
  <si>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</si>
  <si>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</si>
  <si>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</si>
  <si>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</si>
  <si>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</si>
  <si>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</si>
  <si>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</si>
  <si>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</si>
  <si>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</si>
  <si>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</si>
  <si>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</si>
  <si>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</si>
  <si>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</si>
  <si>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</si>
  <si>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</si>
  <si>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</si>
  <si>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</si>
  <si>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</si>
  <si>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</si>
  <si>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</si>
  <si>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</si>
  <si>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</si>
  <si>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</si>
  <si>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</si>
  <si>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</si>
  <si>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</si>
  <si>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</si>
  <si>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</si>
  <si>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</si>
  <si>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</si>
  <si>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</si>
  <si>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</si>
  <si>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</si>
  <si>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</si>
  <si>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</si>
  <si>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</si>
  <si>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</si>
  <si>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</si>
  <si>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</si>
  <si>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</si>
  <si>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</si>
  <si>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</si>
  <si>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</si>
  <si>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</si>
  <si>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</si>
  <si>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</si>
  <si>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</si>
  <si>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</si>
  <si>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</si>
  <si>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</si>
  <si>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</si>
  <si>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</si>
  <si>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</si>
  <si>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</si>
  <si>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</si>
  <si>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</si>
  <si>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</si>
  <si>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</si>
  <si>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</si>
  <si>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</si>
  <si>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</si>
  <si>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</si>
  <si>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</si>
  <si>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</si>
  <si>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</si>
  <si>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</si>
  <si>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</si>
  <si>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</si>
  <si>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</si>
  <si>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</si>
  <si>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</si>
  <si>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</si>
  <si>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</si>
  <si>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</si>
  <si>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</si>
  <si>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</si>
  <si>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</si>
  <si>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</si>
  <si>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</si>
  <si>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</si>
  <si>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</si>
  <si>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</si>
  <si>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</si>
  <si>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</si>
  <si>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</si>
  <si>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</si>
  <si>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</si>
  <si>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</si>
  <si>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</si>
  <si>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</si>
  <si>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</si>
  <si>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</si>
  <si>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</si>
  <si>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</si>
  <si>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</si>
  <si>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</si>
  <si>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</si>
  <si>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</si>
  <si>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</si>
  <si>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</si>
  <si>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</si>
  <si>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</si>
  <si>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</si>
  <si>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</si>
  <si>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</si>
  <si>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</si>
  <si>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</si>
  <si>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</si>
  <si>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</si>
  <si>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</si>
  <si>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</si>
  <si>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</si>
  <si>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</si>
  <si>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</si>
  <si>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</si>
  <si>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</si>
  <si>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</si>
  <si>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</si>
  <si>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</si>
  <si>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</si>
  <si>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</si>
  <si>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</si>
  <si>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</si>
  <si>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</si>
  <si>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</si>
  <si>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</si>
  <si>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</si>
  <si>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</si>
  <si>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</si>
  <si>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</si>
  <si>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</si>
  <si>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</si>
  <si>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</si>
  <si>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</si>
  <si>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</si>
  <si>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</si>
  <si>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</si>
  <si>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</si>
  <si>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</si>
  <si>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</si>
  <si>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</si>
  <si>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</si>
  <si>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</si>
  <si>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</si>
  <si>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</si>
  <si>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</si>
  <si>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</si>
  <si>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</si>
  <si>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</si>
  <si>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</si>
  <si>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</si>
  <si>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</si>
  <si>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</si>
  <si>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</si>
  <si>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</si>
  <si>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</si>
  <si>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</si>
  <si>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</si>
  <si>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</si>
  <si>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</si>
  <si>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</si>
  <si>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</si>
  <si>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</si>
  <si>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</si>
  <si>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</si>
  <si>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</si>
  <si>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</si>
  <si>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</si>
  <si>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</si>
  <si>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</si>
  <si>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</si>
  <si>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</si>
  <si>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</si>
  <si>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</si>
  <si>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</si>
  <si>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</si>
  <si>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</si>
  <si>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</si>
  <si>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</si>
  <si>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</si>
  <si>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</si>
  <si>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</si>
  <si>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</si>
  <si>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</si>
  <si>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</si>
  <si>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</si>
  <si>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</si>
  <si>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</si>
  <si>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</si>
  <si>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</si>
  <si>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</si>
  <si>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</si>
  <si>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</si>
  <si>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</si>
  <si>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</si>
  <si>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</si>
  <si>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</si>
  <si>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</si>
  <si>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</si>
  <si>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</si>
  <si>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</si>
  <si>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</si>
  <si>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</si>
  <si>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</si>
  <si>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</si>
  <si>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</si>
  <si>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</si>
  <si>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</si>
  <si>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</si>
  <si>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</si>
  <si>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</si>
  <si>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</si>
  <si>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</si>
  <si>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</si>
  <si>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</si>
  <si>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</si>
  <si>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</si>
  <si>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</si>
  <si>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</si>
  <si>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</si>
  <si>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</si>
  <si>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</si>
  <si>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</si>
  <si>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</si>
  <si>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</si>
  <si>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</si>
  <si>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</si>
  <si>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</si>
  <si>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</si>
  <si>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</si>
  <si>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</si>
  <si>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</si>
  <si>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</si>
  <si>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</si>
  <si>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</si>
  <si>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</si>
  <si>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</si>
  <si>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</si>
  <si>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</si>
  <si>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</si>
  <si>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</si>
  <si>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</si>
  <si>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</si>
  <si>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</si>
  <si>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</si>
  <si>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</si>
  <si>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</si>
  <si>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</si>
  <si>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</si>
  <si>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</si>
  <si>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</si>
  <si>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</si>
  <si>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</si>
  <si>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</si>
  <si>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</si>
  <si>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</si>
  <si>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</si>
  <si>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</si>
  <si>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</si>
  <si>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</si>
  <si>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</si>
  <si>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</si>
  <si>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</si>
  <si>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</si>
  <si>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</si>
  <si>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</si>
  <si>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</si>
  <si>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</si>
  <si>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</si>
  <si>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</si>
  <si>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</si>
  <si>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</si>
  <si>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</si>
  <si>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</si>
  <si>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</si>
  <si>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</si>
  <si>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</si>
  <si>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</si>
  <si>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</si>
  <si>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</si>
  <si>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</si>
  <si>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</si>
  <si>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</si>
  <si>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</si>
  <si>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</si>
  <si>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</si>
  <si>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</si>
  <si>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</si>
  <si>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</si>
  <si>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</si>
  <si>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</si>
  <si>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</si>
  <si>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</si>
  <si>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</si>
  <si>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</si>
  <si>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</si>
  <si>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</si>
  <si>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</si>
  <si>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</si>
  <si>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</si>
  <si>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</si>
  <si>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</si>
  <si>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</si>
  <si>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</si>
  <si>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</si>
  <si>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</si>
  <si>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</si>
  <si>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</si>
  <si>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</si>
  <si>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</si>
  <si>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</si>
  <si>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</si>
  <si>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</si>
  <si>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</si>
  <si>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</si>
  <si>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</si>
  <si>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</si>
  <si>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</si>
  <si>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</si>
  <si>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</si>
  <si>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</si>
  <si>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</si>
  <si>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</si>
  <si>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</si>
  <si>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</si>
  <si>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</si>
  <si>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</si>
  <si>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</si>
  <si>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</si>
  <si>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</si>
  <si>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</si>
  <si>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</si>
  <si>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</si>
  <si>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</si>
  <si>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</si>
  <si>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</si>
  <si>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</si>
  <si>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</si>
  <si>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</si>
  <si>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</si>
  <si>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</si>
  <si>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</si>
  <si>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</si>
  <si>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</si>
  <si>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</si>
  <si>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</si>
  <si>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</si>
  <si>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</si>
  <si>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</si>
  <si>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</si>
  <si>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</si>
  <si>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</si>
  <si>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</si>
  <si>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</si>
  <si>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</si>
  <si>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</si>
  <si>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</si>
  <si>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</si>
  <si>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</si>
  <si>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</si>
  <si>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</si>
  <si>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</si>
  <si>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</si>
  <si>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</si>
  <si>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</si>
  <si>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</si>
  <si>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</si>
  <si>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</si>
  <si>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</si>
  <si>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</si>
  <si>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</si>
  <si>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</si>
  <si>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</si>
  <si>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</si>
  <si>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</si>
  <si>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</si>
  <si>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</si>
  <si>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</si>
  <si>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</si>
  <si>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</si>
  <si>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</si>
  <si>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</si>
  <si>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</si>
  <si>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</si>
  <si>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</si>
  <si>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</si>
  <si>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</si>
  <si>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</si>
  <si>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</si>
  <si>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</si>
  <si>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</si>
  <si>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</si>
  <si>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</si>
  <si>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</si>
  <si>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</si>
  <si>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</si>
  <si>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</si>
  <si>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</si>
  <si>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</si>
  <si>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</si>
  <si>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</si>
  <si>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</si>
  <si>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</si>
  <si>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</si>
  <si>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</si>
  <si>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</si>
  <si>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</si>
  <si>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</si>
  <si>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</si>
  <si>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</si>
  <si>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</si>
  <si>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</si>
  <si>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</si>
  <si>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</si>
  <si>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</si>
  <si>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</si>
  <si>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</si>
  <si>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</si>
  <si>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</si>
  <si>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</si>
  <si>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</si>
  <si>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</si>
  <si>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</si>
  <si>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</si>
  <si>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</si>
  <si>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</si>
  <si>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</si>
  <si>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</si>
  <si>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</si>
  <si>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</si>
  <si>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</si>
  <si>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</si>
  <si>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</si>
  <si>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</si>
  <si>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</si>
  <si>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</si>
  <si>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</si>
  <si>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</si>
  <si>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</si>
  <si>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</si>
  <si>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</si>
  <si>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</si>
  <si>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</si>
  <si>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</si>
  <si>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</si>
  <si>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</si>
  <si>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</si>
  <si>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</si>
  <si>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</si>
  <si>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</si>
  <si>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</si>
  <si>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</si>
  <si>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</si>
  <si>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</si>
  <si>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</si>
  <si>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</si>
  <si>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</si>
  <si>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</si>
  <si>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</si>
  <si>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</si>
  <si>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</si>
  <si>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</si>
  <si>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</si>
  <si>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</si>
  <si>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</si>
  <si>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</si>
  <si>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</si>
  <si>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</si>
  <si>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</si>
  <si>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</si>
  <si>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</si>
  <si>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</si>
  <si>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</si>
  <si>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</si>
  <si>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</si>
  <si>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</si>
  <si>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</si>
  <si>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</si>
  <si>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</si>
  <si>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</si>
  <si>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</si>
  <si>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</si>
  <si>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</si>
  <si>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</si>
  <si>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</si>
  <si>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</si>
  <si>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</si>
  <si>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</si>
  <si>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</si>
  <si>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</si>
  <si>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</si>
  <si>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</si>
  <si>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</si>
  <si>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</si>
  <si>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</si>
  <si>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</si>
  <si>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</si>
  <si>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</si>
  <si>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</si>
  <si>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</si>
  <si>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</si>
  <si>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</si>
  <si>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</si>
  <si>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</si>
  <si>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</si>
  <si>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</si>
  <si>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</si>
  <si>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</si>
  <si>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</si>
  <si>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</si>
  <si>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</si>
  <si>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</si>
  <si>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</si>
  <si>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</si>
  <si>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</si>
  <si>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</si>
  <si>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</si>
  <si>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</si>
  <si>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</si>
  <si>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</si>
  <si>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</si>
  <si>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</si>
  <si>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</si>
  <si>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</si>
  <si>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</si>
  <si>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</si>
  <si>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</si>
  <si>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</si>
  <si>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</si>
  <si>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</si>
  <si>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</si>
  <si>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</si>
  <si>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</si>
  <si>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</si>
  <si>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</si>
  <si>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</si>
  <si>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</si>
  <si>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</si>
  <si>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</si>
  <si>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</si>
  <si>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</si>
  <si>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</si>
  <si>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</si>
  <si>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</si>
  <si>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</si>
  <si>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</si>
  <si>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</si>
  <si>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</si>
  <si>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</si>
  <si>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</si>
  <si>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</si>
  <si>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</si>
  <si>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</si>
  <si>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</si>
  <si>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</si>
  <si>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</si>
  <si>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</si>
  <si>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</si>
  <si>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</si>
  <si>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</si>
  <si>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</si>
  <si>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</si>
  <si>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</si>
  <si>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</si>
  <si>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</si>
  <si>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</si>
  <si>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</si>
  <si>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</si>
  <si>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</si>
  <si>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</si>
  <si>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</si>
  <si>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</si>
  <si>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</si>
  <si>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</si>
  <si>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</si>
  <si>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</si>
  <si>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</si>
  <si>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</si>
  <si>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</si>
  <si>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</si>
  <si>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</si>
  <si>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</si>
  <si>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</si>
  <si>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</si>
  <si>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</si>
  <si>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</si>
  <si>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</si>
  <si>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</si>
  <si>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</si>
  <si>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</si>
  <si>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</si>
  <si>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</si>
  <si>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</si>
  <si>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</si>
  <si>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</si>
  <si>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</si>
  <si>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</si>
  <si>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</si>
  <si>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</si>
  <si>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</si>
  <si>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</si>
  <si>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</si>
  <si>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</si>
  <si>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</si>
  <si>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</si>
  <si>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</si>
  <si>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</si>
  <si>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</si>
  <si>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</si>
  <si>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</si>
  <si>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</si>
  <si>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</si>
  <si>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</si>
  <si>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</si>
  <si>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</si>
  <si>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</si>
  <si>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</si>
  <si>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</si>
  <si>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</si>
  <si>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</si>
  <si>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</si>
  <si>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</si>
  <si>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</si>
  <si>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</si>
  <si>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</si>
  <si>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</si>
  <si>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</si>
  <si>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</si>
  <si>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</si>
  <si>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</si>
  <si>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</si>
  <si>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</si>
  <si>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</si>
  <si>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</si>
  <si>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</si>
  <si>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</si>
  <si>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</si>
  <si>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</si>
  <si>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</si>
  <si>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</si>
  <si>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</si>
  <si>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</si>
  <si>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</si>
  <si>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</si>
  <si>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</si>
  <si>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</si>
  <si>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</si>
  <si>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</si>
  <si>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</si>
  <si>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</si>
  <si>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</si>
  <si>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</si>
  <si>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</si>
  <si>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</si>
  <si>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</si>
  <si>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</si>
  <si>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</si>
  <si>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</si>
  <si>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</si>
  <si>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</si>
  <si>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</si>
  <si>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</si>
  <si>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</si>
  <si>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</si>
  <si>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</si>
  <si>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</si>
  <si>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</si>
  <si>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</si>
  <si>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</si>
  <si>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</si>
  <si>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</si>
  <si>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</si>
  <si>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</si>
  <si>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</si>
  <si>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</si>
  <si>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</si>
  <si>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</si>
  <si>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</si>
  <si>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</si>
  <si>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</si>
  <si>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</si>
  <si>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</si>
  <si>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</si>
  <si>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</si>
  <si>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</si>
  <si>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</si>
  <si>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</si>
  <si>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</si>
  <si>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</si>
  <si>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</si>
  <si>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</si>
  <si>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</si>
  <si>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</si>
  <si>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</si>
  <si>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</si>
  <si>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</si>
  <si>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</si>
  <si>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</si>
  <si>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</si>
  <si>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</si>
  <si>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</si>
  <si>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</si>
  <si>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</si>
  <si>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</si>
  <si>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</si>
  <si>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</si>
  <si>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</si>
  <si>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</si>
  <si>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</si>
  <si>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</si>
  <si>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</si>
  <si>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</si>
  <si>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</si>
  <si>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</si>
  <si>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</si>
  <si>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</si>
  <si>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</si>
  <si>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</si>
  <si>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</si>
  <si>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</si>
  <si>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</si>
  <si>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</si>
  <si>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</si>
  <si>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</si>
  <si>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</si>
  <si>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</si>
  <si>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</si>
  <si>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</si>
  <si>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</si>
  <si>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</si>
  <si>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</si>
  <si>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</si>
  <si>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</si>
  <si>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</si>
  <si>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</si>
  <si>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</si>
  <si>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</si>
  <si>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</si>
  <si>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</si>
  <si>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</si>
  <si>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</si>
  <si>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</si>
  <si>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</si>
  <si>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</si>
  <si>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</si>
  <si>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</si>
  <si>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</si>
  <si>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</si>
  <si>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</si>
  <si>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</si>
  <si>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</si>
  <si>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</si>
  <si>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</si>
  <si>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</si>
  <si>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</si>
  <si>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</si>
  <si>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</si>
  <si>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</si>
  <si>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</si>
  <si>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</si>
  <si>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</si>
  <si>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</si>
  <si>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</si>
  <si>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</si>
  <si>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</si>
  <si>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</si>
  <si>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</si>
  <si>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</si>
  <si>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</si>
  <si>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</si>
  <si>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</si>
  <si>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</si>
  <si>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</si>
  <si>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</si>
  <si>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</si>
  <si>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</si>
  <si>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</si>
  <si>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</si>
  <si>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</si>
  <si>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</si>
  <si>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</si>
  <si>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</si>
  <si>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</si>
  <si>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</si>
  <si>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</si>
  <si>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</si>
  <si>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</si>
  <si>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</si>
  <si>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</si>
  <si>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</si>
  <si>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</si>
  <si>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</si>
  <si>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</si>
  <si>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</si>
  <si>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</si>
  <si>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</si>
  <si>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</si>
  <si>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</si>
  <si>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</si>
  <si>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</si>
  <si>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</si>
  <si>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</si>
  <si>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</si>
  <si>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</si>
  <si>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</si>
  <si>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</si>
  <si>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</si>
  <si>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</si>
  <si>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</si>
  <si>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</si>
  <si>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</si>
  <si>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</si>
  <si>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</si>
  <si>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</si>
  <si>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</si>
  <si>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</si>
  <si>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</si>
  <si>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</si>
  <si>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</si>
  <si>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</si>
  <si>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</si>
  <si>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</si>
  <si>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</si>
  <si>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</si>
  <si>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</si>
  <si>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</si>
  <si>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</si>
  <si>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</si>
  <si>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</si>
  <si>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</si>
  <si>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</si>
  <si>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</si>
  <si>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</si>
  <si>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</si>
  <si>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</si>
  <si>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</si>
  <si>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</si>
  <si>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</si>
  <si>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</si>
  <si>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</si>
  <si>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</si>
  <si>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</si>
  <si>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</si>
  <si>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</si>
  <si>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</si>
  <si>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</si>
  <si>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</si>
  <si>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</si>
  <si>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</si>
  <si>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</si>
  <si>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</si>
  <si>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</si>
  <si>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</si>
  <si>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</si>
  <si>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</si>
  <si>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</si>
  <si>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</si>
  <si>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</si>
  <si>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</si>
  <si>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</si>
  <si>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</si>
  <si>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</si>
  <si>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</si>
  <si>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</si>
  <si>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</si>
  <si>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</si>
  <si>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</si>
  <si>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</si>
  <si>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</si>
  <si>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</si>
  <si>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</si>
  <si>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</si>
  <si>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</si>
  <si>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</si>
  <si>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</si>
  <si>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</si>
  <si>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</si>
  <si>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</si>
  <si>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</si>
  <si>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</si>
  <si>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</si>
  <si>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</si>
  <si>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</si>
  <si>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</si>
  <si>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</si>
  <si>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</si>
  <si>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</si>
  <si>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</si>
  <si>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</si>
  <si>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</si>
  <si>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</si>
  <si>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</si>
  <si>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</si>
  <si>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</si>
  <si>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</si>
  <si>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</si>
  <si>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</si>
  <si>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</si>
  <si>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</si>
  <si>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</si>
  <si>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</si>
  <si>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</si>
  <si>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</si>
  <si>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</si>
  <si>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</si>
  <si>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</si>
  <si>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</si>
  <si>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</si>
  <si>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</si>
  <si>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</si>
  <si>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</si>
  <si>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</si>
  <si>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</si>
  <si>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</si>
  <si>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</si>
  <si>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</si>
  <si>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</si>
  <si>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</si>
  <si>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</si>
  <si>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</si>
  <si>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</si>
  <si>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</si>
  <si>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</si>
  <si>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</si>
  <si>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</si>
  <si>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</si>
  <si>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</si>
  <si>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</si>
  <si>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</si>
  <si>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</si>
  <si>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</si>
  <si>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</si>
  <si>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</si>
  <si>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</si>
  <si>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</si>
  <si>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</si>
  <si>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</si>
  <si>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</si>
  <si>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</si>
  <si>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</si>
  <si>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</si>
  <si>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</si>
  <si>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</si>
  <si>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</si>
  <si>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</si>
  <si>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</si>
  <si>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</si>
  <si>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</si>
  <si>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</si>
  <si>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</si>
  <si>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</si>
  <si>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</si>
  <si>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</si>
  <si>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</si>
  <si>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</si>
  <si>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</si>
  <si>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</si>
  <si>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</si>
  <si>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</si>
  <si>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</si>
  <si>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</si>
  <si>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</si>
  <si>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</si>
  <si>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</si>
  <si>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</si>
  <si>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</si>
  <si>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</si>
  <si>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</si>
  <si>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</si>
  <si>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</si>
  <si>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</si>
  <si>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</si>
  <si>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</si>
  <si>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</si>
  <si>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</si>
  <si>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</si>
  <si>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</si>
  <si>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</si>
  <si>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</si>
  <si>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</si>
  <si>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</si>
  <si>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</si>
  <si>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</si>
  <si>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</si>
  <si>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</si>
  <si>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</si>
  <si>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</si>
  <si>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</si>
  <si>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</si>
  <si>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</si>
  <si>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</si>
  <si>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</si>
  <si>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</si>
  <si>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</si>
  <si>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</si>
  <si>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</si>
  <si>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</si>
  <si>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</si>
  <si>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</si>
  <si>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</si>
  <si>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</si>
  <si>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</si>
  <si>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</si>
  <si>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</si>
  <si>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</si>
  <si>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</si>
  <si>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</si>
  <si>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</si>
  <si>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</si>
  <si>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</si>
  <si>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</si>
  <si>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</si>
  <si>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</si>
  <si>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</si>
  <si>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</si>
  <si>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</si>
  <si>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</si>
  <si>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</si>
  <si>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</si>
  <si>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</si>
  <si>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</si>
  <si>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</si>
  <si>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</si>
  <si>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</si>
  <si>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</si>
  <si>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</si>
  <si>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</si>
  <si>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</si>
  <si>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</si>
  <si>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</si>
  <si>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</si>
  <si>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</si>
  <si>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</si>
  <si>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</si>
  <si>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</si>
  <si>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</si>
  <si>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</si>
  <si>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</si>
  <si>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</si>
  <si>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</si>
  <si>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</si>
  <si>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</si>
  <si>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</si>
  <si>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</si>
  <si>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</si>
  <si>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</si>
  <si>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</si>
  <si>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</si>
  <si>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</si>
  <si>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</si>
  <si>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</si>
  <si>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</si>
  <si>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</si>
  <si>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</si>
  <si>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</si>
  <si>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</si>
  <si>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</si>
  <si>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</si>
  <si>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</si>
  <si>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</si>
  <si>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</si>
  <si>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</si>
  <si>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</si>
  <si>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</si>
  <si>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</si>
  <si>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</si>
  <si>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</si>
  <si>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</si>
  <si>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</si>
  <si>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</si>
  <si>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</si>
  <si>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</si>
  <si>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</si>
  <si>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</si>
  <si>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</si>
  <si>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</si>
  <si>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</si>
  <si>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</si>
  <si>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</si>
  <si>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</si>
  <si>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</si>
  <si>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</si>
  <si>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</si>
  <si>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</si>
  <si>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</si>
  <si>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</si>
  <si>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</si>
  <si>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</si>
  <si>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</si>
  <si>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</si>
  <si>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</si>
  <si>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</si>
  <si>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</si>
  <si>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</si>
  <si>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</si>
  <si>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</si>
  <si>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</si>
  <si>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</si>
  <si>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</si>
  <si>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</si>
  <si>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</si>
  <si>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</si>
  <si>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</si>
  <si>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</si>
  <si>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</si>
  <si>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</si>
  <si>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</si>
  <si>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</si>
  <si>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</si>
  <si>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</si>
  <si>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</si>
  <si>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</si>
  <si>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</si>
  <si>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</si>
  <si>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</si>
  <si>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</si>
  <si>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</si>
  <si>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</si>
  <si>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</si>
  <si>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</si>
  <si>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</si>
  <si>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</si>
  <si>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</si>
  <si>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</si>
  <si>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</si>
  <si>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</si>
  <si>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</si>
  <si>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</si>
  <si>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</si>
  <si>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</si>
  <si>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</si>
  <si>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</si>
  <si>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</si>
  <si>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</si>
  <si>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</si>
  <si>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</si>
  <si>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</si>
  <si>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</si>
  <si>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</si>
  <si>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</si>
  <si>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</si>
  <si>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</si>
  <si>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</si>
  <si>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</si>
  <si>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</si>
  <si>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</si>
  <si>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</si>
  <si>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</si>
  <si>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</si>
  <si>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</si>
  <si>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</si>
  <si>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</si>
  <si>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</si>
  <si>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</si>
  <si>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</si>
  <si>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</si>
  <si>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</si>
  <si>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</si>
  <si>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</si>
  <si>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</si>
  <si>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</si>
  <si>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</si>
  <si>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</si>
  <si>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</si>
  <si>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</si>
  <si>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</si>
  <si>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</si>
  <si>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</si>
  <si>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</si>
  <si>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</si>
  <si>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</si>
  <si>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</si>
  <si>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</si>
  <si>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</si>
  <si>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</si>
  <si>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</si>
  <si>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</si>
  <si>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</si>
  <si>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</si>
  <si>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</si>
  <si>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</si>
  <si>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</si>
  <si>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</si>
  <si>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</si>
  <si>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</si>
  <si>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</si>
  <si>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</si>
  <si>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</si>
  <si>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</si>
  <si>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</si>
  <si>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</si>
  <si>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</si>
  <si>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</si>
  <si>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</si>
  <si>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</si>
  <si>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</si>
  <si>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</si>
  <si>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</si>
  <si>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</si>
  <si>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</si>
  <si>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</si>
  <si>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</si>
  <si>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</si>
  <si>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</si>
  <si>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</si>
  <si>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</si>
  <si>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</si>
  <si>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</si>
  <si>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</si>
  <si>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</si>
  <si>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</si>
  <si>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</si>
  <si>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</si>
  <si>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</si>
  <si>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</si>
  <si>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</si>
  <si>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</si>
  <si>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</si>
  <si>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</si>
  <si>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</si>
  <si>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</si>
  <si>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</si>
  <si>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</si>
  <si>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</si>
  <si>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</si>
  <si>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</si>
  <si>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</si>
  <si>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</si>
  <si>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</si>
  <si>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</si>
  <si>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</si>
  <si>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</si>
  <si>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</si>
  <si>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</si>
  <si>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</si>
  <si>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</si>
  <si>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</si>
  <si>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</si>
  <si>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</si>
  <si>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</si>
  <si>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</si>
  <si>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</si>
  <si>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</si>
  <si>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</si>
  <si>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</si>
  <si>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</si>
  <si>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</si>
  <si>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</si>
  <si>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</si>
  <si>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</si>
  <si>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</si>
  <si>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</si>
  <si>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</si>
  <si>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</si>
  <si>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</si>
  <si>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</si>
  <si>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</si>
  <si>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</si>
  <si>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</si>
  <si>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</si>
  <si>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</si>
  <si>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</si>
  <si>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</si>
  <si>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</si>
  <si>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</si>
  <si>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</si>
  <si>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</si>
  <si>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</si>
  <si>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</si>
  <si>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</si>
  <si>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</si>
  <si>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</si>
  <si>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</si>
  <si>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</si>
  <si>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</si>
  <si>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</si>
  <si>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</si>
  <si>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</si>
  <si>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</si>
  <si>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</si>
  <si>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</si>
  <si>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</si>
  <si>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</si>
  <si>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</si>
  <si>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</si>
  <si>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</si>
  <si>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</si>
  <si>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</si>
  <si>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</si>
  <si>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</si>
  <si>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</si>
  <si>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</si>
  <si>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</si>
  <si>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</si>
  <si>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</si>
  <si>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</si>
  <si>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</si>
  <si>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</si>
  <si>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</si>
  <si>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</si>
  <si>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</si>
  <si>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</si>
  <si>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</si>
  <si>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</si>
  <si>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</si>
  <si>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</si>
  <si>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</si>
  <si>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</si>
  <si>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</si>
  <si>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</si>
  <si>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</si>
  <si>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</si>
  <si>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</si>
  <si>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</si>
  <si>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</si>
  <si>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</si>
  <si>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</si>
  <si>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</si>
  <si>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</si>
  <si>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</si>
  <si>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</si>
  <si>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</si>
  <si>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</si>
  <si>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</si>
  <si>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</si>
  <si>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</si>
  <si>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</si>
  <si>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</si>
  <si>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</si>
  <si>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</si>
  <si>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</si>
  <si>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</si>
  <si>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</si>
  <si>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</si>
  <si>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</si>
  <si>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</si>
  <si>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</si>
  <si>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</si>
  <si>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</si>
  <si>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</si>
  <si>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</si>
  <si>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</si>
  <si>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</si>
  <si>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</si>
  <si>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</si>
  <si>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</si>
  <si>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</si>
  <si>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</si>
  <si>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</si>
  <si>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</si>
  <si>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</si>
  <si>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</si>
  <si>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</si>
  <si>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</si>
  <si>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</si>
  <si>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</si>
  <si>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</si>
  <si>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</si>
  <si>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</si>
  <si>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</si>
  <si>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</si>
  <si>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</si>
  <si>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</si>
  <si>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</si>
  <si>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</si>
  <si>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</si>
  <si>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</si>
  <si>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</si>
  <si>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</si>
  <si>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</si>
  <si>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</si>
  <si>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</si>
  <si>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</si>
  <si>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</si>
  <si>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</si>
  <si>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</si>
  <si>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</si>
  <si>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</si>
  <si>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</si>
  <si>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</si>
  <si>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</si>
  <si>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</si>
  <si>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</si>
  <si>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</si>
  <si>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</si>
  <si>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</si>
  <si>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</si>
  <si>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</si>
  <si>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</si>
  <si>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</si>
  <si>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</si>
  <si>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</si>
  <si>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</si>
  <si>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</si>
  <si>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</si>
  <si>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</si>
  <si>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</si>
  <si>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</si>
  <si>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</si>
  <si>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</si>
  <si>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</si>
  <si>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</si>
  <si>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</si>
  <si>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</si>
  <si>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</si>
  <si>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</si>
  <si>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</si>
  <si>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</si>
  <si>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</si>
  <si>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</si>
  <si>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</si>
  <si>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</si>
  <si>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</si>
  <si>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</si>
  <si>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</si>
  <si>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</si>
  <si>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</si>
  <si>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</si>
  <si>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</si>
  <si>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</si>
  <si>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</si>
  <si>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</si>
  <si>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</si>
  <si>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</si>
  <si>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</si>
  <si>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</si>
  <si>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</si>
  <si>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</si>
  <si>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</si>
  <si>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</si>
  <si>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</si>
  <si>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</si>
  <si>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</si>
  <si>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</si>
  <si>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</si>
  <si>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</si>
  <si>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</si>
  <si>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</si>
  <si>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</si>
  <si>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</si>
  <si>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</si>
  <si>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</si>
  <si>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</si>
  <si>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</si>
  <si>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</si>
  <si>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</si>
  <si>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</si>
  <si>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</si>
  <si>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</si>
  <si>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</si>
  <si>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</si>
  <si>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</si>
  <si>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</si>
  <si>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</si>
  <si>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</si>
  <si>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</si>
  <si>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</si>
  <si>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</si>
  <si>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</si>
  <si>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</si>
  <si>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</si>
  <si>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</si>
  <si>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</si>
  <si>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</si>
  <si>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</si>
  <si>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</si>
  <si>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</si>
  <si>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</si>
  <si>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</si>
  <si>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</si>
  <si>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</si>
  <si>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</si>
  <si>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</si>
  <si>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</si>
  <si>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</si>
  <si>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</si>
  <si>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</si>
  <si>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</si>
  <si>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</si>
  <si>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</si>
  <si>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</si>
  <si>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</si>
  <si>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</si>
  <si>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</si>
  <si>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</si>
  <si>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</si>
  <si>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</si>
  <si>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</si>
  <si>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</si>
  <si>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</si>
  <si>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</si>
  <si>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</si>
  <si>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</si>
  <si>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</si>
  <si>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</si>
  <si>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</si>
  <si>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</si>
  <si>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</si>
  <si>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</si>
  <si>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</si>
  <si>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</si>
  <si>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</si>
  <si>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</si>
  <si>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</si>
  <si>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</si>
  <si>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</si>
  <si>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</si>
  <si>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</si>
  <si>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</si>
  <si>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</si>
  <si>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</si>
  <si>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</si>
  <si>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</si>
  <si>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</si>
  <si>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</si>
  <si>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</si>
  <si>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</si>
  <si>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</si>
  <si>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</si>
  <si>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</si>
  <si>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</si>
  <si>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</si>
  <si>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</si>
  <si>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</si>
  <si>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</si>
  <si>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</si>
  <si>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</si>
  <si>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</si>
  <si>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</si>
  <si>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</si>
  <si>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</si>
  <si>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</si>
  <si>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</si>
  <si>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</si>
  <si>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</si>
  <si>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</si>
  <si>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</si>
  <si>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</si>
  <si>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</si>
  <si>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</si>
  <si>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</si>
  <si>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</si>
  <si>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</si>
  <si>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</si>
  <si>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</si>
  <si>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</si>
  <si>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</si>
  <si>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</si>
  <si>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</si>
  <si>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</si>
  <si>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</si>
  <si>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</si>
  <si>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</si>
  <si>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</si>
  <si>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</si>
  <si>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</si>
  <si>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</si>
  <si>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</si>
  <si>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</si>
  <si>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</si>
  <si>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</si>
  <si>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</si>
  <si>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</si>
  <si>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</si>
  <si>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</si>
  <si>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</si>
  <si>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</si>
  <si>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</si>
  <si>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</si>
  <si>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</si>
  <si>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</si>
  <si>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</si>
  <si>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</si>
  <si>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</si>
  <si>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</si>
  <si>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</si>
  <si>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</si>
  <si>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</si>
  <si>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</si>
  <si>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</si>
  <si>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</si>
  <si>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</si>
  <si>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</si>
  <si>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</si>
  <si>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</si>
  <si>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</si>
  <si>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</si>
  <si>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</si>
  <si>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</si>
  <si>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</si>
  <si>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</si>
  <si>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</si>
  <si>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</si>
  <si>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</si>
  <si>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</si>
  <si>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</si>
  <si>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</si>
  <si>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</si>
  <si>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</si>
  <si>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</si>
  <si>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</si>
  <si>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</si>
  <si>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</si>
  <si>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</si>
  <si>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</si>
  <si>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</si>
  <si>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</si>
  <si>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</si>
  <si>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</si>
  <si>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</si>
  <si>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</si>
  <si>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</si>
  <si>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</si>
  <si>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</si>
  <si>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</si>
  <si>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</si>
  <si>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</si>
  <si>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</si>
  <si>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</si>
  <si>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</si>
  <si>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</si>
  <si>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</si>
  <si>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</si>
  <si>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</si>
  <si>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</si>
  <si>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</si>
  <si>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</si>
  <si>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</si>
  <si>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</si>
  <si>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</si>
  <si>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</si>
  <si>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</si>
  <si>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</si>
  <si>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</si>
  <si>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</si>
  <si>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</si>
  <si>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</si>
  <si>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</si>
  <si>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</si>
  <si>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</si>
  <si>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</si>
  <si>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</si>
  <si>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</si>
  <si>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</si>
  <si>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</si>
  <si>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</si>
  <si>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</si>
  <si>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</si>
  <si>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</si>
  <si>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</si>
  <si>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</si>
  <si>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</si>
  <si>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</si>
  <si>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</si>
  <si>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</si>
  <si>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</si>
  <si>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</si>
  <si>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</si>
  <si>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</si>
  <si>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</si>
  <si>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</si>
  <si>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</si>
  <si>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</si>
  <si>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</si>
  <si>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</si>
  <si>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</si>
  <si>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</si>
  <si>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</si>
  <si>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</si>
  <si>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</si>
  <si>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</si>
  <si>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</si>
  <si>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</si>
  <si>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</si>
  <si>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</si>
  <si>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</si>
  <si>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</si>
  <si>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</si>
  <si>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</si>
  <si>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</si>
  <si>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</si>
  <si>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</si>
  <si>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</si>
  <si>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</si>
  <si>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</si>
  <si>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</si>
  <si>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</si>
  <si>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</si>
  <si>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</si>
  <si>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</si>
  <si>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</si>
  <si>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</si>
  <si>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</si>
  <si>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</si>
  <si>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</si>
  <si>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</si>
  <si>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</si>
  <si>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</si>
  <si>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</si>
  <si>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</si>
  <si>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</si>
  <si>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</si>
  <si>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</si>
  <si>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</si>
  <si>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</si>
  <si>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</si>
  <si>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</si>
  <si>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</si>
  <si>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</si>
  <si>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</si>
  <si>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</si>
  <si>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</si>
  <si>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</si>
  <si>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</si>
  <si>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</si>
  <si>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</si>
  <si>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</si>
  <si>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</si>
  <si>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</si>
  <si>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</si>
  <si>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</si>
  <si>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</si>
  <si>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</si>
  <si>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</si>
  <si>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</si>
  <si>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</si>
  <si>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</si>
  <si>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</si>
  <si>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</si>
  <si>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</si>
  <si>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</si>
  <si>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</si>
  <si>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</si>
  <si>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</si>
  <si>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</si>
  <si>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</si>
  <si>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</si>
  <si>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</si>
  <si>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</si>
  <si>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</si>
  <si>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</si>
  <si>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</si>
  <si>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</si>
  <si>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</si>
  <si>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</si>
  <si>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</si>
  <si>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</si>
  <si>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</si>
  <si>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</si>
  <si>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</si>
  <si>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</si>
  <si>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</si>
  <si>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</si>
  <si>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</si>
  <si>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</si>
  <si>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</si>
  <si>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</si>
  <si>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</si>
  <si>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</si>
  <si>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</si>
  <si>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</si>
  <si>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</si>
  <si>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</si>
  <si>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</si>
  <si>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</si>
  <si>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</si>
  <si>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</si>
  <si>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</si>
  <si>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</si>
  <si>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</si>
  <si>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</si>
  <si>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</si>
  <si>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</si>
  <si>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</si>
  <si>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</si>
  <si>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</si>
  <si>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</si>
  <si>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</si>
  <si>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</si>
  <si>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</si>
  <si>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</si>
  <si>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</si>
  <si>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</si>
  <si>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</si>
  <si>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</si>
  <si>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</si>
  <si>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</si>
  <si>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</si>
  <si>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</si>
  <si>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</si>
  <si>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</si>
  <si>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</si>
  <si>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</si>
  <si>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</si>
  <si>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</si>
  <si>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</si>
  <si>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</si>
  <si>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</si>
  <si>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</si>
  <si>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</si>
  <si>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</si>
  <si>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</si>
  <si>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</si>
  <si>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</si>
  <si>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</si>
  <si>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</si>
  <si>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</si>
  <si>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</si>
  <si>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</si>
  <si>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</si>
  <si>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</si>
  <si>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</si>
  <si>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</si>
  <si>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</si>
  <si>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</si>
  <si>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</si>
  <si>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</si>
  <si>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</si>
  <si>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</si>
  <si>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</si>
  <si>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</si>
  <si>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</si>
  <si>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</si>
  <si>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</si>
  <si>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</si>
  <si>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</si>
  <si>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</si>
  <si>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</si>
  <si>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</si>
  <si>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</si>
  <si>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</si>
  <si>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</si>
  <si>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</si>
  <si>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</si>
  <si>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</si>
  <si>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</si>
  <si>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</si>
  <si>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</si>
  <si>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</si>
  <si>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</si>
  <si>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</si>
  <si>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</si>
  <si>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</si>
  <si>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</si>
  <si>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</si>
  <si>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</si>
  <si>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</si>
  <si>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</si>
  <si>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</si>
  <si>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</si>
  <si>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</si>
  <si>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</si>
  <si>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</si>
  <si>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</si>
  <si>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</si>
  <si>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</si>
  <si>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</si>
  <si>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</si>
  <si>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</si>
  <si>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</si>
  <si>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</si>
  <si>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</si>
  <si>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</si>
  <si>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</si>
  <si>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</si>
  <si>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</si>
  <si>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</si>
  <si>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</si>
  <si>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</si>
  <si>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</si>
  <si>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</si>
  <si>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</si>
  <si>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</si>
  <si>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</si>
  <si>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</si>
  <si>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</si>
  <si>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</si>
  <si>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</si>
  <si>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</si>
  <si>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</si>
  <si>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</si>
  <si>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</si>
  <si>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</si>
  <si>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</si>
  <si>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</si>
  <si>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</si>
  <si>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</si>
  <si>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</si>
  <si>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</si>
  <si>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</si>
  <si>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</si>
  <si>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</si>
  <si>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</si>
  <si>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</si>
  <si>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</si>
  <si>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</si>
  <si>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</si>
  <si>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</si>
  <si>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</si>
  <si>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</si>
  <si>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</si>
  <si>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</si>
  <si>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</si>
  <si>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</si>
  <si>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</si>
  <si>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</si>
  <si>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</si>
  <si>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</si>
  <si>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</si>
  <si>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</si>
  <si>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</si>
  <si>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</si>
  <si>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</si>
  <si>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</si>
  <si>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</si>
  <si>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</si>
  <si>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</si>
  <si>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</si>
  <si>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</si>
  <si>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</si>
  <si>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</si>
  <si>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</si>
  <si>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</si>
  <si>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</si>
  <si>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</si>
  <si>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</si>
  <si>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</si>
  <si>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</si>
  <si>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</si>
  <si>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</si>
  <si>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</si>
  <si>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</si>
  <si>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</si>
  <si>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</si>
  <si>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</si>
  <si>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</si>
  <si>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</si>
  <si>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</si>
  <si>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</si>
  <si>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</si>
  <si>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</si>
  <si>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</si>
  <si>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</si>
  <si>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</si>
  <si>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</si>
  <si>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</si>
  <si>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</si>
  <si>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</si>
  <si>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</si>
  <si>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</si>
  <si>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</si>
  <si>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</si>
  <si>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</si>
  <si>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</si>
  <si>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</si>
  <si>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</si>
  <si>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</si>
  <si>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</si>
  <si>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</si>
  <si>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</si>
  <si>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</si>
  <si>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</si>
  <si>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</si>
  <si>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</si>
  <si>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</si>
  <si>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</si>
  <si>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</si>
  <si>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</si>
  <si>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</si>
  <si>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</si>
  <si>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</si>
  <si>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</si>
  <si>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</si>
  <si>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</si>
  <si>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</si>
  <si>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</si>
  <si>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</si>
  <si>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</si>
  <si>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</si>
  <si>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</si>
  <si>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</si>
  <si>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</si>
  <si>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</si>
  <si>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</si>
  <si>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</si>
  <si>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</si>
  <si>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</si>
  <si>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</si>
  <si>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</si>
  <si>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</si>
  <si>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</si>
  <si>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</si>
  <si>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</si>
  <si>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</si>
  <si>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</si>
  <si>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</si>
  <si>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</si>
  <si>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</si>
  <si>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</si>
  <si>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</si>
  <si>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</si>
  <si>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</si>
  <si>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</si>
  <si>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</si>
  <si>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</si>
  <si>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</si>
  <si>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</si>
  <si>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</si>
  <si>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</si>
  <si>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</si>
  <si>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</si>
  <si>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</si>
  <si>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</si>
  <si>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</si>
  <si>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</si>
  <si>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</si>
  <si>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</si>
  <si>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</si>
  <si>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</si>
  <si>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</si>
  <si>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</si>
  <si>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</si>
  <si>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</si>
  <si>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</si>
  <si>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</si>
  <si>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</si>
  <si>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</si>
  <si>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</si>
  <si>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</si>
  <si>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</si>
  <si>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</si>
  <si>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</si>
  <si>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</si>
  <si>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</si>
  <si>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</si>
  <si>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</si>
  <si>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</si>
  <si>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</si>
  <si>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</si>
  <si>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</si>
  <si>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</si>
  <si>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</si>
  <si>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</si>
  <si>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</si>
  <si>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</si>
  <si>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</si>
  <si>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</si>
  <si>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</si>
  <si>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</si>
  <si>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</si>
  <si>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</si>
  <si>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</si>
  <si>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</si>
  <si>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</si>
  <si>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</si>
  <si>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</si>
  <si>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</si>
  <si>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</si>
  <si>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</si>
  <si>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</si>
  <si>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</si>
  <si>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</si>
  <si>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</si>
  <si>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</si>
  <si>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</si>
  <si>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</si>
  <si>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</si>
  <si>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</si>
  <si>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</si>
  <si>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</si>
  <si>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</si>
  <si>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</si>
  <si>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</si>
  <si>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</si>
  <si>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</si>
  <si>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</si>
  <si>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</si>
  <si>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</si>
  <si>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</si>
  <si>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</si>
  <si>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</si>
  <si>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</si>
  <si>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</si>
  <si>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</si>
  <si>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</si>
  <si>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</si>
  <si>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</si>
  <si>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</si>
  <si>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</si>
  <si>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</si>
  <si>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</si>
  <si>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</si>
  <si>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</si>
  <si>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</si>
  <si>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</si>
  <si>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</si>
  <si>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</si>
  <si>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</si>
  <si>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</si>
  <si>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</si>
  <si>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</si>
  <si>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</si>
  <si>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</si>
  <si>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</si>
  <si>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</si>
  <si>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</si>
  <si>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</si>
  <si>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</si>
  <si>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</si>
  <si>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</si>
  <si>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</si>
  <si>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</si>
  <si>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</si>
  <si>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</si>
  <si>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</si>
  <si>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</si>
  <si>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</si>
  <si>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</si>
  <si>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</si>
  <si>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</si>
  <si>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</si>
  <si>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</si>
  <si>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</si>
  <si>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</si>
  <si>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</si>
  <si>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</si>
  <si>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</si>
  <si>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</si>
  <si>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</si>
  <si>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</si>
  <si>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</si>
  <si>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</si>
  <si>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</si>
  <si>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</si>
  <si>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</si>
  <si>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</si>
  <si>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</si>
  <si>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</si>
  <si>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</si>
  <si>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</si>
  <si>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</si>
  <si>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</si>
  <si>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</si>
  <si>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</si>
  <si>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</si>
  <si>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</si>
  <si>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</si>
  <si>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</si>
  <si>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</si>
  <si>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</si>
  <si>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</si>
  <si>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</si>
  <si>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</si>
  <si>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</si>
  <si>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</si>
  <si>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</si>
  <si>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</si>
  <si>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</si>
  <si>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</si>
  <si>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</si>
  <si>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</si>
  <si>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</si>
  <si>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</si>
  <si>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</si>
  <si>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</si>
  <si>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</si>
  <si>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</si>
  <si>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</si>
  <si>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</si>
  <si>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</si>
  <si>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</si>
  <si>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</si>
  <si>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</si>
  <si>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</si>
  <si>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</si>
  <si>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</si>
  <si>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</si>
  <si>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</si>
  <si>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</si>
  <si>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</si>
  <si>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</si>
  <si>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</si>
  <si>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</si>
  <si>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</si>
  <si>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</si>
  <si>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</si>
  <si>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</si>
  <si>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</si>
  <si>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</si>
  <si>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</si>
  <si>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</si>
  <si>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</si>
  <si>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</si>
  <si>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</si>
  <si>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</si>
  <si>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</si>
  <si>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</si>
  <si>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</si>
  <si>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Проез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</si>
  <si>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</si>
  <si>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</si>
  <si>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</si>
  <si>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</si>
  <si>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</si>
  <si>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</si>
  <si>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</si>
  <si>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</si>
  <si>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</si>
  <si>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</si>
  <si>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</si>
  <si>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</si>
  <si>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</si>
  <si>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</si>
  <si>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</si>
  <si>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</si>
  <si>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</si>
  <si>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</si>
  <si>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</si>
  <si>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</si>
  <si>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</si>
  <si>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</si>
  <si>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</si>
  <si>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</si>
  <si>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</si>
  <si>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</si>
  <si>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</si>
  <si>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</si>
  <si>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</si>
  <si>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</si>
  <si>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</si>
  <si>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</si>
  <si>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</si>
  <si>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</si>
  <si>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</si>
  <si>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</si>
  <si>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</si>
  <si>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</si>
  <si>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</si>
  <si>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</si>
  <si>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</si>
  <si>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</si>
  <si>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</si>
  <si>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</si>
  <si>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</si>
  <si>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</si>
  <si>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</si>
  <si>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</si>
  <si>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</si>
  <si>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</si>
  <si>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</si>
  <si>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</si>
  <si>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</si>
  <si>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</si>
  <si>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</si>
  <si>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</si>
  <si>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</si>
  <si>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</si>
  <si>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</si>
  <si>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</si>
  <si>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</si>
  <si>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</si>
  <si>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</si>
  <si>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</si>
  <si>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</si>
  <si>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</si>
  <si>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</si>
  <si>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</si>
  <si>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</si>
  <si>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</si>
  <si>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</si>
  <si>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</si>
  <si>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</si>
  <si>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</si>
  <si>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</si>
  <si>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</si>
  <si>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</si>
  <si>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</si>
  <si>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</si>
  <si>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</si>
  <si>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</si>
  <si>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</si>
  <si>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</si>
  <si>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</si>
  <si>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</si>
  <si>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</si>
  <si>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</si>
  <si>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</si>
  <si>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</si>
  <si>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</si>
  <si>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</si>
  <si>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</si>
  <si>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</si>
  <si>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</si>
  <si>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</si>
  <si>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</si>
  <si>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</si>
  <si>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</si>
  <si>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</si>
  <si>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</si>
  <si>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</si>
  <si>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</si>
  <si>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</si>
  <si>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</si>
  <si>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</si>
  <si>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</si>
  <si>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</si>
  <si>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</si>
  <si>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</si>
  <si>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</si>
  <si>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</si>
  <si>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</si>
  <si>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</si>
  <si>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</si>
  <si>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</si>
  <si>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</si>
  <si>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</si>
  <si>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</si>
  <si>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</si>
  <si>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</si>
  <si>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</si>
  <si>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</si>
  <si>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</si>
  <si>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</si>
  <si>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</si>
  <si>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</si>
  <si>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</si>
  <si>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</si>
  <si>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</si>
  <si>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</si>
  <si>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</si>
  <si>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</si>
  <si>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</si>
  <si>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</si>
  <si>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</si>
  <si>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</si>
  <si>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</si>
  <si>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</si>
  <si>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</si>
  <si>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</si>
  <si>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</si>
  <si>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</si>
  <si>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</si>
  <si>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</si>
  <si>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</si>
  <si>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</si>
  <si>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</si>
  <si>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</si>
  <si>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</si>
  <si>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</si>
  <si>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</si>
  <si>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</si>
  <si>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</si>
  <si>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</si>
  <si>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</si>
  <si>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</si>
  <si>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</si>
  <si>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</si>
  <si>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</si>
  <si>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</si>
  <si>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</si>
  <si>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</si>
  <si>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</si>
  <si>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</si>
  <si>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</si>
  <si>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</si>
  <si>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</si>
  <si>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</si>
  <si>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</si>
  <si>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</si>
  <si>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</si>
  <si>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</si>
  <si>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</si>
  <si>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</si>
  <si>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</si>
  <si>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</si>
  <si>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</si>
  <si>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</si>
  <si>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</si>
  <si>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</si>
  <si>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</si>
  <si>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</si>
  <si>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</si>
  <si>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</si>
  <si>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</si>
  <si>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</si>
  <si>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</si>
  <si>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</si>
  <si>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</si>
  <si>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</si>
  <si>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</si>
  <si>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</si>
  <si>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</si>
  <si>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</si>
  <si>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</si>
  <si>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</si>
  <si>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</si>
  <si>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</si>
  <si>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</si>
  <si>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</si>
  <si>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</si>
  <si>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</si>
  <si>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</si>
  <si>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</si>
  <si>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</si>
  <si>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</si>
  <si>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</si>
  <si>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</si>
  <si>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</si>
  <si>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</si>
  <si>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</si>
  <si>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</si>
  <si>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</si>
  <si>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</si>
  <si>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</si>
  <si>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</si>
  <si>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</si>
  <si>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</si>
  <si>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</si>
  <si>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</si>
  <si>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</si>
  <si>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</si>
  <si>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</si>
  <si>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</si>
  <si>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</si>
  <si>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</si>
  <si>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</si>
  <si>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</si>
  <si>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</si>
  <si>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</si>
  <si>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</si>
  <si>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</si>
  <si>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</si>
  <si>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</si>
  <si>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</si>
  <si>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</si>
  <si>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</si>
  <si>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</si>
  <si>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</si>
  <si>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</si>
  <si>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</si>
  <si>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</si>
  <si>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</si>
  <si>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</si>
  <si>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</si>
  <si>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</si>
  <si>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</si>
  <si>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</si>
  <si>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</si>
  <si>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</si>
  <si>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</si>
  <si>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</si>
  <si>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</si>
  <si>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</si>
  <si>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</si>
  <si>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</si>
  <si>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</si>
  <si>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</si>
  <si>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</si>
  <si>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</si>
  <si>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</si>
  <si>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</si>
  <si>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</si>
  <si>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</si>
  <si>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</si>
  <si>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</si>
  <si>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</si>
  <si>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</si>
  <si>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</si>
  <si>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</si>
  <si>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</si>
  <si>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</si>
  <si>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</si>
  <si>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</si>
  <si>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</si>
  <si>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</si>
  <si>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</si>
  <si>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</si>
  <si>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</si>
  <si>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</si>
  <si>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</si>
  <si>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</si>
  <si>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</si>
  <si>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</si>
  <si>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</si>
  <si>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</si>
  <si>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</si>
  <si>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</si>
  <si>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</si>
  <si>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</si>
  <si>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</si>
  <si>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</si>
  <si>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</si>
  <si>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</si>
  <si>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</si>
  <si>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</si>
  <si>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</si>
  <si>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</si>
  <si>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</si>
  <si>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</si>
  <si>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</si>
  <si>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</si>
  <si>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</si>
  <si>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</si>
  <si>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</si>
  <si>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</si>
  <si>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</si>
  <si>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</si>
  <si>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</si>
  <si>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</si>
  <si>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</si>
  <si>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</si>
  <si>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</si>
  <si>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</si>
  <si>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</si>
  <si>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</si>
  <si>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</si>
  <si>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</si>
  <si>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</si>
  <si>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</si>
  <si>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</si>
  <si>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</si>
  <si>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</si>
  <si>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</si>
  <si>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</si>
  <si>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</si>
  <si>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</si>
  <si>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</si>
  <si>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</si>
  <si>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</si>
  <si>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</si>
  <si>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</si>
  <si>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</si>
  <si>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</si>
  <si>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</si>
  <si>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</si>
  <si>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</si>
  <si>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</si>
  <si>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</si>
  <si>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</si>
  <si>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</si>
  <si>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</si>
  <si>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</si>
  <si>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</si>
  <si>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</si>
  <si>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</si>
  <si>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</si>
  <si>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</si>
  <si>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</si>
  <si>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</si>
  <si>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</si>
  <si>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</si>
  <si>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</si>
  <si>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</si>
  <si>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</si>
  <si>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</si>
  <si>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</si>
  <si>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</si>
  <si>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</si>
  <si>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</si>
  <si>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</si>
  <si>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</si>
  <si>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</si>
  <si>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</si>
  <si>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</si>
  <si>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</si>
  <si>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</si>
  <si>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</si>
  <si>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</si>
  <si>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</si>
  <si>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</si>
  <si>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</si>
  <si>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</si>
  <si>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</si>
  <si>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</si>
  <si>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</si>
  <si>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</si>
  <si>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</si>
  <si>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</si>
  <si>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</si>
  <si>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</si>
  <si>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</si>
  <si>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</si>
  <si>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</si>
  <si>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</si>
  <si>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</si>
  <si>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</si>
  <si>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</si>
  <si>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</si>
  <si>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</si>
  <si>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</si>
  <si>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</si>
  <si>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</si>
  <si>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</si>
  <si>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</si>
  <si>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</si>
  <si>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</si>
  <si>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</si>
  <si>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</si>
  <si>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</si>
  <si>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</si>
  <si>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</si>
  <si>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</si>
  <si>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</si>
  <si>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</si>
  <si>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</si>
  <si>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</si>
  <si>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</si>
  <si>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</si>
  <si>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</si>
  <si>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</si>
  <si>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</si>
  <si>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</si>
  <si>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</si>
  <si>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</si>
  <si>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</si>
  <si>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</si>
  <si>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</si>
  <si>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</si>
  <si>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</si>
  <si>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</si>
  <si>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</si>
  <si>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</si>
  <si>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</si>
  <si>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</si>
  <si>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</si>
  <si>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</si>
  <si>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</si>
  <si>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</si>
  <si>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</si>
  <si>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</si>
  <si>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</si>
  <si>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</si>
  <si>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</si>
  <si>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</si>
  <si>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</si>
  <si>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</si>
  <si>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</si>
  <si>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</si>
  <si>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</si>
  <si>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</si>
  <si>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</si>
  <si>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</si>
  <si>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</si>
  <si>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</si>
  <si>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</si>
  <si>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</si>
  <si>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</si>
  <si>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</si>
  <si>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</si>
  <si>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</si>
  <si>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</si>
  <si>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</si>
  <si>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</si>
  <si>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</si>
  <si>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</si>
  <si>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</si>
  <si>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</si>
  <si>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</si>
  <si>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</si>
  <si>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</si>
  <si>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</si>
  <si>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</si>
  <si>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</si>
  <si>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</si>
  <si>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</si>
  <si>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</si>
  <si>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</si>
  <si>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</si>
  <si>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</si>
  <si>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</si>
  <si>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</si>
  <si>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</si>
  <si>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</si>
  <si>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</si>
  <si>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</si>
  <si>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</si>
  <si>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</si>
  <si>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</si>
  <si>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</si>
  <si>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</si>
  <si>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</si>
  <si>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</si>
  <si>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</si>
  <si>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</si>
  <si>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</si>
  <si>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</si>
  <si>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</si>
  <si>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</si>
  <si>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</si>
  <si>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</si>
  <si>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</si>
  <si>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</si>
  <si>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</si>
  <si>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</si>
  <si>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</si>
  <si>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</si>
  <si>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</si>
  <si>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</si>
  <si>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</si>
  <si>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</si>
  <si>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</si>
  <si>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</si>
  <si>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</si>
  <si>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</si>
  <si>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</si>
  <si>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</si>
  <si>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</si>
  <si>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</si>
  <si>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</si>
  <si>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</si>
  <si>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</si>
  <si>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</si>
  <si>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</si>
  <si>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</si>
  <si>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</si>
  <si>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</si>
  <si>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</si>
  <si>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</si>
  <si>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</si>
  <si>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</si>
  <si>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</si>
  <si>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</si>
  <si>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</si>
  <si>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</si>
  <si>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</si>
  <si>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</si>
  <si>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</si>
  <si>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</si>
  <si>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</si>
  <si>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</si>
  <si>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</si>
  <si>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</si>
  <si>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</si>
  <si>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</si>
  <si>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</si>
  <si>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</si>
  <si>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</si>
  <si>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</si>
  <si>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</si>
  <si>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</si>
  <si>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</si>
  <si>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</si>
  <si>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</si>
  <si>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</si>
  <si>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</si>
  <si>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</si>
  <si>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</si>
  <si>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</si>
  <si>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</si>
  <si>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</si>
  <si>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</si>
  <si>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</si>
  <si>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</si>
  <si>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</si>
  <si>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</si>
  <si>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</si>
  <si>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</si>
  <si>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</si>
  <si>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</si>
  <si>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</si>
  <si>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</si>
  <si>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</si>
  <si>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</si>
  <si>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</si>
  <si>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</si>
  <si>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</si>
  <si>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</si>
  <si>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</si>
  <si>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</si>
  <si>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</si>
  <si>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</si>
  <si>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</si>
  <si>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</si>
  <si>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</si>
  <si>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</si>
  <si>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</si>
  <si>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</si>
  <si>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</si>
  <si>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</si>
  <si>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</si>
  <si>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</si>
  <si>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</si>
  <si>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</si>
  <si>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</si>
  <si>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</si>
  <si>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</si>
  <si>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</si>
  <si>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</si>
  <si>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</si>
  <si>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</si>
  <si>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</si>
  <si>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</si>
  <si>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</si>
  <si>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</si>
  <si>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</si>
  <si>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</si>
  <si>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</si>
  <si>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</si>
  <si>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</si>
  <si>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</si>
  <si>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</si>
  <si>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</si>
  <si>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</si>
  <si>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</si>
  <si>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</si>
  <si>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</si>
  <si>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</si>
  <si>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</si>
  <si>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</si>
  <si>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</si>
  <si>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</si>
  <si>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</si>
  <si>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</si>
  <si>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</si>
  <si>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</si>
  <si>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</si>
  <si>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</si>
  <si>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</si>
  <si>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</si>
  <si>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</si>
  <si>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</si>
  <si>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</si>
  <si>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</si>
  <si>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</si>
  <si>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</si>
  <si>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</si>
  <si>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</si>
  <si>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</si>
  <si>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</si>
  <si>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</si>
  <si>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</si>
  <si>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</si>
  <si>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</si>
  <si>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</si>
  <si>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</si>
  <si>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</si>
  <si>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</si>
  <si>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</si>
  <si>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</si>
  <si>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</si>
  <si>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</si>
  <si>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</si>
  <si>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</si>
  <si>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</si>
  <si>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</si>
  <si>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</si>
  <si>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</si>
  <si>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</si>
  <si>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</si>
  <si>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</si>
  <si>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</si>
  <si>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</si>
  <si>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</si>
  <si>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</si>
  <si>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</si>
  <si>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</si>
  <si>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</si>
  <si>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</si>
  <si>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</si>
  <si>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</si>
  <si>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</si>
  <si>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</si>
  <si>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</si>
  <si>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</si>
  <si>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</si>
  <si>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</si>
  <si>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</si>
  <si>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</si>
  <si>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</si>
  <si>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</si>
  <si>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</si>
  <si>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</si>
  <si>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</si>
  <si>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</si>
  <si>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</si>
  <si>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</si>
  <si>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</si>
  <si>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</si>
  <si>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</si>
  <si>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</si>
  <si>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</si>
  <si>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</si>
  <si>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</si>
  <si>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</si>
  <si>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</si>
  <si>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</si>
  <si>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</si>
  <si>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</si>
  <si>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</si>
  <si>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</si>
  <si>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</si>
  <si>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</si>
  <si>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</si>
  <si>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</si>
  <si>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</si>
  <si>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</si>
  <si>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</si>
  <si>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</si>
  <si>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</si>
  <si>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</si>
  <si>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</si>
  <si>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</si>
  <si>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</si>
  <si>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</si>
  <si>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</si>
  <si>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</si>
  <si>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</si>
  <si>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</si>
  <si>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</si>
  <si>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</si>
  <si>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</si>
  <si>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</si>
  <si>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</si>
  <si>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</si>
  <si>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</si>
  <si>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</si>
  <si>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</si>
  <si>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</si>
  <si>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</si>
  <si>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</si>
  <si>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</si>
  <si>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</si>
  <si>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</si>
  <si>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</si>
  <si>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</si>
  <si>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</si>
  <si>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</si>
  <si>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</si>
  <si>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</si>
  <si>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</si>
  <si>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</si>
  <si>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</si>
  <si>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</si>
  <si>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</si>
  <si>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</si>
  <si>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</si>
  <si>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</si>
  <si>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</si>
  <si>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</si>
  <si>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</si>
  <si>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</si>
  <si>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</si>
  <si>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</si>
  <si>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</si>
  <si>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</si>
  <si>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</si>
  <si>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</si>
  <si>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</si>
  <si>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</si>
  <si>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</si>
  <si>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</si>
  <si>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</si>
  <si>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</si>
  <si>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</si>
  <si>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</si>
  <si>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</si>
  <si>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</si>
  <si>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</si>
  <si>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</si>
  <si>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</si>
  <si>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</si>
  <si>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</si>
  <si>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</si>
  <si>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</si>
  <si>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</si>
  <si>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</si>
  <si>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</si>
  <si>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</si>
  <si>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</si>
  <si>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</si>
  <si>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</si>
  <si>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</si>
  <si>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</si>
  <si>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</si>
  <si>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</si>
  <si>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</si>
  <si>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</si>
  <si>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</si>
  <si>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</si>
  <si>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</si>
  <si>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</si>
  <si>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</si>
  <si>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</si>
  <si>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</si>
  <si>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</si>
  <si>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</si>
  <si>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</si>
  <si>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</si>
  <si>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</si>
  <si>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</si>
  <si>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</si>
  <si>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</si>
  <si>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</si>
  <si>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</si>
  <si>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</si>
  <si>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</si>
  <si>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</si>
  <si>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</si>
  <si>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</si>
  <si>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</si>
  <si>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</si>
  <si>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</si>
  <si>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</si>
  <si>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</si>
  <si>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</si>
  <si>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</si>
  <si>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</si>
  <si>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</si>
  <si>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</si>
  <si>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</si>
  <si>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</si>
  <si>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</si>
  <si>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</si>
  <si>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</si>
  <si>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</si>
  <si>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</si>
  <si>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</si>
  <si>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</si>
  <si>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</si>
  <si>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</si>
  <si>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</si>
  <si>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</si>
  <si>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</si>
  <si>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</si>
  <si>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</si>
  <si>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</si>
  <si>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</si>
  <si>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</si>
  <si>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</si>
  <si>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</si>
  <si>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</si>
  <si>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</si>
  <si>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</si>
  <si>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</si>
  <si>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</si>
  <si>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</si>
  <si>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</si>
  <si>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</si>
  <si>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</si>
  <si>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</si>
  <si>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</si>
  <si>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</si>
  <si>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</si>
  <si>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</si>
  <si>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</si>
  <si>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</si>
  <si>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</si>
  <si>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</si>
  <si>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</si>
  <si>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</si>
  <si>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</si>
  <si>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</si>
  <si>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</si>
  <si>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</si>
  <si>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</si>
  <si>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</si>
  <si>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</si>
  <si>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</si>
  <si>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</si>
  <si>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</si>
  <si>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</si>
  <si>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</si>
  <si>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</si>
  <si>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</si>
  <si>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</si>
  <si>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</si>
  <si>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</si>
  <si>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</si>
  <si>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</si>
  <si>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</si>
  <si>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</si>
  <si>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</si>
  <si>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</si>
  <si>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</si>
  <si>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</si>
  <si>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</si>
  <si>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</si>
  <si>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</si>
  <si>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</si>
  <si>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</si>
  <si>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</si>
  <si>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</si>
  <si>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</si>
  <si>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</si>
  <si>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</si>
  <si>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</si>
  <si>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</si>
  <si>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</si>
  <si>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</si>
  <si>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</si>
  <si>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</si>
  <si>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</si>
  <si>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</si>
  <si>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</si>
  <si>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</si>
  <si>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</si>
  <si>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</si>
  <si>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</si>
  <si>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</si>
  <si>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</si>
  <si>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</si>
  <si>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</si>
  <si>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</si>
  <si>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</si>
  <si>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</si>
  <si>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</si>
  <si>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</si>
  <si>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</si>
  <si>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</si>
  <si>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</si>
  <si>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</si>
  <si>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</si>
  <si>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</si>
  <si>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</si>
  <si>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</si>
  <si>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</si>
  <si>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</si>
  <si>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</si>
  <si>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</si>
  <si>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</si>
  <si>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</si>
  <si>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</si>
  <si>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</si>
  <si>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</si>
  <si>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</si>
  <si>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</si>
  <si>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</si>
  <si>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</si>
  <si>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</si>
  <si>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</si>
  <si>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</si>
  <si>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</si>
  <si>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</si>
  <si>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</si>
  <si>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</si>
  <si>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</si>
  <si>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</si>
  <si>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</si>
  <si>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</si>
  <si>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</si>
  <si>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</si>
  <si>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</si>
  <si>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</si>
  <si>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</si>
  <si>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</si>
  <si>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</si>
  <si>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</si>
  <si>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</si>
  <si>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</si>
  <si>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</si>
  <si>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</si>
  <si>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</si>
  <si>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</si>
  <si>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</si>
  <si>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</si>
  <si>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</si>
  <si>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</si>
  <si>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</si>
  <si>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</si>
  <si>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</si>
  <si>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</si>
  <si>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</si>
  <si>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</si>
  <si>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</si>
  <si>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</si>
  <si>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</si>
  <si>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</si>
  <si>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</si>
  <si>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</si>
  <si>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</si>
  <si>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</si>
  <si>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</si>
  <si>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</si>
  <si>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</si>
  <si>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</si>
  <si>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</si>
  <si>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</si>
  <si>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</si>
  <si>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</si>
  <si>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</si>
  <si>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</si>
  <si>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</si>
  <si>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</si>
  <si>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</si>
  <si>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</si>
  <si>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</si>
  <si>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</si>
  <si>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</si>
  <si>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</si>
  <si>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</si>
  <si>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</si>
  <si>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</si>
  <si>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</si>
  <si>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</si>
  <si>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</si>
  <si>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</si>
  <si>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</si>
  <si>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</si>
  <si>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</si>
  <si>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</si>
  <si>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</si>
  <si>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</si>
  <si>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</si>
  <si>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</si>
  <si>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</si>
  <si>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</si>
  <si>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</si>
  <si>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</si>
  <si>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</si>
  <si>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</si>
  <si>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</si>
  <si>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</si>
  <si>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</si>
  <si>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</si>
  <si>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</si>
  <si>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</si>
  <si>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</si>
  <si>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</si>
  <si>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</si>
  <si>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</si>
  <si>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</si>
  <si>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</si>
  <si>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</si>
  <si>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</si>
  <si>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</si>
  <si>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</si>
  <si>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</si>
  <si>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</si>
  <si>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</si>
  <si>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</si>
  <si>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</si>
  <si>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</si>
  <si>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</si>
  <si>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</si>
  <si>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</si>
  <si>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</si>
  <si>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</si>
  <si>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</si>
  <si>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</si>
  <si>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</si>
  <si>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</si>
  <si>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</si>
  <si>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</si>
  <si>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</si>
  <si>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</si>
  <si>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</si>
  <si>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</si>
  <si>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</si>
  <si>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</si>
  <si>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</si>
  <si>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</si>
  <si>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</si>
  <si>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</si>
  <si>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</si>
  <si>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</si>
  <si>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</si>
  <si>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</si>
  <si>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</si>
  <si>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</si>
  <si>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</si>
  <si>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</si>
  <si>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</si>
  <si>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</si>
  <si>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</si>
  <si>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</si>
  <si>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</si>
  <si>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</si>
  <si>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</si>
  <si>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</si>
  <si>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</si>
  <si>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</si>
  <si>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</si>
  <si>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</si>
  <si>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</si>
  <si>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</si>
  <si>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</si>
  <si>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</si>
  <si>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</si>
  <si>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</si>
  <si>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</si>
  <si>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</si>
  <si>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</si>
  <si>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</si>
  <si>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</si>
  <si>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</si>
  <si>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</si>
  <si>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</si>
  <si>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</si>
  <si>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</si>
  <si>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</si>
  <si>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</si>
  <si>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</si>
  <si>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</si>
  <si>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</si>
  <si>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</si>
  <si>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</si>
  <si>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</si>
  <si>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</si>
  <si>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</si>
  <si>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</si>
  <si>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</si>
  <si>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</si>
  <si>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</si>
  <si>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</si>
  <si>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</si>
  <si>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</si>
  <si>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</si>
  <si>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</si>
  <si>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</si>
  <si>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</si>
  <si>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</si>
  <si>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</si>
  <si>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</si>
  <si>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</si>
  <si>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</si>
  <si>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</si>
  <si>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</si>
  <si>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</si>
  <si>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</si>
  <si>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</si>
  <si>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</si>
  <si>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</si>
  <si>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</si>
  <si>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</si>
  <si>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</si>
  <si>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</si>
  <si>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</si>
  <si>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</si>
  <si>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</si>
  <si>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</si>
  <si>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</si>
  <si>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</si>
  <si>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</si>
  <si>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</si>
  <si>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</si>
  <si>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</si>
  <si>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</si>
  <si>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</si>
  <si>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</si>
  <si>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</si>
  <si>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</si>
  <si>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</si>
  <si>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</si>
  <si>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</si>
  <si>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</si>
  <si>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</si>
  <si>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</si>
  <si>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</si>
  <si>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</si>
  <si>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</si>
  <si>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</si>
  <si>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</si>
  <si>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</si>
  <si>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</si>
  <si>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</si>
  <si>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</si>
  <si>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</si>
  <si>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</si>
  <si>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</si>
  <si>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</si>
  <si>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</si>
  <si>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</si>
  <si>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</si>
  <si>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</si>
  <si>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</si>
  <si>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</si>
  <si>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</si>
  <si>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</si>
  <si>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</si>
  <si>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</si>
  <si>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</si>
  <si>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</si>
  <si>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</si>
  <si>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</si>
  <si>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</si>
  <si>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</si>
  <si>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</si>
  <si>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</si>
  <si>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</si>
  <si>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</si>
  <si>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</si>
  <si>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</si>
  <si>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</si>
  <si>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</si>
  <si>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</si>
  <si>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</si>
  <si>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</si>
  <si>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</si>
  <si>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</si>
  <si>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</si>
  <si>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</si>
  <si>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</si>
  <si>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</si>
  <si>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</si>
  <si>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</si>
  <si>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</si>
  <si>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</si>
  <si>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</si>
  <si>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</si>
  <si>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</si>
  <si>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</si>
  <si>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</si>
  <si>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</si>
  <si>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</si>
  <si>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</si>
  <si>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</si>
  <si>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</si>
  <si>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</si>
  <si>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</si>
  <si>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</si>
  <si>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</si>
  <si>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</si>
  <si>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</si>
  <si>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</si>
  <si>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</si>
  <si>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</si>
  <si>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</si>
  <si>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</si>
  <si>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</si>
  <si>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</si>
  <si>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</si>
  <si>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</si>
  <si>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</si>
  <si>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</si>
  <si>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</si>
  <si>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</si>
  <si>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</si>
  <si>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</si>
  <si>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</si>
  <si>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</si>
  <si>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</si>
  <si>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</si>
  <si>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</si>
  <si>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</si>
  <si>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</si>
  <si>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</si>
  <si>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</si>
  <si>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</si>
  <si>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</si>
  <si>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</si>
  <si>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</si>
  <si>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</si>
  <si>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</si>
  <si>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</si>
  <si>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</si>
  <si>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</si>
  <si>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</si>
  <si>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</si>
  <si>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</si>
  <si>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</si>
  <si>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</si>
  <si>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</si>
  <si>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</si>
  <si>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</si>
  <si>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</si>
  <si>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</si>
  <si>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</si>
  <si>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</si>
  <si>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</si>
  <si>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</si>
  <si>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</si>
  <si>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</si>
  <si>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</si>
  <si>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</si>
  <si>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</si>
  <si>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</si>
  <si>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</si>
  <si>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</si>
  <si>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</si>
  <si>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</si>
  <si>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</si>
  <si>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</si>
  <si>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</si>
  <si>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</si>
  <si>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</si>
  <si>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</si>
  <si>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</si>
  <si>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</si>
  <si>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</si>
  <si>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</si>
  <si>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</si>
  <si>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</si>
  <si>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</si>
  <si>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</si>
  <si>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</si>
  <si>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</si>
  <si>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</si>
  <si>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</si>
  <si>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</si>
  <si>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</si>
  <si>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</si>
  <si>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</si>
  <si>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</si>
  <si>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</si>
  <si>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</si>
  <si>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</si>
  <si>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</si>
  <si>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</si>
  <si>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</si>
  <si>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</si>
  <si>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</si>
  <si>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</si>
  <si>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</si>
  <si>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</si>
  <si>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</si>
  <si>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</si>
  <si>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</si>
  <si>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</si>
  <si>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</si>
  <si>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</si>
  <si>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</si>
  <si>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</si>
  <si>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</si>
  <si>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</si>
  <si>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</si>
  <si>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</si>
  <si>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</si>
  <si>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</si>
  <si>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</si>
  <si>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</si>
  <si>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</si>
  <si>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</si>
  <si>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</si>
  <si>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</si>
  <si>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</si>
  <si>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</si>
  <si>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</si>
  <si>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</si>
  <si>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</si>
  <si>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</si>
  <si>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</si>
  <si>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</si>
  <si>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</si>
  <si>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</si>
  <si>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</si>
  <si>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</si>
  <si>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</si>
  <si>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</si>
  <si>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</si>
  <si>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</si>
  <si>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</si>
  <si>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</si>
  <si>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</si>
  <si>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</si>
  <si>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</si>
  <si>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</si>
  <si>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</si>
  <si>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</si>
  <si>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</si>
  <si>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</si>
  <si>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</si>
  <si>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</si>
  <si>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</si>
  <si>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</si>
  <si>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</si>
  <si>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</si>
  <si>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</si>
  <si>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</si>
  <si>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</si>
  <si>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</si>
  <si>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</si>
  <si>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</si>
  <si>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</si>
  <si>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</si>
  <si>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</si>
  <si>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</si>
  <si>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</si>
  <si>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</si>
  <si>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</si>
  <si>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</si>
  <si>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</si>
  <si>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</si>
  <si>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</si>
  <si>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</si>
  <si>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</si>
  <si>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</si>
  <si>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</si>
  <si>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</si>
  <si>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</si>
  <si>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</si>
  <si>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</si>
  <si>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</si>
  <si>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</si>
  <si>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</si>
  <si>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</si>
  <si>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</si>
  <si>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</si>
  <si>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</si>
  <si>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</si>
  <si>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</si>
  <si>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</si>
  <si>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</si>
  <si>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</si>
  <si>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</si>
  <si>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</si>
  <si>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</si>
  <si>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</si>
  <si>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</si>
  <si>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</si>
  <si>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</si>
  <si>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</si>
  <si>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</si>
  <si>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</si>
  <si>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</si>
  <si>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</si>
  <si>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</si>
  <si>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</si>
  <si>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</si>
  <si>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</si>
  <si>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</si>
  <si>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</si>
  <si>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</si>
  <si>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</si>
  <si>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</si>
  <si>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</si>
  <si>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</si>
  <si>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</si>
  <si>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</si>
  <si>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</si>
  <si>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</si>
  <si>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</si>
  <si>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</si>
  <si>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</si>
  <si>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</si>
  <si>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</si>
  <si>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</si>
  <si>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</si>
  <si>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</si>
  <si>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</si>
  <si>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</si>
  <si>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</si>
  <si>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</si>
  <si>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</si>
  <si>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</si>
  <si>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</si>
  <si>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</si>
  <si>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</si>
  <si>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</si>
  <si>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</si>
  <si>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</si>
  <si>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</si>
  <si>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</si>
  <si>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</si>
  <si>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</si>
  <si>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</si>
  <si>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</si>
  <si>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</si>
  <si>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</si>
  <si>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</si>
  <si>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</si>
  <si>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</si>
  <si>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</si>
  <si>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</si>
  <si>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</si>
  <si>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</si>
  <si>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</si>
  <si>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</si>
  <si>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</si>
  <si>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</si>
  <si>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</si>
  <si>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</si>
  <si>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</si>
  <si>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</si>
  <si>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</si>
  <si>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</si>
  <si>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</si>
  <si>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</si>
  <si>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</si>
  <si>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</si>
  <si>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</si>
  <si>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</si>
  <si>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</si>
  <si>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</si>
  <si>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</si>
  <si>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</si>
  <si>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</si>
  <si>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</si>
  <si>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</si>
  <si>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</si>
  <si>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</si>
  <si>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</si>
  <si>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</si>
  <si>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</si>
  <si>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</si>
  <si>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</si>
  <si>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</si>
  <si>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</si>
  <si>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</si>
  <si>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</si>
  <si>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</si>
  <si>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</si>
  <si>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</si>
  <si>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</si>
  <si>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</si>
  <si>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</si>
  <si>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</si>
  <si>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</si>
  <si>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</si>
  <si>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</si>
  <si>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</si>
  <si>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</si>
  <si>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</si>
  <si>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</si>
  <si>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</si>
  <si>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</si>
  <si>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</si>
  <si>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</si>
  <si>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</si>
  <si>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</si>
  <si>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</si>
  <si>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</si>
  <si>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</si>
  <si>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</si>
  <si>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</si>
  <si>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</si>
  <si>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</si>
  <si>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</si>
  <si>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</si>
  <si>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</si>
  <si>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</si>
  <si>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</si>
  <si>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</si>
  <si>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</si>
  <si>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</si>
  <si>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</si>
  <si>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</si>
  <si>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</si>
  <si>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</si>
  <si>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</si>
  <si>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</si>
  <si>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</si>
  <si>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</si>
  <si>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</si>
  <si>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</si>
  <si>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</si>
  <si>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</si>
  <si>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</si>
  <si>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</si>
  <si>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</si>
  <si>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</si>
  <si>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</si>
  <si>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</si>
  <si>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</si>
  <si>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</si>
  <si>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</si>
  <si>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</si>
  <si>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</si>
  <si>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</si>
  <si>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</si>
  <si>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</si>
  <si>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</si>
  <si>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</si>
  <si>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</si>
  <si>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</si>
  <si>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</si>
  <si>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</si>
  <si>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</si>
  <si>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</si>
  <si>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</si>
  <si>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</si>
  <si>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</si>
  <si>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</si>
  <si>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</si>
  <si>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</si>
  <si>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</si>
  <si>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</si>
  <si>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</si>
  <si>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</si>
  <si>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</si>
  <si>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</si>
  <si>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</si>
  <si>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</si>
  <si>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</si>
  <si>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</si>
  <si>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</si>
  <si>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</si>
  <si>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</si>
  <si>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</si>
  <si>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</si>
  <si>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</si>
  <si>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</si>
  <si>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</si>
  <si>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</si>
  <si>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</si>
  <si>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</si>
  <si>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</si>
  <si>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</si>
  <si>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</si>
  <si>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</si>
  <si>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</si>
  <si>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</si>
  <si>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</si>
  <si>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</si>
  <si>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</si>
  <si>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</si>
  <si>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</si>
  <si>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</si>
  <si>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</si>
  <si>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</si>
  <si>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</si>
  <si>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</si>
  <si>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</si>
  <si>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</si>
  <si>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</si>
  <si>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</si>
  <si>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</si>
  <si>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</si>
  <si>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</si>
  <si>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</si>
  <si>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</si>
  <si>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</si>
  <si>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</si>
  <si>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</si>
  <si>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</si>
  <si>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</si>
  <si>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</si>
  <si>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</si>
  <si>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</si>
  <si>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</si>
  <si>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</si>
  <si>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</si>
  <si>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</si>
  <si>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</si>
  <si>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</si>
  <si>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</si>
  <si>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</si>
  <si>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</si>
  <si>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</si>
  <si>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</si>
  <si>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</si>
  <si>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</si>
  <si>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</si>
  <si>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</si>
  <si>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</si>
  <si>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</si>
  <si>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</si>
  <si>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</si>
  <si>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</si>
  <si>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</si>
  <si>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</si>
  <si>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</si>
  <si>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</si>
  <si>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</si>
  <si>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</si>
  <si>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</si>
  <si>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</si>
  <si>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</si>
  <si>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</si>
  <si>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</si>
  <si>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</si>
  <si>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</si>
  <si>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</si>
  <si>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</si>
  <si>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</si>
  <si>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</si>
  <si>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</si>
  <si>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</si>
  <si>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</si>
  <si>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</si>
  <si>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</si>
  <si>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</si>
  <si>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</si>
  <si>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</si>
  <si>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</si>
  <si>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</si>
  <si>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</si>
  <si>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</si>
  <si>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</si>
  <si>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</si>
  <si>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</si>
  <si>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</si>
  <si>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</si>
  <si>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</si>
  <si>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</si>
  <si>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</si>
  <si>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</si>
  <si>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</si>
  <si>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</si>
  <si>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</si>
  <si>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</si>
  <si>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</si>
  <si>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</si>
  <si>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</si>
  <si>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</si>
  <si>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</si>
  <si>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</si>
  <si>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</si>
  <si>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</si>
  <si>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</si>
  <si>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</si>
  <si>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</si>
  <si>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</si>
  <si>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</si>
  <si>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</si>
  <si>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</si>
  <si>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</si>
  <si>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</si>
  <si>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</si>
  <si>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</si>
  <si>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</si>
  <si>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</si>
  <si>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</si>
  <si>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</si>
  <si>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</si>
  <si>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</si>
  <si>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</si>
  <si>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</si>
  <si>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</si>
  <si>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</si>
  <si>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</si>
  <si>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</si>
  <si>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</si>
  <si>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</si>
  <si>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</si>
  <si>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</si>
  <si>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</si>
  <si>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</si>
  <si>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</si>
  <si>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</si>
  <si>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</si>
  <si>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</si>
  <si>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</si>
  <si>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</si>
  <si>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</si>
  <si>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</si>
  <si>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</si>
  <si>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</si>
  <si>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</si>
  <si>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</si>
  <si>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</si>
  <si>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</si>
  <si>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</si>
  <si>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</si>
  <si>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</si>
  <si>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</si>
  <si>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</si>
  <si>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</si>
  <si>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</si>
  <si>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</si>
  <si>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</si>
  <si>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</si>
  <si>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</si>
  <si>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</si>
  <si>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</si>
  <si>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</si>
  <si>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</si>
  <si>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</si>
  <si>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</si>
  <si>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</si>
  <si>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</si>
  <si>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</si>
  <si>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</si>
  <si>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</si>
  <si>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</si>
  <si>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</si>
  <si>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</si>
  <si>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</si>
  <si>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</si>
  <si>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</si>
  <si>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</si>
  <si>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</si>
  <si>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</si>
  <si>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</si>
  <si>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</si>
  <si>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</si>
  <si>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</si>
  <si>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</si>
  <si>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</si>
  <si>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</si>
  <si>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</si>
  <si>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</si>
  <si>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</si>
  <si>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</si>
  <si>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</si>
  <si>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</si>
  <si>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</si>
  <si>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</si>
  <si>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</si>
  <si>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</si>
  <si>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</si>
  <si>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</si>
  <si>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</si>
  <si>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</si>
  <si>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</si>
  <si>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</si>
  <si>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</si>
  <si>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</si>
  <si>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</si>
  <si>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</si>
  <si>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</si>
  <si>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</si>
  <si>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</si>
  <si>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</si>
  <si>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</si>
  <si>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</si>
  <si>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</si>
  <si>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</si>
  <si>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</si>
  <si>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</si>
  <si>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</si>
  <si>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</si>
  <si>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</si>
  <si>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</si>
  <si>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</si>
  <si>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</si>
  <si>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</si>
  <si>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</si>
  <si>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</si>
  <si>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</si>
  <si>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</si>
  <si>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</si>
  <si>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</si>
  <si>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</si>
  <si>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</si>
  <si>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</si>
  <si>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</si>
  <si>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</si>
  <si>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</si>
  <si>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</si>
  <si>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</si>
  <si>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</si>
  <si>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</si>
  <si>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</si>
  <si>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</si>
  <si>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</si>
  <si>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</si>
  <si>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</si>
  <si>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</si>
  <si>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</si>
  <si>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</si>
  <si>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</si>
  <si>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</si>
  <si>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</si>
  <si>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</si>
  <si>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</si>
  <si>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</si>
  <si>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</si>
  <si>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</si>
  <si>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</si>
  <si>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</si>
  <si>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</si>
  <si>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</si>
  <si>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</si>
  <si>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</si>
  <si>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</si>
  <si>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</si>
  <si>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</si>
  <si>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</si>
  <si>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</si>
  <si>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</si>
  <si>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</si>
  <si>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</si>
  <si>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</si>
  <si>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</si>
  <si>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</si>
  <si>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</si>
  <si>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</si>
  <si>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</si>
  <si>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</si>
  <si>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</si>
  <si>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</si>
  <si>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</si>
  <si>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</si>
  <si>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</si>
  <si>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</si>
  <si>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</si>
  <si>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</si>
  <si>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</si>
  <si>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</si>
  <si>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</si>
  <si>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</si>
  <si>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</si>
  <si>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</si>
  <si>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</si>
  <si>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</si>
  <si>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</si>
  <si>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</si>
  <si>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</si>
  <si>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</si>
  <si>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</si>
  <si>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</si>
  <si>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</si>
  <si>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</si>
  <si>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</si>
  <si>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</si>
  <si>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</si>
  <si>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</si>
  <si>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</si>
  <si>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</si>
  <si>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</si>
  <si>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</si>
  <si>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</si>
  <si>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</si>
  <si>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</si>
  <si>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</si>
  <si>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</si>
  <si>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</si>
  <si>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</si>
  <si>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</si>
  <si>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</si>
  <si>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</si>
  <si>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</si>
  <si>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</si>
  <si>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</si>
  <si>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</si>
  <si>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</si>
  <si>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</si>
  <si>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</si>
  <si>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</si>
  <si>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</si>
  <si>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</si>
  <si>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</si>
  <si>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</si>
  <si>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</si>
  <si>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</si>
  <si>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</si>
  <si>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</si>
  <si>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</si>
  <si>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</si>
  <si>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</si>
  <si>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</si>
  <si>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</si>
  <si>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</si>
  <si>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</si>
  <si>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</si>
  <si>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</si>
  <si>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</si>
  <si>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</si>
  <si>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</si>
  <si>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</si>
  <si>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</si>
  <si>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</si>
  <si>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</si>
  <si>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</si>
  <si>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</si>
  <si>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</si>
  <si>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</si>
  <si>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</si>
  <si>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</si>
  <si>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</si>
  <si>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</si>
  <si>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</si>
  <si>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</si>
  <si>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</si>
  <si>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</si>
  <si>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</si>
  <si>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</si>
  <si>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</si>
  <si>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</si>
  <si>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</si>
  <si>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</si>
  <si>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</si>
  <si>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</si>
  <si>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</si>
  <si>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</si>
  <si>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</si>
  <si>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</si>
  <si>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</si>
  <si>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</si>
  <si>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</si>
  <si>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</si>
  <si>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</si>
  <si>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</si>
  <si>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</si>
  <si>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</si>
  <si>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</si>
  <si>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</si>
  <si>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</si>
  <si>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</si>
  <si>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</si>
  <si>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</si>
  <si>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</si>
  <si>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</si>
  <si>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</si>
  <si>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</si>
  <si>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</si>
  <si>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</si>
  <si>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</si>
  <si>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</si>
  <si>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</si>
  <si>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</si>
  <si>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</si>
  <si>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</si>
  <si>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</si>
  <si>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</si>
  <si>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</si>
  <si>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</si>
  <si>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</si>
  <si>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</si>
  <si>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</si>
  <si>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</si>
  <si>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</si>
  <si>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</si>
  <si>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</si>
  <si>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</si>
  <si>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</si>
  <si>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</si>
  <si>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</si>
  <si>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</si>
  <si>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</si>
  <si>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</si>
  <si>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</si>
  <si>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</si>
  <si>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</si>
  <si>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</si>
  <si>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</si>
  <si>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</si>
  <si>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</si>
  <si>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</si>
  <si>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</si>
  <si>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</si>
  <si>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</si>
  <si>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</si>
  <si>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</si>
  <si>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</si>
  <si>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</si>
  <si>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</si>
  <si>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</si>
  <si>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</si>
  <si>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</si>
  <si>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</si>
  <si>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</si>
  <si>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</si>
  <si>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</si>
  <si>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</si>
  <si>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</si>
  <si>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</si>
  <si>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</si>
  <si>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</si>
  <si>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</si>
  <si>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</si>
  <si>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</si>
  <si>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</si>
  <si>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</si>
  <si>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</si>
  <si>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</si>
  <si>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</si>
  <si>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</si>
  <si>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</si>
  <si>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</si>
  <si>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</si>
  <si>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</si>
  <si>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</si>
  <si>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</si>
  <si>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</si>
  <si>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</si>
  <si>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</si>
  <si>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</si>
  <si>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</si>
  <si>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</si>
  <si>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</si>
  <si>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</si>
  <si>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</si>
  <si>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</si>
  <si>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</si>
  <si>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</si>
  <si>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</si>
  <si>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</si>
  <si>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</si>
  <si>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</si>
  <si>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</si>
  <si>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</si>
  <si>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</si>
  <si>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</si>
  <si>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</si>
  <si>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</si>
  <si>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</si>
  <si>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</si>
  <si>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</si>
  <si>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</si>
  <si>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</si>
  <si>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</si>
  <si>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</si>
  <si>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</si>
  <si>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</si>
  <si>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</si>
  <si>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</si>
  <si>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</si>
  <si>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</si>
  <si>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</si>
  <si>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</si>
  <si>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</si>
  <si>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</si>
  <si>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</si>
  <si>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</si>
  <si>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</si>
  <si>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</si>
  <si>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</si>
  <si>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</si>
  <si>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</si>
  <si>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</si>
  <si>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</si>
  <si>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</si>
  <si>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</si>
  <si>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</si>
  <si>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</si>
  <si>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</si>
  <si>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</si>
  <si>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</si>
  <si>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</si>
  <si>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</si>
  <si>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</si>
  <si>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</si>
  <si>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</si>
  <si>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</si>
  <si>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</si>
  <si>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</si>
  <si>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</si>
  <si>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</si>
  <si>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</si>
  <si>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</si>
  <si>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</si>
  <si>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</si>
  <si>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</si>
  <si>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</si>
  <si>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</si>
  <si>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</si>
  <si>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</si>
  <si>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</si>
  <si>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</si>
  <si>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</si>
  <si>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</si>
  <si>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</si>
  <si>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</si>
  <si>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</si>
  <si>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</si>
  <si>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</si>
  <si>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</si>
  <si>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</si>
  <si>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</si>
  <si>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</si>
  <si>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</si>
  <si>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</si>
  <si>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</si>
  <si>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</si>
  <si>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</si>
  <si>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</si>
  <si>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</si>
  <si>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</si>
  <si>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</si>
  <si>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</si>
  <si>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</si>
  <si>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</si>
  <si>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</si>
  <si>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</si>
  <si>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</si>
  <si>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</si>
  <si>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</si>
  <si>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</si>
  <si>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</si>
  <si>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</si>
  <si>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</si>
  <si>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</si>
  <si>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</si>
  <si>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</si>
  <si>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</si>
  <si>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</si>
  <si>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</si>
  <si>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</si>
  <si>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</si>
  <si>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</si>
  <si>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</si>
  <si>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</si>
  <si>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</si>
  <si>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</si>
  <si>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</si>
  <si>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</si>
  <si>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</si>
  <si>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</si>
  <si>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</si>
  <si>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</si>
  <si>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</si>
  <si>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</si>
  <si>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</si>
  <si>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</si>
  <si>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</si>
  <si>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</si>
  <si>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</si>
  <si>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</si>
  <si>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</si>
  <si>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</si>
  <si>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</si>
  <si>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</si>
  <si>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</si>
  <si>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</si>
  <si>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</si>
  <si>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</si>
  <si>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</si>
  <si>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</si>
  <si>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</si>
  <si>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</si>
  <si>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</si>
  <si>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</si>
  <si>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</si>
  <si>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</si>
  <si>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</si>
  <si>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</si>
  <si>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</si>
  <si>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</si>
  <si>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</si>
  <si>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</si>
  <si>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</si>
  <si>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</si>
  <si>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</si>
  <si>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</si>
  <si>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</si>
  <si>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</si>
  <si>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</si>
  <si>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</si>
  <si>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</si>
  <si>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</si>
  <si>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</si>
  <si>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</si>
  <si>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</si>
  <si>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</si>
  <si>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</si>
  <si>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</si>
  <si>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</si>
  <si>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</si>
  <si>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</si>
  <si>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</si>
  <si>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</si>
  <si>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</si>
  <si>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</si>
  <si>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</si>
  <si>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</si>
  <si>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</si>
  <si>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</si>
  <si>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</si>
  <si>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</si>
  <si>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</si>
  <si>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</si>
  <si>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</si>
  <si>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</si>
  <si>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</si>
  <si>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</si>
  <si>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</si>
  <si>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</si>
  <si>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</si>
  <si>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</si>
  <si>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</si>
  <si>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</si>
  <si>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</si>
  <si>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</si>
  <si>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</si>
  <si>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</si>
  <si>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</si>
  <si>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</si>
  <si>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</si>
  <si>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</si>
  <si>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</si>
  <si>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</si>
  <si>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</si>
  <si>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</si>
  <si>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</si>
  <si>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</si>
  <si>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</si>
  <si>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</si>
  <si>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</si>
  <si>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</si>
  <si>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</si>
  <si>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</si>
  <si>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</si>
  <si>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</si>
  <si>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</si>
  <si>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</si>
  <si>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</si>
  <si>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</si>
  <si>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</si>
  <si>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</si>
  <si>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</si>
  <si>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</si>
  <si>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</si>
  <si>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</si>
  <si>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</si>
  <si>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</si>
  <si>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</si>
  <si>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</si>
  <si>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</si>
  <si>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</si>
  <si>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</si>
  <si>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</si>
  <si>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</si>
  <si>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</si>
  <si>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</si>
  <si>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</si>
  <si>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</si>
  <si>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</si>
  <si>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</si>
  <si>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</si>
  <si>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</si>
  <si>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</si>
  <si>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</si>
  <si>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</si>
  <si>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</si>
  <si>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</si>
  <si>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</si>
  <si>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</si>
  <si>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</si>
  <si>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</si>
  <si>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</si>
  <si>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</si>
  <si>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</si>
  <si>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</si>
  <si>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</si>
  <si>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</si>
  <si>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</si>
  <si>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</si>
  <si>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</si>
  <si>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</si>
  <si>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</si>
  <si>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</si>
  <si>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E33149364_7_20251208T092032Z.jpg</t>
  </si>
  <si>
    <t>C:\ВИДЕОНАБЛЮДЕНИЕ\2 Пилорама поката\captrue\</t>
  </si>
  <si>
    <t>2 Пилорама поката\E33149364_7_20251208T092032Z.jpg</t>
  </si>
  <si>
    <t>пн 08.12.2025 — 09:20:32</t>
  </si>
  <si>
    <t>E33149364_7_20251208T092037Z.jpg</t>
  </si>
  <si>
    <t>2 Пилорама поката\E33149364_7_20251208T092037Z.jpg</t>
  </si>
  <si>
    <t>пн 08.12.2025 — 09:20:37</t>
  </si>
  <si>
    <t>E33149364_7_20251208T092041Z.jpg</t>
  </si>
  <si>
    <t>2 Пилорама поката\E33149364_7_20251208T092041Z.jpg</t>
  </si>
  <si>
    <t>пн 08.12.2025 — 09:20:41</t>
  </si>
  <si>
    <t>E33149364_7_20251208T092522Z.jpg</t>
  </si>
  <si>
    <t>2 Пилорама поката\E33149364_7_20251208T092522Z.jpg</t>
  </si>
  <si>
    <t>пн 08.12.2025 — 09:25:22</t>
  </si>
  <si>
    <t>E33149364_7_20251208T142250Z.jpg</t>
  </si>
  <si>
    <t>2 Пилорама поката\E33149364_7_20251208T142250Z.jpg</t>
  </si>
  <si>
    <t>пн 08.12.2025 — 14:22:50</t>
  </si>
  <si>
    <t>E33149364_7_20251208T142257Z.jpg</t>
  </si>
  <si>
    <t>2 Пилорама поката\E33149364_7_20251208T142257Z.jpg</t>
  </si>
  <si>
    <t>пн 08.12.2025 — 14:22:57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</si>
  <si>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</si>
  <si>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</si>
  <si>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</si>
  <si>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</si>
  <si>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C:\ВИДЕОНАБЛЮДЕНИЕ\1 Ангар Склад 2 въезд\captrue\</t>
  </si>
  <si>
    <t>пн 08.12.2025 — 14:22:16</t>
  </si>
  <si>
    <t>E33149364_6_20251208T155849Z.jpg</t>
  </si>
  <si>
    <t>пн 08.12.2025 — 15:58:49</t>
  </si>
  <si>
    <t>E33149364_8_20251208T115423Z.jpg</t>
  </si>
  <si>
    <t>C:\ВИДЕОНАБЛЮДЕНИЕ\3 Въезд на базу\captrue\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</si>
  <si>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</si>
  <si>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</si>
  <si>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</si>
  <si>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</si>
  <si>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</si>
  <si>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1 Ангар Склад 2 въезд/E33149364_6_20251208T155849Z.jpg</t>
  </si>
  <si>
    <t>1 Ангар Склад 2 въезд/E33149364_6_20251208T142216Z.jpg</t>
  </si>
  <si>
    <t>1 Ангар Склад 2 въезд/E33149364_6_20251207T160931Z.jpg</t>
  </si>
  <si>
    <t>1 Ангар Склад 2 въезд/e33149364_6_20251207t135449z.jpg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</si>
</sst>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49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04" tableType="queryTable" totalsRowShown="0">
  <tableColumns count="14">
    <tableColumn id="11" xr3:uid="{6F8E650D-029B-40AD-86B4-92C160128A4F}" uniqueName="11" name="День нед" queryTableFieldId="39" dataDxfId="482"/>
    <tableColumn id="8" xr3:uid="{7C2AA400-8F21-45B7-B47D-9CF2CFB5DD00}" uniqueName="8" name="Дата" queryTableFieldId="19" dataDxfId="481"/>
    <tableColumn id="9" xr3:uid="{7CB7ABF0-C98D-49E4-A494-985A43D5F40F}" uniqueName="9" name="Время" queryTableFieldId="20" dataDxfId="480"/>
    <tableColumn id="5" xr3:uid="{613A944B-9245-4C6D-9CCE-5037AD552DED}" uniqueName="5" name="Событие" queryTableFieldId="27" dataDxfId="479"/>
    <tableColumn id="7" xr3:uid="{FFEA85A5-3527-4483-91CE-57F760AB9F33}" uniqueName="7" name="Объект" queryTableFieldId="29" dataDxfId="478"/>
    <tableColumn id="10" xr3:uid="{A2E2C27E-C1B2-4B74-A427-E1854B0E2C76}" uniqueName="10" name="Груз" queryTableFieldId="30" dataDxfId="47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476"/>
    <tableColumn id="4" xr3:uid="{B2B57637-8A7D-4C5F-A6F8-E38F3EA43620}" uniqueName="4" name="Name" queryTableFieldId="14" dataDxfId="475"/>
    <tableColumn id="1" xr3:uid="{79275791-6385-434B-9F1B-8BDC003824A7}" uniqueName="1" name="Folder Path" queryTableFieldId="11" dataDxfId="47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47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47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33" tableType="queryTable" totalsRowShown="0">
  <autoFilter ref="A1:M133" xr:uid="{B468AF39-21AE-47BD-BA18-EADB2FC1D520}"/>
  <tableColumns count="13">
    <tableColumn id="11" xr3:uid="{6804E693-7D64-41A5-9B58-B7D348C4DC92}" uniqueName="11" name="День нед" queryTableFieldId="39" dataDxfId="457"/>
    <tableColumn id="8" xr3:uid="{40827FD9-94EC-4CF6-B212-59CF3E913897}" uniqueName="8" name="Дата" queryTableFieldId="19" dataDxfId="456"/>
    <tableColumn id="9" xr3:uid="{1F8E8ADE-5BFB-4171-9A0A-859E22042D3B}" uniqueName="9" name="Время" queryTableFieldId="20" dataDxfId="455"/>
    <tableColumn id="5" xr3:uid="{9D19F2E1-3C70-4F2F-8ED7-6D41C17A9366}" uniqueName="5" name="Событие" queryTableFieldId="27" dataDxfId="454"/>
    <tableColumn id="7" xr3:uid="{8C8CC69A-BA0A-4417-AE7D-B89E26F69F9B}" uniqueName="7" name="Объект" queryTableFieldId="29" dataDxfId="453"/>
    <tableColumn id="10" xr3:uid="{375C36FB-077D-4AA3-B6F7-74ACE46C2638}" uniqueName="10" name="Груз" queryTableFieldId="30" dataDxfId="45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451"/>
    <tableColumn id="4" xr3:uid="{4A5BB282-D54C-4C68-A1D9-B3A819F9FCF6}" uniqueName="4" name="Name" queryTableFieldId="14" dataDxfId="450"/>
    <tableColumn id="1" xr3:uid="{7BD19058-41FF-4EFE-8283-68501A5B1623}" uniqueName="1" name="Folder Path" queryTableFieldId="11" dataDxfId="44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44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74" tableType="queryTable" totalsRowShown="0">
  <autoFilter ref="A1:M74" xr:uid="{B468AF39-21AE-47BD-BA18-EADB2FC1D520}"/>
  <tableColumns count="13">
    <tableColumn id="11" xr3:uid="{8C7989A8-AE95-4BFB-859E-9F3F94DCD873}" uniqueName="11" name="День нед" queryTableFieldId="39" dataDxfId="433"/>
    <tableColumn id="8" xr3:uid="{B651DAE5-1AB7-4761-9820-CB58DA0D9C46}" uniqueName="8" name="Дата" queryTableFieldId="19" dataDxfId="432"/>
    <tableColumn id="9" xr3:uid="{22B6AE73-6E8B-4F81-B85C-3D141AD4D773}" uniqueName="9" name="Время" queryTableFieldId="20" dataDxfId="431"/>
    <tableColumn id="5" xr3:uid="{CB5AF0FF-A861-4F29-BFD9-751A47066C68}" uniqueName="5" name="Событие" queryTableFieldId="27" dataDxfId="430"/>
    <tableColumn id="7" xr3:uid="{63916370-0910-4B95-ABB4-D88865AA9E43}" uniqueName="7" name="Объект" queryTableFieldId="29" dataDxfId="429"/>
    <tableColumn id="10" xr3:uid="{DDC7656E-7390-4778-A2CE-EEC7AC518263}" uniqueName="10" name="Груз" queryTableFieldId="30" dataDxfId="42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27"/>
    <tableColumn id="4" xr3:uid="{96665EED-E1B8-437C-869A-35CB5BA419D3}" uniqueName="4" name="Name" queryTableFieldId="14" dataDxfId="426"/>
    <tableColumn id="1" xr3:uid="{1F225BD8-B59D-4058-9D99-17124C1F38FB}" uniqueName="1" name="Folder Path" queryTableFieldId="11" dataDxfId="42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2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65" tableType="queryTable" totalsRowShown="0">
  <tableColumns count="13">
    <tableColumn id="11" xr3:uid="{F25D1388-C4DF-49FB-9BF5-0132CEDCCAEA}" uniqueName="11" name="День нед" queryTableFieldId="39" dataDxfId="409"/>
    <tableColumn id="8" xr3:uid="{9EDCCA26-9FD6-4F66-9134-186F89CA663B}" uniqueName="8" name="Дата" queryTableFieldId="19" dataDxfId="408"/>
    <tableColumn id="9" xr3:uid="{FB005DB9-8D3C-48A5-94F1-246606C665DD}" uniqueName="9" name="Время" queryTableFieldId="20" dataDxfId="407"/>
    <tableColumn id="5" xr3:uid="{6D19407C-64CF-4FC5-95E7-163AA12EB226}" uniqueName="5" name="Событие" queryTableFieldId="27" dataDxfId="406"/>
    <tableColumn id="7" xr3:uid="{007BF834-0BCB-4416-8941-11DA4EDFCE5B}" uniqueName="7" name="Объект" queryTableFieldId="29" dataDxfId="405"/>
    <tableColumn id="10" xr3:uid="{E896F002-4451-441D-B0CB-52AD69A6E5C3}" uniqueName="10" name="Груз" queryTableFieldId="30" dataDxfId="40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03"/>
    <tableColumn id="4" xr3:uid="{9F6560FA-27F8-4BE9-BA58-3B0E40F582E5}" uniqueName="4" name="Name" queryTableFieldId="14" dataDxfId="402"/>
    <tableColumn id="1" xr3:uid="{44892CD0-9118-4535-9434-E49462140346}" uniqueName="1" name="Folder Path" queryTableFieldId="11" dataDxfId="40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0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96" tableType="queryTable" totalsRowShown="0">
  <tableColumns count="13">
    <tableColumn id="11" xr3:uid="{390CB009-E9E0-4C0F-93C3-AF6B408B816B}" uniqueName="11" name="День нед" queryTableFieldId="39" dataDxfId="385"/>
    <tableColumn id="8" xr3:uid="{E0A1C296-A368-479C-9A74-85306B3C03D4}" uniqueName="8" name="Дата" queryTableFieldId="19" dataDxfId="384"/>
    <tableColumn id="9" xr3:uid="{86401298-83EB-49D3-ACBA-E743586F5CCB}" uniqueName="9" name="Время" queryTableFieldId="20" dataDxfId="383"/>
    <tableColumn id="5" xr3:uid="{FFB4F03A-A400-4544-A729-2375A1F7D5E8}" uniqueName="5" name="Событие" queryTableFieldId="27" dataDxfId="382"/>
    <tableColumn id="7" xr3:uid="{D96DCF3C-D325-4D0C-94A1-DBE97CC5C9DC}" uniqueName="7" name="Объект" queryTableFieldId="29" dataDxfId="381"/>
    <tableColumn id="10" xr3:uid="{76D99262-42F5-447E-95AC-9C2A84BF344C}" uniqueName="10" name="Груз" queryTableFieldId="30" dataDxfId="38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379"/>
    <tableColumn id="4" xr3:uid="{D16AEB37-7A8A-406F-8ED7-B8D53BAA9BD9}" uniqueName="4" name="Name" queryTableFieldId="14" dataDxfId="378"/>
    <tableColumn id="1" xr3:uid="{1746BE5F-089A-476F-AE8D-5F2B27E9AEEA}" uniqueName="1" name="Folder Path" queryTableFieldId="11" dataDxfId="37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37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2" tableType="queryTable" totalsRowShown="0">
  <tableColumns count="13">
    <tableColumn id="11" xr3:uid="{45D23538-AB74-404E-8577-E2B7A36436AF}" uniqueName="11" name="День нед" queryTableFieldId="39" dataDxfId="361"/>
    <tableColumn id="8" xr3:uid="{40B01B94-168F-4547-A2BC-AA7F91350AB3}" uniqueName="8" name="Дата" queryTableFieldId="19" dataDxfId="360"/>
    <tableColumn id="9" xr3:uid="{A2C94EFB-3081-4BA9-85C2-DFF0455AFA43}" uniqueName="9" name="Время" queryTableFieldId="20" dataDxfId="359"/>
    <tableColumn id="5" xr3:uid="{244D3D34-C9EC-4B9C-BE81-12A0C0BB4342}" uniqueName="5" name="Событие" queryTableFieldId="27" dataDxfId="358"/>
    <tableColumn id="7" xr3:uid="{C449A112-E8A8-4956-B85C-2BA12316F170}" uniqueName="7" name="Объект" queryTableFieldId="29" dataDxfId="357"/>
    <tableColumn id="10" xr3:uid="{C8411557-C312-4542-93DA-DF5949399E11}" uniqueName="10" name="Груз" queryTableFieldId="30" dataDxfId="35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55"/>
    <tableColumn id="4" xr3:uid="{6A396D44-0898-4737-A4C1-8D6D40981793}" uniqueName="4" name="Name" queryTableFieldId="14" dataDxfId="354"/>
    <tableColumn id="1" xr3:uid="{328F21C9-48B9-4081-9B8C-BBD168BD38D1}" uniqueName="1" name="Folder Path" queryTableFieldId="11" dataDxfId="35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5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88" tableType="queryTable" totalsRowShown="0">
  <tableColumns count="13">
    <tableColumn id="11" xr3:uid="{2311EAC9-4673-4BE2-ADB0-E8CEB0BD9945}" uniqueName="11" name="День нед" queryTableFieldId="39" dataDxfId="336"/>
    <tableColumn id="8" xr3:uid="{F1C9804A-F8E7-4755-B717-859265C587A2}" uniqueName="8" name="Дата" queryTableFieldId="19" dataDxfId="335"/>
    <tableColumn id="9" xr3:uid="{1C2BA522-8D4F-4713-849C-1F60357B476E}" uniqueName="9" name="Время" queryTableFieldId="20" dataDxfId="334"/>
    <tableColumn id="5" xr3:uid="{6E084A00-DC62-4E93-8ABC-4651FD4D2408}" uniqueName="5" name="Событие" queryTableFieldId="27" dataDxfId="333"/>
    <tableColumn id="7" xr3:uid="{C9F6EF14-DBE7-4655-9D20-5B253923C11E}" uniqueName="7" name="Объект" queryTableFieldId="29" dataDxfId="332"/>
    <tableColumn id="10" xr3:uid="{0ADEC0F9-9FE9-4E92-BD38-0B8CDDE1BDBD}" uniqueName="10" name="Груз" queryTableFieldId="30" dataDxfId="33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330"/>
    <tableColumn id="4" xr3:uid="{FE606B6B-0A78-44A2-B44F-54FBA553BAD6}" uniqueName="4" name="Name" queryTableFieldId="14" dataDxfId="329"/>
    <tableColumn id="1" xr3:uid="{34274AB2-665A-4EF1-8C79-4944C9C122A7}" uniqueName="1" name="Folder Path" queryTableFieldId="11" dataDxfId="32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32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16" tableType="queryTable" totalsRowShown="0">
  <tableColumns count="13">
    <tableColumn id="11" xr3:uid="{72CE202A-C56C-4D63-9F9F-0DFF72BB5190}" uniqueName="11" name="День нед" queryTableFieldId="39" dataDxfId="312"/>
    <tableColumn id="8" xr3:uid="{0D9F5C4C-70B0-46E2-9E29-649E206B6616}" uniqueName="8" name="Дата" queryTableFieldId="19" dataDxfId="311"/>
    <tableColumn id="9" xr3:uid="{7C8561D4-BD7D-493F-BC95-213F2D55F3FD}" uniqueName="9" name="Время" queryTableFieldId="20" dataDxfId="310"/>
    <tableColumn id="5" xr3:uid="{E48795B2-2732-4E4A-81E8-B1585581420B}" uniqueName="5" name="Событие" queryTableFieldId="27" dataDxfId="309"/>
    <tableColumn id="7" xr3:uid="{F684EE24-0636-4EC2-AB94-A65EA5355534}" uniqueName="7" name="Объект" queryTableFieldId="29" dataDxfId="308"/>
    <tableColumn id="10" xr3:uid="{0C1B5273-277F-4438-B52D-9F868AD13DEE}" uniqueName="10" name="Груз" queryTableFieldId="30" dataDxfId="30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306"/>
    <tableColumn id="4" xr3:uid="{729433F6-F4FD-435B-851D-D34CC9060068}" uniqueName="4" name="Name" queryTableFieldId="14" dataDxfId="305"/>
    <tableColumn id="1" xr3:uid="{7A9B9B80-B872-4A82-9D9D-98A75E20F89B}" uniqueName="1" name="Folder Path" queryTableFieldId="11" dataDxfId="30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30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290" tableType="queryTable" totalsRowShown="0">
  <tableColumns count="13">
    <tableColumn id="11" xr3:uid="{2CE691F0-1D02-41BD-8E81-7716875609CD}" uniqueName="11" name="День нед" queryTableFieldId="39" dataDxfId="288"/>
    <tableColumn id="8" xr3:uid="{1A2A3B97-F602-468E-8AD3-5DD492638A71}" uniqueName="8" name="Дата" queryTableFieldId="19" dataDxfId="287"/>
    <tableColumn id="9" xr3:uid="{E8725BDD-FF6C-47C3-9100-825160B93721}" uniqueName="9" name="Время" queryTableFieldId="20" dataDxfId="286"/>
    <tableColumn id="5" xr3:uid="{F68EB906-7F6F-4765-A5C8-9B40064179BE}" uniqueName="5" name="Событие" queryTableFieldId="27" dataDxfId="285"/>
    <tableColumn id="7" xr3:uid="{812FE0F9-0D7E-497C-893A-B104BA069155}" uniqueName="7" name="Объект" queryTableFieldId="29" dataDxfId="284"/>
    <tableColumn id="10" xr3:uid="{1679E688-A047-4936-9EBC-9BDCFEA4CD95}" uniqueName="10" name="Груз" queryTableFieldId="30" dataDxfId="28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82"/>
    <tableColumn id="4" xr3:uid="{F9F7F55E-2CCF-4A6B-892F-1C76C0668832}" uniqueName="4" name="Name" queryTableFieldId="14" dataDxfId="281"/>
    <tableColumn id="1" xr3:uid="{0AF9B05B-8D0E-4B8A-81D0-358A18429CE8}" uniqueName="1" name="Folder Path" queryTableFieldId="11" dataDxfId="28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7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285" tableType="queryTable" totalsRowShown="0">
  <tableColumns count="13">
    <tableColumn id="11" xr3:uid="{96A6BDDB-7ED5-4607-80F3-3FD842EAEE0A}" uniqueName="11" name="День нед" queryTableFieldId="39" dataDxfId="264"/>
    <tableColumn id="8" xr3:uid="{FBEC9ECA-BD5C-442E-BB86-7CCAEF9464D2}" uniqueName="8" name="Дата" queryTableFieldId="19" dataDxfId="263"/>
    <tableColumn id="9" xr3:uid="{68242AF7-BC60-4380-843B-35A6CC4A66E6}" uniqueName="9" name="Время" queryTableFieldId="20" dataDxfId="262"/>
    <tableColumn id="5" xr3:uid="{C98BCFD6-9DE9-4A28-B769-F5737933429D}" uniqueName="5" name="Событие" queryTableFieldId="27" dataDxfId="261"/>
    <tableColumn id="7" xr3:uid="{4D44F8D4-93A4-4851-894E-AC8CDD93BD71}" uniqueName="7" name="Объект" queryTableFieldId="29" dataDxfId="260"/>
    <tableColumn id="10" xr3:uid="{0A838B00-A88A-40EE-A542-7E8E08968D89}" uniqueName="10" name="Груз" queryTableFieldId="30" dataDxfId="25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258"/>
    <tableColumn id="4" xr3:uid="{4FA2E248-D5A3-4824-875F-C328FA9AC2F9}" uniqueName="4" name="Name" queryTableFieldId="14" dataDxfId="257"/>
    <tableColumn id="1" xr3:uid="{B01A6B83-82C4-4172-AD5B-D2AF410DBE1B}" uniqueName="1" name="Folder Path" queryTableFieldId="11" dataDxfId="25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25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20" tableType="queryTable" totalsRowShown="0">
  <tableColumns count="13">
    <tableColumn id="11" xr3:uid="{2AD64508-44AB-4871-8C82-4C5A1E5A5DD2}" uniqueName="11" name="День нед" queryTableFieldId="39" dataDxfId="240"/>
    <tableColumn id="8" xr3:uid="{C788117B-4896-492B-97B3-B2502F0537D8}" uniqueName="8" name="Дата" queryTableFieldId="19" dataDxfId="239"/>
    <tableColumn id="9" xr3:uid="{E3EF5757-6705-492A-BD76-A47D414757C0}" uniqueName="9" name="Время" queryTableFieldId="20" dataDxfId="238"/>
    <tableColumn id="5" xr3:uid="{EF049B28-F832-4F3D-AB4F-3C396920BF5B}" uniqueName="5" name="Событие" queryTableFieldId="27" dataDxfId="237"/>
    <tableColumn id="7" xr3:uid="{DDB63E42-2809-4377-A568-A326109989E9}" uniqueName="7" name="Объект" queryTableFieldId="29" dataDxfId="236"/>
    <tableColumn id="10" xr3:uid="{A4FCF3D3-582A-4DEF-8FB8-9D050C82517D}" uniqueName="10" name="Груз" queryTableFieldId="30" dataDxfId="23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234"/>
    <tableColumn id="4" xr3:uid="{DA63B8EC-3587-40B4-A86A-92B91C78723D}" uniqueName="4" name="Name" queryTableFieldId="14" dataDxfId="233"/>
    <tableColumn id="1" xr3:uid="{360C7476-DEC6-4377-8E95-D472C6673B12}" uniqueName="1" name="Folder Path" queryTableFieldId="11" dataDxfId="23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3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86" tableType="queryTable" totalsRowShown="0">
  <tableColumns count="13">
    <tableColumn id="11" xr3:uid="{C40005DE-8CA6-428A-9DF2-E715CC943F02}" uniqueName="11" name="День нед" queryTableFieldId="39" dataDxfId="216"/>
    <tableColumn id="8" xr3:uid="{55C75F47-F14F-483C-9C7A-95288D9463D6}" uniqueName="8" name="Дата" queryTableFieldId="19" dataDxfId="215"/>
    <tableColumn id="9" xr3:uid="{79D3981C-638A-4D64-BACB-D64D85DAC855}" uniqueName="9" name="Время" queryTableFieldId="20" dataDxfId="214"/>
    <tableColumn id="5" xr3:uid="{B0B848B5-29B2-4292-89A5-7DE5A2F72D15}" uniqueName="5" name="Событие" queryTableFieldId="27" dataDxfId="213"/>
    <tableColumn id="7" xr3:uid="{A9E0C8AC-2336-4969-BC3E-110E6C33529C}" uniqueName="7" name="Объект" queryTableFieldId="29" dataDxfId="212"/>
    <tableColumn id="10" xr3:uid="{F8691CA5-2689-452F-9550-C52E06B35BD6}" uniqueName="10" name="Груз" queryTableFieldId="30" dataDxfId="21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0"/>
    <tableColumn id="4" xr3:uid="{E9716AC2-8439-4E67-8698-BA6CD84F7B9C}" uniqueName="4" name="Name" queryTableFieldId="14" dataDxfId="209"/>
    <tableColumn id="1" xr3:uid="{9AB30DEC-91E3-4633-A156-B937B586CECB}" uniqueName="1" name="Folder Path" queryTableFieldId="11" dataDxfId="20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20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7" tableType="queryTable" totalsRowShown="0">
  <tableColumns count="13">
    <tableColumn id="11" xr3:uid="{B21CFC33-55C8-4073-BBD2-E0A5154A10D6}" uniqueName="11" name="День нед" queryTableFieldId="39" dataDxfId="192"/>
    <tableColumn id="8" xr3:uid="{004370C0-0D3C-4162-A392-32C741C3A58B}" uniqueName="8" name="Дата" queryTableFieldId="19" dataDxfId="191"/>
    <tableColumn id="9" xr3:uid="{6537DA5E-247D-44FB-ACE3-933B3C9B9408}" uniqueName="9" name="Время" queryTableFieldId="20" dataDxfId="190"/>
    <tableColumn id="5" xr3:uid="{4FA9309D-407E-48C1-B1F9-C33DEA7645B1}" uniqueName="5" name="Событие" queryTableFieldId="27" dataDxfId="189"/>
    <tableColumn id="7" xr3:uid="{76E54E9E-D730-4C99-9BF5-96E9384FF63C}" uniqueName="7" name="Объект" queryTableFieldId="29" dataDxfId="188"/>
    <tableColumn id="10" xr3:uid="{B9F78DE2-7938-486B-9BE2-F824D0E7A6C4}" uniqueName="10" name="Груз" queryTableFieldId="30" dataDxfId="18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86"/>
    <tableColumn id="4" xr3:uid="{921D28C1-5761-48A7-B447-6A4446F87545}" uniqueName="4" name="Name" queryTableFieldId="14" dataDxfId="185"/>
    <tableColumn id="1" xr3:uid="{F1A648C1-8DB5-4DEF-B011-BD85E17FCAA3}" uniqueName="1" name="Folder Path" queryTableFieldId="11" dataDxfId="18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8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62" tableType="queryTable" totalsRowShown="0">
  <autoFilter ref="A1:M16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76"/>
    <tableColumn id="3" xr3:uid="{8C3702C1-E43C-496C-A204-7587B7ED5C05}" uniqueName="3" name="Время" queryTableFieldId="3" dataDxfId="175"/>
    <tableColumn id="4" xr3:uid="{C16264D0-558B-425C-8205-E671C6E3EB9E}" uniqueName="4" name="Событие" queryTableFieldId="4" dataDxfId="174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73"/>
    <tableColumn id="10" xr3:uid="{37082223-0A57-495F-97B8-0BCE1F173A2E}" uniqueName="10" name="Folder Path" queryTableFieldId="10" dataDxfId="17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171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45" totalsRowShown="0">
  <autoFilter ref="A1:G1645" xr:uid="{803833C3-A4ED-4039-95A7-46694D1CE00F}"/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04"/>
  <sheetViews>
    <sheetView tabSelected="1" topLeftCell="I1" zoomScale="90" zoomScaleNormal="90" workbookViewId="0">
      <pane ySplit="1" topLeftCell="A88" activePane="bottomLeft" state="frozen"/>
      <selection pane="bottomLeft" activeCell="K111" sqref="K11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9" width="25.85546875" customWidth="1"/>
    <col min="10" max="10" width="51.85546875" customWidth="1"/>
    <col min="11" max="11" width="64.28515625" customWidth="1"/>
    <col min="12" max="13" width="25.85546875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2982</v>
      </c>
      <c r="K2" t="s">
        <v>3104</v>
      </c>
      <c r="L2" t="s">
        <v>3105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2982</v>
      </c>
      <c r="K3" t="s">
        <v>3106</v>
      </c>
      <c r="L3" t="s">
        <v>3107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2982</v>
      </c>
      <c r="K4" t="s">
        <v>3108</v>
      </c>
      <c r="L4" t="s">
        <v>3109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2982</v>
      </c>
      <c r="K5" t="s">
        <v>3110</v>
      </c>
      <c r="L5" t="s">
        <v>3111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2982</v>
      </c>
      <c r="K6" t="s">
        <v>3112</v>
      </c>
      <c r="L6" t="s">
        <v>3113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2982</v>
      </c>
      <c r="K7" t="s">
        <v>3114</v>
      </c>
      <c r="L7" t="s">
        <v>3115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2982</v>
      </c>
      <c r="K8" t="s">
        <v>3116</v>
      </c>
      <c r="L8" t="s">
        <v>3117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2982</v>
      </c>
      <c r="K9" t="s">
        <v>3118</v>
      </c>
      <c r="L9" t="s">
        <v>3119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2982</v>
      </c>
      <c r="K10" t="s">
        <v>3120</v>
      </c>
      <c r="L10" t="s">
        <v>3121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2982</v>
      </c>
      <c r="K11" t="s">
        <v>3122</v>
      </c>
      <c r="L11" t="s">
        <v>3123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2982</v>
      </c>
      <c r="K12" t="s">
        <v>3124</v>
      </c>
      <c r="L12" t="s">
        <v>3125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2982</v>
      </c>
      <c r="K13" t="s">
        <v>3126</v>
      </c>
      <c r="L13" t="s">
        <v>3127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2982</v>
      </c>
      <c r="K14" t="s">
        <v>3128</v>
      </c>
      <c r="L14" t="s">
        <v>3129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2982</v>
      </c>
      <c r="K15" t="s">
        <v>3130</v>
      </c>
      <c r="L15" t="s">
        <v>3131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2982</v>
      </c>
      <c r="K16" t="s">
        <v>3132</v>
      </c>
      <c r="L16" t="s">
        <v>3133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2982</v>
      </c>
      <c r="K17" t="s">
        <v>3134</v>
      </c>
      <c r="L17" t="s">
        <v>3135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2982</v>
      </c>
      <c r="K18" t="s">
        <v>3136</v>
      </c>
      <c r="L18" t="s">
        <v>3137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2982</v>
      </c>
      <c r="K19" t="s">
        <v>3138</v>
      </c>
      <c r="L19" t="s">
        <v>3139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2982</v>
      </c>
      <c r="K20" t="s">
        <v>3140</v>
      </c>
      <c r="L20" t="s">
        <v>3141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2982</v>
      </c>
      <c r="K21" t="s">
        <v>3142</v>
      </c>
      <c r="L21" t="s">
        <v>3143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2982</v>
      </c>
      <c r="K22" t="s">
        <v>3144</v>
      </c>
      <c r="L22" t="s">
        <v>3145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2982</v>
      </c>
      <c r="K23" t="s">
        <v>3146</v>
      </c>
      <c r="L23" t="s">
        <v>3147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2982</v>
      </c>
      <c r="K24" t="s">
        <v>3148</v>
      </c>
      <c r="L24" t="s">
        <v>3149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2982</v>
      </c>
      <c r="K25" t="s">
        <v>3150</v>
      </c>
      <c r="L25" t="s">
        <v>3151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2982</v>
      </c>
      <c r="K26" t="s">
        <v>3152</v>
      </c>
      <c r="L26" t="s">
        <v>3153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2982</v>
      </c>
      <c r="K27" t="s">
        <v>3154</v>
      </c>
      <c r="L27" t="s">
        <v>3155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2982</v>
      </c>
      <c r="K28" t="s">
        <v>3156</v>
      </c>
      <c r="L28" t="s">
        <v>3157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2982</v>
      </c>
      <c r="K29" t="s">
        <v>3158</v>
      </c>
      <c r="L29" t="s">
        <v>3159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2982</v>
      </c>
      <c r="K30" t="s">
        <v>3160</v>
      </c>
      <c r="L30" t="s">
        <v>3161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2982</v>
      </c>
      <c r="K31" t="s">
        <v>3162</v>
      </c>
      <c r="L31" t="s">
        <v>3163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2982</v>
      </c>
      <c r="K32" t="s">
        <v>3164</v>
      </c>
      <c r="L32" t="s">
        <v>3165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2982</v>
      </c>
      <c r="K33" t="s">
        <v>3166</v>
      </c>
      <c r="L33" t="s">
        <v>3167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2982</v>
      </c>
      <c r="K34" t="s">
        <v>3168</v>
      </c>
      <c r="L34" t="s">
        <v>3169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2982</v>
      </c>
      <c r="K35" t="s">
        <v>3170</v>
      </c>
      <c r="L35" t="s">
        <v>3171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2982</v>
      </c>
      <c r="K36" t="s">
        <v>3172</v>
      </c>
      <c r="L36" t="s">
        <v>3173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2982</v>
      </c>
      <c r="K37" t="s">
        <v>3174</v>
      </c>
      <c r="L37" t="s">
        <v>3175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2982</v>
      </c>
      <c r="K38" t="s">
        <v>3176</v>
      </c>
      <c r="L38" t="s">
        <v>3177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2982</v>
      </c>
      <c r="K39" t="s">
        <v>3178</v>
      </c>
      <c r="L39" t="s">
        <v>3179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2982</v>
      </c>
      <c r="K40" t="s">
        <v>3180</v>
      </c>
      <c r="L40" t="s">
        <v>3181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2982</v>
      </c>
      <c r="K41" t="s">
        <v>3182</v>
      </c>
      <c r="L41" t="s">
        <v>3183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2982</v>
      </c>
      <c r="K42" t="s">
        <v>3184</v>
      </c>
      <c r="L42" t="s">
        <v>3185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2982</v>
      </c>
      <c r="K43" t="s">
        <v>3186</v>
      </c>
      <c r="L43" t="s">
        <v>3187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2982</v>
      </c>
      <c r="K44" t="s">
        <v>3188</v>
      </c>
      <c r="L44" t="s">
        <v>3189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2982</v>
      </c>
      <c r="K45" t="s">
        <v>3190</v>
      </c>
      <c r="L45" t="s">
        <v>3191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2982</v>
      </c>
      <c r="K46" t="s">
        <v>3192</v>
      </c>
      <c r="L46" t="s">
        <v>3193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2982</v>
      </c>
      <c r="K47" t="s">
        <v>3194</v>
      </c>
      <c r="L47" t="s">
        <v>3195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2982</v>
      </c>
      <c r="K48" t="s">
        <v>3196</v>
      </c>
      <c r="L48" t="s">
        <v>3197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2982</v>
      </c>
      <c r="K49" t="s">
        <v>3198</v>
      </c>
      <c r="L49" t="s">
        <v>3199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2982</v>
      </c>
      <c r="K50" t="s">
        <v>3200</v>
      </c>
      <c r="L50" t="s">
        <v>3201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2982</v>
      </c>
      <c r="K51" t="s">
        <v>3202</v>
      </c>
      <c r="L51" t="s">
        <v>3203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2982</v>
      </c>
      <c r="K52" t="s">
        <v>3204</v>
      </c>
      <c r="L52" t="s">
        <v>3205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2982</v>
      </c>
      <c r="K53" t="s">
        <v>3206</v>
      </c>
      <c r="L53" t="s">
        <v>3207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2982</v>
      </c>
      <c r="K54" t="s">
        <v>3208</v>
      </c>
      <c r="L54" t="s">
        <v>3209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2982</v>
      </c>
      <c r="K55" t="s">
        <v>3210</v>
      </c>
      <c r="L55" t="s">
        <v>3211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2982</v>
      </c>
      <c r="K56" t="s">
        <v>3212</v>
      </c>
      <c r="L56" t="s">
        <v>3213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2982</v>
      </c>
      <c r="K57" t="s">
        <v>3214</v>
      </c>
      <c r="L57" t="s">
        <v>3215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2982</v>
      </c>
      <c r="K58" t="s">
        <v>3216</v>
      </c>
      <c r="L58" t="s">
        <v>3217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2982</v>
      </c>
      <c r="K59" t="s">
        <v>3218</v>
      </c>
      <c r="L59" t="s">
        <v>3219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2982</v>
      </c>
      <c r="K60" t="s">
        <v>3220</v>
      </c>
      <c r="L60" t="s">
        <v>3221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2982</v>
      </c>
      <c r="K61" t="s">
        <v>3222</v>
      </c>
      <c r="L61" t="s">
        <v>3223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2982</v>
      </c>
      <c r="K62" t="s">
        <v>3224</v>
      </c>
      <c r="L62" t="s">
        <v>3225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2995</v>
      </c>
      <c r="J63" t="s">
        <v>2982</v>
      </c>
      <c r="K63" t="s">
        <v>2996</v>
      </c>
      <c r="L63" t="s">
        <v>2997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2998</v>
      </c>
      <c r="J64" t="s">
        <v>2982</v>
      </c>
      <c r="K64" t="s">
        <v>2999</v>
      </c>
      <c r="L64" t="s">
        <v>3000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3019</v>
      </c>
      <c r="E65" t="s">
        <v>1607</v>
      </c>
      <c r="F65" t="s">
        <v>2929</v>
      </c>
      <c r="I65" t="s">
        <v>3001</v>
      </c>
      <c r="J65" t="s">
        <v>2982</v>
      </c>
      <c r="K65" t="s">
        <v>3002</v>
      </c>
      <c r="L65" t="s">
        <v>3003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3004</v>
      </c>
      <c r="J66" t="s">
        <v>2982</v>
      </c>
      <c r="K66" t="s">
        <v>3005</v>
      </c>
      <c r="L66" t="s">
        <v>3006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3007</v>
      </c>
      <c r="J67" t="s">
        <v>2982</v>
      </c>
      <c r="K67" t="s">
        <v>3008</v>
      </c>
      <c r="L67" t="s">
        <v>3009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3010</v>
      </c>
      <c r="J68" t="s">
        <v>2982</v>
      </c>
      <c r="K68" t="s">
        <v>3011</v>
      </c>
      <c r="L68" t="s">
        <v>3012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3020</v>
      </c>
      <c r="E69" t="s">
        <v>70</v>
      </c>
      <c r="F69" t="s">
        <v>58</v>
      </c>
      <c r="I69" t="s">
        <v>3013</v>
      </c>
      <c r="J69" t="s">
        <v>2982</v>
      </c>
      <c r="K69" t="s">
        <v>3014</v>
      </c>
      <c r="L69" t="s">
        <v>3015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3020</v>
      </c>
      <c r="E70" t="s">
        <v>70</v>
      </c>
      <c r="F70" t="s">
        <v>58</v>
      </c>
      <c r="H70" t="s">
        <v>2936</v>
      </c>
      <c r="I70" t="s">
        <v>3016</v>
      </c>
      <c r="J70" t="s">
        <v>2982</v>
      </c>
      <c r="K70" t="s">
        <v>3017</v>
      </c>
      <c r="L70" t="s">
        <v>3018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4191</v>
      </c>
      <c r="E71" t="s">
        <v>4193</v>
      </c>
      <c r="F71" t="s">
        <v>51</v>
      </c>
      <c r="I71" t="s">
        <v>3226</v>
      </c>
      <c r="J71" t="s">
        <v>2982</v>
      </c>
      <c r="K71" t="s">
        <v>3227</v>
      </c>
      <c r="L71" t="s">
        <v>3228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4193</v>
      </c>
      <c r="F72" t="s">
        <v>58</v>
      </c>
      <c r="I72" t="s">
        <v>3229</v>
      </c>
      <c r="J72" t="s">
        <v>2982</v>
      </c>
      <c r="K72" t="s">
        <v>3230</v>
      </c>
      <c r="L72" t="s">
        <v>3231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4193</v>
      </c>
      <c r="F73" t="s">
        <v>58</v>
      </c>
      <c r="I73" t="s">
        <v>3232</v>
      </c>
      <c r="J73" t="s">
        <v>2982</v>
      </c>
      <c r="K73" t="s">
        <v>3233</v>
      </c>
      <c r="L73" t="s">
        <v>3234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4193</v>
      </c>
      <c r="F74" t="s">
        <v>58</v>
      </c>
      <c r="I74" t="s">
        <v>3235</v>
      </c>
      <c r="J74" t="s">
        <v>2982</v>
      </c>
      <c r="K74" t="s">
        <v>3236</v>
      </c>
      <c r="L74" t="s">
        <v>3237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4191</v>
      </c>
      <c r="E75" t="s">
        <v>4192</v>
      </c>
      <c r="I75" t="s">
        <v>3238</v>
      </c>
      <c r="J75" t="s">
        <v>2982</v>
      </c>
      <c r="K75" t="s">
        <v>3239</v>
      </c>
      <c r="L75" t="s">
        <v>3240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4192</v>
      </c>
      <c r="I76" t="s">
        <v>3241</v>
      </c>
      <c r="J76" t="s">
        <v>2982</v>
      </c>
      <c r="K76" t="s">
        <v>3242</v>
      </c>
      <c r="L76" t="s">
        <v>3243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4194</v>
      </c>
      <c r="I77" t="s">
        <v>3244</v>
      </c>
      <c r="J77" t="s">
        <v>2982</v>
      </c>
      <c r="K77" t="s">
        <v>3245</v>
      </c>
      <c r="L77" t="s">
        <v>3246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4194</v>
      </c>
      <c r="I78" t="s">
        <v>3247</v>
      </c>
      <c r="J78" t="s">
        <v>2982</v>
      </c>
      <c r="K78" t="s">
        <v>3248</v>
      </c>
      <c r="L78" t="s">
        <v>3249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4195</v>
      </c>
      <c r="F79" t="s">
        <v>51</v>
      </c>
      <c r="I79" t="s">
        <v>3250</v>
      </c>
      <c r="J79" t="s">
        <v>2982</v>
      </c>
      <c r="K79" t="s">
        <v>3251</v>
      </c>
      <c r="L79" t="s">
        <v>3252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4196</v>
      </c>
      <c r="F80" t="s">
        <v>51</v>
      </c>
      <c r="I80" t="s">
        <v>3253</v>
      </c>
      <c r="J80" t="s">
        <v>2982</v>
      </c>
      <c r="K80" t="s">
        <v>3254</v>
      </c>
      <c r="L80" t="s">
        <v>3255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4195</v>
      </c>
      <c r="F81" t="s">
        <v>4197</v>
      </c>
      <c r="H81" t="s">
        <v>4198</v>
      </c>
      <c r="I81" t="s">
        <v>3256</v>
      </c>
      <c r="J81" t="s">
        <v>2982</v>
      </c>
      <c r="K81" t="s">
        <v>3257</v>
      </c>
      <c r="L81" t="s">
        <v>3258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4195</v>
      </c>
      <c r="F82" t="s">
        <v>4197</v>
      </c>
      <c r="I82" t="s">
        <v>3259</v>
      </c>
      <c r="J82" t="s">
        <v>2982</v>
      </c>
      <c r="K82" t="s">
        <v>3260</v>
      </c>
      <c r="L82" t="s">
        <v>3261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4253</v>
      </c>
      <c r="J83" t="s">
        <v>2982</v>
      </c>
      <c r="K83" t="s">
        <v>4254</v>
      </c>
      <c r="L83" t="s">
        <v>4255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4256</v>
      </c>
      <c r="J84" t="s">
        <v>2982</v>
      </c>
      <c r="K84" t="s">
        <v>4257</v>
      </c>
      <c r="L84" t="s">
        <v>4258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4195</v>
      </c>
      <c r="F85" t="s">
        <v>1609</v>
      </c>
      <c r="H85" t="s">
        <v>5075</v>
      </c>
      <c r="I85" t="s">
        <v>4403</v>
      </c>
      <c r="J85" t="s">
        <v>2982</v>
      </c>
      <c r="K85" t="s">
        <v>4404</v>
      </c>
      <c r="L85" t="s">
        <v>4405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4195</v>
      </c>
      <c r="F86" t="s">
        <v>51</v>
      </c>
      <c r="H86" t="s">
        <v>5076</v>
      </c>
      <c r="I86" t="s">
        <v>4406</v>
      </c>
      <c r="J86" t="s">
        <v>2982</v>
      </c>
      <c r="K86" t="s">
        <v>4407</v>
      </c>
      <c r="L86" t="s">
        <v>4408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5077</v>
      </c>
      <c r="I87" t="s">
        <v>4409</v>
      </c>
      <c r="J87" t="s">
        <v>2982</v>
      </c>
      <c r="K87" t="s">
        <v>4410</v>
      </c>
      <c r="L87" t="s">
        <v>4411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5077</v>
      </c>
      <c r="I88" t="s">
        <v>4412</v>
      </c>
      <c r="J88" t="s">
        <v>2982</v>
      </c>
      <c r="K88" t="s">
        <v>4413</v>
      </c>
      <c r="L88" t="s">
        <v>4414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5077</v>
      </c>
      <c r="I89" t="s">
        <v>4415</v>
      </c>
      <c r="J89" t="s">
        <v>2982</v>
      </c>
      <c r="K89" t="s">
        <v>4416</v>
      </c>
      <c r="L89" t="s">
        <v>4417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5077</v>
      </c>
      <c r="I90" t="s">
        <v>4418</v>
      </c>
      <c r="J90" t="s">
        <v>2982</v>
      </c>
      <c r="K90" t="s">
        <v>4419</v>
      </c>
      <c r="L90" t="s">
        <v>4420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4421</v>
      </c>
      <c r="J91" t="s">
        <v>2982</v>
      </c>
      <c r="K91" t="s">
        <v>4422</v>
      </c>
      <c r="L91" t="s">
        <v>4423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5077</v>
      </c>
      <c r="I92" t="s">
        <v>4424</v>
      </c>
      <c r="J92" t="s">
        <v>2982</v>
      </c>
      <c r="K92" t="s">
        <v>4425</v>
      </c>
      <c r="L92" t="s">
        <v>4426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5077</v>
      </c>
      <c r="I93" t="s">
        <v>4427</v>
      </c>
      <c r="J93" t="s">
        <v>2982</v>
      </c>
      <c r="K93" t="s">
        <v>4428</v>
      </c>
      <c r="L93" t="s">
        <v>4429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5077</v>
      </c>
      <c r="I94" t="s">
        <v>4430</v>
      </c>
      <c r="J94" t="s">
        <v>2982</v>
      </c>
      <c r="K94" t="s">
        <v>4431</v>
      </c>
      <c r="L94" t="s">
        <v>4432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5077</v>
      </c>
      <c r="I95" t="s">
        <v>4433</v>
      </c>
      <c r="J95" t="s">
        <v>2982</v>
      </c>
      <c r="K95" t="s">
        <v>4434</v>
      </c>
      <c r="L95" t="s">
        <v>4435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4436</v>
      </c>
      <c r="J96" t="s">
        <v>2982</v>
      </c>
      <c r="K96" t="s">
        <v>4437</v>
      </c>
      <c r="L96" t="s">
        <v>4438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5078</v>
      </c>
      <c r="I97" t="s">
        <v>4439</v>
      </c>
      <c r="J97" t="s">
        <v>2982</v>
      </c>
      <c r="K97" t="s">
        <v>4440</v>
      </c>
      <c r="L97" t="s">
        <v>4441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5077</v>
      </c>
      <c r="I98" t="s">
        <v>4442</v>
      </c>
      <c r="J98" t="s">
        <v>2982</v>
      </c>
      <c r="K98" t="s">
        <v>4443</v>
      </c>
      <c r="L98" t="s">
        <v>4444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5077</v>
      </c>
      <c r="I99" t="s">
        <v>4445</v>
      </c>
      <c r="J99" t="s">
        <v>2982</v>
      </c>
      <c r="K99" t="s">
        <v>4446</v>
      </c>
      <c r="L99" t="s">
        <v>4447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4448</v>
      </c>
      <c r="J100" t="s">
        <v>2982</v>
      </c>
      <c r="K100" t="s">
        <v>4449</v>
      </c>
      <c r="L100" t="s">
        <v>4450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5260</v>
      </c>
      <c r="F101" t="s">
        <v>51</v>
      </c>
      <c r="I101" t="s">
        <v>5145</v>
      </c>
      <c r="J101" t="s">
        <v>2982</v>
      </c>
      <c r="K101" t="s">
        <v>5306</v>
      </c>
      <c r="L101" t="s">
        <v>5146</v>
      </c>
      <c r="M101" s="3" t="str">
        <f>HYPERLINK(склад2въезд[[#This Row],[RelativePath]])</f>
        <v>1 Ангар Склад 2 въезд/e33149364_6_20251207t135449z.jpg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5260</v>
      </c>
      <c r="F102" t="s">
        <v>5261</v>
      </c>
      <c r="H102" t="s">
        <v>5262</v>
      </c>
      <c r="I102" t="s">
        <v>5147</v>
      </c>
      <c r="J102" t="s">
        <v>2982</v>
      </c>
      <c r="K102" t="s">
        <v>5305</v>
      </c>
      <c r="L102" t="s">
        <v>5148</v>
      </c>
      <c r="M102" s="3" t="str">
        <f>HYPERLINK(склад2въезд[[#This Row],[RelativePath]])</f>
        <v>1 Ангар Склад 2 въезд/E33149364_6_20251207T160931Z.jpg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I103" t="s">
        <v>5291</v>
      </c>
      <c r="J103" t="s">
        <v>5292</v>
      </c>
      <c r="K103" t="s">
        <v>5304</v>
      </c>
      <c r="L103" t="s">
        <v>5293</v>
      </c>
      <c r="M103" s="3" t="str">
        <f>HYPERLINK(склад2въезд[[#This Row],[RelativePath]])</f>
        <v>1 Ангар Склад 2 въезд/E33149364_6_20251208T142216Z.jpg</v>
      </c>
      <c r="N103" t="e">
        <f>VLOOKUP(склад2въезд[[#This Row],[Name]], СпрСобытий!$F:$G, 2, FALSE)</f>
        <v>#N/A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I104" t="s">
        <v>5294</v>
      </c>
      <c r="J104" t="s">
        <v>5292</v>
      </c>
      <c r="K104" t="s">
        <v>5303</v>
      </c>
      <c r="L104" t="s">
        <v>5295</v>
      </c>
      <c r="M104" s="3" t="str">
        <f>HYPERLINK(склад2въезд[[#This Row],[RelativePath]])</f>
        <v>1 Ангар Склад 2 въезд/E33149364_6_20251208T155849Z.jpg</v>
      </c>
      <c r="N104" t="e">
        <f>VLOOKUP(склад2въезд[[#This Row],[Name]], СпрСобытий!$F:$G, 2, FALSE)</f>
        <v>#N/A</v>
      </c>
    </row>
  </sheetData>
  <phoneticPr fontId="2" type="noConversion"/>
  <conditionalFormatting sqref="E105:E118 D105:D115 G2:H104 D2:E104">
    <cfRule type="containsText" dxfId="496" priority="23" operator="containsText" text="Выезд с территории">
      <formula>NOT(ISERROR(SEARCH("Выезд с территории",D2)))</formula>
    </cfRule>
  </conditionalFormatting>
  <conditionalFormatting sqref="F2:F592">
    <cfRule type="notContainsText" dxfId="495" priority="21" operator="notContains" text="порожний">
      <formula>ISERROR(SEARCH("порожний",F2))</formula>
    </cfRule>
  </conditionalFormatting>
  <conditionalFormatting sqref="E2:E118">
    <cfRule type="containsText" dxfId="494" priority="12" operator="containsText" text="Газель базы">
      <formula>NOT(ISERROR(SEARCH("Газель базы",E2)))</formula>
    </cfRule>
    <cfRule type="containsText" dxfId="493" priority="13" operator="containsText" text="Погрузчик базы">
      <formula>NOT(ISERROR(SEARCH("Погрузчик базы",E2)))</formula>
    </cfRule>
  </conditionalFormatting>
  <conditionalFormatting sqref="E2:E118">
    <cfRule type="containsText" dxfId="492" priority="11" operator="containsText" text="Трактор базы">
      <formula>NOT(ISERROR(SEARCH("Трактор базы",E2)))</formula>
    </cfRule>
  </conditionalFormatting>
  <conditionalFormatting sqref="A2:C104">
    <cfRule type="expression" dxfId="491" priority="9">
      <formula>$A2="пн"</formula>
    </cfRule>
  </conditionalFormatting>
  <conditionalFormatting sqref="A2:C106">
    <cfRule type="expression" dxfId="490" priority="3">
      <formula>$A2="вс"</formula>
    </cfRule>
    <cfRule type="expression" dxfId="489" priority="4">
      <formula>$A2="сб"</formula>
    </cfRule>
    <cfRule type="expression" dxfId="488" priority="5">
      <formula>$A2="пт"</formula>
    </cfRule>
    <cfRule type="expression" dxfId="487" priority="6">
      <formula>$A2="чт"</formula>
    </cfRule>
    <cfRule type="expression" dxfId="486" priority="7">
      <formula>$A2="ср"</formula>
    </cfRule>
    <cfRule type="expression" dxfId="485" priority="8">
      <formula>$A2="вт"</formula>
    </cfRule>
  </conditionalFormatting>
  <conditionalFormatting sqref="D2:D115">
    <cfRule type="containsText" dxfId="4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4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33"/>
  <sheetViews>
    <sheetView zoomScale="90" zoomScaleNormal="90" workbookViewId="0">
      <pane ySplit="1" topLeftCell="A111" activePane="bottomLeft" state="frozen"/>
      <selection pane="bottomLeft" activeCell="H135" sqref="H13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44.5703125" bestFit="1" customWidth="1"/>
    <col min="6" max="6" width="24.42578125" bestFit="1" customWidth="1"/>
    <col min="7" max="7" width="9.7109375" bestFit="1" customWidth="1"/>
    <col min="8" max="8" width="30.140625" bestFit="1" customWidth="1"/>
    <col min="9" max="9" width="35.42578125" hidden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2990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2990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2990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2990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2990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2990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2990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2990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2990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2990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2990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2990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2990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2990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2990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2990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2990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2990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2990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2990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2990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2990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2990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2990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2990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2990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2990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2990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2990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2990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2990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2990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2990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2990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2990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2990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2990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2990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2990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2990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2990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2990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2990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2990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2990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2990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2990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3072</v>
      </c>
      <c r="H49" t="s">
        <v>3073</v>
      </c>
      <c r="I49" t="s">
        <v>3021</v>
      </c>
      <c r="J49" t="s">
        <v>2990</v>
      </c>
      <c r="K49" t="s">
        <v>3022</v>
      </c>
      <c r="L49" t="s">
        <v>3023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3074</v>
      </c>
      <c r="E50" t="s">
        <v>86</v>
      </c>
      <c r="F50" t="s">
        <v>3072</v>
      </c>
      <c r="H50" t="s">
        <v>3075</v>
      </c>
      <c r="I50" t="s">
        <v>3024</v>
      </c>
      <c r="J50" t="s">
        <v>2990</v>
      </c>
      <c r="K50" t="s">
        <v>3025</v>
      </c>
      <c r="L50" t="s">
        <v>3026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3072</v>
      </c>
      <c r="H51" t="s">
        <v>3073</v>
      </c>
      <c r="I51" t="s">
        <v>3027</v>
      </c>
      <c r="J51" t="s">
        <v>2990</v>
      </c>
      <c r="K51" t="s">
        <v>3028</v>
      </c>
      <c r="L51" t="s">
        <v>3029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3074</v>
      </c>
      <c r="E52" t="s">
        <v>86</v>
      </c>
      <c r="F52" t="s">
        <v>3072</v>
      </c>
      <c r="H52" t="s">
        <v>3075</v>
      </c>
      <c r="I52" t="s">
        <v>3030</v>
      </c>
      <c r="J52" t="s">
        <v>2990</v>
      </c>
      <c r="K52" t="s">
        <v>3031</v>
      </c>
      <c r="L52" t="s">
        <v>3032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3076</v>
      </c>
      <c r="I53" t="s">
        <v>3033</v>
      </c>
      <c r="J53" t="s">
        <v>2990</v>
      </c>
      <c r="K53" t="s">
        <v>3034</v>
      </c>
      <c r="L53" t="s">
        <v>3035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3072</v>
      </c>
      <c r="H54" t="s">
        <v>3073</v>
      </c>
      <c r="I54" t="s">
        <v>3036</v>
      </c>
      <c r="J54" t="s">
        <v>2990</v>
      </c>
      <c r="K54" t="s">
        <v>3037</v>
      </c>
      <c r="L54" t="s">
        <v>3038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3074</v>
      </c>
      <c r="E55" t="s">
        <v>86</v>
      </c>
      <c r="F55" t="s">
        <v>3072</v>
      </c>
      <c r="H55" t="s">
        <v>3075</v>
      </c>
      <c r="I55" t="s">
        <v>3039</v>
      </c>
      <c r="J55" t="s">
        <v>2990</v>
      </c>
      <c r="K55" t="s">
        <v>3040</v>
      </c>
      <c r="L55" t="s">
        <v>3041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3072</v>
      </c>
      <c r="H56" t="s">
        <v>3073</v>
      </c>
      <c r="I56" t="s">
        <v>3042</v>
      </c>
      <c r="J56" t="s">
        <v>2990</v>
      </c>
      <c r="K56" t="s">
        <v>3043</v>
      </c>
      <c r="L56" t="s">
        <v>3044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3074</v>
      </c>
      <c r="E57" t="s">
        <v>86</v>
      </c>
      <c r="F57" t="s">
        <v>3072</v>
      </c>
      <c r="H57" t="s">
        <v>3075</v>
      </c>
      <c r="I57" t="s">
        <v>3045</v>
      </c>
      <c r="J57" t="s">
        <v>2990</v>
      </c>
      <c r="K57" t="s">
        <v>3046</v>
      </c>
      <c r="L57" t="s">
        <v>3047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3072</v>
      </c>
      <c r="H58" t="s">
        <v>3073</v>
      </c>
      <c r="I58" t="s">
        <v>3048</v>
      </c>
      <c r="J58" t="s">
        <v>2990</v>
      </c>
      <c r="K58" t="s">
        <v>3049</v>
      </c>
      <c r="L58" t="s">
        <v>3050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3074</v>
      </c>
      <c r="E59" t="s">
        <v>86</v>
      </c>
      <c r="F59" t="s">
        <v>3072</v>
      </c>
      <c r="H59" t="s">
        <v>3075</v>
      </c>
      <c r="I59" t="s">
        <v>3051</v>
      </c>
      <c r="J59" t="s">
        <v>2990</v>
      </c>
      <c r="K59" t="s">
        <v>3052</v>
      </c>
      <c r="L59" t="s">
        <v>3053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3077</v>
      </c>
      <c r="G60">
        <v>1</v>
      </c>
      <c r="I60" t="s">
        <v>3054</v>
      </c>
      <c r="J60" t="s">
        <v>2990</v>
      </c>
      <c r="K60" t="s">
        <v>3055</v>
      </c>
      <c r="L60" t="s">
        <v>3056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3074</v>
      </c>
      <c r="E61" t="s">
        <v>86</v>
      </c>
      <c r="F61" t="s">
        <v>3077</v>
      </c>
      <c r="G61">
        <v>1</v>
      </c>
      <c r="H61" t="s">
        <v>3078</v>
      </c>
      <c r="I61" t="s">
        <v>3057</v>
      </c>
      <c r="J61" t="s">
        <v>2990</v>
      </c>
      <c r="K61" t="s">
        <v>3058</v>
      </c>
      <c r="L61" t="s">
        <v>3059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3077</v>
      </c>
      <c r="G62">
        <v>1</v>
      </c>
      <c r="I62" t="s">
        <v>3060</v>
      </c>
      <c r="J62" t="s">
        <v>2990</v>
      </c>
      <c r="K62" t="s">
        <v>3061</v>
      </c>
      <c r="L62" t="s">
        <v>3062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3074</v>
      </c>
      <c r="E63" t="s">
        <v>86</v>
      </c>
      <c r="F63" t="s">
        <v>3077</v>
      </c>
      <c r="G63">
        <v>1</v>
      </c>
      <c r="H63" t="s">
        <v>3078</v>
      </c>
      <c r="I63" t="s">
        <v>3063</v>
      </c>
      <c r="J63" t="s">
        <v>2990</v>
      </c>
      <c r="K63" t="s">
        <v>3064</v>
      </c>
      <c r="L63" t="s">
        <v>3065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3076</v>
      </c>
      <c r="I64" t="s">
        <v>3066</v>
      </c>
      <c r="J64" t="s">
        <v>2990</v>
      </c>
      <c r="K64" t="s">
        <v>3067</v>
      </c>
      <c r="L64" t="s">
        <v>3068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3079</v>
      </c>
      <c r="I65" t="s">
        <v>3069</v>
      </c>
      <c r="J65" t="s">
        <v>2990</v>
      </c>
      <c r="K65" t="s">
        <v>3070</v>
      </c>
      <c r="L65" t="s">
        <v>3071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4199</v>
      </c>
      <c r="E66" t="s">
        <v>4193</v>
      </c>
      <c r="F66" t="s">
        <v>51</v>
      </c>
      <c r="I66" t="s">
        <v>3262</v>
      </c>
      <c r="J66" t="s">
        <v>2990</v>
      </c>
      <c r="K66" t="s">
        <v>3263</v>
      </c>
      <c r="L66" t="s">
        <v>3264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4200</v>
      </c>
      <c r="E67" t="s">
        <v>4201</v>
      </c>
      <c r="H67" t="s">
        <v>3076</v>
      </c>
      <c r="I67" t="s">
        <v>3265</v>
      </c>
      <c r="J67" t="s">
        <v>2990</v>
      </c>
      <c r="K67" t="s">
        <v>3266</v>
      </c>
      <c r="L67" t="s">
        <v>3267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4200</v>
      </c>
      <c r="E68" t="s">
        <v>4201</v>
      </c>
      <c r="H68" t="s">
        <v>2936</v>
      </c>
      <c r="I68" t="s">
        <v>3268</v>
      </c>
      <c r="J68" t="s">
        <v>2990</v>
      </c>
      <c r="K68" t="s">
        <v>3269</v>
      </c>
      <c r="L68" t="s">
        <v>3270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4200</v>
      </c>
      <c r="E69" t="s">
        <v>4201</v>
      </c>
      <c r="H69" t="s">
        <v>2936</v>
      </c>
      <c r="I69" t="s">
        <v>3271</v>
      </c>
      <c r="J69" t="s">
        <v>2990</v>
      </c>
      <c r="K69" t="s">
        <v>3272</v>
      </c>
      <c r="L69" t="s">
        <v>3273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4200</v>
      </c>
      <c r="E70" t="s">
        <v>4201</v>
      </c>
      <c r="H70" t="s">
        <v>2936</v>
      </c>
      <c r="I70" t="s">
        <v>3274</v>
      </c>
      <c r="J70" t="s">
        <v>2990</v>
      </c>
      <c r="K70" t="s">
        <v>3275</v>
      </c>
      <c r="L70" t="s">
        <v>3276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4200</v>
      </c>
      <c r="E71" t="s">
        <v>4201</v>
      </c>
      <c r="H71" t="s">
        <v>2936</v>
      </c>
      <c r="I71" t="s">
        <v>3277</v>
      </c>
      <c r="J71" t="s">
        <v>2990</v>
      </c>
      <c r="K71" t="s">
        <v>3278</v>
      </c>
      <c r="L71" t="s">
        <v>3279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4200</v>
      </c>
      <c r="E72" t="s">
        <v>4201</v>
      </c>
      <c r="H72" t="s">
        <v>2936</v>
      </c>
      <c r="I72" t="s">
        <v>3280</v>
      </c>
      <c r="J72" t="s">
        <v>2990</v>
      </c>
      <c r="K72" t="s">
        <v>3281</v>
      </c>
      <c r="L72" t="s">
        <v>3282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4200</v>
      </c>
      <c r="E73" t="s">
        <v>4201</v>
      </c>
      <c r="H73" t="s">
        <v>2936</v>
      </c>
      <c r="I73" t="s">
        <v>3283</v>
      </c>
      <c r="J73" t="s">
        <v>2990</v>
      </c>
      <c r="K73" t="s">
        <v>3284</v>
      </c>
      <c r="L73" t="s">
        <v>3285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4200</v>
      </c>
      <c r="E74" t="s">
        <v>4201</v>
      </c>
      <c r="H74" t="s">
        <v>2936</v>
      </c>
      <c r="I74" t="s">
        <v>3286</v>
      </c>
      <c r="J74" t="s">
        <v>2990</v>
      </c>
      <c r="K74" t="s">
        <v>3287</v>
      </c>
      <c r="L74" t="s">
        <v>3288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4200</v>
      </c>
      <c r="E75" t="s">
        <v>4201</v>
      </c>
      <c r="H75" t="s">
        <v>2936</v>
      </c>
      <c r="I75" t="s">
        <v>3289</v>
      </c>
      <c r="J75" t="s">
        <v>2990</v>
      </c>
      <c r="K75" t="s">
        <v>3290</v>
      </c>
      <c r="L75" t="s">
        <v>3291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4200</v>
      </c>
      <c r="E76" t="s">
        <v>4201</v>
      </c>
      <c r="H76" t="s">
        <v>2936</v>
      </c>
      <c r="I76" t="s">
        <v>3292</v>
      </c>
      <c r="J76" t="s">
        <v>2990</v>
      </c>
      <c r="K76" t="s">
        <v>3293</v>
      </c>
      <c r="L76" t="s">
        <v>3294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4200</v>
      </c>
      <c r="E77" t="s">
        <v>4201</v>
      </c>
      <c r="H77" t="s">
        <v>2936</v>
      </c>
      <c r="I77" t="s">
        <v>3295</v>
      </c>
      <c r="J77" t="s">
        <v>2990</v>
      </c>
      <c r="K77" t="s">
        <v>3296</v>
      </c>
      <c r="L77" t="s">
        <v>3297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3072</v>
      </c>
      <c r="H78" t="s">
        <v>3073</v>
      </c>
      <c r="I78" t="s">
        <v>3298</v>
      </c>
      <c r="J78" t="s">
        <v>2990</v>
      </c>
      <c r="K78" t="s">
        <v>3299</v>
      </c>
      <c r="L78" t="s">
        <v>3300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3074</v>
      </c>
      <c r="E79" t="s">
        <v>86</v>
      </c>
      <c r="F79" t="s">
        <v>3072</v>
      </c>
      <c r="H79" t="s">
        <v>3075</v>
      </c>
      <c r="I79" t="s">
        <v>3301</v>
      </c>
      <c r="J79" t="s">
        <v>2990</v>
      </c>
      <c r="K79" t="s">
        <v>3302</v>
      </c>
      <c r="L79" t="s">
        <v>3303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3072</v>
      </c>
      <c r="H80" t="s">
        <v>3073</v>
      </c>
      <c r="I80" t="s">
        <v>3304</v>
      </c>
      <c r="J80" t="s">
        <v>2990</v>
      </c>
      <c r="K80" t="s">
        <v>3305</v>
      </c>
      <c r="L80" t="s">
        <v>3306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3074</v>
      </c>
      <c r="E81" t="s">
        <v>86</v>
      </c>
      <c r="F81" t="s">
        <v>3072</v>
      </c>
      <c r="H81" t="s">
        <v>3075</v>
      </c>
      <c r="I81" t="s">
        <v>3307</v>
      </c>
      <c r="J81" t="s">
        <v>2990</v>
      </c>
      <c r="K81" t="s">
        <v>3308</v>
      </c>
      <c r="L81" t="s">
        <v>3309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3072</v>
      </c>
      <c r="H82" t="s">
        <v>3073</v>
      </c>
      <c r="I82" t="s">
        <v>3310</v>
      </c>
      <c r="J82" t="s">
        <v>2990</v>
      </c>
      <c r="K82" t="s">
        <v>3311</v>
      </c>
      <c r="L82" t="s">
        <v>3312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3074</v>
      </c>
      <c r="E83" t="s">
        <v>86</v>
      </c>
      <c r="F83" t="s">
        <v>3072</v>
      </c>
      <c r="H83" t="s">
        <v>3075</v>
      </c>
      <c r="I83" t="s">
        <v>3313</v>
      </c>
      <c r="J83" t="s">
        <v>2990</v>
      </c>
      <c r="K83" t="s">
        <v>3314</v>
      </c>
      <c r="L83" t="s">
        <v>3315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3072</v>
      </c>
      <c r="H84" t="s">
        <v>3073</v>
      </c>
      <c r="I84" t="s">
        <v>3316</v>
      </c>
      <c r="J84" t="s">
        <v>2990</v>
      </c>
      <c r="K84" t="s">
        <v>3317</v>
      </c>
      <c r="L84" t="s">
        <v>3318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3074</v>
      </c>
      <c r="E85" t="s">
        <v>86</v>
      </c>
      <c r="F85" t="s">
        <v>3072</v>
      </c>
      <c r="H85" t="s">
        <v>3075</v>
      </c>
      <c r="I85" t="s">
        <v>3319</v>
      </c>
      <c r="J85" t="s">
        <v>2990</v>
      </c>
      <c r="K85" t="s">
        <v>3320</v>
      </c>
      <c r="L85" t="s">
        <v>3321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4203</v>
      </c>
      <c r="E86" t="s">
        <v>4194</v>
      </c>
      <c r="F86" t="s">
        <v>51</v>
      </c>
      <c r="I86" t="s">
        <v>3322</v>
      </c>
      <c r="J86" t="s">
        <v>2990</v>
      </c>
      <c r="K86" t="s">
        <v>3323</v>
      </c>
      <c r="L86" t="s">
        <v>3324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4203</v>
      </c>
      <c r="E87" t="s">
        <v>4194</v>
      </c>
      <c r="F87" t="s">
        <v>51</v>
      </c>
      <c r="H87" t="s">
        <v>2936</v>
      </c>
      <c r="I87" t="s">
        <v>3325</v>
      </c>
      <c r="J87" t="s">
        <v>2990</v>
      </c>
      <c r="K87" t="s">
        <v>3326</v>
      </c>
      <c r="L87" t="s">
        <v>3327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4203</v>
      </c>
      <c r="E88" t="s">
        <v>4194</v>
      </c>
      <c r="F88" t="s">
        <v>51</v>
      </c>
      <c r="H88" t="s">
        <v>2936</v>
      </c>
      <c r="I88" t="s">
        <v>3328</v>
      </c>
      <c r="J88" t="s">
        <v>2990</v>
      </c>
      <c r="K88" t="s">
        <v>3329</v>
      </c>
      <c r="L88" t="s">
        <v>3330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4202</v>
      </c>
      <c r="E89" t="s">
        <v>4194</v>
      </c>
      <c r="I89" t="s">
        <v>3331</v>
      </c>
      <c r="J89" t="s">
        <v>2990</v>
      </c>
      <c r="K89" t="s">
        <v>3332</v>
      </c>
      <c r="L89" t="s">
        <v>3333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3079</v>
      </c>
      <c r="I90" t="s">
        <v>3334</v>
      </c>
      <c r="J90" t="s">
        <v>2990</v>
      </c>
      <c r="K90" t="s">
        <v>3335</v>
      </c>
      <c r="L90" t="s">
        <v>3336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4259</v>
      </c>
      <c r="J91" t="s">
        <v>2990</v>
      </c>
      <c r="K91" t="s">
        <v>4260</v>
      </c>
      <c r="L91" t="s">
        <v>4261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5079</v>
      </c>
      <c r="E92" t="s">
        <v>1607</v>
      </c>
      <c r="F92" t="s">
        <v>5080</v>
      </c>
      <c r="H92" t="s">
        <v>5081</v>
      </c>
      <c r="I92" t="s">
        <v>4300</v>
      </c>
      <c r="J92" t="s">
        <v>2990</v>
      </c>
      <c r="K92" t="s">
        <v>4301</v>
      </c>
      <c r="L92" t="s">
        <v>4302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5082</v>
      </c>
      <c r="E93" t="s">
        <v>86</v>
      </c>
      <c r="F93" t="s">
        <v>3072</v>
      </c>
      <c r="H93" t="s">
        <v>5083</v>
      </c>
      <c r="I93" t="s">
        <v>4303</v>
      </c>
      <c r="J93" t="s">
        <v>2990</v>
      </c>
      <c r="K93" t="s">
        <v>4304</v>
      </c>
      <c r="L93" t="s">
        <v>4305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4306</v>
      </c>
      <c r="J94" t="s">
        <v>2990</v>
      </c>
      <c r="K94" t="s">
        <v>4307</v>
      </c>
      <c r="L94" t="s">
        <v>4308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4309</v>
      </c>
      <c r="J95" t="s">
        <v>2990</v>
      </c>
      <c r="K95" t="s">
        <v>4310</v>
      </c>
      <c r="L95" t="s">
        <v>4311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5082</v>
      </c>
      <c r="E96" t="s">
        <v>86</v>
      </c>
      <c r="F96" t="s">
        <v>2938</v>
      </c>
      <c r="H96" t="s">
        <v>5083</v>
      </c>
      <c r="I96" t="s">
        <v>4312</v>
      </c>
      <c r="J96" t="s">
        <v>2990</v>
      </c>
      <c r="K96" t="s">
        <v>4313</v>
      </c>
      <c r="L96" t="s">
        <v>4314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5084</v>
      </c>
      <c r="H97" t="s">
        <v>5085</v>
      </c>
      <c r="I97" t="s">
        <v>4315</v>
      </c>
      <c r="J97" t="s">
        <v>2990</v>
      </c>
      <c r="K97" t="s">
        <v>4316</v>
      </c>
      <c r="L97" t="s">
        <v>4317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4319</v>
      </c>
      <c r="J98" t="s">
        <v>2990</v>
      </c>
      <c r="K98" t="s">
        <v>4320</v>
      </c>
      <c r="L98" t="s">
        <v>4321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3076</v>
      </c>
      <c r="I99" t="s">
        <v>4322</v>
      </c>
      <c r="J99" t="s">
        <v>2990</v>
      </c>
      <c r="K99" t="s">
        <v>4323</v>
      </c>
      <c r="L99" t="s">
        <v>4324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3076</v>
      </c>
      <c r="I100" t="s">
        <v>4325</v>
      </c>
      <c r="J100" t="s">
        <v>2990</v>
      </c>
      <c r="K100" t="s">
        <v>4326</v>
      </c>
      <c r="L100" t="s">
        <v>4327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3076</v>
      </c>
      <c r="I101" t="s">
        <v>4328</v>
      </c>
      <c r="J101" t="s">
        <v>2990</v>
      </c>
      <c r="K101" t="s">
        <v>4329</v>
      </c>
      <c r="L101" t="s">
        <v>4330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3076</v>
      </c>
      <c r="I102" t="s">
        <v>4331</v>
      </c>
      <c r="J102" t="s">
        <v>2990</v>
      </c>
      <c r="K102" t="s">
        <v>4332</v>
      </c>
      <c r="L102" t="s">
        <v>4333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3076</v>
      </c>
      <c r="I103" t="s">
        <v>4334</v>
      </c>
      <c r="J103" t="s">
        <v>2990</v>
      </c>
      <c r="K103" t="s">
        <v>4335</v>
      </c>
      <c r="L103" t="s">
        <v>4336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3076</v>
      </c>
      <c r="I104" t="s">
        <v>4337</v>
      </c>
      <c r="J104" t="s">
        <v>2990</v>
      </c>
      <c r="K104" t="s">
        <v>4338</v>
      </c>
      <c r="L104" t="s">
        <v>4339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3076</v>
      </c>
      <c r="I105" t="s">
        <v>4340</v>
      </c>
      <c r="J105" t="s">
        <v>2990</v>
      </c>
      <c r="K105" t="s">
        <v>4341</v>
      </c>
      <c r="L105" t="s">
        <v>4342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5086</v>
      </c>
      <c r="G106">
        <v>3</v>
      </c>
      <c r="H106" t="s">
        <v>3076</v>
      </c>
      <c r="I106" t="s">
        <v>4343</v>
      </c>
      <c r="J106" t="s">
        <v>2990</v>
      </c>
      <c r="K106" t="s">
        <v>4344</v>
      </c>
      <c r="L106" t="s">
        <v>4345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5086</v>
      </c>
      <c r="G107">
        <v>3</v>
      </c>
      <c r="H107" t="s">
        <v>3076</v>
      </c>
      <c r="I107" t="s">
        <v>4346</v>
      </c>
      <c r="J107" t="s">
        <v>2990</v>
      </c>
      <c r="K107" t="s">
        <v>4347</v>
      </c>
      <c r="L107" t="s">
        <v>4348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5086</v>
      </c>
      <c r="G108">
        <v>3</v>
      </c>
      <c r="H108" t="s">
        <v>3076</v>
      </c>
      <c r="I108" t="s">
        <v>4349</v>
      </c>
      <c r="J108" t="s">
        <v>2990</v>
      </c>
      <c r="K108" t="s">
        <v>4350</v>
      </c>
      <c r="L108" t="s">
        <v>4351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4222</v>
      </c>
      <c r="E109" t="s">
        <v>86</v>
      </c>
      <c r="F109" t="s">
        <v>4241</v>
      </c>
      <c r="H109" t="s">
        <v>4237</v>
      </c>
      <c r="I109" t="s">
        <v>4352</v>
      </c>
      <c r="J109" t="s">
        <v>2990</v>
      </c>
      <c r="K109" t="s">
        <v>4353</v>
      </c>
      <c r="L109" t="s">
        <v>4354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4222</v>
      </c>
      <c r="E110" t="s">
        <v>86</v>
      </c>
      <c r="F110" t="s">
        <v>4241</v>
      </c>
      <c r="H110" t="s">
        <v>2936</v>
      </c>
      <c r="I110" t="s">
        <v>4355</v>
      </c>
      <c r="J110" t="s">
        <v>2990</v>
      </c>
      <c r="K110" t="s">
        <v>4356</v>
      </c>
      <c r="L110" t="s">
        <v>4357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5086</v>
      </c>
      <c r="G111">
        <v>3</v>
      </c>
      <c r="H111" t="s">
        <v>3076</v>
      </c>
      <c r="I111" t="s">
        <v>4358</v>
      </c>
      <c r="J111" t="s">
        <v>2990</v>
      </c>
      <c r="K111" t="s">
        <v>4359</v>
      </c>
      <c r="L111" t="s">
        <v>4360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3076</v>
      </c>
      <c r="I112" t="s">
        <v>4361</v>
      </c>
      <c r="J112" t="s">
        <v>2990</v>
      </c>
      <c r="K112" t="s">
        <v>4362</v>
      </c>
      <c r="L112" t="s">
        <v>4363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3076</v>
      </c>
      <c r="I113" t="s">
        <v>4364</v>
      </c>
      <c r="J113" t="s">
        <v>2990</v>
      </c>
      <c r="K113" t="s">
        <v>4365</v>
      </c>
      <c r="L113" t="s">
        <v>4366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3076</v>
      </c>
      <c r="I114" t="s">
        <v>4367</v>
      </c>
      <c r="J114" t="s">
        <v>2990</v>
      </c>
      <c r="K114" t="s">
        <v>4368</v>
      </c>
      <c r="L114" t="s">
        <v>4369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3076</v>
      </c>
      <c r="I115" t="s">
        <v>4370</v>
      </c>
      <c r="J115" t="s">
        <v>2990</v>
      </c>
      <c r="K115" t="s">
        <v>4371</v>
      </c>
      <c r="L115" t="s">
        <v>4372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3076</v>
      </c>
      <c r="I116" t="s">
        <v>4373</v>
      </c>
      <c r="J116" t="s">
        <v>2990</v>
      </c>
      <c r="K116" t="s">
        <v>4374</v>
      </c>
      <c r="L116" t="s">
        <v>4375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3076</v>
      </c>
      <c r="I117" t="s">
        <v>4376</v>
      </c>
      <c r="J117" t="s">
        <v>2990</v>
      </c>
      <c r="K117" t="s">
        <v>4377</v>
      </c>
      <c r="L117" t="s">
        <v>4378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4222</v>
      </c>
      <c r="E118" t="s">
        <v>86</v>
      </c>
      <c r="F118" t="s">
        <v>2938</v>
      </c>
      <c r="H118" t="s">
        <v>4237</v>
      </c>
      <c r="I118" t="s">
        <v>4379</v>
      </c>
      <c r="J118" t="s">
        <v>2990</v>
      </c>
      <c r="K118" t="s">
        <v>4380</v>
      </c>
      <c r="L118" t="s">
        <v>4381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4222</v>
      </c>
      <c r="E119" t="s">
        <v>86</v>
      </c>
      <c r="F119" t="s">
        <v>2938</v>
      </c>
      <c r="H119" t="s">
        <v>2936</v>
      </c>
      <c r="I119" t="s">
        <v>4382</v>
      </c>
      <c r="J119" t="s">
        <v>2990</v>
      </c>
      <c r="K119" t="s">
        <v>4383</v>
      </c>
      <c r="L119" t="s">
        <v>4384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3076</v>
      </c>
      <c r="I120" t="s">
        <v>4385</v>
      </c>
      <c r="J120" t="s">
        <v>2990</v>
      </c>
      <c r="K120" t="s">
        <v>4386</v>
      </c>
      <c r="L120" t="s">
        <v>4387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3076</v>
      </c>
      <c r="I121" t="s">
        <v>4388</v>
      </c>
      <c r="J121" t="s">
        <v>2990</v>
      </c>
      <c r="K121" t="s">
        <v>4389</v>
      </c>
      <c r="L121" t="s">
        <v>4390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3076</v>
      </c>
      <c r="I122" t="s">
        <v>4391</v>
      </c>
      <c r="J122" t="s">
        <v>2990</v>
      </c>
      <c r="K122" t="s">
        <v>4392</v>
      </c>
      <c r="L122" t="s">
        <v>4393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3076</v>
      </c>
      <c r="I123" t="s">
        <v>4394</v>
      </c>
      <c r="J123" t="s">
        <v>2990</v>
      </c>
      <c r="K123" t="s">
        <v>4395</v>
      </c>
      <c r="L123" t="s">
        <v>4396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3076</v>
      </c>
      <c r="I124" t="s">
        <v>4397</v>
      </c>
      <c r="J124" t="s">
        <v>2990</v>
      </c>
      <c r="K124" t="s">
        <v>4398</v>
      </c>
      <c r="L124" t="s">
        <v>4399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4400</v>
      </c>
      <c r="J125" t="s">
        <v>2990</v>
      </c>
      <c r="K125" t="s">
        <v>4401</v>
      </c>
      <c r="L125" t="s">
        <v>4402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5197</v>
      </c>
      <c r="J126" t="s">
        <v>2990</v>
      </c>
      <c r="K126" t="s">
        <v>5198</v>
      </c>
      <c r="L126" t="s">
        <v>5199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0.38925925925925925</v>
      </c>
      <c r="I127" t="s">
        <v>5269</v>
      </c>
      <c r="J127" t="s">
        <v>5270</v>
      </c>
      <c r="K127" t="s">
        <v>5271</v>
      </c>
      <c r="L127" t="s">
        <v>5272</v>
      </c>
      <c r="M127" s="3" t="str">
        <f>HYPERLINK(склад2въезд14[[#This Row],[RelativePath]])</f>
        <v>2 Пилорама поката\E33149364_7_20251208T092032Z.jpg</v>
      </c>
    </row>
    <row r="128" spans="1:13" x14ac:dyDescent="0.25">
      <c r="A128" s="2" t="s">
        <v>13</v>
      </c>
      <c r="B128" s="4">
        <v>45999</v>
      </c>
      <c r="C128" s="5">
        <v>0.38931712962962961</v>
      </c>
      <c r="I128" t="s">
        <v>5273</v>
      </c>
      <c r="J128" t="s">
        <v>5270</v>
      </c>
      <c r="K128" t="s">
        <v>5274</v>
      </c>
      <c r="L128" t="s">
        <v>5275</v>
      </c>
      <c r="M128" s="3" t="str">
        <f>HYPERLINK(склад2въезд14[[#This Row],[RelativePath]])</f>
        <v>2 Пилорама поката\E33149364_7_20251208T092037Z.jpg</v>
      </c>
    </row>
    <row r="129" spans="1:13" x14ac:dyDescent="0.25">
      <c r="A129" s="2" t="s">
        <v>13</v>
      </c>
      <c r="B129" s="4">
        <v>45999</v>
      </c>
      <c r="C129" s="5">
        <v>0.38936342592592593</v>
      </c>
      <c r="I129" t="s">
        <v>5276</v>
      </c>
      <c r="J129" t="s">
        <v>5270</v>
      </c>
      <c r="K129" t="s">
        <v>5277</v>
      </c>
      <c r="L129" t="s">
        <v>5278</v>
      </c>
      <c r="M129" s="3" t="str">
        <f>HYPERLINK(склад2въезд14[[#This Row],[RelativePath]])</f>
        <v>2 Пилорама поката\E33149364_7_20251208T092041Z.jpg</v>
      </c>
    </row>
    <row r="130" spans="1:13" x14ac:dyDescent="0.25">
      <c r="A130" s="2" t="s">
        <v>13</v>
      </c>
      <c r="B130" s="4">
        <v>45999</v>
      </c>
      <c r="C130" s="5">
        <v>0.39261574074074074</v>
      </c>
      <c r="I130" t="s">
        <v>5279</v>
      </c>
      <c r="J130" t="s">
        <v>5270</v>
      </c>
      <c r="K130" t="s">
        <v>5280</v>
      </c>
      <c r="L130" t="s">
        <v>5281</v>
      </c>
      <c r="M130" s="3" t="str">
        <f>HYPERLINK(склад2въезд14[[#This Row],[RelativePath]])</f>
        <v>2 Пилорама поката\E33149364_7_20251208T092522Z.jpg</v>
      </c>
    </row>
    <row r="131" spans="1:13" x14ac:dyDescent="0.25">
      <c r="A131" s="2" t="s">
        <v>13</v>
      </c>
      <c r="B131" s="4">
        <v>45999</v>
      </c>
      <c r="C131" s="5">
        <v>0.59918981481481481</v>
      </c>
      <c r="I131" t="s">
        <v>5282</v>
      </c>
      <c r="J131" t="s">
        <v>5270</v>
      </c>
      <c r="K131" t="s">
        <v>5283</v>
      </c>
      <c r="L131" t="s">
        <v>5284</v>
      </c>
      <c r="M131" s="3" t="str">
        <f>HYPERLINK(склад2въезд14[[#This Row],[RelativePath]])</f>
        <v>2 Пилорама поката\E33149364_7_20251208T142250Z.jpg</v>
      </c>
    </row>
    <row r="132" spans="1:13" x14ac:dyDescent="0.25">
      <c r="A132" s="2" t="s">
        <v>13</v>
      </c>
      <c r="B132" s="4">
        <v>45999</v>
      </c>
      <c r="C132" s="5">
        <v>0.59927083333333331</v>
      </c>
      <c r="I132" t="s">
        <v>5285</v>
      </c>
      <c r="J132" t="s">
        <v>5270</v>
      </c>
      <c r="K132" t="s">
        <v>5286</v>
      </c>
      <c r="L132" t="s">
        <v>5287</v>
      </c>
      <c r="M132" s="3" t="str">
        <f>HYPERLINK(склад2въезд14[[#This Row],[RelativePath]])</f>
        <v>2 Пилорама поката\E33149364_7_20251208T142257Z.jpg</v>
      </c>
    </row>
    <row r="133" spans="1:13" x14ac:dyDescent="0.25">
      <c r="A133" s="2" t="s">
        <v>13</v>
      </c>
      <c r="B133" s="4">
        <v>45999</v>
      </c>
      <c r="C133" s="5">
        <v>0.6244791666666667</v>
      </c>
      <c r="I133" t="s">
        <v>5288</v>
      </c>
      <c r="J133" t="s">
        <v>5270</v>
      </c>
      <c r="K133" t="s">
        <v>5289</v>
      </c>
      <c r="L133" t="s">
        <v>5290</v>
      </c>
      <c r="M133" s="3" t="str">
        <f>HYPERLINK(склад2въезд14[[#This Row],[RelativePath]])</f>
        <v>2 Пилорама поката\E33149364_7_20251208T145915Z.jpg</v>
      </c>
    </row>
  </sheetData>
  <conditionalFormatting sqref="D134:D144 E134:E147 G2:H133 D2:E133">
    <cfRule type="containsText" dxfId="471" priority="14" operator="containsText" text="Выезд с территории">
      <formula>NOT(ISERROR(SEARCH("Выезд с территории",D2)))</formula>
    </cfRule>
  </conditionalFormatting>
  <conditionalFormatting sqref="F2:F133">
    <cfRule type="notContainsText" dxfId="470" priority="13" operator="notContains" text="порожний">
      <formula>ISERROR(SEARCH("порожний",F2))</formula>
    </cfRule>
  </conditionalFormatting>
  <conditionalFormatting sqref="E2:E147">
    <cfRule type="containsText" dxfId="469" priority="11" operator="containsText" text="Газель базы">
      <formula>NOT(ISERROR(SEARCH("Газель базы",E2)))</formula>
    </cfRule>
    <cfRule type="containsText" dxfId="468" priority="12" operator="containsText" text="Погрузчик базы">
      <formula>NOT(ISERROR(SEARCH("Погрузчик базы",E2)))</formula>
    </cfRule>
  </conditionalFormatting>
  <conditionalFormatting sqref="E2:E147">
    <cfRule type="containsText" dxfId="467" priority="10" operator="containsText" text="Трактор базы">
      <formula>NOT(ISERROR(SEARCH("Трактор базы",E2)))</formula>
    </cfRule>
  </conditionalFormatting>
  <conditionalFormatting sqref="A2:C133">
    <cfRule type="expression" dxfId="466" priority="9">
      <formula>$A2="пн"</formula>
    </cfRule>
  </conditionalFormatting>
  <conditionalFormatting sqref="A2:C135">
    <cfRule type="expression" dxfId="465" priority="3">
      <formula>$A2="вс"</formula>
    </cfRule>
    <cfRule type="expression" dxfId="464" priority="4">
      <formula>$A2="сб"</formula>
    </cfRule>
    <cfRule type="expression" dxfId="463" priority="5">
      <formula>$A2="пт"</formula>
    </cfRule>
    <cfRule type="expression" dxfId="462" priority="6">
      <formula>$A2="чт"</formula>
    </cfRule>
    <cfRule type="expression" dxfId="461" priority="7">
      <formula>$A2="ср"</formula>
    </cfRule>
    <cfRule type="expression" dxfId="460" priority="8">
      <formula>$A2="вт"</formula>
    </cfRule>
  </conditionalFormatting>
  <conditionalFormatting sqref="D2:D144">
    <cfRule type="containsText" dxfId="4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4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74"/>
  <sheetViews>
    <sheetView zoomScale="90" zoomScaleNormal="90" workbookViewId="0">
      <pane ySplit="1" topLeftCell="A59" activePane="bottomLeft" state="frozen"/>
      <selection pane="bottomLeft" activeCell="H78" sqref="H7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hidden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2991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2991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2991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2991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2991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2991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2991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2991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2991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2991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2991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2991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2991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2991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2991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2991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2991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2991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2991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2991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2991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2991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2991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2991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2991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2991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2991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2991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2991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2991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2991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2991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2991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2991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2991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2991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2991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2991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2991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2991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2991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2991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2991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4204</v>
      </c>
      <c r="I45" t="s">
        <v>2082</v>
      </c>
      <c r="J45" t="s">
        <v>2991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2991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2991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2991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3337</v>
      </c>
      <c r="J49" t="s">
        <v>2991</v>
      </c>
      <c r="K49" t="s">
        <v>3338</v>
      </c>
      <c r="L49" t="s">
        <v>3339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3340</v>
      </c>
      <c r="J50" t="s">
        <v>2991</v>
      </c>
      <c r="K50" t="s">
        <v>3341</v>
      </c>
      <c r="L50" t="s">
        <v>3342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3343</v>
      </c>
      <c r="J51" t="s">
        <v>2991</v>
      </c>
      <c r="K51" t="s">
        <v>3344</v>
      </c>
      <c r="L51" t="s">
        <v>3345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4205</v>
      </c>
      <c r="I52" t="s">
        <v>3346</v>
      </c>
      <c r="J52" t="s">
        <v>2991</v>
      </c>
      <c r="K52" t="s">
        <v>3347</v>
      </c>
      <c r="L52" t="s">
        <v>3348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3349</v>
      </c>
      <c r="J53" t="s">
        <v>2991</v>
      </c>
      <c r="K53" t="s">
        <v>3350</v>
      </c>
      <c r="L53" t="s">
        <v>3351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3352</v>
      </c>
      <c r="J54" t="s">
        <v>2991</v>
      </c>
      <c r="K54" t="s">
        <v>3353</v>
      </c>
      <c r="L54" t="s">
        <v>3354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4193</v>
      </c>
      <c r="F55" t="s">
        <v>58</v>
      </c>
      <c r="I55" t="s">
        <v>3355</v>
      </c>
      <c r="J55" t="s">
        <v>2991</v>
      </c>
      <c r="K55" t="s">
        <v>3356</v>
      </c>
      <c r="L55" t="s">
        <v>3357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3358</v>
      </c>
      <c r="J56" t="s">
        <v>2991</v>
      </c>
      <c r="K56" t="s">
        <v>3359</v>
      </c>
      <c r="L56" t="s">
        <v>3360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3361</v>
      </c>
      <c r="J57" t="s">
        <v>2991</v>
      </c>
      <c r="K57" t="s">
        <v>3362</v>
      </c>
      <c r="L57" t="s">
        <v>3363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3364</v>
      </c>
      <c r="J58" t="s">
        <v>2991</v>
      </c>
      <c r="K58" t="s">
        <v>3365</v>
      </c>
      <c r="L58" t="s">
        <v>3366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3367</v>
      </c>
      <c r="J59" t="s">
        <v>2991</v>
      </c>
      <c r="K59" t="s">
        <v>3368</v>
      </c>
      <c r="L59" t="s">
        <v>3369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3370</v>
      </c>
      <c r="J60" t="s">
        <v>2991</v>
      </c>
      <c r="K60" t="s">
        <v>3371</v>
      </c>
      <c r="L60" t="s">
        <v>3372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3373</v>
      </c>
      <c r="J61" t="s">
        <v>2991</v>
      </c>
      <c r="K61" t="s">
        <v>3374</v>
      </c>
      <c r="L61" t="s">
        <v>3375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3376</v>
      </c>
      <c r="J62" t="s">
        <v>2991</v>
      </c>
      <c r="K62" t="s">
        <v>3377</v>
      </c>
      <c r="L62" t="s">
        <v>3378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4195</v>
      </c>
      <c r="F63" t="s">
        <v>4197</v>
      </c>
      <c r="I63" t="s">
        <v>3379</v>
      </c>
      <c r="J63" t="s">
        <v>2991</v>
      </c>
      <c r="K63" t="s">
        <v>3380</v>
      </c>
      <c r="L63" t="s">
        <v>3381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4262</v>
      </c>
      <c r="J64" t="s">
        <v>2991</v>
      </c>
      <c r="K64" t="s">
        <v>4263</v>
      </c>
      <c r="L64" t="s">
        <v>4264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4559</v>
      </c>
      <c r="J65" t="s">
        <v>2991</v>
      </c>
      <c r="K65" t="s">
        <v>4560</v>
      </c>
      <c r="L65" t="s">
        <v>4561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4195</v>
      </c>
      <c r="H66" t="s">
        <v>5090</v>
      </c>
      <c r="I66" t="s">
        <v>4562</v>
      </c>
      <c r="J66" t="s">
        <v>2991</v>
      </c>
      <c r="K66" t="s">
        <v>4563</v>
      </c>
      <c r="L66" t="s">
        <v>4564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4565</v>
      </c>
      <c r="J67" t="s">
        <v>2991</v>
      </c>
      <c r="K67" t="s">
        <v>4566</v>
      </c>
      <c r="L67" t="s">
        <v>4567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4568</v>
      </c>
      <c r="J68" t="s">
        <v>2991</v>
      </c>
      <c r="K68" t="s">
        <v>4569</v>
      </c>
      <c r="L68" t="s">
        <v>4570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5087</v>
      </c>
      <c r="J69" t="s">
        <v>2991</v>
      </c>
      <c r="K69" t="s">
        <v>5088</v>
      </c>
      <c r="L69" t="s">
        <v>5089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4571</v>
      </c>
      <c r="J70" t="s">
        <v>2991</v>
      </c>
      <c r="K70" t="s">
        <v>4572</v>
      </c>
      <c r="L70" t="s">
        <v>4573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4574</v>
      </c>
      <c r="J71" t="s">
        <v>2991</v>
      </c>
      <c r="K71" t="s">
        <v>4575</v>
      </c>
      <c r="L71" t="s">
        <v>4576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5263</v>
      </c>
      <c r="F72" t="s">
        <v>1609</v>
      </c>
      <c r="I72" t="s">
        <v>5142</v>
      </c>
      <c r="J72" t="s">
        <v>2991</v>
      </c>
      <c r="K72" t="s">
        <v>5143</v>
      </c>
      <c r="L72" t="s">
        <v>5144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I73" t="s">
        <v>5296</v>
      </c>
      <c r="J73" t="s">
        <v>5297</v>
      </c>
      <c r="K73" t="s">
        <v>5298</v>
      </c>
      <c r="L73" t="s">
        <v>5299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I74" t="s">
        <v>5300</v>
      </c>
      <c r="J74" t="s">
        <v>5297</v>
      </c>
      <c r="K74" t="s">
        <v>5301</v>
      </c>
      <c r="L74" t="s">
        <v>5302</v>
      </c>
      <c r="M74" s="3" t="str">
        <f>HYPERLINK(склад2въезд18[[#This Row],[RelativePath]])</f>
        <v>3 Въезд на базу\E33149364_8_20251208T163559Z.jpg</v>
      </c>
    </row>
  </sheetData>
  <conditionalFormatting sqref="D75:D85 E75:E88 G2:H74 D2:E74">
    <cfRule type="containsText" dxfId="447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446" priority="13" operator="notContains" text="порожний">
      <formula>ISERROR(SEARCH("порожний",F2))</formula>
    </cfRule>
  </conditionalFormatting>
  <conditionalFormatting sqref="E2:E88">
    <cfRule type="containsText" dxfId="445" priority="11" operator="containsText" text="Газель базы">
      <formula>NOT(ISERROR(SEARCH("Газель базы",E2)))</formula>
    </cfRule>
    <cfRule type="containsText" dxfId="444" priority="12" operator="containsText" text="Погрузчик базы">
      <formula>NOT(ISERROR(SEARCH("Погрузчик базы",E2)))</formula>
    </cfRule>
  </conditionalFormatting>
  <conditionalFormatting sqref="E2:E88">
    <cfRule type="containsText" dxfId="443" priority="10" operator="containsText" text="Трактор базы">
      <formula>NOT(ISERROR(SEARCH("Трактор базы",E2)))</formula>
    </cfRule>
  </conditionalFormatting>
  <conditionalFormatting sqref="A2:C74">
    <cfRule type="expression" dxfId="442" priority="9">
      <formula>$A2="пн"</formula>
    </cfRule>
  </conditionalFormatting>
  <conditionalFormatting sqref="A2:C76">
    <cfRule type="expression" dxfId="441" priority="3">
      <formula>$A2="вс"</formula>
    </cfRule>
    <cfRule type="expression" dxfId="440" priority="4">
      <formula>$A2="сб"</formula>
    </cfRule>
    <cfRule type="expression" dxfId="439" priority="5">
      <formula>$A2="пт"</formula>
    </cfRule>
    <cfRule type="expression" dxfId="438" priority="6">
      <formula>$A2="чт"</formula>
    </cfRule>
    <cfRule type="expression" dxfId="437" priority="7">
      <formula>$A2="ср"</formula>
    </cfRule>
    <cfRule type="expression" dxfId="436" priority="8">
      <formula>$A2="вт"</formula>
    </cfRule>
  </conditionalFormatting>
  <conditionalFormatting sqref="D2:D85">
    <cfRule type="containsText" dxfId="4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4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65"/>
  <sheetViews>
    <sheetView zoomScale="90" zoomScaleNormal="90" workbookViewId="0">
      <pane ySplit="1" topLeftCell="A47" activePane="bottomLeft" state="frozen"/>
      <selection pane="bottomLeft" activeCell="M65" sqref="M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26.140625" bestFit="1" customWidth="1"/>
    <col min="9" max="9" width="36.7109375" hidden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2992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2992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2992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2992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2992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2992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2992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2992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2992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2992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2992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2992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2992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2992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2992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2992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2992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2992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2992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2992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2992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2992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2992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2992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2992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2992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2992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2992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2992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2992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2992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2992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2992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2992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2992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2992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2992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2992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2992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3382</v>
      </c>
      <c r="J41" t="s">
        <v>2992</v>
      </c>
      <c r="K41" t="s">
        <v>3383</v>
      </c>
      <c r="L41" t="s">
        <v>3384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3385</v>
      </c>
      <c r="J42" t="s">
        <v>2992</v>
      </c>
      <c r="K42" t="s">
        <v>3386</v>
      </c>
      <c r="L42" t="s">
        <v>3387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3388</v>
      </c>
      <c r="J43" t="s">
        <v>2992</v>
      </c>
      <c r="K43" t="s">
        <v>3389</v>
      </c>
      <c r="L43" t="s">
        <v>3390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3391</v>
      </c>
      <c r="J44" t="s">
        <v>2992</v>
      </c>
      <c r="K44" t="s">
        <v>3392</v>
      </c>
      <c r="L44" t="s">
        <v>3393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3394</v>
      </c>
      <c r="J45" t="s">
        <v>2992</v>
      </c>
      <c r="K45" t="s">
        <v>3395</v>
      </c>
      <c r="L45" t="s">
        <v>3396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3397</v>
      </c>
      <c r="J46" t="s">
        <v>2992</v>
      </c>
      <c r="K46" t="s">
        <v>3398</v>
      </c>
      <c r="L46" t="s">
        <v>3399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3400</v>
      </c>
      <c r="J47" t="s">
        <v>2992</v>
      </c>
      <c r="K47" t="s">
        <v>3401</v>
      </c>
      <c r="L47" t="s">
        <v>3402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4195</v>
      </c>
      <c r="F48" t="s">
        <v>4197</v>
      </c>
      <c r="H48" t="s">
        <v>4206</v>
      </c>
      <c r="I48" t="s">
        <v>3403</v>
      </c>
      <c r="J48" t="s">
        <v>2992</v>
      </c>
      <c r="K48" t="s">
        <v>3404</v>
      </c>
      <c r="L48" t="s">
        <v>3405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4265</v>
      </c>
      <c r="J49" t="s">
        <v>2992</v>
      </c>
      <c r="K49" t="s">
        <v>4266</v>
      </c>
      <c r="L49" t="s">
        <v>4267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4268</v>
      </c>
      <c r="J50" t="s">
        <v>2992</v>
      </c>
      <c r="K50" t="s">
        <v>4269</v>
      </c>
      <c r="L50" t="s">
        <v>4270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4195</v>
      </c>
      <c r="F51" t="s">
        <v>5094</v>
      </c>
      <c r="I51" t="s">
        <v>4451</v>
      </c>
      <c r="J51" t="s">
        <v>2992</v>
      </c>
      <c r="K51" t="s">
        <v>4452</v>
      </c>
      <c r="L51" t="s">
        <v>4453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4195</v>
      </c>
      <c r="F52" t="s">
        <v>5094</v>
      </c>
      <c r="I52" t="s">
        <v>4454</v>
      </c>
      <c r="J52" t="s">
        <v>2992</v>
      </c>
      <c r="K52" t="s">
        <v>4455</v>
      </c>
      <c r="L52" t="s">
        <v>4456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4195</v>
      </c>
      <c r="I53" t="s">
        <v>4457</v>
      </c>
      <c r="J53" t="s">
        <v>2992</v>
      </c>
      <c r="K53" t="s">
        <v>4458</v>
      </c>
      <c r="L53" t="s">
        <v>4459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5094</v>
      </c>
      <c r="H54" t="s">
        <v>5095</v>
      </c>
      <c r="I54" t="s">
        <v>4460</v>
      </c>
      <c r="J54" t="s">
        <v>2992</v>
      </c>
      <c r="K54" t="s">
        <v>4461</v>
      </c>
      <c r="L54" t="s">
        <v>4462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5094</v>
      </c>
      <c r="H55" t="s">
        <v>5095</v>
      </c>
      <c r="I55" t="s">
        <v>5091</v>
      </c>
      <c r="J55" t="s">
        <v>2992</v>
      </c>
      <c r="K55" t="s">
        <v>5092</v>
      </c>
      <c r="L55" t="s">
        <v>5093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4463</v>
      </c>
      <c r="J56" t="s">
        <v>2992</v>
      </c>
      <c r="K56" t="s">
        <v>4464</v>
      </c>
      <c r="L56" t="s">
        <v>4465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I57" t="s">
        <v>4466</v>
      </c>
      <c r="J57" t="s">
        <v>2992</v>
      </c>
      <c r="K57" t="s">
        <v>4467</v>
      </c>
      <c r="L57" t="s">
        <v>4468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5094</v>
      </c>
      <c r="H58" t="s">
        <v>5096</v>
      </c>
      <c r="I58" t="s">
        <v>4469</v>
      </c>
      <c r="J58" t="s">
        <v>2992</v>
      </c>
      <c r="K58" t="s">
        <v>4470</v>
      </c>
      <c r="L58" t="s">
        <v>4471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5094</v>
      </c>
      <c r="H59" t="s">
        <v>2936</v>
      </c>
      <c r="I59" t="s">
        <v>4472</v>
      </c>
      <c r="J59" t="s">
        <v>2992</v>
      </c>
      <c r="K59" t="s">
        <v>4473</v>
      </c>
      <c r="L59" t="s">
        <v>4474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5094</v>
      </c>
      <c r="H60" t="s">
        <v>2936</v>
      </c>
      <c r="I60" t="s">
        <v>4475</v>
      </c>
      <c r="J60" t="s">
        <v>2992</v>
      </c>
      <c r="K60" t="s">
        <v>4476</v>
      </c>
      <c r="L60" t="s">
        <v>4477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5094</v>
      </c>
      <c r="H61" t="s">
        <v>5097</v>
      </c>
      <c r="I61" t="s">
        <v>4478</v>
      </c>
      <c r="J61" t="s">
        <v>2992</v>
      </c>
      <c r="K61" t="s">
        <v>4479</v>
      </c>
      <c r="L61" t="s">
        <v>4480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4481</v>
      </c>
      <c r="J62" t="s">
        <v>2992</v>
      </c>
      <c r="K62" t="s">
        <v>4482</v>
      </c>
      <c r="L62" t="s">
        <v>4483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4484</v>
      </c>
      <c r="J63" t="s">
        <v>2992</v>
      </c>
      <c r="K63" t="s">
        <v>4485</v>
      </c>
      <c r="L63" t="s">
        <v>4486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I64" t="s">
        <v>4487</v>
      </c>
      <c r="J64" t="s">
        <v>2992</v>
      </c>
      <c r="K64" t="s">
        <v>4488</v>
      </c>
      <c r="L64" t="s">
        <v>4489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5227</v>
      </c>
      <c r="J65" t="s">
        <v>2992</v>
      </c>
      <c r="K65" t="s">
        <v>5228</v>
      </c>
      <c r="L65" t="s">
        <v>5229</v>
      </c>
      <c r="M65" s="3" t="str">
        <f>HYPERLINK(склад2въезд13[[#This Row],[RelativePath]])</f>
        <v>4 Крыльцо офиса\K07156189_21_20251207T151441Z.jpg</v>
      </c>
    </row>
  </sheetData>
  <conditionalFormatting sqref="D66:D76 E66:E79 G2:H65 D2:E65">
    <cfRule type="containsText" dxfId="423" priority="14" operator="containsText" text="Выезд с территории">
      <formula>NOT(ISERROR(SEARCH("Выезд с территории",D2)))</formula>
    </cfRule>
  </conditionalFormatting>
  <conditionalFormatting sqref="F2:F65">
    <cfRule type="notContainsText" dxfId="422" priority="13" operator="notContains" text="порожний">
      <formula>ISERROR(SEARCH("порожний",F2))</formula>
    </cfRule>
  </conditionalFormatting>
  <conditionalFormatting sqref="E2:E79">
    <cfRule type="containsText" dxfId="421" priority="11" operator="containsText" text="Газель базы">
      <formula>NOT(ISERROR(SEARCH("Газель базы",E2)))</formula>
    </cfRule>
    <cfRule type="containsText" dxfId="420" priority="12" operator="containsText" text="Погрузчик базы">
      <formula>NOT(ISERROR(SEARCH("Погрузчик базы",E2)))</formula>
    </cfRule>
  </conditionalFormatting>
  <conditionalFormatting sqref="E2:E79">
    <cfRule type="containsText" dxfId="419" priority="10" operator="containsText" text="Трактор базы">
      <formula>NOT(ISERROR(SEARCH("Трактор базы",E2)))</formula>
    </cfRule>
  </conditionalFormatting>
  <conditionalFormatting sqref="A2:C65">
    <cfRule type="expression" dxfId="418" priority="9">
      <formula>$A2="пн"</formula>
    </cfRule>
  </conditionalFormatting>
  <conditionalFormatting sqref="A2:C67">
    <cfRule type="expression" dxfId="417" priority="3">
      <formula>$A2="вс"</formula>
    </cfRule>
    <cfRule type="expression" dxfId="416" priority="4">
      <formula>$A2="сб"</formula>
    </cfRule>
    <cfRule type="expression" dxfId="415" priority="5">
      <formula>$A2="пт"</formula>
    </cfRule>
    <cfRule type="expression" dxfId="414" priority="6">
      <formula>$A2="чт"</formula>
    </cfRule>
    <cfRule type="expression" dxfId="413" priority="7">
      <formula>$A2="ср"</formula>
    </cfRule>
    <cfRule type="expression" dxfId="412" priority="8">
      <formula>$A2="вт"</formula>
    </cfRule>
  </conditionalFormatting>
  <conditionalFormatting sqref="D2:D76">
    <cfRule type="containsText" dxfId="4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">
    <cfRule type="containsText" dxfId="4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96"/>
  <sheetViews>
    <sheetView zoomScale="90" zoomScaleNormal="90" workbookViewId="0">
      <pane ySplit="1" topLeftCell="A73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24.28515625" bestFit="1" customWidth="1"/>
    <col min="9" max="9" width="36.7109375" hidden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2983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2983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2983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2983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2983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2983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2983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2983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2983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2983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2983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2983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2983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2983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2983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2983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2983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2983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2983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2983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2983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2983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2983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2983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2983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2983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2983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2983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2983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2983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2983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2983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2983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2983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2983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2983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2983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2983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2983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2983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2983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2983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2983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2983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2983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2983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2983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2983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2983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2983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2983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2983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3080</v>
      </c>
      <c r="J54" t="s">
        <v>2983</v>
      </c>
      <c r="K54" t="s">
        <v>3081</v>
      </c>
      <c r="L54" t="s">
        <v>3082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3083</v>
      </c>
      <c r="J55" t="s">
        <v>2983</v>
      </c>
      <c r="K55" t="s">
        <v>3084</v>
      </c>
      <c r="L55" t="s">
        <v>3085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3086</v>
      </c>
      <c r="J56" t="s">
        <v>2983</v>
      </c>
      <c r="K56" t="s">
        <v>3087</v>
      </c>
      <c r="L56" t="s">
        <v>3088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3089</v>
      </c>
      <c r="J57" t="s">
        <v>2983</v>
      </c>
      <c r="K57" t="s">
        <v>3090</v>
      </c>
      <c r="L57" t="s">
        <v>3091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3092</v>
      </c>
      <c r="J58" t="s">
        <v>2983</v>
      </c>
      <c r="K58" t="s">
        <v>3093</v>
      </c>
      <c r="L58" t="s">
        <v>3094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3095</v>
      </c>
      <c r="J59" t="s">
        <v>2983</v>
      </c>
      <c r="K59" t="s">
        <v>3096</v>
      </c>
      <c r="L59" t="s">
        <v>3097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3098</v>
      </c>
      <c r="J60" t="s">
        <v>2983</v>
      </c>
      <c r="K60" t="s">
        <v>3099</v>
      </c>
      <c r="L60" t="s">
        <v>3100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3101</v>
      </c>
      <c r="J61" t="s">
        <v>2983</v>
      </c>
      <c r="K61" t="s">
        <v>3102</v>
      </c>
      <c r="L61" t="s">
        <v>3103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4271</v>
      </c>
      <c r="J62" t="s">
        <v>2983</v>
      </c>
      <c r="K62" t="s">
        <v>4272</v>
      </c>
      <c r="L62" t="s">
        <v>4273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4248</v>
      </c>
      <c r="F63" t="s">
        <v>58</v>
      </c>
      <c r="H63" t="s">
        <v>5103</v>
      </c>
      <c r="I63" t="s">
        <v>5098</v>
      </c>
      <c r="J63" t="s">
        <v>2983</v>
      </c>
      <c r="K63" t="s">
        <v>5099</v>
      </c>
      <c r="L63" t="s">
        <v>4318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4490</v>
      </c>
      <c r="J64" t="s">
        <v>2983</v>
      </c>
      <c r="K64" t="s">
        <v>4491</v>
      </c>
      <c r="L64" t="s">
        <v>4492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4493</v>
      </c>
      <c r="J65" t="s">
        <v>2983</v>
      </c>
      <c r="K65" t="s">
        <v>4494</v>
      </c>
      <c r="L65" t="s">
        <v>4495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4496</v>
      </c>
      <c r="J66" t="s">
        <v>2983</v>
      </c>
      <c r="K66" t="s">
        <v>4497</v>
      </c>
      <c r="L66" t="s">
        <v>4498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4499</v>
      </c>
      <c r="J67" t="s">
        <v>2983</v>
      </c>
      <c r="K67" t="s">
        <v>4500</v>
      </c>
      <c r="L67" t="s">
        <v>4501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5104</v>
      </c>
      <c r="H68" t="s">
        <v>5105</v>
      </c>
      <c r="I68" t="s">
        <v>4502</v>
      </c>
      <c r="J68" t="s">
        <v>2983</v>
      </c>
      <c r="K68" t="s">
        <v>4503</v>
      </c>
      <c r="L68" t="s">
        <v>4504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4505</v>
      </c>
      <c r="J69" t="s">
        <v>2983</v>
      </c>
      <c r="K69" t="s">
        <v>4506</v>
      </c>
      <c r="L69" t="s">
        <v>4507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4248</v>
      </c>
      <c r="F70" t="s">
        <v>60</v>
      </c>
      <c r="H70" t="s">
        <v>5103</v>
      </c>
      <c r="I70" t="s">
        <v>4508</v>
      </c>
      <c r="J70" t="s">
        <v>2983</v>
      </c>
      <c r="K70" t="s">
        <v>4509</v>
      </c>
      <c r="L70" t="s">
        <v>4510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4248</v>
      </c>
      <c r="F71" t="s">
        <v>60</v>
      </c>
      <c r="H71" t="s">
        <v>2936</v>
      </c>
      <c r="I71" t="s">
        <v>4511</v>
      </c>
      <c r="J71" t="s">
        <v>2983</v>
      </c>
      <c r="K71" t="s">
        <v>4512</v>
      </c>
      <c r="L71" t="s">
        <v>4513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4514</v>
      </c>
      <c r="J72" t="s">
        <v>2983</v>
      </c>
      <c r="K72" t="s">
        <v>4515</v>
      </c>
      <c r="L72" t="s">
        <v>4516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4517</v>
      </c>
      <c r="J73" t="s">
        <v>2983</v>
      </c>
      <c r="K73" t="s">
        <v>4518</v>
      </c>
      <c r="L73" t="s">
        <v>4519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4520</v>
      </c>
      <c r="J74" t="s">
        <v>2983</v>
      </c>
      <c r="K74" t="s">
        <v>4521</v>
      </c>
      <c r="L74" t="s">
        <v>4522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4523</v>
      </c>
      <c r="J75" t="s">
        <v>2983</v>
      </c>
      <c r="K75" t="s">
        <v>4524</v>
      </c>
      <c r="L75" t="s">
        <v>4525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5094</v>
      </c>
      <c r="I76" t="s">
        <v>4526</v>
      </c>
      <c r="J76" t="s">
        <v>2983</v>
      </c>
      <c r="K76" t="s">
        <v>4527</v>
      </c>
      <c r="L76" t="s">
        <v>4528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5094</v>
      </c>
      <c r="I77" t="s">
        <v>4529</v>
      </c>
      <c r="J77" t="s">
        <v>2983</v>
      </c>
      <c r="K77" t="s">
        <v>4530</v>
      </c>
      <c r="L77" t="s">
        <v>4531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5094</v>
      </c>
      <c r="I78" t="s">
        <v>4532</v>
      </c>
      <c r="J78" t="s">
        <v>2983</v>
      </c>
      <c r="K78" t="s">
        <v>4533</v>
      </c>
      <c r="L78" t="s">
        <v>4534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5094</v>
      </c>
      <c r="I79" t="s">
        <v>5100</v>
      </c>
      <c r="J79" t="s">
        <v>2983</v>
      </c>
      <c r="K79" t="s">
        <v>5101</v>
      </c>
      <c r="L79" t="s">
        <v>5102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5106</v>
      </c>
      <c r="I80" t="s">
        <v>4535</v>
      </c>
      <c r="J80" t="s">
        <v>2983</v>
      </c>
      <c r="K80" t="s">
        <v>4536</v>
      </c>
      <c r="L80" t="s">
        <v>4537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5094</v>
      </c>
      <c r="I81" t="s">
        <v>4538</v>
      </c>
      <c r="J81" t="s">
        <v>2983</v>
      </c>
      <c r="K81" t="s">
        <v>4539</v>
      </c>
      <c r="L81" t="s">
        <v>4540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4541</v>
      </c>
      <c r="J82" t="s">
        <v>2983</v>
      </c>
      <c r="K82" t="s">
        <v>4542</v>
      </c>
      <c r="L82" t="s">
        <v>4543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4544</v>
      </c>
      <c r="J83" t="s">
        <v>2983</v>
      </c>
      <c r="K83" t="s">
        <v>4545</v>
      </c>
      <c r="L83" t="s">
        <v>4546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4547</v>
      </c>
      <c r="J84" t="s">
        <v>2983</v>
      </c>
      <c r="K84" t="s">
        <v>4548</v>
      </c>
      <c r="L84" t="s">
        <v>4549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5094</v>
      </c>
      <c r="I85" t="s">
        <v>4550</v>
      </c>
      <c r="J85" t="s">
        <v>2983</v>
      </c>
      <c r="K85" t="s">
        <v>4551</v>
      </c>
      <c r="L85" t="s">
        <v>4552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4553</v>
      </c>
      <c r="J86" t="s">
        <v>2983</v>
      </c>
      <c r="K86" t="s">
        <v>4554</v>
      </c>
      <c r="L86" t="s">
        <v>4555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4556</v>
      </c>
      <c r="J87" t="s">
        <v>2983</v>
      </c>
      <c r="K87" t="s">
        <v>4557</v>
      </c>
      <c r="L87" t="s">
        <v>4558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5264</v>
      </c>
      <c r="F88" t="s">
        <v>4234</v>
      </c>
      <c r="I88" t="s">
        <v>5149</v>
      </c>
      <c r="J88" t="s">
        <v>2983</v>
      </c>
      <c r="K88" t="s">
        <v>5150</v>
      </c>
      <c r="L88" t="s">
        <v>5151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5264</v>
      </c>
      <c r="F89" t="s">
        <v>5094</v>
      </c>
      <c r="I89" t="s">
        <v>5152</v>
      </c>
      <c r="J89" t="s">
        <v>2983</v>
      </c>
      <c r="K89" t="s">
        <v>5153</v>
      </c>
      <c r="L89" t="s">
        <v>5154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5264</v>
      </c>
      <c r="F90" t="s">
        <v>5094</v>
      </c>
      <c r="H90" t="s">
        <v>2936</v>
      </c>
      <c r="I90" t="s">
        <v>5155</v>
      </c>
      <c r="J90" t="s">
        <v>2983</v>
      </c>
      <c r="K90" t="s">
        <v>5156</v>
      </c>
      <c r="L90" t="s">
        <v>5157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5264</v>
      </c>
      <c r="F91" t="s">
        <v>5094</v>
      </c>
      <c r="H91" t="s">
        <v>2936</v>
      </c>
      <c r="I91" t="s">
        <v>5158</v>
      </c>
      <c r="J91" t="s">
        <v>2983</v>
      </c>
      <c r="K91" t="s">
        <v>5159</v>
      </c>
      <c r="L91" t="s">
        <v>5160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5264</v>
      </c>
      <c r="F92" t="s">
        <v>5094</v>
      </c>
      <c r="H92" t="s">
        <v>2936</v>
      </c>
      <c r="I92" t="s">
        <v>5161</v>
      </c>
      <c r="J92" t="s">
        <v>2983</v>
      </c>
      <c r="K92" t="s">
        <v>5162</v>
      </c>
      <c r="L92" t="s">
        <v>5163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5264</v>
      </c>
      <c r="F93" t="s">
        <v>5094</v>
      </c>
      <c r="H93" t="s">
        <v>2936</v>
      </c>
      <c r="I93" t="s">
        <v>5164</v>
      </c>
      <c r="J93" t="s">
        <v>2983</v>
      </c>
      <c r="K93" t="s">
        <v>5165</v>
      </c>
      <c r="L93" t="s">
        <v>5166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5264</v>
      </c>
      <c r="F94" t="s">
        <v>5094</v>
      </c>
      <c r="H94" t="s">
        <v>2936</v>
      </c>
      <c r="I94" t="s">
        <v>5167</v>
      </c>
      <c r="J94" t="s">
        <v>2983</v>
      </c>
      <c r="K94" t="s">
        <v>5168</v>
      </c>
      <c r="L94" t="s">
        <v>5169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4233</v>
      </c>
      <c r="E95" t="s">
        <v>5264</v>
      </c>
      <c r="F95" t="s">
        <v>1609</v>
      </c>
      <c r="I95" t="s">
        <v>5170</v>
      </c>
      <c r="J95" t="s">
        <v>2983</v>
      </c>
      <c r="K95" t="s">
        <v>5171</v>
      </c>
      <c r="L95" t="s">
        <v>5172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5264</v>
      </c>
      <c r="F96" t="s">
        <v>1609</v>
      </c>
      <c r="I96" t="s">
        <v>5173</v>
      </c>
      <c r="J96" t="s">
        <v>2983</v>
      </c>
      <c r="K96" t="s">
        <v>5174</v>
      </c>
      <c r="L96" t="s">
        <v>5175</v>
      </c>
      <c r="M96" s="3" t="str">
        <f>HYPERLINK(склад2въезд1319[[#This Row],[RelativePath]])</f>
        <v>5 Крыльцо общага\K07156189_22_20251207T160838Z.jpg</v>
      </c>
    </row>
  </sheetData>
  <conditionalFormatting sqref="E97:E110 D97:D107 D2:E96 G2:H96">
    <cfRule type="containsText" dxfId="399" priority="17" operator="containsText" text="Выезд с территории">
      <formula>NOT(ISERROR(SEARCH("Выезд с территории",D2)))</formula>
    </cfRule>
  </conditionalFormatting>
  <conditionalFormatting sqref="F2:F96">
    <cfRule type="notContainsText" dxfId="398" priority="16" operator="notContains" text="порожний">
      <formula>ISERROR(SEARCH("порожний",F2))</formula>
    </cfRule>
  </conditionalFormatting>
  <conditionalFormatting sqref="E2:E110">
    <cfRule type="containsText" dxfId="397" priority="14" operator="containsText" text="Газель базы">
      <formula>NOT(ISERROR(SEARCH("Газель базы",E2)))</formula>
    </cfRule>
    <cfRule type="containsText" dxfId="396" priority="15" operator="containsText" text="Погрузчик базы">
      <formula>NOT(ISERROR(SEARCH("Погрузчик базы",E2)))</formula>
    </cfRule>
  </conditionalFormatting>
  <conditionalFormatting sqref="E2:E110">
    <cfRule type="containsText" dxfId="395" priority="13" operator="containsText" text="Трактор базы">
      <formula>NOT(ISERROR(SEARCH("Трактор базы",E2)))</formula>
    </cfRule>
  </conditionalFormatting>
  <conditionalFormatting sqref="A2:C96">
    <cfRule type="expression" dxfId="394" priority="12">
      <formula>$A2="пн"</formula>
    </cfRule>
  </conditionalFormatting>
  <conditionalFormatting sqref="A2:C98">
    <cfRule type="expression" dxfId="393" priority="6">
      <formula>$A2="вс"</formula>
    </cfRule>
    <cfRule type="expression" dxfId="392" priority="7">
      <formula>$A2="сб"</formula>
    </cfRule>
    <cfRule type="expression" dxfId="391" priority="8">
      <formula>$A2="пт"</formula>
    </cfRule>
    <cfRule type="expression" dxfId="390" priority="9">
      <formula>$A2="чт"</formula>
    </cfRule>
    <cfRule type="expression" dxfId="389" priority="10">
      <formula>$A2="ср"</formula>
    </cfRule>
    <cfRule type="expression" dxfId="388" priority="11">
      <formula>$A2="вт"</formula>
    </cfRule>
  </conditionalFormatting>
  <conditionalFormatting sqref="D2:D107">
    <cfRule type="containsText" dxfId="38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">
    <cfRule type="containsText" dxfId="38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2"/>
  <sheetViews>
    <sheetView zoomScale="90" zoomScaleNormal="90" workbookViewId="0">
      <pane ySplit="1" topLeftCell="A46" activePane="bottomLeft" state="frozen"/>
      <selection pane="bottomLeft" activeCell="F67" sqref="F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2984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2984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2984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2984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2984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2984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2984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2984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2984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2984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2984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2984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2984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2984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2984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2984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2984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2984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2984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2984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2984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2984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2984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2984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2984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2984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3406</v>
      </c>
      <c r="J28" t="s">
        <v>2984</v>
      </c>
      <c r="K28" t="s">
        <v>3407</v>
      </c>
      <c r="L28" t="s">
        <v>3408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4207</v>
      </c>
      <c r="J29" t="s">
        <v>2984</v>
      </c>
      <c r="K29" t="s">
        <v>4208</v>
      </c>
      <c r="L29" t="s">
        <v>4209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3409</v>
      </c>
      <c r="J30" t="s">
        <v>2984</v>
      </c>
      <c r="K30" t="s">
        <v>3410</v>
      </c>
      <c r="L30" t="s">
        <v>3411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4210</v>
      </c>
      <c r="E31" t="s">
        <v>4211</v>
      </c>
      <c r="I31" t="s">
        <v>3412</v>
      </c>
      <c r="J31" t="s">
        <v>2984</v>
      </c>
      <c r="K31" t="s">
        <v>3413</v>
      </c>
      <c r="L31" t="s">
        <v>3414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4210</v>
      </c>
      <c r="E32" t="s">
        <v>4211</v>
      </c>
      <c r="H32" t="s">
        <v>2936</v>
      </c>
      <c r="I32" t="s">
        <v>3415</v>
      </c>
      <c r="J32" t="s">
        <v>2984</v>
      </c>
      <c r="K32" t="s">
        <v>3416</v>
      </c>
      <c r="L32" t="s">
        <v>3417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4210</v>
      </c>
      <c r="E33" t="s">
        <v>4211</v>
      </c>
      <c r="H33" t="s">
        <v>2936</v>
      </c>
      <c r="I33" t="s">
        <v>3418</v>
      </c>
      <c r="J33" t="s">
        <v>2984</v>
      </c>
      <c r="K33" t="s">
        <v>3419</v>
      </c>
      <c r="L33" t="s">
        <v>3420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4210</v>
      </c>
      <c r="E34" t="s">
        <v>4211</v>
      </c>
      <c r="H34" t="s">
        <v>2936</v>
      </c>
      <c r="I34" t="s">
        <v>3421</v>
      </c>
      <c r="J34" t="s">
        <v>2984</v>
      </c>
      <c r="K34" t="s">
        <v>3422</v>
      </c>
      <c r="L34" t="s">
        <v>3423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4210</v>
      </c>
      <c r="E35" t="s">
        <v>4211</v>
      </c>
      <c r="H35" t="s">
        <v>2936</v>
      </c>
      <c r="I35" t="s">
        <v>3424</v>
      </c>
      <c r="J35" t="s">
        <v>2984</v>
      </c>
      <c r="K35" t="s">
        <v>3425</v>
      </c>
      <c r="L35" t="s">
        <v>3426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4210</v>
      </c>
      <c r="E36" t="s">
        <v>4211</v>
      </c>
      <c r="H36" t="s">
        <v>2936</v>
      </c>
      <c r="I36" t="s">
        <v>3427</v>
      </c>
      <c r="J36" t="s">
        <v>2984</v>
      </c>
      <c r="K36" t="s">
        <v>3428</v>
      </c>
      <c r="L36" t="s">
        <v>3429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4210</v>
      </c>
      <c r="E37" t="s">
        <v>4211</v>
      </c>
      <c r="H37" t="s">
        <v>2936</v>
      </c>
      <c r="I37" t="s">
        <v>3430</v>
      </c>
      <c r="J37" t="s">
        <v>2984</v>
      </c>
      <c r="K37" t="s">
        <v>3431</v>
      </c>
      <c r="L37" t="s">
        <v>3432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4210</v>
      </c>
      <c r="E38" t="s">
        <v>4211</v>
      </c>
      <c r="H38" t="s">
        <v>2936</v>
      </c>
      <c r="I38" t="s">
        <v>3433</v>
      </c>
      <c r="J38" t="s">
        <v>2984</v>
      </c>
      <c r="K38" t="s">
        <v>3434</v>
      </c>
      <c r="L38" t="s">
        <v>3435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4210</v>
      </c>
      <c r="E39" t="s">
        <v>4211</v>
      </c>
      <c r="H39" t="s">
        <v>2936</v>
      </c>
      <c r="I39" t="s">
        <v>3436</v>
      </c>
      <c r="J39" t="s">
        <v>2984</v>
      </c>
      <c r="K39" t="s">
        <v>3437</v>
      </c>
      <c r="L39" t="s">
        <v>3438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4210</v>
      </c>
      <c r="E40" t="s">
        <v>4211</v>
      </c>
      <c r="H40" t="s">
        <v>2936</v>
      </c>
      <c r="I40" t="s">
        <v>3439</v>
      </c>
      <c r="J40" t="s">
        <v>2984</v>
      </c>
      <c r="K40" t="s">
        <v>3440</v>
      </c>
      <c r="L40" t="s">
        <v>3441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4210</v>
      </c>
      <c r="E41" t="s">
        <v>4211</v>
      </c>
      <c r="H41" t="s">
        <v>2936</v>
      </c>
      <c r="I41" t="s">
        <v>3442</v>
      </c>
      <c r="J41" t="s">
        <v>2984</v>
      </c>
      <c r="K41" t="s">
        <v>3443</v>
      </c>
      <c r="L41" t="s">
        <v>3444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4210</v>
      </c>
      <c r="E42" t="s">
        <v>4211</v>
      </c>
      <c r="H42" t="s">
        <v>2936</v>
      </c>
      <c r="I42" t="s">
        <v>3445</v>
      </c>
      <c r="J42" t="s">
        <v>2984</v>
      </c>
      <c r="K42" t="s">
        <v>3446</v>
      </c>
      <c r="L42" t="s">
        <v>3447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3448</v>
      </c>
      <c r="J43" t="s">
        <v>2984</v>
      </c>
      <c r="K43" t="s">
        <v>3449</v>
      </c>
      <c r="L43" t="s">
        <v>3450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4212</v>
      </c>
      <c r="I44" t="s">
        <v>3451</v>
      </c>
      <c r="J44" t="s">
        <v>2984</v>
      </c>
      <c r="K44" t="s">
        <v>3452</v>
      </c>
      <c r="L44" t="s">
        <v>3453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4212</v>
      </c>
      <c r="H45" t="s">
        <v>2936</v>
      </c>
      <c r="I45" t="s">
        <v>3454</v>
      </c>
      <c r="J45" t="s">
        <v>2984</v>
      </c>
      <c r="K45" t="s">
        <v>3455</v>
      </c>
      <c r="L45" t="s">
        <v>3456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4212</v>
      </c>
      <c r="H46" t="s">
        <v>2936</v>
      </c>
      <c r="I46" t="s">
        <v>3457</v>
      </c>
      <c r="J46" t="s">
        <v>2984</v>
      </c>
      <c r="K46" t="s">
        <v>3458</v>
      </c>
      <c r="L46" t="s">
        <v>3459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4212</v>
      </c>
      <c r="H47" t="s">
        <v>2936</v>
      </c>
      <c r="I47" t="s">
        <v>3460</v>
      </c>
      <c r="J47" t="s">
        <v>2984</v>
      </c>
      <c r="K47" t="s">
        <v>3461</v>
      </c>
      <c r="L47" t="s">
        <v>3462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4212</v>
      </c>
      <c r="H48" t="s">
        <v>2936</v>
      </c>
      <c r="I48" t="s">
        <v>3463</v>
      </c>
      <c r="J48" t="s">
        <v>2984</v>
      </c>
      <c r="K48" t="s">
        <v>3464</v>
      </c>
      <c r="L48" t="s">
        <v>3465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3466</v>
      </c>
      <c r="J49" t="s">
        <v>2984</v>
      </c>
      <c r="K49" t="s">
        <v>3467</v>
      </c>
      <c r="L49" t="s">
        <v>3468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4274</v>
      </c>
      <c r="J50" t="s">
        <v>2984</v>
      </c>
      <c r="K50" t="s">
        <v>4275</v>
      </c>
      <c r="L50" t="s">
        <v>4276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5111</v>
      </c>
      <c r="J51" t="s">
        <v>2984</v>
      </c>
      <c r="K51" t="s">
        <v>5112</v>
      </c>
      <c r="L51" t="s">
        <v>5107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4248</v>
      </c>
      <c r="F52" t="s">
        <v>60</v>
      </c>
      <c r="I52" t="s">
        <v>5113</v>
      </c>
      <c r="J52" t="s">
        <v>2984</v>
      </c>
      <c r="K52" t="s">
        <v>5114</v>
      </c>
      <c r="L52" t="s">
        <v>5108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5115</v>
      </c>
      <c r="J53" t="s">
        <v>2984</v>
      </c>
      <c r="K53" t="s">
        <v>5116</v>
      </c>
      <c r="L53" t="s">
        <v>5109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4577</v>
      </c>
      <c r="J54" t="s">
        <v>2984</v>
      </c>
      <c r="K54" t="s">
        <v>4578</v>
      </c>
      <c r="L54" t="s">
        <v>4579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4248</v>
      </c>
      <c r="F55" t="s">
        <v>200</v>
      </c>
      <c r="I55" t="s">
        <v>4580</v>
      </c>
      <c r="J55" t="s">
        <v>2984</v>
      </c>
      <c r="K55" t="s">
        <v>4581</v>
      </c>
      <c r="L55" t="s">
        <v>4582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4248</v>
      </c>
      <c r="F56" t="s">
        <v>200</v>
      </c>
      <c r="I56" t="s">
        <v>4583</v>
      </c>
      <c r="J56" t="s">
        <v>2984</v>
      </c>
      <c r="K56" t="s">
        <v>4584</v>
      </c>
      <c r="L56" t="s">
        <v>4585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5110</v>
      </c>
      <c r="E57" t="s">
        <v>86</v>
      </c>
      <c r="I57" t="s">
        <v>4586</v>
      </c>
      <c r="J57" t="s">
        <v>2984</v>
      </c>
      <c r="K57" t="s">
        <v>4587</v>
      </c>
      <c r="L57" t="s">
        <v>4588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4589</v>
      </c>
      <c r="J58" t="s">
        <v>2984</v>
      </c>
      <c r="K58" t="s">
        <v>4590</v>
      </c>
      <c r="L58" t="s">
        <v>4591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5110</v>
      </c>
      <c r="E59" t="s">
        <v>86</v>
      </c>
      <c r="I59" t="s">
        <v>4592</v>
      </c>
      <c r="J59" t="s">
        <v>2984</v>
      </c>
      <c r="K59" t="s">
        <v>4593</v>
      </c>
      <c r="L59" t="s">
        <v>4594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5110</v>
      </c>
      <c r="E60" t="s">
        <v>86</v>
      </c>
      <c r="I60" t="s">
        <v>4595</v>
      </c>
      <c r="J60" t="s">
        <v>2984</v>
      </c>
      <c r="K60" t="s">
        <v>4596</v>
      </c>
      <c r="L60" t="s">
        <v>4597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I61" t="s">
        <v>4598</v>
      </c>
      <c r="J61" t="s">
        <v>2984</v>
      </c>
      <c r="K61" t="s">
        <v>4599</v>
      </c>
      <c r="L61" t="s">
        <v>4600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I62" t="s">
        <v>5176</v>
      </c>
      <c r="J62" t="s">
        <v>2984</v>
      </c>
      <c r="K62" t="s">
        <v>5177</v>
      </c>
      <c r="L62" t="s">
        <v>5178</v>
      </c>
      <c r="M62" s="3" t="str">
        <f>HYPERLINK(склад2въезд131920[[#This Row],[RelativePath]])</f>
        <v>6 Площадка 1 общага\826398429_1_20251207T112611Z.jpg</v>
      </c>
    </row>
  </sheetData>
  <conditionalFormatting sqref="D63:D73 E63:E76 G2:H62 D2:E62">
    <cfRule type="containsText" dxfId="375" priority="14" operator="containsText" text="Выезд с территории">
      <formula>NOT(ISERROR(SEARCH("Выезд с территории",D2)))</formula>
    </cfRule>
  </conditionalFormatting>
  <conditionalFormatting sqref="F2:F62">
    <cfRule type="notContainsText" dxfId="374" priority="13" operator="notContains" text="порожний">
      <formula>ISERROR(SEARCH("порожний",F2))</formula>
    </cfRule>
  </conditionalFormatting>
  <conditionalFormatting sqref="E2:E76">
    <cfRule type="containsText" dxfId="373" priority="11" operator="containsText" text="Газель базы">
      <formula>NOT(ISERROR(SEARCH("Газель базы",E2)))</formula>
    </cfRule>
    <cfRule type="containsText" dxfId="372" priority="12" operator="containsText" text="Погрузчик базы">
      <formula>NOT(ISERROR(SEARCH("Погрузчик базы",E2)))</formula>
    </cfRule>
  </conditionalFormatting>
  <conditionalFormatting sqref="E2:E76">
    <cfRule type="containsText" dxfId="371" priority="10" operator="containsText" text="Трактор базы">
      <formula>NOT(ISERROR(SEARCH("Трактор базы",E2)))</formula>
    </cfRule>
  </conditionalFormatting>
  <conditionalFormatting sqref="A2:C62">
    <cfRule type="expression" dxfId="370" priority="9">
      <formula>$A2="пн"</formula>
    </cfRule>
  </conditionalFormatting>
  <conditionalFormatting sqref="A2:C64">
    <cfRule type="expression" dxfId="369" priority="3">
      <formula>$A2="вс"</formula>
    </cfRule>
    <cfRule type="expression" dxfId="368" priority="4">
      <formula>$A2="сб"</formula>
    </cfRule>
    <cfRule type="expression" dxfId="367" priority="5">
      <formula>$A2="пт"</formula>
    </cfRule>
    <cfRule type="expression" dxfId="366" priority="6">
      <formula>$A2="чт"</formula>
    </cfRule>
    <cfRule type="expression" dxfId="365" priority="7">
      <formula>$A2="ср"</formula>
    </cfRule>
    <cfRule type="expression" dxfId="364" priority="8">
      <formula>$A2="вт"</formula>
    </cfRule>
  </conditionalFormatting>
  <conditionalFormatting sqref="D2:D73">
    <cfRule type="containsText" dxfId="3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">
    <cfRule type="containsText" dxfId="3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88"/>
  <sheetViews>
    <sheetView zoomScale="90" zoomScaleNormal="90" workbookViewId="0">
      <pane ySplit="1" topLeftCell="A175" activePane="bottomLeft" state="frozen"/>
      <selection pane="bottomLeft" activeCell="G197" sqref="G19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hidden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2985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2985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2985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2985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2985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2985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2985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2985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2985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2985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2985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2985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2985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2985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2985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2985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2985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2985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2985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2985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2985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2985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2985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2985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2985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2985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2985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2985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2985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2985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2985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2985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2985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2985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2985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2985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2985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2985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2985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2985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2985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2985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2985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2985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2985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2985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2985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2985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2985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2985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2985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2985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2985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2985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2985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2985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2985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2985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2985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2985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2985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2985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2985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2985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2985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2985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2985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2985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2985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3469</v>
      </c>
      <c r="J71" t="s">
        <v>2985</v>
      </c>
      <c r="K71" t="s">
        <v>3470</v>
      </c>
      <c r="L71" t="s">
        <v>3471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3472</v>
      </c>
      <c r="J72" t="s">
        <v>2985</v>
      </c>
      <c r="K72" t="s">
        <v>3473</v>
      </c>
      <c r="L72" t="s">
        <v>3474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3475</v>
      </c>
      <c r="J73" t="s">
        <v>2985</v>
      </c>
      <c r="K73" t="s">
        <v>3476</v>
      </c>
      <c r="L73" t="s">
        <v>3477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4213</v>
      </c>
      <c r="I74" t="s">
        <v>4214</v>
      </c>
      <c r="J74" t="s">
        <v>2985</v>
      </c>
      <c r="K74" t="s">
        <v>4215</v>
      </c>
      <c r="L74" t="s">
        <v>4216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3478</v>
      </c>
      <c r="J75" t="s">
        <v>2985</v>
      </c>
      <c r="K75" t="s">
        <v>3479</v>
      </c>
      <c r="L75" t="s">
        <v>3480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4210</v>
      </c>
      <c r="E76" t="s">
        <v>4211</v>
      </c>
      <c r="I76" t="s">
        <v>3481</v>
      </c>
      <c r="J76" t="s">
        <v>2985</v>
      </c>
      <c r="K76" t="s">
        <v>3482</v>
      </c>
      <c r="L76" t="s">
        <v>3483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4210</v>
      </c>
      <c r="E77" t="s">
        <v>4211</v>
      </c>
      <c r="H77" t="s">
        <v>2936</v>
      </c>
      <c r="I77" t="s">
        <v>3484</v>
      </c>
      <c r="J77" t="s">
        <v>2985</v>
      </c>
      <c r="K77" t="s">
        <v>3485</v>
      </c>
      <c r="L77" t="s">
        <v>3486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4210</v>
      </c>
      <c r="E78" t="s">
        <v>4211</v>
      </c>
      <c r="H78" t="s">
        <v>2936</v>
      </c>
      <c r="I78" t="s">
        <v>3487</v>
      </c>
      <c r="J78" t="s">
        <v>2985</v>
      </c>
      <c r="K78" t="s">
        <v>3488</v>
      </c>
      <c r="L78" t="s">
        <v>3489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4210</v>
      </c>
      <c r="E79" t="s">
        <v>4211</v>
      </c>
      <c r="H79" t="s">
        <v>2936</v>
      </c>
      <c r="I79" t="s">
        <v>3490</v>
      </c>
      <c r="J79" t="s">
        <v>2985</v>
      </c>
      <c r="K79" t="s">
        <v>3491</v>
      </c>
      <c r="L79" t="s">
        <v>3492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4210</v>
      </c>
      <c r="E80" t="s">
        <v>4211</v>
      </c>
      <c r="H80" t="s">
        <v>2936</v>
      </c>
      <c r="I80" t="s">
        <v>3493</v>
      </c>
      <c r="J80" t="s">
        <v>2985</v>
      </c>
      <c r="K80" t="s">
        <v>3494</v>
      </c>
      <c r="L80" t="s">
        <v>3495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4210</v>
      </c>
      <c r="E81" t="s">
        <v>4211</v>
      </c>
      <c r="H81" t="s">
        <v>2936</v>
      </c>
      <c r="I81" t="s">
        <v>3496</v>
      </c>
      <c r="J81" t="s">
        <v>2985</v>
      </c>
      <c r="K81" t="s">
        <v>3497</v>
      </c>
      <c r="L81" t="s">
        <v>3498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4210</v>
      </c>
      <c r="E82" t="s">
        <v>4211</v>
      </c>
      <c r="H82" t="s">
        <v>2936</v>
      </c>
      <c r="I82" t="s">
        <v>3499</v>
      </c>
      <c r="J82" t="s">
        <v>2985</v>
      </c>
      <c r="K82" t="s">
        <v>3500</v>
      </c>
      <c r="L82" t="s">
        <v>3501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4210</v>
      </c>
      <c r="E83" t="s">
        <v>4211</v>
      </c>
      <c r="H83" t="s">
        <v>2936</v>
      </c>
      <c r="I83" t="s">
        <v>3502</v>
      </c>
      <c r="J83" t="s">
        <v>2985</v>
      </c>
      <c r="K83" t="s">
        <v>3503</v>
      </c>
      <c r="L83" t="s">
        <v>3504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4210</v>
      </c>
      <c r="E84" t="s">
        <v>4211</v>
      </c>
      <c r="H84" t="s">
        <v>2936</v>
      </c>
      <c r="I84" t="s">
        <v>3505</v>
      </c>
      <c r="J84" t="s">
        <v>2985</v>
      </c>
      <c r="K84" t="s">
        <v>3506</v>
      </c>
      <c r="L84" t="s">
        <v>3507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4210</v>
      </c>
      <c r="E85" t="s">
        <v>4211</v>
      </c>
      <c r="H85" t="s">
        <v>2936</v>
      </c>
      <c r="I85" t="s">
        <v>3508</v>
      </c>
      <c r="J85" t="s">
        <v>2985</v>
      </c>
      <c r="K85" t="s">
        <v>3509</v>
      </c>
      <c r="L85" t="s">
        <v>3510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4210</v>
      </c>
      <c r="E86" t="s">
        <v>4211</v>
      </c>
      <c r="H86" t="s">
        <v>2936</v>
      </c>
      <c r="I86" t="s">
        <v>3511</v>
      </c>
      <c r="J86" t="s">
        <v>2985</v>
      </c>
      <c r="K86" t="s">
        <v>3512</v>
      </c>
      <c r="L86" t="s">
        <v>3513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4210</v>
      </c>
      <c r="E87" t="s">
        <v>4211</v>
      </c>
      <c r="H87" t="s">
        <v>2936</v>
      </c>
      <c r="I87" t="s">
        <v>3514</v>
      </c>
      <c r="J87" t="s">
        <v>2985</v>
      </c>
      <c r="K87" t="s">
        <v>3515</v>
      </c>
      <c r="L87" t="s">
        <v>3516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4210</v>
      </c>
      <c r="E88" t="s">
        <v>4211</v>
      </c>
      <c r="H88" t="s">
        <v>2936</v>
      </c>
      <c r="I88" t="s">
        <v>3517</v>
      </c>
      <c r="J88" t="s">
        <v>2985</v>
      </c>
      <c r="K88" t="s">
        <v>3518</v>
      </c>
      <c r="L88" t="s">
        <v>3519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4210</v>
      </c>
      <c r="E89" t="s">
        <v>4211</v>
      </c>
      <c r="H89" t="s">
        <v>2936</v>
      </c>
      <c r="I89" t="s">
        <v>3520</v>
      </c>
      <c r="J89" t="s">
        <v>2985</v>
      </c>
      <c r="K89" t="s">
        <v>3521</v>
      </c>
      <c r="L89" t="s">
        <v>3522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4210</v>
      </c>
      <c r="E90" t="s">
        <v>4211</v>
      </c>
      <c r="H90" t="s">
        <v>2936</v>
      </c>
      <c r="I90" t="s">
        <v>3523</v>
      </c>
      <c r="J90" t="s">
        <v>2985</v>
      </c>
      <c r="K90" t="s">
        <v>3524</v>
      </c>
      <c r="L90" t="s">
        <v>3525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4210</v>
      </c>
      <c r="E91" t="s">
        <v>4211</v>
      </c>
      <c r="H91" t="s">
        <v>2936</v>
      </c>
      <c r="I91" t="s">
        <v>3526</v>
      </c>
      <c r="J91" t="s">
        <v>2985</v>
      </c>
      <c r="K91" t="s">
        <v>3527</v>
      </c>
      <c r="L91" t="s">
        <v>3528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4210</v>
      </c>
      <c r="E92" t="s">
        <v>4211</v>
      </c>
      <c r="H92" t="s">
        <v>2936</v>
      </c>
      <c r="I92" t="s">
        <v>3529</v>
      </c>
      <c r="J92" t="s">
        <v>2985</v>
      </c>
      <c r="K92" t="s">
        <v>3530</v>
      </c>
      <c r="L92" t="s">
        <v>3531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4210</v>
      </c>
      <c r="E93" t="s">
        <v>4211</v>
      </c>
      <c r="H93" t="s">
        <v>2936</v>
      </c>
      <c r="I93" t="s">
        <v>3532</v>
      </c>
      <c r="J93" t="s">
        <v>2985</v>
      </c>
      <c r="K93" t="s">
        <v>3533</v>
      </c>
      <c r="L93" t="s">
        <v>3534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4210</v>
      </c>
      <c r="E94" t="s">
        <v>4211</v>
      </c>
      <c r="H94" t="s">
        <v>2936</v>
      </c>
      <c r="I94" t="s">
        <v>3535</v>
      </c>
      <c r="J94" t="s">
        <v>2985</v>
      </c>
      <c r="K94" t="s">
        <v>3536</v>
      </c>
      <c r="L94" t="s">
        <v>3537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4210</v>
      </c>
      <c r="E95" t="s">
        <v>4211</v>
      </c>
      <c r="H95" t="s">
        <v>2936</v>
      </c>
      <c r="I95" t="s">
        <v>3538</v>
      </c>
      <c r="J95" t="s">
        <v>2985</v>
      </c>
      <c r="K95" t="s">
        <v>3539</v>
      </c>
      <c r="L95" t="s">
        <v>3540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4217</v>
      </c>
      <c r="E96" t="s">
        <v>4212</v>
      </c>
      <c r="I96" t="s">
        <v>3541</v>
      </c>
      <c r="J96" t="s">
        <v>2985</v>
      </c>
      <c r="K96" t="s">
        <v>3542</v>
      </c>
      <c r="L96" t="s">
        <v>3543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4217</v>
      </c>
      <c r="E97" t="s">
        <v>4212</v>
      </c>
      <c r="H97" t="s">
        <v>2936</v>
      </c>
      <c r="I97" t="s">
        <v>3544</v>
      </c>
      <c r="J97" t="s">
        <v>2985</v>
      </c>
      <c r="K97" t="s">
        <v>3545</v>
      </c>
      <c r="L97" t="s">
        <v>3546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4217</v>
      </c>
      <c r="E98" t="s">
        <v>4212</v>
      </c>
      <c r="H98" t="s">
        <v>2936</v>
      </c>
      <c r="I98" t="s">
        <v>3547</v>
      </c>
      <c r="J98" t="s">
        <v>2985</v>
      </c>
      <c r="K98" t="s">
        <v>3548</v>
      </c>
      <c r="L98" t="s">
        <v>3549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4217</v>
      </c>
      <c r="E99" t="s">
        <v>4212</v>
      </c>
      <c r="H99" t="s">
        <v>2936</v>
      </c>
      <c r="I99" t="s">
        <v>3550</v>
      </c>
      <c r="J99" t="s">
        <v>2985</v>
      </c>
      <c r="K99" t="s">
        <v>3551</v>
      </c>
      <c r="L99" t="s">
        <v>3552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4217</v>
      </c>
      <c r="E100" t="s">
        <v>4212</v>
      </c>
      <c r="H100" t="s">
        <v>2936</v>
      </c>
      <c r="I100" t="s">
        <v>3553</v>
      </c>
      <c r="J100" t="s">
        <v>2985</v>
      </c>
      <c r="K100" t="s">
        <v>3554</v>
      </c>
      <c r="L100" t="s">
        <v>3555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4217</v>
      </c>
      <c r="E101" t="s">
        <v>4212</v>
      </c>
      <c r="H101" t="s">
        <v>2936</v>
      </c>
      <c r="I101" t="s">
        <v>3556</v>
      </c>
      <c r="J101" t="s">
        <v>2985</v>
      </c>
      <c r="K101" t="s">
        <v>3557</v>
      </c>
      <c r="L101" t="s">
        <v>3558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3559</v>
      </c>
      <c r="J102" t="s">
        <v>2985</v>
      </c>
      <c r="K102" t="s">
        <v>3560</v>
      </c>
      <c r="L102" t="s">
        <v>3561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4195</v>
      </c>
      <c r="I103" t="s">
        <v>3562</v>
      </c>
      <c r="J103" t="s">
        <v>2985</v>
      </c>
      <c r="K103" t="s">
        <v>3563</v>
      </c>
      <c r="L103" t="s">
        <v>3564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4218</v>
      </c>
      <c r="I104" t="s">
        <v>3565</v>
      </c>
      <c r="J104" t="s">
        <v>2985</v>
      </c>
      <c r="K104" t="s">
        <v>3566</v>
      </c>
      <c r="L104" t="s">
        <v>3567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4218</v>
      </c>
      <c r="F105" t="s">
        <v>4212</v>
      </c>
      <c r="I105" t="s">
        <v>3568</v>
      </c>
      <c r="J105" t="s">
        <v>2985</v>
      </c>
      <c r="K105" t="s">
        <v>3569</v>
      </c>
      <c r="L105" t="s">
        <v>3570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4218</v>
      </c>
      <c r="F106" t="s">
        <v>4212</v>
      </c>
      <c r="H106" t="s">
        <v>2936</v>
      </c>
      <c r="I106" t="s">
        <v>3571</v>
      </c>
      <c r="J106" t="s">
        <v>2985</v>
      </c>
      <c r="K106" t="s">
        <v>3572</v>
      </c>
      <c r="L106" t="s">
        <v>3573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4218</v>
      </c>
      <c r="F107" t="s">
        <v>4212</v>
      </c>
      <c r="H107" t="s">
        <v>2936</v>
      </c>
      <c r="I107" t="s">
        <v>3574</v>
      </c>
      <c r="J107" t="s">
        <v>2985</v>
      </c>
      <c r="K107" t="s">
        <v>3575</v>
      </c>
      <c r="L107" t="s">
        <v>3576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4218</v>
      </c>
      <c r="F108" t="s">
        <v>4212</v>
      </c>
      <c r="H108" t="s">
        <v>2936</v>
      </c>
      <c r="I108" t="s">
        <v>3577</v>
      </c>
      <c r="J108" t="s">
        <v>2985</v>
      </c>
      <c r="K108" t="s">
        <v>3578</v>
      </c>
      <c r="L108" t="s">
        <v>3579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4218</v>
      </c>
      <c r="F109" t="s">
        <v>4212</v>
      </c>
      <c r="H109" t="s">
        <v>2936</v>
      </c>
      <c r="I109" t="s">
        <v>3580</v>
      </c>
      <c r="J109" t="s">
        <v>2985</v>
      </c>
      <c r="K109" t="s">
        <v>3581</v>
      </c>
      <c r="L109" t="s">
        <v>3582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4218</v>
      </c>
      <c r="F110" t="s">
        <v>4212</v>
      </c>
      <c r="H110" t="s">
        <v>2936</v>
      </c>
      <c r="I110" t="s">
        <v>3583</v>
      </c>
      <c r="J110" t="s">
        <v>2985</v>
      </c>
      <c r="K110" t="s">
        <v>3584</v>
      </c>
      <c r="L110" t="s">
        <v>3585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4218</v>
      </c>
      <c r="F111" t="s">
        <v>4212</v>
      </c>
      <c r="H111" t="s">
        <v>2936</v>
      </c>
      <c r="I111" t="s">
        <v>3586</v>
      </c>
      <c r="J111" t="s">
        <v>2985</v>
      </c>
      <c r="K111" t="s">
        <v>3587</v>
      </c>
      <c r="L111" t="s">
        <v>3588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4218</v>
      </c>
      <c r="F112" t="s">
        <v>4212</v>
      </c>
      <c r="H112" t="s">
        <v>2936</v>
      </c>
      <c r="I112" t="s">
        <v>3589</v>
      </c>
      <c r="J112" t="s">
        <v>2985</v>
      </c>
      <c r="K112" t="s">
        <v>3590</v>
      </c>
      <c r="L112" t="s">
        <v>3591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4218</v>
      </c>
      <c r="F113" t="s">
        <v>4212</v>
      </c>
      <c r="H113" t="s">
        <v>2936</v>
      </c>
      <c r="I113" t="s">
        <v>3592</v>
      </c>
      <c r="J113" t="s">
        <v>2985</v>
      </c>
      <c r="K113" t="s">
        <v>3593</v>
      </c>
      <c r="L113" t="s">
        <v>3594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4218</v>
      </c>
      <c r="F114" t="s">
        <v>4212</v>
      </c>
      <c r="H114" t="s">
        <v>2936</v>
      </c>
      <c r="I114" t="s">
        <v>3595</v>
      </c>
      <c r="J114" t="s">
        <v>2985</v>
      </c>
      <c r="K114" t="s">
        <v>3596</v>
      </c>
      <c r="L114" t="s">
        <v>3597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4218</v>
      </c>
      <c r="F115" t="s">
        <v>4212</v>
      </c>
      <c r="H115" t="s">
        <v>2936</v>
      </c>
      <c r="I115" t="s">
        <v>3598</v>
      </c>
      <c r="J115" t="s">
        <v>2985</v>
      </c>
      <c r="K115" t="s">
        <v>3599</v>
      </c>
      <c r="L115" t="s">
        <v>3600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4218</v>
      </c>
      <c r="F116" t="s">
        <v>4212</v>
      </c>
      <c r="H116" t="s">
        <v>2936</v>
      </c>
      <c r="I116" t="s">
        <v>3601</v>
      </c>
      <c r="J116" t="s">
        <v>2985</v>
      </c>
      <c r="K116" t="s">
        <v>3602</v>
      </c>
      <c r="L116" t="s">
        <v>3603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4218</v>
      </c>
      <c r="F117" t="s">
        <v>4212</v>
      </c>
      <c r="H117" t="s">
        <v>2936</v>
      </c>
      <c r="I117" t="s">
        <v>3604</v>
      </c>
      <c r="J117" t="s">
        <v>2985</v>
      </c>
      <c r="K117" t="s">
        <v>3605</v>
      </c>
      <c r="L117" t="s">
        <v>3606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4218</v>
      </c>
      <c r="F118" t="s">
        <v>4212</v>
      </c>
      <c r="H118" t="s">
        <v>2936</v>
      </c>
      <c r="I118" t="s">
        <v>3607</v>
      </c>
      <c r="J118" t="s">
        <v>2985</v>
      </c>
      <c r="K118" t="s">
        <v>3608</v>
      </c>
      <c r="L118" t="s">
        <v>3609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4218</v>
      </c>
      <c r="F119" t="s">
        <v>4212</v>
      </c>
      <c r="H119" t="s">
        <v>4219</v>
      </c>
      <c r="I119" t="s">
        <v>3610</v>
      </c>
      <c r="J119" t="s">
        <v>2985</v>
      </c>
      <c r="K119" t="s">
        <v>3611</v>
      </c>
      <c r="L119" t="s">
        <v>3612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4195</v>
      </c>
      <c r="F120" t="s">
        <v>4212</v>
      </c>
      <c r="I120" t="s">
        <v>3613</v>
      </c>
      <c r="J120" t="s">
        <v>2985</v>
      </c>
      <c r="K120" t="s">
        <v>3614</v>
      </c>
      <c r="L120" t="s">
        <v>3615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4195</v>
      </c>
      <c r="F121" t="s">
        <v>4212</v>
      </c>
      <c r="H121" t="s">
        <v>2936</v>
      </c>
      <c r="I121" t="s">
        <v>3616</v>
      </c>
      <c r="J121" t="s">
        <v>2985</v>
      </c>
      <c r="K121" t="s">
        <v>3617</v>
      </c>
      <c r="L121" t="s">
        <v>3618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4195</v>
      </c>
      <c r="F122" t="s">
        <v>4212</v>
      </c>
      <c r="H122" t="s">
        <v>2936</v>
      </c>
      <c r="I122" t="s">
        <v>3619</v>
      </c>
      <c r="J122" t="s">
        <v>2985</v>
      </c>
      <c r="K122" t="s">
        <v>3620</v>
      </c>
      <c r="L122" t="s">
        <v>3621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4195</v>
      </c>
      <c r="F123" t="s">
        <v>4212</v>
      </c>
      <c r="H123" t="s">
        <v>2936</v>
      </c>
      <c r="I123" t="s">
        <v>3622</v>
      </c>
      <c r="J123" t="s">
        <v>2985</v>
      </c>
      <c r="K123" t="s">
        <v>3623</v>
      </c>
      <c r="L123" t="s">
        <v>3624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4195</v>
      </c>
      <c r="F124" t="s">
        <v>4212</v>
      </c>
      <c r="H124" t="s">
        <v>2936</v>
      </c>
      <c r="I124" t="s">
        <v>3625</v>
      </c>
      <c r="J124" t="s">
        <v>2985</v>
      </c>
      <c r="K124" t="s">
        <v>3626</v>
      </c>
      <c r="L124" t="s">
        <v>3627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4195</v>
      </c>
      <c r="F125" t="s">
        <v>4212</v>
      </c>
      <c r="H125" t="s">
        <v>2936</v>
      </c>
      <c r="I125" t="s">
        <v>3628</v>
      </c>
      <c r="J125" t="s">
        <v>2985</v>
      </c>
      <c r="K125" t="s">
        <v>3629</v>
      </c>
      <c r="L125" t="s">
        <v>3630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4195</v>
      </c>
      <c r="F126" t="s">
        <v>4212</v>
      </c>
      <c r="H126" t="s">
        <v>2936</v>
      </c>
      <c r="I126" t="s">
        <v>3631</v>
      </c>
      <c r="J126" t="s">
        <v>2985</v>
      </c>
      <c r="K126" t="s">
        <v>3632</v>
      </c>
      <c r="L126" t="s">
        <v>3633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4195</v>
      </c>
      <c r="F127" t="s">
        <v>4212</v>
      </c>
      <c r="H127" t="s">
        <v>2936</v>
      </c>
      <c r="I127" t="s">
        <v>3634</v>
      </c>
      <c r="J127" t="s">
        <v>2985</v>
      </c>
      <c r="K127" t="s">
        <v>3635</v>
      </c>
      <c r="L127" t="s">
        <v>3636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4195</v>
      </c>
      <c r="F128" t="s">
        <v>4212</v>
      </c>
      <c r="H128" t="s">
        <v>2936</v>
      </c>
      <c r="I128" t="s">
        <v>3637</v>
      </c>
      <c r="J128" t="s">
        <v>2985</v>
      </c>
      <c r="K128" t="s">
        <v>3638</v>
      </c>
      <c r="L128" t="s">
        <v>3639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4195</v>
      </c>
      <c r="F129" t="s">
        <v>4212</v>
      </c>
      <c r="H129" t="s">
        <v>2936</v>
      </c>
      <c r="I129" t="s">
        <v>3640</v>
      </c>
      <c r="J129" t="s">
        <v>2985</v>
      </c>
      <c r="K129" t="s">
        <v>3641</v>
      </c>
      <c r="L129" t="s">
        <v>3642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4195</v>
      </c>
      <c r="F130" t="s">
        <v>4212</v>
      </c>
      <c r="H130" t="s">
        <v>2936</v>
      </c>
      <c r="I130" t="s">
        <v>3643</v>
      </c>
      <c r="J130" t="s">
        <v>2985</v>
      </c>
      <c r="K130" t="s">
        <v>3644</v>
      </c>
      <c r="L130" t="s">
        <v>3645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4195</v>
      </c>
      <c r="F131" t="s">
        <v>87</v>
      </c>
      <c r="I131" t="s">
        <v>3646</v>
      </c>
      <c r="J131" t="s">
        <v>2985</v>
      </c>
      <c r="K131" t="s">
        <v>3647</v>
      </c>
      <c r="L131" t="s">
        <v>3648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4196</v>
      </c>
      <c r="I132" t="s">
        <v>3649</v>
      </c>
      <c r="J132" t="s">
        <v>2985</v>
      </c>
      <c r="K132" t="s">
        <v>3650</v>
      </c>
      <c r="L132" t="s">
        <v>3378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4196</v>
      </c>
      <c r="H133" t="s">
        <v>2936</v>
      </c>
      <c r="I133" t="s">
        <v>3651</v>
      </c>
      <c r="J133" t="s">
        <v>2985</v>
      </c>
      <c r="K133" t="s">
        <v>3652</v>
      </c>
      <c r="L133" t="s">
        <v>3653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4196</v>
      </c>
      <c r="F134" t="s">
        <v>4212</v>
      </c>
      <c r="I134" t="s">
        <v>3654</v>
      </c>
      <c r="J134" t="s">
        <v>2985</v>
      </c>
      <c r="K134" t="s">
        <v>3655</v>
      </c>
      <c r="L134" t="s">
        <v>3656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4196</v>
      </c>
      <c r="F135" t="s">
        <v>4212</v>
      </c>
      <c r="H135" t="s">
        <v>2936</v>
      </c>
      <c r="I135" t="s">
        <v>3657</v>
      </c>
      <c r="J135" t="s">
        <v>2985</v>
      </c>
      <c r="K135" t="s">
        <v>3658</v>
      </c>
      <c r="L135" t="s">
        <v>3659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4196</v>
      </c>
      <c r="F136" t="s">
        <v>4212</v>
      </c>
      <c r="H136" t="s">
        <v>2936</v>
      </c>
      <c r="I136" t="s">
        <v>3660</v>
      </c>
      <c r="J136" t="s">
        <v>2985</v>
      </c>
      <c r="K136" t="s">
        <v>3661</v>
      </c>
      <c r="L136" t="s">
        <v>3662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4196</v>
      </c>
      <c r="F137" t="s">
        <v>4212</v>
      </c>
      <c r="H137" t="s">
        <v>2936</v>
      </c>
      <c r="I137" t="s">
        <v>3663</v>
      </c>
      <c r="J137" t="s">
        <v>2985</v>
      </c>
      <c r="K137" t="s">
        <v>3664</v>
      </c>
      <c r="L137" t="s">
        <v>3665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4196</v>
      </c>
      <c r="F138" t="s">
        <v>4212</v>
      </c>
      <c r="H138" t="s">
        <v>2936</v>
      </c>
      <c r="I138" t="s">
        <v>3666</v>
      </c>
      <c r="J138" t="s">
        <v>2985</v>
      </c>
      <c r="K138" t="s">
        <v>3667</v>
      </c>
      <c r="L138" t="s">
        <v>3668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4196</v>
      </c>
      <c r="F139" t="s">
        <v>4212</v>
      </c>
      <c r="H139" t="s">
        <v>2936</v>
      </c>
      <c r="I139" t="s">
        <v>3669</v>
      </c>
      <c r="J139" t="s">
        <v>2985</v>
      </c>
      <c r="K139" t="s">
        <v>3670</v>
      </c>
      <c r="L139" t="s">
        <v>3671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4196</v>
      </c>
      <c r="F140" t="s">
        <v>4212</v>
      </c>
      <c r="H140" t="s">
        <v>2936</v>
      </c>
      <c r="I140" t="s">
        <v>3672</v>
      </c>
      <c r="J140" t="s">
        <v>2985</v>
      </c>
      <c r="K140" t="s">
        <v>3673</v>
      </c>
      <c r="L140" t="s">
        <v>3674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4196</v>
      </c>
      <c r="F141" t="s">
        <v>4212</v>
      </c>
      <c r="H141" t="s">
        <v>2936</v>
      </c>
      <c r="I141" t="s">
        <v>3675</v>
      </c>
      <c r="J141" t="s">
        <v>2985</v>
      </c>
      <c r="K141" t="s">
        <v>3676</v>
      </c>
      <c r="L141" t="s">
        <v>3677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4196</v>
      </c>
      <c r="F142" t="s">
        <v>4212</v>
      </c>
      <c r="H142" t="s">
        <v>2936</v>
      </c>
      <c r="I142" t="s">
        <v>3678</v>
      </c>
      <c r="J142" t="s">
        <v>2985</v>
      </c>
      <c r="K142" t="s">
        <v>3679</v>
      </c>
      <c r="L142" t="s">
        <v>3680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4196</v>
      </c>
      <c r="F143" t="s">
        <v>4212</v>
      </c>
      <c r="H143" t="s">
        <v>2936</v>
      </c>
      <c r="I143" t="s">
        <v>3681</v>
      </c>
      <c r="J143" t="s">
        <v>2985</v>
      </c>
      <c r="K143" t="s">
        <v>3682</v>
      </c>
      <c r="L143" t="s">
        <v>3683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4196</v>
      </c>
      <c r="F144" t="s">
        <v>4212</v>
      </c>
      <c r="H144" t="s">
        <v>2936</v>
      </c>
      <c r="I144" t="s">
        <v>3684</v>
      </c>
      <c r="J144" t="s">
        <v>2985</v>
      </c>
      <c r="K144" t="s">
        <v>3685</v>
      </c>
      <c r="L144" t="s">
        <v>3686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4196</v>
      </c>
      <c r="F145" t="s">
        <v>4212</v>
      </c>
      <c r="H145" t="s">
        <v>2936</v>
      </c>
      <c r="I145" t="s">
        <v>3687</v>
      </c>
      <c r="J145" t="s">
        <v>2985</v>
      </c>
      <c r="K145" t="s">
        <v>3688</v>
      </c>
      <c r="L145" t="s">
        <v>3689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4196</v>
      </c>
      <c r="F146" t="s">
        <v>4212</v>
      </c>
      <c r="H146" t="s">
        <v>2936</v>
      </c>
      <c r="I146" t="s">
        <v>3690</v>
      </c>
      <c r="J146" t="s">
        <v>2985</v>
      </c>
      <c r="K146" t="s">
        <v>3691</v>
      </c>
      <c r="L146" t="s">
        <v>3692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4196</v>
      </c>
      <c r="F147" t="s">
        <v>4212</v>
      </c>
      <c r="H147" t="s">
        <v>2936</v>
      </c>
      <c r="I147" t="s">
        <v>3693</v>
      </c>
      <c r="J147" t="s">
        <v>2985</v>
      </c>
      <c r="K147" t="s">
        <v>3694</v>
      </c>
      <c r="L147" t="s">
        <v>3695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4196</v>
      </c>
      <c r="F148" t="s">
        <v>4212</v>
      </c>
      <c r="H148" t="s">
        <v>2936</v>
      </c>
      <c r="I148" t="s">
        <v>3696</v>
      </c>
      <c r="J148" t="s">
        <v>2985</v>
      </c>
      <c r="K148" t="s">
        <v>3697</v>
      </c>
      <c r="L148" t="s">
        <v>3698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4196</v>
      </c>
      <c r="F149" t="s">
        <v>4212</v>
      </c>
      <c r="H149" t="s">
        <v>2936</v>
      </c>
      <c r="I149" t="s">
        <v>3699</v>
      </c>
      <c r="J149" t="s">
        <v>2985</v>
      </c>
      <c r="K149" t="s">
        <v>3700</v>
      </c>
      <c r="L149" t="s">
        <v>3701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4196</v>
      </c>
      <c r="F150" t="s">
        <v>4212</v>
      </c>
      <c r="H150" t="s">
        <v>2936</v>
      </c>
      <c r="I150" t="s">
        <v>3702</v>
      </c>
      <c r="J150" t="s">
        <v>2985</v>
      </c>
      <c r="K150" t="s">
        <v>3703</v>
      </c>
      <c r="L150" t="s">
        <v>3704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4196</v>
      </c>
      <c r="F151" t="s">
        <v>4212</v>
      </c>
      <c r="H151" t="s">
        <v>2936</v>
      </c>
      <c r="I151" t="s">
        <v>3705</v>
      </c>
      <c r="J151" t="s">
        <v>2985</v>
      </c>
      <c r="K151" t="s">
        <v>3706</v>
      </c>
      <c r="L151" t="s">
        <v>3707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4196</v>
      </c>
      <c r="F152" t="s">
        <v>4212</v>
      </c>
      <c r="H152" t="s">
        <v>2936</v>
      </c>
      <c r="I152" t="s">
        <v>3708</v>
      </c>
      <c r="J152" t="s">
        <v>2985</v>
      </c>
      <c r="K152" t="s">
        <v>3709</v>
      </c>
      <c r="L152" t="s">
        <v>3710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4196</v>
      </c>
      <c r="F153" t="s">
        <v>4212</v>
      </c>
      <c r="H153" t="s">
        <v>2936</v>
      </c>
      <c r="I153" t="s">
        <v>3711</v>
      </c>
      <c r="J153" t="s">
        <v>2985</v>
      </c>
      <c r="K153" t="s">
        <v>3712</v>
      </c>
      <c r="L153" t="s">
        <v>3713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4196</v>
      </c>
      <c r="I154" t="s">
        <v>3714</v>
      </c>
      <c r="J154" t="s">
        <v>2985</v>
      </c>
      <c r="K154" t="s">
        <v>3715</v>
      </c>
      <c r="L154" t="s">
        <v>3716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4196</v>
      </c>
      <c r="F155" t="s">
        <v>4212</v>
      </c>
      <c r="H155" t="s">
        <v>4220</v>
      </c>
      <c r="I155" t="s">
        <v>3717</v>
      </c>
      <c r="J155" t="s">
        <v>2985</v>
      </c>
      <c r="K155" t="s">
        <v>3718</v>
      </c>
      <c r="L155" t="s">
        <v>3468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4298</v>
      </c>
      <c r="E156" t="s">
        <v>55</v>
      </c>
      <c r="I156" t="s">
        <v>4277</v>
      </c>
      <c r="J156" t="s">
        <v>2985</v>
      </c>
      <c r="K156" t="s">
        <v>4278</v>
      </c>
      <c r="L156" t="s">
        <v>4279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5000</v>
      </c>
      <c r="J157" t="s">
        <v>2985</v>
      </c>
      <c r="K157" t="s">
        <v>5001</v>
      </c>
      <c r="L157" t="s">
        <v>5002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5003</v>
      </c>
      <c r="J158" t="s">
        <v>2985</v>
      </c>
      <c r="K158" t="s">
        <v>5004</v>
      </c>
      <c r="L158" t="s">
        <v>5005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5006</v>
      </c>
      <c r="J159" t="s">
        <v>2985</v>
      </c>
      <c r="K159" t="s">
        <v>5007</v>
      </c>
      <c r="L159" t="s">
        <v>5008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4248</v>
      </c>
      <c r="F160" t="s">
        <v>58</v>
      </c>
      <c r="I160" t="s">
        <v>5009</v>
      </c>
      <c r="J160" t="s">
        <v>2985</v>
      </c>
      <c r="K160" t="s">
        <v>5010</v>
      </c>
      <c r="L160" t="s">
        <v>5011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5012</v>
      </c>
      <c r="J161" t="s">
        <v>2985</v>
      </c>
      <c r="K161" t="s">
        <v>5013</v>
      </c>
      <c r="L161" t="s">
        <v>5014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4248</v>
      </c>
      <c r="F162" t="s">
        <v>58</v>
      </c>
      <c r="I162" t="s">
        <v>5015</v>
      </c>
      <c r="J162" t="s">
        <v>2985</v>
      </c>
      <c r="K162" t="s">
        <v>5016</v>
      </c>
      <c r="L162" t="s">
        <v>5017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5018</v>
      </c>
      <c r="J163" t="s">
        <v>2985</v>
      </c>
      <c r="K163" t="s">
        <v>5019</v>
      </c>
      <c r="L163" t="s">
        <v>5020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5021</v>
      </c>
      <c r="J164" t="s">
        <v>2985</v>
      </c>
      <c r="K164" t="s">
        <v>5022</v>
      </c>
      <c r="L164" t="s">
        <v>5023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5024</v>
      </c>
      <c r="J165" t="s">
        <v>2985</v>
      </c>
      <c r="K165" t="s">
        <v>5025</v>
      </c>
      <c r="L165" t="s">
        <v>5026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5027</v>
      </c>
      <c r="J166" t="s">
        <v>2985</v>
      </c>
      <c r="K166" t="s">
        <v>5028</v>
      </c>
      <c r="L166" t="s">
        <v>5029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5030</v>
      </c>
      <c r="J167" t="s">
        <v>2985</v>
      </c>
      <c r="K167" t="s">
        <v>5031</v>
      </c>
      <c r="L167" t="s">
        <v>5032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5033</v>
      </c>
      <c r="J168" t="s">
        <v>2985</v>
      </c>
      <c r="K168" t="s">
        <v>5034</v>
      </c>
      <c r="L168" t="s">
        <v>5035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5036</v>
      </c>
      <c r="J169" t="s">
        <v>2985</v>
      </c>
      <c r="K169" t="s">
        <v>5037</v>
      </c>
      <c r="L169" t="s">
        <v>5038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5039</v>
      </c>
      <c r="J170" t="s">
        <v>2985</v>
      </c>
      <c r="K170" t="s">
        <v>5040</v>
      </c>
      <c r="L170" t="s">
        <v>5041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5042</v>
      </c>
      <c r="J171" t="s">
        <v>2985</v>
      </c>
      <c r="K171" t="s">
        <v>5043</v>
      </c>
      <c r="L171" t="s">
        <v>5044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4248</v>
      </c>
      <c r="F172" t="s">
        <v>60</v>
      </c>
      <c r="I172" t="s">
        <v>5117</v>
      </c>
      <c r="J172" t="s">
        <v>2985</v>
      </c>
      <c r="K172" t="s">
        <v>5118</v>
      </c>
      <c r="L172" t="s">
        <v>5119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4248</v>
      </c>
      <c r="F173" t="s">
        <v>200</v>
      </c>
      <c r="I173" t="s">
        <v>5120</v>
      </c>
      <c r="J173" t="s">
        <v>2985</v>
      </c>
      <c r="K173" t="s">
        <v>5121</v>
      </c>
      <c r="L173" t="s">
        <v>5122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4248</v>
      </c>
      <c r="F174" t="s">
        <v>200</v>
      </c>
      <c r="I174" t="s">
        <v>5123</v>
      </c>
      <c r="J174" t="s">
        <v>2985</v>
      </c>
      <c r="K174" t="s">
        <v>5124</v>
      </c>
      <c r="L174" t="s">
        <v>5125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5126</v>
      </c>
      <c r="J175" t="s">
        <v>2985</v>
      </c>
      <c r="K175" t="s">
        <v>5127</v>
      </c>
      <c r="L175" t="s">
        <v>5128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5129</v>
      </c>
      <c r="J176" t="s">
        <v>2985</v>
      </c>
      <c r="K176" t="s">
        <v>5130</v>
      </c>
      <c r="L176" t="s">
        <v>5131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5132</v>
      </c>
      <c r="J177" t="s">
        <v>2985</v>
      </c>
      <c r="K177" t="s">
        <v>5133</v>
      </c>
      <c r="L177" t="s">
        <v>5134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5045</v>
      </c>
      <c r="J178" t="s">
        <v>2985</v>
      </c>
      <c r="K178" t="s">
        <v>5046</v>
      </c>
      <c r="L178" t="s">
        <v>5047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5048</v>
      </c>
      <c r="J179" t="s">
        <v>2985</v>
      </c>
      <c r="K179" t="s">
        <v>5049</v>
      </c>
      <c r="L179" t="s">
        <v>5050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5051</v>
      </c>
      <c r="J180" t="s">
        <v>2985</v>
      </c>
      <c r="K180" t="s">
        <v>5052</v>
      </c>
      <c r="L180" t="s">
        <v>5053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5054</v>
      </c>
      <c r="J181" t="s">
        <v>2985</v>
      </c>
      <c r="K181" t="s">
        <v>5055</v>
      </c>
      <c r="L181" t="s">
        <v>5056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5057</v>
      </c>
      <c r="J182" t="s">
        <v>2985</v>
      </c>
      <c r="K182" t="s">
        <v>5058</v>
      </c>
      <c r="L182" t="s">
        <v>5059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5060</v>
      </c>
      <c r="J183" t="s">
        <v>2985</v>
      </c>
      <c r="K183" t="s">
        <v>5061</v>
      </c>
      <c r="L183" t="s">
        <v>5062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5063</v>
      </c>
      <c r="J184" t="s">
        <v>2985</v>
      </c>
      <c r="K184" t="s">
        <v>5064</v>
      </c>
      <c r="L184" t="s">
        <v>5065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5066</v>
      </c>
      <c r="J185" t="s">
        <v>2985</v>
      </c>
      <c r="K185" t="s">
        <v>5067</v>
      </c>
      <c r="L185" t="s">
        <v>5068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5135</v>
      </c>
      <c r="I186" t="s">
        <v>5069</v>
      </c>
      <c r="J186" t="s">
        <v>2985</v>
      </c>
      <c r="K186" t="s">
        <v>5070</v>
      </c>
      <c r="L186" t="s">
        <v>5071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5072</v>
      </c>
      <c r="J187" t="s">
        <v>2985</v>
      </c>
      <c r="K187" t="s">
        <v>5073</v>
      </c>
      <c r="L187" t="s">
        <v>5074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5230</v>
      </c>
      <c r="J188" t="s">
        <v>2985</v>
      </c>
      <c r="K188" t="s">
        <v>5231</v>
      </c>
      <c r="L188" t="s">
        <v>5232</v>
      </c>
      <c r="M188" s="3" t="str">
        <f>HYPERLINK(склад2въезд13192021[[#This Row],[RelativePath]])</f>
        <v>7 Площадка 2 бетонщики\K07156189_18_20251207T152819Z.jpg</v>
      </c>
    </row>
  </sheetData>
  <conditionalFormatting sqref="E189:E202 D189:D199 D2:E188 G2:H188">
    <cfRule type="containsText" dxfId="351" priority="18" operator="containsText" text="Выезд с территории">
      <formula>NOT(ISERROR(SEARCH("Выезд с территории",D2)))</formula>
    </cfRule>
  </conditionalFormatting>
  <conditionalFormatting sqref="F2:F188">
    <cfRule type="notContainsText" dxfId="350" priority="17" operator="notContains" text="порожний">
      <formula>ISERROR(SEARCH("порожний",F2))</formula>
    </cfRule>
  </conditionalFormatting>
  <conditionalFormatting sqref="E2:E202">
    <cfRule type="containsText" dxfId="349" priority="15" operator="containsText" text="Газель базы">
      <formula>NOT(ISERROR(SEARCH("Газель базы",E2)))</formula>
    </cfRule>
    <cfRule type="containsText" dxfId="348" priority="16" operator="containsText" text="Погрузчик базы">
      <formula>NOT(ISERROR(SEARCH("Погрузчик базы",E2)))</formula>
    </cfRule>
  </conditionalFormatting>
  <conditionalFormatting sqref="E2:E202">
    <cfRule type="containsText" dxfId="347" priority="14" operator="containsText" text="Трактор базы">
      <formula>NOT(ISERROR(SEARCH("Трактор базы",E2)))</formula>
    </cfRule>
  </conditionalFormatting>
  <conditionalFormatting sqref="A2:C188">
    <cfRule type="expression" dxfId="346" priority="13">
      <formula>$A2="пн"</formula>
    </cfRule>
  </conditionalFormatting>
  <conditionalFormatting sqref="A2:C190">
    <cfRule type="expression" dxfId="345" priority="7">
      <formula>$A2="вс"</formula>
    </cfRule>
    <cfRule type="expression" dxfId="344" priority="8">
      <formula>$A2="сб"</formula>
    </cfRule>
    <cfRule type="expression" dxfId="343" priority="9">
      <formula>$A2="пт"</formula>
    </cfRule>
    <cfRule type="expression" dxfId="342" priority="10">
      <formula>$A2="чт"</formula>
    </cfRule>
    <cfRule type="expression" dxfId="341" priority="11">
      <formula>$A2="ср"</formula>
    </cfRule>
    <cfRule type="expression" dxfId="340" priority="12">
      <formula>$A2="вт"</formula>
    </cfRule>
  </conditionalFormatting>
  <conditionalFormatting sqref="D2:D199">
    <cfRule type="containsText" dxfId="33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9">
    <cfRule type="containsText" dxfId="33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337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16"/>
  <sheetViews>
    <sheetView zoomScale="90" zoomScaleNormal="90" workbookViewId="0">
      <pane ySplit="1" topLeftCell="A95" activePane="bottomLeft" state="frozen"/>
      <selection pane="bottomLeft" activeCell="F120" sqref="F12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hidden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2993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2993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2993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2993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2993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2993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2993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2993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2993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2993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2993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2993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2993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2993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2993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2993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2993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2993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2993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2993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2993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2993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2993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2993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2993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2993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2993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2993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2993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2993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2993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2993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2993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2993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2993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2993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2993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2993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2993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2993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2993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2993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2993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2993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2993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2993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2993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2993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2993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2993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2993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2993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2993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2993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2993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2993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2993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2993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2993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2993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2993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2993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2993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2993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2993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2993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2993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2993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2993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2993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2993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2993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2993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2993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2993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2993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2993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2993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2993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2993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2993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2993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2993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2993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2993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2993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2993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2993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I90" t="s">
        <v>2310</v>
      </c>
      <c r="J90" t="s">
        <v>2993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2993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2993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2993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2993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2993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2993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2993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I98" t="s">
        <v>2334</v>
      </c>
      <c r="J98" t="s">
        <v>2993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2993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I100" t="s">
        <v>3719</v>
      </c>
      <c r="J100" t="s">
        <v>2993</v>
      </c>
      <c r="K100" t="s">
        <v>3720</v>
      </c>
      <c r="L100" t="s">
        <v>3721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I101" t="s">
        <v>3722</v>
      </c>
      <c r="J101" t="s">
        <v>2993</v>
      </c>
      <c r="K101" t="s">
        <v>3723</v>
      </c>
      <c r="L101" t="s">
        <v>3724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I102" t="s">
        <v>3725</v>
      </c>
      <c r="J102" t="s">
        <v>2993</v>
      </c>
      <c r="K102" t="s">
        <v>3726</v>
      </c>
      <c r="L102" t="s">
        <v>3727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I103" t="s">
        <v>3728</v>
      </c>
      <c r="J103" t="s">
        <v>2993</v>
      </c>
      <c r="K103" t="s">
        <v>3729</v>
      </c>
      <c r="L103" t="s">
        <v>3730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I104" t="s">
        <v>3731</v>
      </c>
      <c r="J104" t="s">
        <v>2993</v>
      </c>
      <c r="K104" t="s">
        <v>3732</v>
      </c>
      <c r="L104" t="s">
        <v>3733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4221</v>
      </c>
      <c r="F105" t="s">
        <v>1099</v>
      </c>
      <c r="G105">
        <v>4</v>
      </c>
      <c r="I105" t="s">
        <v>3734</v>
      </c>
      <c r="J105" t="s">
        <v>2993</v>
      </c>
      <c r="K105" t="s">
        <v>3735</v>
      </c>
      <c r="L105" t="s">
        <v>3736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I106" t="s">
        <v>4280</v>
      </c>
      <c r="J106" t="s">
        <v>2993</v>
      </c>
      <c r="K106" t="s">
        <v>4281</v>
      </c>
      <c r="L106" t="s">
        <v>4282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4601</v>
      </c>
      <c r="J107" t="s">
        <v>2993</v>
      </c>
      <c r="K107" t="s">
        <v>4602</v>
      </c>
      <c r="L107" t="s">
        <v>4603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5137</v>
      </c>
      <c r="E108" t="s">
        <v>5136</v>
      </c>
      <c r="I108" t="s">
        <v>4604</v>
      </c>
      <c r="J108" t="s">
        <v>2993</v>
      </c>
      <c r="K108" t="s">
        <v>4605</v>
      </c>
      <c r="L108" t="s">
        <v>4606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4607</v>
      </c>
      <c r="J109" t="s">
        <v>2993</v>
      </c>
      <c r="K109" t="s">
        <v>4608</v>
      </c>
      <c r="L109" t="s">
        <v>4609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I110" t="s">
        <v>4610</v>
      </c>
      <c r="J110" t="s">
        <v>2993</v>
      </c>
      <c r="K110" t="s">
        <v>4611</v>
      </c>
      <c r="L110" t="s">
        <v>4612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I111" t="s">
        <v>4613</v>
      </c>
      <c r="J111" t="s">
        <v>2993</v>
      </c>
      <c r="K111" t="s">
        <v>4614</v>
      </c>
      <c r="L111" t="s">
        <v>4615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4616</v>
      </c>
      <c r="J112" t="s">
        <v>2993</v>
      </c>
      <c r="K112" t="s">
        <v>4617</v>
      </c>
      <c r="L112" t="s">
        <v>4618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4619</v>
      </c>
      <c r="J113" t="s">
        <v>2993</v>
      </c>
      <c r="K113" t="s">
        <v>4620</v>
      </c>
      <c r="L113" t="s">
        <v>4621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I114" t="s">
        <v>4622</v>
      </c>
      <c r="J114" t="s">
        <v>2993</v>
      </c>
      <c r="K114" t="s">
        <v>4623</v>
      </c>
      <c r="L114" t="s">
        <v>4624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I115" t="s">
        <v>4625</v>
      </c>
      <c r="J115" t="s">
        <v>2993</v>
      </c>
      <c r="K115" t="s">
        <v>4626</v>
      </c>
      <c r="L115" t="s">
        <v>4627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I116" t="s">
        <v>5179</v>
      </c>
      <c r="J116" t="s">
        <v>2993</v>
      </c>
      <c r="K116" t="s">
        <v>5180</v>
      </c>
      <c r="L116" t="s">
        <v>5181</v>
      </c>
      <c r="M116" s="3" t="str">
        <f>HYPERLINK(склад2въезд1319202122[[#This Row],[RelativePath]])</f>
        <v>8 Рейсмус\E33149364_2_20251207T162420Z.jpg</v>
      </c>
    </row>
  </sheetData>
  <conditionalFormatting sqref="D117:D127 E117:E130 G2:H116 D2:E116">
    <cfRule type="containsText" dxfId="326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325" priority="13" operator="notContains" text="порожний">
      <formula>ISERROR(SEARCH("порожний",F2))</formula>
    </cfRule>
  </conditionalFormatting>
  <conditionalFormatting sqref="E2:E130">
    <cfRule type="containsText" dxfId="324" priority="11" operator="containsText" text="Газель базы">
      <formula>NOT(ISERROR(SEARCH("Газель базы",E2)))</formula>
    </cfRule>
    <cfRule type="containsText" dxfId="323" priority="12" operator="containsText" text="Погрузчик базы">
      <formula>NOT(ISERROR(SEARCH("Погрузчик базы",E2)))</formula>
    </cfRule>
  </conditionalFormatting>
  <conditionalFormatting sqref="E2:E130">
    <cfRule type="containsText" dxfId="322" priority="10" operator="containsText" text="Трактор базы">
      <formula>NOT(ISERROR(SEARCH("Трактор базы",E2)))</formula>
    </cfRule>
  </conditionalFormatting>
  <conditionalFormatting sqref="A2:C116">
    <cfRule type="expression" dxfId="321" priority="9">
      <formula>$A2="пн"</formula>
    </cfRule>
  </conditionalFormatting>
  <conditionalFormatting sqref="A2:C118">
    <cfRule type="expression" dxfId="320" priority="3">
      <formula>$A2="вс"</formula>
    </cfRule>
    <cfRule type="expression" dxfId="319" priority="4">
      <formula>$A2="сб"</formula>
    </cfRule>
    <cfRule type="expression" dxfId="318" priority="5">
      <formula>$A2="пт"</formula>
    </cfRule>
    <cfRule type="expression" dxfId="317" priority="6">
      <formula>$A2="чт"</formula>
    </cfRule>
    <cfRule type="expression" dxfId="316" priority="7">
      <formula>$A2="ср"</formula>
    </cfRule>
    <cfRule type="expression" dxfId="315" priority="8">
      <formula>$A2="вт"</formula>
    </cfRule>
  </conditionalFormatting>
  <conditionalFormatting sqref="D2:D127">
    <cfRule type="containsText" dxfId="3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3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290"/>
  <sheetViews>
    <sheetView zoomScale="90" zoomScaleNormal="90" workbookViewId="0">
      <pane ySplit="1" topLeftCell="A268" activePane="bottomLeft" state="frozen"/>
      <selection pane="bottomLeft" activeCell="H294" sqref="H2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6" width="18.7109375" bestFit="1" customWidth="1"/>
    <col min="7" max="7" width="7.28515625" bestFit="1" customWidth="1"/>
    <col min="8" max="8" width="30" bestFit="1" customWidth="1"/>
    <col min="9" max="9" width="35.42578125" hidden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2994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2994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2994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2994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2994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2994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2994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2994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2994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2994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2994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2994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2994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2994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2994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2994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2994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2994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2994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2994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2994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2994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2994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2994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2994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2994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2994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2994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2994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2994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2994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2994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2994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2994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2994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2994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2994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2994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2994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2994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2994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2994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2994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2994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2994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2994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2994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2994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2994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2994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2994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2994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2994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2994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2994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2994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2994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2994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2994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2994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2994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2994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2994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2994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2994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2994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2994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2994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2994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2994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2994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2994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2994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2994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2994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2994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2994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2994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2994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2994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2994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2994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2994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2994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2994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2994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2994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2994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2994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2994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2994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2994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2994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2994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2994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2994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2994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2994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2994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2994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2994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2994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2994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2994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2994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2994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2994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2994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2994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2994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2994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2994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2994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2994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2994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2994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2994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2994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2994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2994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2994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2994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2994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2994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2994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2994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2994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2994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2994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2994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2994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2994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2994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2994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2994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2994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2994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2994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2994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2994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2994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2994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2994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2994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2994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2994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2994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2994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2994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2994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2994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2994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2994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2994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2994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2994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2994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2994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2994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2994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2994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2994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2994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2994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2994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2994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2994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3737</v>
      </c>
      <c r="J169" t="s">
        <v>2994</v>
      </c>
      <c r="K169" t="s">
        <v>3738</v>
      </c>
      <c r="L169" t="s">
        <v>3739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3740</v>
      </c>
      <c r="J170" t="s">
        <v>2994</v>
      </c>
      <c r="K170" t="s">
        <v>3741</v>
      </c>
      <c r="L170" t="s">
        <v>3742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3743</v>
      </c>
      <c r="J171" t="s">
        <v>2994</v>
      </c>
      <c r="K171" t="s">
        <v>3744</v>
      </c>
      <c r="L171" t="s">
        <v>3745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3746</v>
      </c>
      <c r="J172" t="s">
        <v>2994</v>
      </c>
      <c r="K172" t="s">
        <v>3747</v>
      </c>
      <c r="L172" t="s">
        <v>3748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3749</v>
      </c>
      <c r="J173" t="s">
        <v>2994</v>
      </c>
      <c r="K173" t="s">
        <v>3750</v>
      </c>
      <c r="L173" t="s">
        <v>3751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3752</v>
      </c>
      <c r="J174" t="s">
        <v>2994</v>
      </c>
      <c r="K174" t="s">
        <v>3753</v>
      </c>
      <c r="L174" t="s">
        <v>3754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3755</v>
      </c>
      <c r="J175" t="s">
        <v>2994</v>
      </c>
      <c r="K175" t="s">
        <v>3756</v>
      </c>
      <c r="L175" t="s">
        <v>3757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3758</v>
      </c>
      <c r="J176" t="s">
        <v>2994</v>
      </c>
      <c r="K176" t="s">
        <v>3759</v>
      </c>
      <c r="L176" t="s">
        <v>3760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3761</v>
      </c>
      <c r="J177" t="s">
        <v>2994</v>
      </c>
      <c r="K177" t="s">
        <v>3762</v>
      </c>
      <c r="L177" t="s">
        <v>3763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3764</v>
      </c>
      <c r="J178" t="s">
        <v>2994</v>
      </c>
      <c r="K178" t="s">
        <v>3765</v>
      </c>
      <c r="L178" t="s">
        <v>3766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3767</v>
      </c>
      <c r="J179" t="s">
        <v>2994</v>
      </c>
      <c r="K179" t="s">
        <v>3768</v>
      </c>
      <c r="L179" t="s">
        <v>3769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3770</v>
      </c>
      <c r="J180" t="s">
        <v>2994</v>
      </c>
      <c r="K180" t="s">
        <v>3771</v>
      </c>
      <c r="L180" t="s">
        <v>3772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3773</v>
      </c>
      <c r="J181" t="s">
        <v>2994</v>
      </c>
      <c r="K181" t="s">
        <v>3774</v>
      </c>
      <c r="L181" t="s">
        <v>3775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3776</v>
      </c>
      <c r="J182" t="s">
        <v>2994</v>
      </c>
      <c r="K182" t="s">
        <v>3777</v>
      </c>
      <c r="L182" t="s">
        <v>3778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3779</v>
      </c>
      <c r="J183" t="s">
        <v>2994</v>
      </c>
      <c r="K183" t="s">
        <v>3780</v>
      </c>
      <c r="L183" t="s">
        <v>3781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3782</v>
      </c>
      <c r="J184" t="s">
        <v>2994</v>
      </c>
      <c r="K184" t="s">
        <v>3783</v>
      </c>
      <c r="L184" t="s">
        <v>3784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3785</v>
      </c>
      <c r="J185" t="s">
        <v>2994</v>
      </c>
      <c r="K185" t="s">
        <v>3786</v>
      </c>
      <c r="L185" t="s">
        <v>3787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3788</v>
      </c>
      <c r="J186" t="s">
        <v>2994</v>
      </c>
      <c r="K186" t="s">
        <v>3789</v>
      </c>
      <c r="L186" t="s">
        <v>3790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3791</v>
      </c>
      <c r="J187" t="s">
        <v>2994</v>
      </c>
      <c r="K187" t="s">
        <v>3792</v>
      </c>
      <c r="L187" t="s">
        <v>3793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3794</v>
      </c>
      <c r="J188" t="s">
        <v>2994</v>
      </c>
      <c r="K188" t="s">
        <v>3795</v>
      </c>
      <c r="L188" t="s">
        <v>3796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3797</v>
      </c>
      <c r="J189" t="s">
        <v>2994</v>
      </c>
      <c r="K189" t="s">
        <v>3798</v>
      </c>
      <c r="L189" t="s">
        <v>3799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3800</v>
      </c>
      <c r="J190" t="s">
        <v>2994</v>
      </c>
      <c r="K190" t="s">
        <v>3801</v>
      </c>
      <c r="L190" t="s">
        <v>3802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3803</v>
      </c>
      <c r="J191" t="s">
        <v>2994</v>
      </c>
      <c r="K191" t="s">
        <v>3804</v>
      </c>
      <c r="L191" t="s">
        <v>3805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3806</v>
      </c>
      <c r="J192" t="s">
        <v>2994</v>
      </c>
      <c r="K192" t="s">
        <v>3807</v>
      </c>
      <c r="L192" t="s">
        <v>3808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3809</v>
      </c>
      <c r="J193" t="s">
        <v>2994</v>
      </c>
      <c r="K193" t="s">
        <v>3810</v>
      </c>
      <c r="L193" t="s">
        <v>3811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3812</v>
      </c>
      <c r="J194" t="s">
        <v>2994</v>
      </c>
      <c r="K194" t="s">
        <v>3813</v>
      </c>
      <c r="L194" t="s">
        <v>3814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3815</v>
      </c>
      <c r="J195" t="s">
        <v>2994</v>
      </c>
      <c r="K195" t="s">
        <v>3816</v>
      </c>
      <c r="L195" t="s">
        <v>3817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3818</v>
      </c>
      <c r="J196" t="s">
        <v>2994</v>
      </c>
      <c r="K196" t="s">
        <v>3819</v>
      </c>
      <c r="L196" t="s">
        <v>3820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3821</v>
      </c>
      <c r="J197" t="s">
        <v>2994</v>
      </c>
      <c r="K197" t="s">
        <v>3822</v>
      </c>
      <c r="L197" t="s">
        <v>3823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3824</v>
      </c>
      <c r="J198" t="s">
        <v>2994</v>
      </c>
      <c r="K198" t="s">
        <v>3825</v>
      </c>
      <c r="L198" t="s">
        <v>3826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3827</v>
      </c>
      <c r="J199" t="s">
        <v>2994</v>
      </c>
      <c r="K199" t="s">
        <v>3828</v>
      </c>
      <c r="L199" t="s">
        <v>3829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3830</v>
      </c>
      <c r="J200" t="s">
        <v>2994</v>
      </c>
      <c r="K200" t="s">
        <v>3831</v>
      </c>
      <c r="L200" t="s">
        <v>3832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3833</v>
      </c>
      <c r="J201" t="s">
        <v>2994</v>
      </c>
      <c r="K201" t="s">
        <v>3834</v>
      </c>
      <c r="L201" t="s">
        <v>3835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3836</v>
      </c>
      <c r="J202" t="s">
        <v>2994</v>
      </c>
      <c r="K202" t="s">
        <v>3837</v>
      </c>
      <c r="L202" t="s">
        <v>3838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3839</v>
      </c>
      <c r="J203" t="s">
        <v>2994</v>
      </c>
      <c r="K203" t="s">
        <v>3840</v>
      </c>
      <c r="L203" t="s">
        <v>3841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3842</v>
      </c>
      <c r="J204" t="s">
        <v>2994</v>
      </c>
      <c r="K204" t="s">
        <v>3843</v>
      </c>
      <c r="L204" t="s">
        <v>3844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3845</v>
      </c>
      <c r="J205" t="s">
        <v>2994</v>
      </c>
      <c r="K205" t="s">
        <v>3846</v>
      </c>
      <c r="L205" t="s">
        <v>3847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3848</v>
      </c>
      <c r="J206" t="s">
        <v>2994</v>
      </c>
      <c r="K206" t="s">
        <v>3849</v>
      </c>
      <c r="L206" t="s">
        <v>3850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3851</v>
      </c>
      <c r="J207" t="s">
        <v>2994</v>
      </c>
      <c r="K207" t="s">
        <v>3852</v>
      </c>
      <c r="L207" t="s">
        <v>3853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3854</v>
      </c>
      <c r="J208" t="s">
        <v>2994</v>
      </c>
      <c r="K208" t="s">
        <v>3855</v>
      </c>
      <c r="L208" t="s">
        <v>3856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3857</v>
      </c>
      <c r="J209" t="s">
        <v>2994</v>
      </c>
      <c r="K209" t="s">
        <v>3858</v>
      </c>
      <c r="L209" t="s">
        <v>3859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4222</v>
      </c>
      <c r="E210" t="s">
        <v>86</v>
      </c>
      <c r="F210" t="s">
        <v>58</v>
      </c>
      <c r="I210" t="s">
        <v>3860</v>
      </c>
      <c r="J210" t="s">
        <v>2994</v>
      </c>
      <c r="K210" t="s">
        <v>3861</v>
      </c>
      <c r="L210" t="s">
        <v>3862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3863</v>
      </c>
      <c r="J211" t="s">
        <v>2994</v>
      </c>
      <c r="K211" t="s">
        <v>3864</v>
      </c>
      <c r="L211" t="s">
        <v>3865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4223</v>
      </c>
      <c r="F212" t="s">
        <v>1099</v>
      </c>
      <c r="I212" t="s">
        <v>3866</v>
      </c>
      <c r="J212" t="s">
        <v>2994</v>
      </c>
      <c r="K212" t="s">
        <v>3867</v>
      </c>
      <c r="L212" t="s">
        <v>3868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4283</v>
      </c>
      <c r="J213" t="s">
        <v>2994</v>
      </c>
      <c r="K213" t="s">
        <v>4284</v>
      </c>
      <c r="L213" t="s">
        <v>4285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4628</v>
      </c>
      <c r="J214" t="s">
        <v>2994</v>
      </c>
      <c r="K214" t="s">
        <v>4629</v>
      </c>
      <c r="L214" t="s">
        <v>4630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5137</v>
      </c>
      <c r="E215" t="s">
        <v>5136</v>
      </c>
      <c r="I215" t="s">
        <v>4631</v>
      </c>
      <c r="J215" t="s">
        <v>2994</v>
      </c>
      <c r="K215" t="s">
        <v>4632</v>
      </c>
      <c r="L215" t="s">
        <v>4633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5137</v>
      </c>
      <c r="E216" t="s">
        <v>5136</v>
      </c>
      <c r="H216" t="s">
        <v>2936</v>
      </c>
      <c r="I216" t="s">
        <v>4634</v>
      </c>
      <c r="J216" t="s">
        <v>2994</v>
      </c>
      <c r="K216" t="s">
        <v>4635</v>
      </c>
      <c r="L216" t="s">
        <v>4636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5138</v>
      </c>
      <c r="F217" t="s">
        <v>1099</v>
      </c>
      <c r="I217" t="s">
        <v>4637</v>
      </c>
      <c r="J217" t="s">
        <v>2994</v>
      </c>
      <c r="K217" t="s">
        <v>4638</v>
      </c>
      <c r="L217" t="s">
        <v>4639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5138</v>
      </c>
      <c r="F218" t="s">
        <v>1099</v>
      </c>
      <c r="H218" t="s">
        <v>2936</v>
      </c>
      <c r="I218" t="s">
        <v>4640</v>
      </c>
      <c r="J218" t="s">
        <v>2994</v>
      </c>
      <c r="K218" t="s">
        <v>4641</v>
      </c>
      <c r="L218" t="s">
        <v>4642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4643</v>
      </c>
      <c r="J219" t="s">
        <v>2994</v>
      </c>
      <c r="K219" t="s">
        <v>4644</v>
      </c>
      <c r="L219" t="s">
        <v>4645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4646</v>
      </c>
      <c r="J220" t="s">
        <v>2994</v>
      </c>
      <c r="K220" t="s">
        <v>4647</v>
      </c>
      <c r="L220" t="s">
        <v>4648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4649</v>
      </c>
      <c r="J221" t="s">
        <v>2994</v>
      </c>
      <c r="K221" t="s">
        <v>4650</v>
      </c>
      <c r="L221" t="s">
        <v>4651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4652</v>
      </c>
      <c r="J222" t="s">
        <v>2994</v>
      </c>
      <c r="K222" t="s">
        <v>4653</v>
      </c>
      <c r="L222" t="s">
        <v>4654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4655</v>
      </c>
      <c r="J223" t="s">
        <v>2994</v>
      </c>
      <c r="K223" t="s">
        <v>4656</v>
      </c>
      <c r="L223" t="s">
        <v>4657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4658</v>
      </c>
      <c r="J224" t="s">
        <v>2994</v>
      </c>
      <c r="K224" t="s">
        <v>4659</v>
      </c>
      <c r="L224" t="s">
        <v>4660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4661</v>
      </c>
      <c r="J225" t="s">
        <v>2994</v>
      </c>
      <c r="K225" t="s">
        <v>4662</v>
      </c>
      <c r="L225" t="s">
        <v>4663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4664</v>
      </c>
      <c r="J226" t="s">
        <v>2994</v>
      </c>
      <c r="K226" t="s">
        <v>4665</v>
      </c>
      <c r="L226" t="s">
        <v>4666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4667</v>
      </c>
      <c r="J227" t="s">
        <v>2994</v>
      </c>
      <c r="K227" t="s">
        <v>4668</v>
      </c>
      <c r="L227" t="s">
        <v>4669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4670</v>
      </c>
      <c r="J228" t="s">
        <v>2994</v>
      </c>
      <c r="K228" t="s">
        <v>4671</v>
      </c>
      <c r="L228" t="s">
        <v>4672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4673</v>
      </c>
      <c r="J229" t="s">
        <v>2994</v>
      </c>
      <c r="K229" t="s">
        <v>4674</v>
      </c>
      <c r="L229" t="s">
        <v>4675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4676</v>
      </c>
      <c r="J230" t="s">
        <v>2994</v>
      </c>
      <c r="K230" t="s">
        <v>4677</v>
      </c>
      <c r="L230" t="s">
        <v>4678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4679</v>
      </c>
      <c r="J231" t="s">
        <v>2994</v>
      </c>
      <c r="K231" t="s">
        <v>4680</v>
      </c>
      <c r="L231" t="s">
        <v>4681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4682</v>
      </c>
      <c r="J232" t="s">
        <v>2994</v>
      </c>
      <c r="K232" t="s">
        <v>4683</v>
      </c>
      <c r="L232" t="s">
        <v>4684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4685</v>
      </c>
      <c r="J233" t="s">
        <v>2994</v>
      </c>
      <c r="K233" t="s">
        <v>4686</v>
      </c>
      <c r="L233" t="s">
        <v>4687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4688</v>
      </c>
      <c r="J234" t="s">
        <v>2994</v>
      </c>
      <c r="K234" t="s">
        <v>4689</v>
      </c>
      <c r="L234" t="s">
        <v>4690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4691</v>
      </c>
      <c r="J235" t="s">
        <v>2994</v>
      </c>
      <c r="K235" t="s">
        <v>4692</v>
      </c>
      <c r="L235" t="s">
        <v>4693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4694</v>
      </c>
      <c r="J236" t="s">
        <v>2994</v>
      </c>
      <c r="K236" t="s">
        <v>4695</v>
      </c>
      <c r="L236" t="s">
        <v>4696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4697</v>
      </c>
      <c r="J237" t="s">
        <v>2994</v>
      </c>
      <c r="K237" t="s">
        <v>4698</v>
      </c>
      <c r="L237" t="s">
        <v>4699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4700</v>
      </c>
      <c r="J238" t="s">
        <v>2994</v>
      </c>
      <c r="K238" t="s">
        <v>4701</v>
      </c>
      <c r="L238" t="s">
        <v>4702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4703</v>
      </c>
      <c r="J239" t="s">
        <v>2994</v>
      </c>
      <c r="K239" t="s">
        <v>4704</v>
      </c>
      <c r="L239" t="s">
        <v>4705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4706</v>
      </c>
      <c r="J240" t="s">
        <v>2994</v>
      </c>
      <c r="K240" t="s">
        <v>4707</v>
      </c>
      <c r="L240" t="s">
        <v>4708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4709</v>
      </c>
      <c r="J241" t="s">
        <v>2994</v>
      </c>
      <c r="K241" t="s">
        <v>4710</v>
      </c>
      <c r="L241" t="s">
        <v>4711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4712</v>
      </c>
      <c r="J242" t="s">
        <v>2994</v>
      </c>
      <c r="K242" t="s">
        <v>4713</v>
      </c>
      <c r="L242" t="s">
        <v>4714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4715</v>
      </c>
      <c r="J243" t="s">
        <v>2994</v>
      </c>
      <c r="K243" t="s">
        <v>4716</v>
      </c>
      <c r="L243" t="s">
        <v>4717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4718</v>
      </c>
      <c r="J244" t="s">
        <v>2994</v>
      </c>
      <c r="K244" t="s">
        <v>4719</v>
      </c>
      <c r="L244" t="s">
        <v>4720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4721</v>
      </c>
      <c r="J245" t="s">
        <v>2994</v>
      </c>
      <c r="K245" t="s">
        <v>4722</v>
      </c>
      <c r="L245" t="s">
        <v>4723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4724</v>
      </c>
      <c r="J246" t="s">
        <v>2994</v>
      </c>
      <c r="K246" t="s">
        <v>4725</v>
      </c>
      <c r="L246" t="s">
        <v>4726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4727</v>
      </c>
      <c r="J247" t="s">
        <v>2994</v>
      </c>
      <c r="K247" t="s">
        <v>4728</v>
      </c>
      <c r="L247" t="s">
        <v>4729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4730</v>
      </c>
      <c r="J248" t="s">
        <v>2994</v>
      </c>
      <c r="K248" t="s">
        <v>4731</v>
      </c>
      <c r="L248" t="s">
        <v>4732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4733</v>
      </c>
      <c r="J249" t="s">
        <v>2994</v>
      </c>
      <c r="K249" t="s">
        <v>4734</v>
      </c>
      <c r="L249" t="s">
        <v>4735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4736</v>
      </c>
      <c r="J250" t="s">
        <v>2994</v>
      </c>
      <c r="K250" t="s">
        <v>4737</v>
      </c>
      <c r="L250" t="s">
        <v>4738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4739</v>
      </c>
      <c r="J251" t="s">
        <v>2994</v>
      </c>
      <c r="K251" t="s">
        <v>4740</v>
      </c>
      <c r="L251" t="s">
        <v>4741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4742</v>
      </c>
      <c r="J252" t="s">
        <v>2994</v>
      </c>
      <c r="K252" t="s">
        <v>4743</v>
      </c>
      <c r="L252" t="s">
        <v>4744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4745</v>
      </c>
      <c r="J253" t="s">
        <v>2994</v>
      </c>
      <c r="K253" t="s">
        <v>4746</v>
      </c>
      <c r="L253" t="s">
        <v>4747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4748</v>
      </c>
      <c r="J254" t="s">
        <v>2994</v>
      </c>
      <c r="K254" t="s">
        <v>4749</v>
      </c>
      <c r="L254" t="s">
        <v>4750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4751</v>
      </c>
      <c r="J255" t="s">
        <v>2994</v>
      </c>
      <c r="K255" t="s">
        <v>4752</v>
      </c>
      <c r="L255" t="s">
        <v>4753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5139</v>
      </c>
      <c r="I256" t="s">
        <v>4754</v>
      </c>
      <c r="J256" t="s">
        <v>2994</v>
      </c>
      <c r="K256" t="s">
        <v>4755</v>
      </c>
      <c r="L256" t="s">
        <v>4756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4757</v>
      </c>
      <c r="J257" t="s">
        <v>2994</v>
      </c>
      <c r="K257" t="s">
        <v>4758</v>
      </c>
      <c r="L257" t="s">
        <v>4759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4760</v>
      </c>
      <c r="J258" t="s">
        <v>2994</v>
      </c>
      <c r="K258" t="s">
        <v>4761</v>
      </c>
      <c r="L258" t="s">
        <v>4762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4763</v>
      </c>
      <c r="J259" t="s">
        <v>2994</v>
      </c>
      <c r="K259" t="s">
        <v>4764</v>
      </c>
      <c r="L259" t="s">
        <v>4765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4766</v>
      </c>
      <c r="J260" t="s">
        <v>2994</v>
      </c>
      <c r="K260" t="s">
        <v>4767</v>
      </c>
      <c r="L260" t="s">
        <v>4768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4769</v>
      </c>
      <c r="J261" t="s">
        <v>2994</v>
      </c>
      <c r="K261" t="s">
        <v>4770</v>
      </c>
      <c r="L261" t="s">
        <v>4771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4772</v>
      </c>
      <c r="J262" t="s">
        <v>2994</v>
      </c>
      <c r="K262" t="s">
        <v>4773</v>
      </c>
      <c r="L262" t="s">
        <v>4774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4775</v>
      </c>
      <c r="J263" t="s">
        <v>2994</v>
      </c>
      <c r="K263" t="s">
        <v>4776</v>
      </c>
      <c r="L263" t="s">
        <v>4777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4778</v>
      </c>
      <c r="J264" t="s">
        <v>2994</v>
      </c>
      <c r="K264" t="s">
        <v>4779</v>
      </c>
      <c r="L264" t="s">
        <v>4780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4781</v>
      </c>
      <c r="J265" t="s">
        <v>2994</v>
      </c>
      <c r="K265" t="s">
        <v>4782</v>
      </c>
      <c r="L265" t="s">
        <v>4783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4784</v>
      </c>
      <c r="J266" t="s">
        <v>2994</v>
      </c>
      <c r="K266" t="s">
        <v>4785</v>
      </c>
      <c r="L266" t="s">
        <v>4786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4787</v>
      </c>
      <c r="J267" t="s">
        <v>2994</v>
      </c>
      <c r="K267" t="s">
        <v>4788</v>
      </c>
      <c r="L267" t="s">
        <v>4789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4790</v>
      </c>
      <c r="J268" t="s">
        <v>2994</v>
      </c>
      <c r="K268" t="s">
        <v>4791</v>
      </c>
      <c r="L268" t="s">
        <v>4792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4793</v>
      </c>
      <c r="J269" t="s">
        <v>2994</v>
      </c>
      <c r="K269" t="s">
        <v>4794</v>
      </c>
      <c r="L269" t="s">
        <v>4795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4796</v>
      </c>
      <c r="J270" t="s">
        <v>2994</v>
      </c>
      <c r="K270" t="s">
        <v>4797</v>
      </c>
      <c r="L270" t="s">
        <v>4798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4799</v>
      </c>
      <c r="J271" t="s">
        <v>2994</v>
      </c>
      <c r="K271" t="s">
        <v>4800</v>
      </c>
      <c r="L271" t="s">
        <v>4801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4802</v>
      </c>
      <c r="J272" t="s">
        <v>2994</v>
      </c>
      <c r="K272" t="s">
        <v>4803</v>
      </c>
      <c r="L272" t="s">
        <v>4804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4805</v>
      </c>
      <c r="J273" t="s">
        <v>2994</v>
      </c>
      <c r="K273" t="s">
        <v>4806</v>
      </c>
      <c r="L273" t="s">
        <v>4807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4808</v>
      </c>
      <c r="J274" t="s">
        <v>2994</v>
      </c>
      <c r="K274" t="s">
        <v>4809</v>
      </c>
      <c r="L274" t="s">
        <v>4810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4811</v>
      </c>
      <c r="J275" t="s">
        <v>2994</v>
      </c>
      <c r="K275" t="s">
        <v>4812</v>
      </c>
      <c r="L275" t="s">
        <v>4813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4814</v>
      </c>
      <c r="J276" t="s">
        <v>2994</v>
      </c>
      <c r="K276" t="s">
        <v>4815</v>
      </c>
      <c r="L276" t="s">
        <v>4816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4817</v>
      </c>
      <c r="J277" t="s">
        <v>2994</v>
      </c>
      <c r="K277" t="s">
        <v>4818</v>
      </c>
      <c r="L277" t="s">
        <v>4819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4820</v>
      </c>
      <c r="J278" t="s">
        <v>2994</v>
      </c>
      <c r="K278" t="s">
        <v>4821</v>
      </c>
      <c r="L278" t="s">
        <v>4822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4823</v>
      </c>
      <c r="J279" t="s">
        <v>2994</v>
      </c>
      <c r="K279" t="s">
        <v>4824</v>
      </c>
      <c r="L279" t="s">
        <v>4825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4826</v>
      </c>
      <c r="J280" t="s">
        <v>2994</v>
      </c>
      <c r="K280" t="s">
        <v>4827</v>
      </c>
      <c r="L280" t="s">
        <v>4828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4829</v>
      </c>
      <c r="J281" t="s">
        <v>2994</v>
      </c>
      <c r="K281" t="s">
        <v>4830</v>
      </c>
      <c r="L281" t="s">
        <v>4831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5233</v>
      </c>
      <c r="J282" t="s">
        <v>2994</v>
      </c>
      <c r="K282" t="s">
        <v>5234</v>
      </c>
      <c r="L282" t="s">
        <v>5235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5265</v>
      </c>
      <c r="I283" t="s">
        <v>5236</v>
      </c>
      <c r="J283" t="s">
        <v>2994</v>
      </c>
      <c r="K283" t="s">
        <v>5237</v>
      </c>
      <c r="L283" t="s">
        <v>5238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5239</v>
      </c>
      <c r="J284" t="s">
        <v>2994</v>
      </c>
      <c r="K284" t="s">
        <v>5240</v>
      </c>
      <c r="L284" t="s">
        <v>5241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5242</v>
      </c>
      <c r="J285" t="s">
        <v>2994</v>
      </c>
      <c r="K285" t="s">
        <v>5243</v>
      </c>
      <c r="L285" t="s">
        <v>5244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5245</v>
      </c>
      <c r="J286" t="s">
        <v>2994</v>
      </c>
      <c r="K286" t="s">
        <v>5246</v>
      </c>
      <c r="L286" t="s">
        <v>5247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5248</v>
      </c>
      <c r="J287" t="s">
        <v>2994</v>
      </c>
      <c r="K287" t="s">
        <v>5249</v>
      </c>
      <c r="L287" t="s">
        <v>5250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5251</v>
      </c>
      <c r="J288" t="s">
        <v>2994</v>
      </c>
      <c r="K288" t="s">
        <v>5252</v>
      </c>
      <c r="L288" t="s">
        <v>5253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5254</v>
      </c>
      <c r="J289" t="s">
        <v>2994</v>
      </c>
      <c r="K289" t="s">
        <v>5255</v>
      </c>
      <c r="L289" t="s">
        <v>5256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5257</v>
      </c>
      <c r="J290" t="s">
        <v>2994</v>
      </c>
      <c r="K290" t="s">
        <v>5258</v>
      </c>
      <c r="L290" t="s">
        <v>5259</v>
      </c>
      <c r="M290" s="3" t="str">
        <f>HYPERLINK(склад2въезд13192021222[[#This Row],[RelativePath]])</f>
        <v>9 Ангар пилорама\E33149364_1_20251207T214851Z.jpg</v>
      </c>
    </row>
  </sheetData>
  <conditionalFormatting sqref="D291:D301 E291:E304 G2:H290 D2:E290">
    <cfRule type="containsText" dxfId="302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301" priority="13" operator="notContains" text="порожний">
      <formula>ISERROR(SEARCH("порожний",F2))</formula>
    </cfRule>
  </conditionalFormatting>
  <conditionalFormatting sqref="E2:E304">
    <cfRule type="containsText" dxfId="300" priority="11" operator="containsText" text="Газель базы">
      <formula>NOT(ISERROR(SEARCH("Газель базы",E2)))</formula>
    </cfRule>
    <cfRule type="containsText" dxfId="299" priority="12" operator="containsText" text="Погрузчик базы">
      <formula>NOT(ISERROR(SEARCH("Погрузчик базы",E2)))</formula>
    </cfRule>
  </conditionalFormatting>
  <conditionalFormatting sqref="E2:E304">
    <cfRule type="containsText" dxfId="298" priority="10" operator="containsText" text="Трактор базы">
      <formula>NOT(ISERROR(SEARCH("Трактор базы",E2)))</formula>
    </cfRule>
  </conditionalFormatting>
  <conditionalFormatting sqref="A2:C290">
    <cfRule type="expression" dxfId="297" priority="9">
      <formula>$A2="пн"</formula>
    </cfRule>
  </conditionalFormatting>
  <conditionalFormatting sqref="A2:C292">
    <cfRule type="expression" dxfId="296" priority="3">
      <formula>$A2="вс"</formula>
    </cfRule>
    <cfRule type="expression" dxfId="295" priority="4">
      <formula>$A2="сб"</formula>
    </cfRule>
    <cfRule type="expression" dxfId="294" priority="5">
      <formula>$A2="пт"</formula>
    </cfRule>
    <cfRule type="expression" dxfId="293" priority="6">
      <formula>$A2="чт"</formula>
    </cfRule>
    <cfRule type="expression" dxfId="292" priority="7">
      <formula>$A2="ср"</formula>
    </cfRule>
    <cfRule type="expression" dxfId="291" priority="8">
      <formula>$A2="вт"</formula>
    </cfRule>
  </conditionalFormatting>
  <conditionalFormatting sqref="D2:D301">
    <cfRule type="containsText" dxfId="2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2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285"/>
  <sheetViews>
    <sheetView zoomScale="90" zoomScaleNormal="90" workbookViewId="0">
      <pane ySplit="1" topLeftCell="A271" activePane="bottomLeft" state="frozen"/>
      <selection pane="bottomLeft" activeCell="H292" sqref="H290:H2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hidden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2986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2986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2986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2986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2986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2986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2986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2986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2986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2986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2986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2986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2986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2986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2986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2986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2986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2986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2986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2986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2986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2986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2986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2986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2986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2986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2986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2986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2986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2986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2986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2986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2986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2986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2986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2986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2986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2986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2986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2986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2986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2986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2986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2986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2986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2986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2986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2986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2986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2986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2986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2986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2986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2986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2986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2986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2986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2986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2986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2986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2986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2986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2986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2986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2986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2986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2986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2986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2986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2986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2986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2986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2986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2986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2986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2986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2986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2986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2986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2986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2986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2986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2986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2986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2986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2986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2986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2986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2986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2986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2986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2986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2986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2986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2986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2986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2986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2986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2986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2986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2986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2986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2986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2986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2986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2986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2986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2957</v>
      </c>
      <c r="I109" t="s">
        <v>2658</v>
      </c>
      <c r="J109" t="s">
        <v>2986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2957</v>
      </c>
      <c r="I110" t="s">
        <v>2661</v>
      </c>
      <c r="J110" t="s">
        <v>2986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2957</v>
      </c>
      <c r="I111" t="s">
        <v>2664</v>
      </c>
      <c r="J111" t="s">
        <v>2986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2957</v>
      </c>
      <c r="I112" t="s">
        <v>2667</v>
      </c>
      <c r="J112" t="s">
        <v>2986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2957</v>
      </c>
      <c r="I113" t="s">
        <v>2670</v>
      </c>
      <c r="J113" t="s">
        <v>2986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2957</v>
      </c>
      <c r="I114" t="s">
        <v>2673</v>
      </c>
      <c r="J114" t="s">
        <v>2986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2957</v>
      </c>
      <c r="I115" t="s">
        <v>2676</v>
      </c>
      <c r="J115" t="s">
        <v>2986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2957</v>
      </c>
      <c r="I116" t="s">
        <v>2679</v>
      </c>
      <c r="J116" t="s">
        <v>2986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2986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2986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2986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2955</v>
      </c>
      <c r="E120" t="s">
        <v>2920</v>
      </c>
      <c r="I120" t="s">
        <v>2691</v>
      </c>
      <c r="J120" t="s">
        <v>2986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2956</v>
      </c>
      <c r="I121" t="s">
        <v>2694</v>
      </c>
      <c r="J121" t="s">
        <v>2986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2958</v>
      </c>
      <c r="I122" t="s">
        <v>2697</v>
      </c>
      <c r="J122" t="s">
        <v>2986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2958</v>
      </c>
      <c r="I123" t="s">
        <v>2699</v>
      </c>
      <c r="J123" t="s">
        <v>2986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2958</v>
      </c>
      <c r="I124" t="s">
        <v>2701</v>
      </c>
      <c r="J124" t="s">
        <v>2986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2959</v>
      </c>
      <c r="I125" t="s">
        <v>2704</v>
      </c>
      <c r="J125" t="s">
        <v>2986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2959</v>
      </c>
      <c r="I126" t="s">
        <v>2707</v>
      </c>
      <c r="J126" t="s">
        <v>2986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2959</v>
      </c>
      <c r="I127" t="s">
        <v>2710</v>
      </c>
      <c r="J127" t="s">
        <v>2986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2986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2960</v>
      </c>
      <c r="J129" t="s">
        <v>2986</v>
      </c>
      <c r="K129" t="s">
        <v>2961</v>
      </c>
      <c r="L129" t="s">
        <v>2962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2986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2963</v>
      </c>
      <c r="H131" t="s">
        <v>2954</v>
      </c>
      <c r="I131" t="s">
        <v>2719</v>
      </c>
      <c r="J131" t="s">
        <v>2986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2963</v>
      </c>
      <c r="H132" t="s">
        <v>2954</v>
      </c>
      <c r="I132" t="s">
        <v>2722</v>
      </c>
      <c r="J132" t="s">
        <v>2986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2963</v>
      </c>
      <c r="H133" t="s">
        <v>2954</v>
      </c>
      <c r="I133" t="s">
        <v>2725</v>
      </c>
      <c r="J133" t="s">
        <v>2986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2986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2957</v>
      </c>
      <c r="I135" t="s">
        <v>2731</v>
      </c>
      <c r="J135" t="s">
        <v>2986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2957</v>
      </c>
      <c r="I136" t="s">
        <v>2734</v>
      </c>
      <c r="J136" t="s">
        <v>2986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2957</v>
      </c>
      <c r="I137" t="s">
        <v>2737</v>
      </c>
      <c r="J137" t="s">
        <v>2986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2957</v>
      </c>
      <c r="I138" t="s">
        <v>2740</v>
      </c>
      <c r="J138" t="s">
        <v>2986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2957</v>
      </c>
      <c r="I139" t="s">
        <v>2743</v>
      </c>
      <c r="J139" t="s">
        <v>2986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2957</v>
      </c>
      <c r="I140" t="s">
        <v>2746</v>
      </c>
      <c r="J140" t="s">
        <v>2986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2957</v>
      </c>
      <c r="I141" t="s">
        <v>2749</v>
      </c>
      <c r="J141" t="s">
        <v>2986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2957</v>
      </c>
      <c r="I142" t="s">
        <v>2752</v>
      </c>
      <c r="J142" t="s">
        <v>2986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2957</v>
      </c>
      <c r="I143" t="s">
        <v>2755</v>
      </c>
      <c r="J143" t="s">
        <v>2986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2957</v>
      </c>
      <c r="I144" t="s">
        <v>2758</v>
      </c>
      <c r="J144" t="s">
        <v>2986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2964</v>
      </c>
      <c r="I145" t="s">
        <v>2761</v>
      </c>
      <c r="J145" t="s">
        <v>2986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2963</v>
      </c>
      <c r="H146" t="s">
        <v>2957</v>
      </c>
      <c r="I146" t="s">
        <v>2764</v>
      </c>
      <c r="J146" t="s">
        <v>2986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2964</v>
      </c>
      <c r="I147" t="s">
        <v>2767</v>
      </c>
      <c r="J147" t="s">
        <v>2986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2964</v>
      </c>
      <c r="I148" t="s">
        <v>2770</v>
      </c>
      <c r="J148" t="s">
        <v>2986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2964</v>
      </c>
      <c r="I149" t="s">
        <v>2773</v>
      </c>
      <c r="J149" t="s">
        <v>2986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2958</v>
      </c>
      <c r="I150" t="s">
        <v>2776</v>
      </c>
      <c r="J150" t="s">
        <v>2986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2963</v>
      </c>
      <c r="H151" t="s">
        <v>2958</v>
      </c>
      <c r="I151" t="s">
        <v>2779</v>
      </c>
      <c r="J151" t="s">
        <v>2986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2963</v>
      </c>
      <c r="H152" t="s">
        <v>2958</v>
      </c>
      <c r="I152" t="s">
        <v>2782</v>
      </c>
      <c r="J152" t="s">
        <v>2986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2963</v>
      </c>
      <c r="H153" t="s">
        <v>2958</v>
      </c>
      <c r="I153" t="s">
        <v>2785</v>
      </c>
      <c r="J153" t="s">
        <v>2986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2963</v>
      </c>
      <c r="H154" t="s">
        <v>2958</v>
      </c>
      <c r="I154" t="s">
        <v>2788</v>
      </c>
      <c r="J154" t="s">
        <v>2986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2963</v>
      </c>
      <c r="H155" t="s">
        <v>2958</v>
      </c>
      <c r="I155" t="s">
        <v>2791</v>
      </c>
      <c r="J155" t="s">
        <v>2986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2986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2986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2986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2986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2986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2986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2986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2959</v>
      </c>
      <c r="I163" t="s">
        <v>2815</v>
      </c>
      <c r="J163" t="s">
        <v>2986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2959</v>
      </c>
      <c r="I164" t="s">
        <v>2818</v>
      </c>
      <c r="J164" t="s">
        <v>2986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2959</v>
      </c>
      <c r="I165" t="s">
        <v>2821</v>
      </c>
      <c r="J165" t="s">
        <v>2986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2965</v>
      </c>
      <c r="H166" t="s">
        <v>2959</v>
      </c>
      <c r="I166" t="s">
        <v>2824</v>
      </c>
      <c r="J166" t="s">
        <v>2986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2986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2986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2966</v>
      </c>
      <c r="I169" t="s">
        <v>2833</v>
      </c>
      <c r="J169" t="s">
        <v>2986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2966</v>
      </c>
      <c r="I170" t="s">
        <v>2836</v>
      </c>
      <c r="J170" t="s">
        <v>2986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7" t="s">
        <v>2968</v>
      </c>
      <c r="I171" t="s">
        <v>2839</v>
      </c>
      <c r="J171" t="s">
        <v>2986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2986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2986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2986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2986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7" t="s">
        <v>2968</v>
      </c>
      <c r="I176" t="s">
        <v>2854</v>
      </c>
      <c r="J176" t="s">
        <v>2986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2959</v>
      </c>
      <c r="I177" t="s">
        <v>2857</v>
      </c>
      <c r="J177" t="s">
        <v>2986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2967</v>
      </c>
      <c r="E178" t="s">
        <v>1607</v>
      </c>
      <c r="F178" t="s">
        <v>58</v>
      </c>
      <c r="H178" t="s">
        <v>2959</v>
      </c>
      <c r="I178" t="s">
        <v>2860</v>
      </c>
      <c r="J178" t="s">
        <v>2986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2986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2967</v>
      </c>
      <c r="E180" t="s">
        <v>1607</v>
      </c>
      <c r="F180" t="s">
        <v>58</v>
      </c>
      <c r="H180" t="s">
        <v>2954</v>
      </c>
      <c r="I180" t="s">
        <v>2866</v>
      </c>
      <c r="J180" t="s">
        <v>2986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2967</v>
      </c>
      <c r="E181" t="s">
        <v>1607</v>
      </c>
      <c r="F181" t="s">
        <v>58</v>
      </c>
      <c r="H181" t="s">
        <v>2954</v>
      </c>
      <c r="I181" t="s">
        <v>2869</v>
      </c>
      <c r="J181" t="s">
        <v>2986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2967</v>
      </c>
      <c r="E182" t="s">
        <v>1607</v>
      </c>
      <c r="F182" t="s">
        <v>58</v>
      </c>
      <c r="H182" t="s">
        <v>2954</v>
      </c>
      <c r="I182" t="s">
        <v>2872</v>
      </c>
      <c r="J182" t="s">
        <v>2986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2986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2986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2986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2986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2986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2986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2986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4224</v>
      </c>
      <c r="E190" t="s">
        <v>86</v>
      </c>
      <c r="F190" t="s">
        <v>200</v>
      </c>
      <c r="H190" t="s">
        <v>4225</v>
      </c>
      <c r="I190" t="s">
        <v>3869</v>
      </c>
      <c r="J190" t="s">
        <v>2986</v>
      </c>
      <c r="K190" t="s">
        <v>3870</v>
      </c>
      <c r="L190" t="s">
        <v>3871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4226</v>
      </c>
      <c r="E191" t="s">
        <v>86</v>
      </c>
      <c r="I191" t="s">
        <v>3872</v>
      </c>
      <c r="J191" t="s">
        <v>2986</v>
      </c>
      <c r="K191" t="s">
        <v>3873</v>
      </c>
      <c r="L191" t="s">
        <v>3874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4224</v>
      </c>
      <c r="E192" t="s">
        <v>86</v>
      </c>
      <c r="F192" t="s">
        <v>200</v>
      </c>
      <c r="H192" t="s">
        <v>1605</v>
      </c>
      <c r="I192" t="s">
        <v>3875</v>
      </c>
      <c r="J192" t="s">
        <v>2986</v>
      </c>
      <c r="K192" t="s">
        <v>3876</v>
      </c>
      <c r="L192" t="s">
        <v>3877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3878</v>
      </c>
      <c r="J193" t="s">
        <v>2986</v>
      </c>
      <c r="K193" t="s">
        <v>3879</v>
      </c>
      <c r="L193" t="s">
        <v>3880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4227</v>
      </c>
      <c r="E194" t="s">
        <v>70</v>
      </c>
      <c r="F194" t="s">
        <v>58</v>
      </c>
      <c r="I194" t="s">
        <v>3881</v>
      </c>
      <c r="J194" t="s">
        <v>2986</v>
      </c>
      <c r="K194" t="s">
        <v>3882</v>
      </c>
      <c r="L194" t="s">
        <v>3883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3884</v>
      </c>
      <c r="J195" t="s">
        <v>2986</v>
      </c>
      <c r="K195" t="s">
        <v>3885</v>
      </c>
      <c r="L195" t="s">
        <v>3886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3887</v>
      </c>
      <c r="J196" t="s">
        <v>2986</v>
      </c>
      <c r="K196" t="s">
        <v>3888</v>
      </c>
      <c r="L196" t="s">
        <v>3889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4228</v>
      </c>
      <c r="E197" t="s">
        <v>4229</v>
      </c>
      <c r="F197" t="s">
        <v>58</v>
      </c>
      <c r="H197" t="s">
        <v>4230</v>
      </c>
      <c r="I197" t="s">
        <v>3890</v>
      </c>
      <c r="J197" t="s">
        <v>2986</v>
      </c>
      <c r="K197" t="s">
        <v>3891</v>
      </c>
      <c r="L197" t="s">
        <v>3892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3893</v>
      </c>
      <c r="J198" t="s">
        <v>2986</v>
      </c>
      <c r="K198" t="s">
        <v>3894</v>
      </c>
      <c r="L198" t="s">
        <v>3895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3896</v>
      </c>
      <c r="J199" t="s">
        <v>2986</v>
      </c>
      <c r="K199" t="s">
        <v>3897</v>
      </c>
      <c r="L199" t="s">
        <v>3898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3899</v>
      </c>
      <c r="J200" t="s">
        <v>2986</v>
      </c>
      <c r="K200" t="s">
        <v>3900</v>
      </c>
      <c r="L200" t="s">
        <v>3901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4224</v>
      </c>
      <c r="E201" t="s">
        <v>86</v>
      </c>
      <c r="F201" t="s">
        <v>528</v>
      </c>
      <c r="H201" t="s">
        <v>1605</v>
      </c>
      <c r="I201" t="s">
        <v>3902</v>
      </c>
      <c r="J201" t="s">
        <v>2986</v>
      </c>
      <c r="K201" t="s">
        <v>3903</v>
      </c>
      <c r="L201" t="s">
        <v>3904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3905</v>
      </c>
      <c r="J202" t="s">
        <v>2986</v>
      </c>
      <c r="K202" t="s">
        <v>3906</v>
      </c>
      <c r="L202" t="s">
        <v>3907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4231</v>
      </c>
      <c r="I203" t="s">
        <v>3908</v>
      </c>
      <c r="J203" t="s">
        <v>2986</v>
      </c>
      <c r="K203" t="s">
        <v>3909</v>
      </c>
      <c r="L203" t="s">
        <v>3910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3911</v>
      </c>
      <c r="J204" t="s">
        <v>2986</v>
      </c>
      <c r="K204" t="s">
        <v>3912</v>
      </c>
      <c r="L204" t="s">
        <v>3913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3914</v>
      </c>
      <c r="J205" t="s">
        <v>2986</v>
      </c>
      <c r="K205" t="s">
        <v>3915</v>
      </c>
      <c r="L205" t="s">
        <v>3916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4232</v>
      </c>
      <c r="H206" t="s">
        <v>1611</v>
      </c>
      <c r="I206" t="s">
        <v>3917</v>
      </c>
      <c r="J206" t="s">
        <v>2986</v>
      </c>
      <c r="K206" t="s">
        <v>3918</v>
      </c>
      <c r="L206" t="s">
        <v>3919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4232</v>
      </c>
      <c r="H207" t="s">
        <v>2936</v>
      </c>
      <c r="I207" t="s">
        <v>3920</v>
      </c>
      <c r="J207" t="s">
        <v>2986</v>
      </c>
      <c r="K207" t="s">
        <v>3921</v>
      </c>
      <c r="L207" t="s">
        <v>3922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4232</v>
      </c>
      <c r="H208" t="s">
        <v>1611</v>
      </c>
      <c r="I208" t="s">
        <v>3923</v>
      </c>
      <c r="J208" t="s">
        <v>2986</v>
      </c>
      <c r="K208" t="s">
        <v>3924</v>
      </c>
      <c r="L208" t="s">
        <v>3925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4232</v>
      </c>
      <c r="H209" t="s">
        <v>2954</v>
      </c>
      <c r="I209" t="s">
        <v>3926</v>
      </c>
      <c r="J209" t="s">
        <v>2986</v>
      </c>
      <c r="K209" t="s">
        <v>3927</v>
      </c>
      <c r="L209" t="s">
        <v>3928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3929</v>
      </c>
      <c r="J210" t="s">
        <v>2986</v>
      </c>
      <c r="K210" t="s">
        <v>3930</v>
      </c>
      <c r="L210" t="s">
        <v>3931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3932</v>
      </c>
      <c r="J211" t="s">
        <v>2986</v>
      </c>
      <c r="K211" t="s">
        <v>3933</v>
      </c>
      <c r="L211" t="s">
        <v>3934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3935</v>
      </c>
      <c r="J212" t="s">
        <v>2986</v>
      </c>
      <c r="K212" t="s">
        <v>3936</v>
      </c>
      <c r="L212" t="s">
        <v>3937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3938</v>
      </c>
      <c r="J213" t="s">
        <v>2986</v>
      </c>
      <c r="K213" t="s">
        <v>3939</v>
      </c>
      <c r="L213" t="s">
        <v>3940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3941</v>
      </c>
      <c r="J214" t="s">
        <v>2986</v>
      </c>
      <c r="K214" t="s">
        <v>3942</v>
      </c>
      <c r="L214" t="s">
        <v>3943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3944</v>
      </c>
      <c r="J215" t="s">
        <v>2986</v>
      </c>
      <c r="K215" t="s">
        <v>3945</v>
      </c>
      <c r="L215" t="s">
        <v>3946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3947</v>
      </c>
      <c r="J216" t="s">
        <v>2986</v>
      </c>
      <c r="K216" t="s">
        <v>3948</v>
      </c>
      <c r="L216" t="s">
        <v>3949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3950</v>
      </c>
      <c r="J217" t="s">
        <v>2986</v>
      </c>
      <c r="K217" t="s">
        <v>3951</v>
      </c>
      <c r="L217" t="s">
        <v>3952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4233</v>
      </c>
      <c r="E218" t="s">
        <v>70</v>
      </c>
      <c r="F218" t="s">
        <v>58</v>
      </c>
      <c r="I218" t="s">
        <v>3953</v>
      </c>
      <c r="J218" t="s">
        <v>2986</v>
      </c>
      <c r="K218" t="s">
        <v>3954</v>
      </c>
      <c r="L218" t="s">
        <v>3955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4234</v>
      </c>
      <c r="H219" t="s">
        <v>1618</v>
      </c>
      <c r="I219" t="s">
        <v>3956</v>
      </c>
      <c r="J219" t="s">
        <v>2986</v>
      </c>
      <c r="K219" t="s">
        <v>3957</v>
      </c>
      <c r="L219" t="s">
        <v>3958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4236</v>
      </c>
      <c r="E220" t="s">
        <v>70</v>
      </c>
      <c r="F220" t="s">
        <v>4234</v>
      </c>
      <c r="I220" t="s">
        <v>3959</v>
      </c>
      <c r="J220" t="s">
        <v>2986</v>
      </c>
      <c r="K220" t="s">
        <v>3960</v>
      </c>
      <c r="L220" t="s">
        <v>3961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4193</v>
      </c>
      <c r="I221" t="s">
        <v>3963</v>
      </c>
      <c r="J221" t="s">
        <v>2986</v>
      </c>
      <c r="K221" t="s">
        <v>3964</v>
      </c>
      <c r="L221" t="s">
        <v>3965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4193</v>
      </c>
      <c r="F222" t="s">
        <v>58</v>
      </c>
      <c r="H222" t="s">
        <v>1620</v>
      </c>
      <c r="I222" t="s">
        <v>3966</v>
      </c>
      <c r="J222" t="s">
        <v>2986</v>
      </c>
      <c r="K222" t="s">
        <v>3967</v>
      </c>
      <c r="L222" t="s">
        <v>3968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4193</v>
      </c>
      <c r="F223" t="s">
        <v>58</v>
      </c>
      <c r="H223" t="s">
        <v>2936</v>
      </c>
      <c r="I223" t="s">
        <v>3969</v>
      </c>
      <c r="J223" t="s">
        <v>2986</v>
      </c>
      <c r="K223" t="s">
        <v>3970</v>
      </c>
      <c r="L223" t="s">
        <v>3971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4193</v>
      </c>
      <c r="F224" t="s">
        <v>58</v>
      </c>
      <c r="H224" t="s">
        <v>2936</v>
      </c>
      <c r="I224" t="s">
        <v>3972</v>
      </c>
      <c r="J224" t="s">
        <v>2986</v>
      </c>
      <c r="K224" t="s">
        <v>3973</v>
      </c>
      <c r="L224" t="s">
        <v>3974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4193</v>
      </c>
      <c r="F225" t="s">
        <v>58</v>
      </c>
      <c r="H225" t="s">
        <v>2936</v>
      </c>
      <c r="I225" t="s">
        <v>3975</v>
      </c>
      <c r="J225" t="s">
        <v>2986</v>
      </c>
      <c r="K225" t="s">
        <v>3976</v>
      </c>
      <c r="L225" t="s">
        <v>3977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4193</v>
      </c>
      <c r="F226" t="s">
        <v>58</v>
      </c>
      <c r="H226" t="s">
        <v>2936</v>
      </c>
      <c r="I226" t="s">
        <v>3978</v>
      </c>
      <c r="J226" t="s">
        <v>2986</v>
      </c>
      <c r="K226" t="s">
        <v>3979</v>
      </c>
      <c r="L226" t="s">
        <v>3980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4193</v>
      </c>
      <c r="F227" t="s">
        <v>58</v>
      </c>
      <c r="H227" t="s">
        <v>2936</v>
      </c>
      <c r="I227" t="s">
        <v>3981</v>
      </c>
      <c r="J227" t="s">
        <v>2986</v>
      </c>
      <c r="K227" t="s">
        <v>3982</v>
      </c>
      <c r="L227" t="s">
        <v>3983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4193</v>
      </c>
      <c r="F228" t="s">
        <v>58</v>
      </c>
      <c r="H228" t="s">
        <v>2936</v>
      </c>
      <c r="I228" t="s">
        <v>3984</v>
      </c>
      <c r="J228" t="s">
        <v>2986</v>
      </c>
      <c r="K228" t="s">
        <v>3985</v>
      </c>
      <c r="L228" t="s">
        <v>3986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4193</v>
      </c>
      <c r="H229" t="s">
        <v>4237</v>
      </c>
      <c r="I229" t="s">
        <v>3987</v>
      </c>
      <c r="J229" t="s">
        <v>2986</v>
      </c>
      <c r="K229" t="s">
        <v>3988</v>
      </c>
      <c r="L229" t="s">
        <v>3989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4193</v>
      </c>
      <c r="F230" t="s">
        <v>58</v>
      </c>
      <c r="I230" t="s">
        <v>3990</v>
      </c>
      <c r="J230" t="s">
        <v>2986</v>
      </c>
      <c r="K230" t="s">
        <v>3991</v>
      </c>
      <c r="L230" t="s">
        <v>3992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4193</v>
      </c>
      <c r="F231" t="s">
        <v>58</v>
      </c>
      <c r="H231" t="s">
        <v>2936</v>
      </c>
      <c r="I231" t="s">
        <v>3993</v>
      </c>
      <c r="J231" t="s">
        <v>2986</v>
      </c>
      <c r="K231" t="s">
        <v>3994</v>
      </c>
      <c r="L231" t="s">
        <v>3995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4193</v>
      </c>
      <c r="F232" t="s">
        <v>58</v>
      </c>
      <c r="H232" t="s">
        <v>2936</v>
      </c>
      <c r="I232" t="s">
        <v>3996</v>
      </c>
      <c r="J232" t="s">
        <v>2986</v>
      </c>
      <c r="K232" t="s">
        <v>3997</v>
      </c>
      <c r="L232" t="s">
        <v>3998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4233</v>
      </c>
      <c r="E233" t="s">
        <v>4193</v>
      </c>
      <c r="F233" t="s">
        <v>58</v>
      </c>
      <c r="I233" t="s">
        <v>3999</v>
      </c>
      <c r="J233" t="s">
        <v>2986</v>
      </c>
      <c r="K233" t="s">
        <v>4000</v>
      </c>
      <c r="L233" t="s">
        <v>4001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4193</v>
      </c>
      <c r="H234" t="s">
        <v>4238</v>
      </c>
      <c r="I234" t="s">
        <v>4002</v>
      </c>
      <c r="J234" t="s">
        <v>2986</v>
      </c>
      <c r="K234" t="s">
        <v>4003</v>
      </c>
      <c r="L234" t="s">
        <v>4004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4193</v>
      </c>
      <c r="F235" t="s">
        <v>58</v>
      </c>
      <c r="I235" t="s">
        <v>4005</v>
      </c>
      <c r="J235" t="s">
        <v>2986</v>
      </c>
      <c r="K235" t="s">
        <v>4006</v>
      </c>
      <c r="L235" t="s">
        <v>4007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4193</v>
      </c>
      <c r="F236" t="s">
        <v>58</v>
      </c>
      <c r="H236" t="s">
        <v>2936</v>
      </c>
      <c r="I236" t="s">
        <v>4008</v>
      </c>
      <c r="J236" t="s">
        <v>2986</v>
      </c>
      <c r="K236" t="s">
        <v>4009</v>
      </c>
      <c r="L236" t="s">
        <v>4010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4193</v>
      </c>
      <c r="F237" t="s">
        <v>58</v>
      </c>
      <c r="H237" t="s">
        <v>2936</v>
      </c>
      <c r="I237" t="s">
        <v>4011</v>
      </c>
      <c r="J237" t="s">
        <v>2986</v>
      </c>
      <c r="K237" t="s">
        <v>4012</v>
      </c>
      <c r="L237" t="s">
        <v>4013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4193</v>
      </c>
      <c r="F238" t="s">
        <v>58</v>
      </c>
      <c r="H238" t="s">
        <v>2936</v>
      </c>
      <c r="I238" t="s">
        <v>4014</v>
      </c>
      <c r="J238" t="s">
        <v>2986</v>
      </c>
      <c r="K238" t="s">
        <v>4015</v>
      </c>
      <c r="L238" t="s">
        <v>4016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4236</v>
      </c>
      <c r="E239" t="s">
        <v>4193</v>
      </c>
      <c r="F239" t="s">
        <v>58</v>
      </c>
      <c r="I239" t="s">
        <v>4017</v>
      </c>
      <c r="J239" t="s">
        <v>2986</v>
      </c>
      <c r="K239" t="s">
        <v>4018</v>
      </c>
      <c r="L239" t="s">
        <v>4019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4239</v>
      </c>
      <c r="H240" t="s">
        <v>4240</v>
      </c>
      <c r="I240" t="s">
        <v>4020</v>
      </c>
      <c r="J240" t="s">
        <v>2986</v>
      </c>
      <c r="K240" t="s">
        <v>4021</v>
      </c>
      <c r="L240" t="s">
        <v>4022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4241</v>
      </c>
      <c r="I241" t="s">
        <v>4023</v>
      </c>
      <c r="J241" t="s">
        <v>2986</v>
      </c>
      <c r="K241" t="s">
        <v>4024</v>
      </c>
      <c r="L241" t="s">
        <v>4025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4242</v>
      </c>
      <c r="E242" t="s">
        <v>86</v>
      </c>
      <c r="F242" t="s">
        <v>4241</v>
      </c>
      <c r="H242" t="s">
        <v>4237</v>
      </c>
      <c r="I242" t="s">
        <v>4026</v>
      </c>
      <c r="J242" t="s">
        <v>2986</v>
      </c>
      <c r="K242" t="s">
        <v>4027</v>
      </c>
      <c r="L242" t="s">
        <v>4028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3074</v>
      </c>
      <c r="E243" t="s">
        <v>86</v>
      </c>
      <c r="F243" t="s">
        <v>58</v>
      </c>
      <c r="H243" t="s">
        <v>1620</v>
      </c>
      <c r="I243" t="s">
        <v>4029</v>
      </c>
      <c r="J243" t="s">
        <v>2986</v>
      </c>
      <c r="K243" t="s">
        <v>4030</v>
      </c>
      <c r="L243" t="s">
        <v>4031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4032</v>
      </c>
      <c r="J244" t="s">
        <v>2986</v>
      </c>
      <c r="K244" t="s">
        <v>4033</v>
      </c>
      <c r="L244" t="s">
        <v>4034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2959</v>
      </c>
      <c r="I245" t="s">
        <v>4035</v>
      </c>
      <c r="J245" t="s">
        <v>2986</v>
      </c>
      <c r="K245" t="s">
        <v>4036</v>
      </c>
      <c r="L245" t="s">
        <v>4037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2959</v>
      </c>
      <c r="I246" t="s">
        <v>4038</v>
      </c>
      <c r="J246" t="s">
        <v>2986</v>
      </c>
      <c r="K246" t="s">
        <v>4039</v>
      </c>
      <c r="L246" t="s">
        <v>4040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2959</v>
      </c>
      <c r="I247" t="s">
        <v>4041</v>
      </c>
      <c r="J247" t="s">
        <v>2986</v>
      </c>
      <c r="K247" t="s">
        <v>4042</v>
      </c>
      <c r="L247" t="s">
        <v>4043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2959</v>
      </c>
      <c r="I248" t="s">
        <v>4044</v>
      </c>
      <c r="J248" t="s">
        <v>2986</v>
      </c>
      <c r="K248" t="s">
        <v>4045</v>
      </c>
      <c r="L248" t="s">
        <v>4046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2959</v>
      </c>
      <c r="I249" t="s">
        <v>4047</v>
      </c>
      <c r="J249" t="s">
        <v>2986</v>
      </c>
      <c r="K249" t="s">
        <v>4048</v>
      </c>
      <c r="L249" t="s">
        <v>4049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2959</v>
      </c>
      <c r="I250" t="s">
        <v>4050</v>
      </c>
      <c r="J250" t="s">
        <v>2986</v>
      </c>
      <c r="K250" t="s">
        <v>4051</v>
      </c>
      <c r="L250" t="s">
        <v>4052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2959</v>
      </c>
      <c r="I251" t="s">
        <v>4053</v>
      </c>
      <c r="J251" t="s">
        <v>2986</v>
      </c>
      <c r="K251" t="s">
        <v>4054</v>
      </c>
      <c r="L251" t="s">
        <v>4055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2959</v>
      </c>
      <c r="I252" t="s">
        <v>4056</v>
      </c>
      <c r="J252" t="s">
        <v>2986</v>
      </c>
      <c r="K252" t="s">
        <v>4057</v>
      </c>
      <c r="L252" t="s">
        <v>4058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2959</v>
      </c>
      <c r="I253" t="s">
        <v>4059</v>
      </c>
      <c r="J253" t="s">
        <v>2986</v>
      </c>
      <c r="K253" t="s">
        <v>4060</v>
      </c>
      <c r="L253" t="s">
        <v>4061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2959</v>
      </c>
      <c r="I254" t="s">
        <v>4062</v>
      </c>
      <c r="J254" t="s">
        <v>2986</v>
      </c>
      <c r="K254" t="s">
        <v>4063</v>
      </c>
      <c r="L254" t="s">
        <v>4064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2959</v>
      </c>
      <c r="I255" t="s">
        <v>4065</v>
      </c>
      <c r="J255" t="s">
        <v>2986</v>
      </c>
      <c r="K255" t="s">
        <v>4066</v>
      </c>
      <c r="L255" t="s">
        <v>4067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4068</v>
      </c>
      <c r="J256" t="s">
        <v>2986</v>
      </c>
      <c r="K256" t="s">
        <v>4069</v>
      </c>
      <c r="L256" t="s">
        <v>4070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4286</v>
      </c>
      <c r="J257" t="s">
        <v>2986</v>
      </c>
      <c r="K257" t="s">
        <v>4287</v>
      </c>
      <c r="L257" t="s">
        <v>4288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4832</v>
      </c>
      <c r="J258" t="s">
        <v>2986</v>
      </c>
      <c r="K258" t="s">
        <v>4833</v>
      </c>
      <c r="L258" t="s">
        <v>4834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4835</v>
      </c>
      <c r="J259" t="s">
        <v>2986</v>
      </c>
      <c r="K259" t="s">
        <v>4836</v>
      </c>
      <c r="L259" t="s">
        <v>4837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4237</v>
      </c>
      <c r="I260" t="s">
        <v>4838</v>
      </c>
      <c r="J260" t="s">
        <v>2986</v>
      </c>
      <c r="K260" t="s">
        <v>4839</v>
      </c>
      <c r="L260" t="s">
        <v>4840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4841</v>
      </c>
      <c r="J261" t="s">
        <v>2986</v>
      </c>
      <c r="K261" t="s">
        <v>4842</v>
      </c>
      <c r="L261" t="s">
        <v>4843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4237</v>
      </c>
      <c r="I262" t="s">
        <v>4844</v>
      </c>
      <c r="J262" t="s">
        <v>2986</v>
      </c>
      <c r="K262" t="s">
        <v>4845</v>
      </c>
      <c r="L262" t="s">
        <v>4846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4241</v>
      </c>
      <c r="I263" t="s">
        <v>4847</v>
      </c>
      <c r="J263" t="s">
        <v>2986</v>
      </c>
      <c r="K263" t="s">
        <v>4848</v>
      </c>
      <c r="L263" t="s">
        <v>4849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4241</v>
      </c>
      <c r="H264" t="s">
        <v>2936</v>
      </c>
      <c r="I264" t="s">
        <v>4850</v>
      </c>
      <c r="J264" t="s">
        <v>2986</v>
      </c>
      <c r="K264" t="s">
        <v>4851</v>
      </c>
      <c r="L264" t="s">
        <v>4852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4241</v>
      </c>
      <c r="I265" t="s">
        <v>4853</v>
      </c>
      <c r="J265" t="s">
        <v>2986</v>
      </c>
      <c r="K265" t="s">
        <v>4854</v>
      </c>
      <c r="L265" t="s">
        <v>4855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4242</v>
      </c>
      <c r="E266" t="s">
        <v>86</v>
      </c>
      <c r="F266" t="s">
        <v>4241</v>
      </c>
      <c r="H266" t="s">
        <v>4237</v>
      </c>
      <c r="I266" t="s">
        <v>4856</v>
      </c>
      <c r="J266" t="s">
        <v>2986</v>
      </c>
      <c r="K266" t="s">
        <v>4857</v>
      </c>
      <c r="L266" t="s">
        <v>4858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4237</v>
      </c>
      <c r="I267" t="s">
        <v>4859</v>
      </c>
      <c r="J267" t="s">
        <v>2986</v>
      </c>
      <c r="K267" t="s">
        <v>4860</v>
      </c>
      <c r="L267" t="s">
        <v>4861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4237</v>
      </c>
      <c r="I268" t="s">
        <v>4862</v>
      </c>
      <c r="J268" t="s">
        <v>2986</v>
      </c>
      <c r="K268" t="s">
        <v>4863</v>
      </c>
      <c r="L268" t="s">
        <v>4864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4237</v>
      </c>
      <c r="I269" t="s">
        <v>4865</v>
      </c>
      <c r="J269" t="s">
        <v>2986</v>
      </c>
      <c r="K269" t="s">
        <v>4866</v>
      </c>
      <c r="L269" t="s">
        <v>4867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4241</v>
      </c>
      <c r="I270" t="s">
        <v>4868</v>
      </c>
      <c r="J270" t="s">
        <v>2986</v>
      </c>
      <c r="K270" t="s">
        <v>4869</v>
      </c>
      <c r="L270" t="s">
        <v>4870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4242</v>
      </c>
      <c r="E271" t="s">
        <v>86</v>
      </c>
      <c r="F271" t="s">
        <v>4241</v>
      </c>
      <c r="H271" t="s">
        <v>4237</v>
      </c>
      <c r="I271" t="s">
        <v>4871</v>
      </c>
      <c r="J271" t="s">
        <v>2986</v>
      </c>
      <c r="K271" t="s">
        <v>4872</v>
      </c>
      <c r="L271" t="s">
        <v>4873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4237</v>
      </c>
      <c r="I272" t="s">
        <v>4874</v>
      </c>
      <c r="J272" t="s">
        <v>2986</v>
      </c>
      <c r="K272" t="s">
        <v>4875</v>
      </c>
      <c r="L272" t="s">
        <v>4876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4237</v>
      </c>
      <c r="I273" t="s">
        <v>4877</v>
      </c>
      <c r="J273" t="s">
        <v>2986</v>
      </c>
      <c r="K273" t="s">
        <v>4878</v>
      </c>
      <c r="L273" t="s">
        <v>4879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4241</v>
      </c>
      <c r="I274" t="s">
        <v>4880</v>
      </c>
      <c r="J274" t="s">
        <v>2986</v>
      </c>
      <c r="K274" t="s">
        <v>4881</v>
      </c>
      <c r="L274" t="s">
        <v>4882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4242</v>
      </c>
      <c r="E275" t="s">
        <v>86</v>
      </c>
      <c r="F275" t="s">
        <v>4241</v>
      </c>
      <c r="H275" t="s">
        <v>4237</v>
      </c>
      <c r="I275" t="s">
        <v>4883</v>
      </c>
      <c r="J275" t="s">
        <v>2986</v>
      </c>
      <c r="K275" t="s">
        <v>4884</v>
      </c>
      <c r="L275" t="s">
        <v>4885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4237</v>
      </c>
      <c r="I276" t="s">
        <v>4886</v>
      </c>
      <c r="J276" t="s">
        <v>2986</v>
      </c>
      <c r="K276" t="s">
        <v>4887</v>
      </c>
      <c r="L276" t="s">
        <v>4888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4237</v>
      </c>
      <c r="I277" t="s">
        <v>4889</v>
      </c>
      <c r="J277" t="s">
        <v>2986</v>
      </c>
      <c r="K277" t="s">
        <v>4890</v>
      </c>
      <c r="L277" t="s">
        <v>4891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4228</v>
      </c>
      <c r="E278" t="s">
        <v>531</v>
      </c>
      <c r="F278" t="s">
        <v>4234</v>
      </c>
      <c r="H278" t="s">
        <v>2958</v>
      </c>
      <c r="I278" t="s">
        <v>4892</v>
      </c>
      <c r="J278" t="s">
        <v>2986</v>
      </c>
      <c r="K278" t="s">
        <v>4893</v>
      </c>
      <c r="L278" t="s">
        <v>4894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4895</v>
      </c>
      <c r="J279" t="s">
        <v>2986</v>
      </c>
      <c r="K279" t="s">
        <v>4896</v>
      </c>
      <c r="L279" t="s">
        <v>4897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4898</v>
      </c>
      <c r="J280" t="s">
        <v>2986</v>
      </c>
      <c r="K280" t="s">
        <v>4899</v>
      </c>
      <c r="L280" t="s">
        <v>4900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5182</v>
      </c>
      <c r="J281" t="s">
        <v>2986</v>
      </c>
      <c r="K281" t="s">
        <v>5183</v>
      </c>
      <c r="L281" t="s">
        <v>5184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5264</v>
      </c>
      <c r="F282" t="s">
        <v>51</v>
      </c>
      <c r="I282" t="s">
        <v>5185</v>
      </c>
      <c r="J282" t="s">
        <v>2986</v>
      </c>
      <c r="K282" t="s">
        <v>5186</v>
      </c>
      <c r="L282" t="s">
        <v>5187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5264</v>
      </c>
      <c r="F283" t="s">
        <v>4234</v>
      </c>
      <c r="I283" t="s">
        <v>5188</v>
      </c>
      <c r="J283" t="s">
        <v>2986</v>
      </c>
      <c r="K283" t="s">
        <v>5189</v>
      </c>
      <c r="L283" t="s">
        <v>5190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5264</v>
      </c>
      <c r="F284" t="s">
        <v>4234</v>
      </c>
      <c r="H284" t="s">
        <v>2936</v>
      </c>
      <c r="I284" t="s">
        <v>5191</v>
      </c>
      <c r="J284" t="s">
        <v>2986</v>
      </c>
      <c r="K284" t="s">
        <v>5192</v>
      </c>
      <c r="L284" t="s">
        <v>5193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4233</v>
      </c>
      <c r="E285" t="s">
        <v>5264</v>
      </c>
      <c r="F285" t="s">
        <v>4234</v>
      </c>
      <c r="I285" t="s">
        <v>5194</v>
      </c>
      <c r="J285" t="s">
        <v>2986</v>
      </c>
      <c r="K285" t="s">
        <v>5195</v>
      </c>
      <c r="L285" t="s">
        <v>5196</v>
      </c>
      <c r="M285" s="3" t="str">
        <f>HYPERLINK(склад2въезд131920212223[[#This Row],[RelativePath]])</f>
        <v>10 Сушилка навес\E33149364_3_20251207T144249Z.jpg</v>
      </c>
    </row>
  </sheetData>
  <conditionalFormatting sqref="D286:D296 E286:E299 G2:H285 D2:E285">
    <cfRule type="containsText" dxfId="278" priority="14" operator="containsText" text="Выезд с территории">
      <formula>NOT(ISERROR(SEARCH("Выезд с территории",D2)))</formula>
    </cfRule>
  </conditionalFormatting>
  <conditionalFormatting sqref="F2:F285">
    <cfRule type="notContainsText" dxfId="277" priority="13" operator="notContains" text="порожний">
      <formula>ISERROR(SEARCH("порожний",F2))</formula>
    </cfRule>
  </conditionalFormatting>
  <conditionalFormatting sqref="E2:E299">
    <cfRule type="containsText" dxfId="276" priority="11" operator="containsText" text="Газель базы">
      <formula>NOT(ISERROR(SEARCH("Газель базы",E2)))</formula>
    </cfRule>
    <cfRule type="containsText" dxfId="275" priority="12" operator="containsText" text="Погрузчик базы">
      <formula>NOT(ISERROR(SEARCH("Погрузчик базы",E2)))</formula>
    </cfRule>
  </conditionalFormatting>
  <conditionalFormatting sqref="E2:E299">
    <cfRule type="containsText" dxfId="274" priority="10" operator="containsText" text="Трактор базы">
      <formula>NOT(ISERROR(SEARCH("Трактор базы",E2)))</formula>
    </cfRule>
  </conditionalFormatting>
  <conditionalFormatting sqref="A2:C285">
    <cfRule type="expression" dxfId="273" priority="9">
      <formula>$A2="пн"</formula>
    </cfRule>
  </conditionalFormatting>
  <conditionalFormatting sqref="A2:C287">
    <cfRule type="expression" dxfId="272" priority="3">
      <formula>$A2="вс"</formula>
    </cfRule>
    <cfRule type="expression" dxfId="271" priority="4">
      <formula>$A2="сб"</formula>
    </cfRule>
    <cfRule type="expression" dxfId="270" priority="5">
      <formula>$A2="пт"</formula>
    </cfRule>
    <cfRule type="expression" dxfId="269" priority="6">
      <formula>$A2="чт"</formula>
    </cfRule>
    <cfRule type="expression" dxfId="268" priority="7">
      <formula>$A2="ср"</formula>
    </cfRule>
    <cfRule type="expression" dxfId="267" priority="8">
      <formula>$A2="вт"</formula>
    </cfRule>
  </conditionalFormatting>
  <conditionalFormatting sqref="D2:D296">
    <cfRule type="containsText" dxfId="2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6">
    <cfRule type="containsText" dxfId="2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20"/>
  <sheetViews>
    <sheetView zoomScale="90" zoomScaleNormal="90" workbookViewId="0">
      <pane ySplit="1" topLeftCell="A104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19.28515625" bestFit="1" customWidth="1"/>
    <col min="7" max="7" width="7.28515625" bestFit="1" customWidth="1"/>
    <col min="8" max="8" width="29.140625" bestFit="1" customWidth="1"/>
    <col min="9" max="9" width="35.42578125" hidden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2987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2987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2987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2987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2987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2987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2987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2987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2987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2987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2987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2987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2987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2987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2987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2987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2987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2987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2987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2987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2987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2987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2987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2987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2987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2987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2987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2987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2987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2987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2987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2987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2987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2987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2987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2987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2987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2987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2987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2987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2987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2987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2987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2987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2987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2987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2987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2987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2987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2987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2987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2987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2987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2987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2987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2987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2987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2987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2987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2987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2987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2987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2987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2963</v>
      </c>
      <c r="H65" t="s">
        <v>2959</v>
      </c>
      <c r="I65" t="s">
        <v>2526</v>
      </c>
      <c r="J65" t="s">
        <v>2987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2969</v>
      </c>
      <c r="I66" t="s">
        <v>2529</v>
      </c>
      <c r="J66" t="s">
        <v>2987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2981</v>
      </c>
      <c r="E67" t="s">
        <v>2920</v>
      </c>
      <c r="F67" t="s">
        <v>58</v>
      </c>
      <c r="H67" t="s">
        <v>2958</v>
      </c>
      <c r="I67" t="s">
        <v>2532</v>
      </c>
      <c r="J67" t="s">
        <v>2987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2958</v>
      </c>
      <c r="I68" t="s">
        <v>2535</v>
      </c>
      <c r="J68" t="s">
        <v>2987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2958</v>
      </c>
      <c r="I69" t="s">
        <v>2538</v>
      </c>
      <c r="J69" t="s">
        <v>2987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2958</v>
      </c>
      <c r="I70" t="s">
        <v>2541</v>
      </c>
      <c r="J70" t="s">
        <v>2987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2958</v>
      </c>
      <c r="I71" t="s">
        <v>2544</v>
      </c>
      <c r="J71" t="s">
        <v>2987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2958</v>
      </c>
      <c r="I72" t="s">
        <v>2547</v>
      </c>
      <c r="J72" t="s">
        <v>2987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2958</v>
      </c>
      <c r="I73" t="s">
        <v>2550</v>
      </c>
      <c r="J73" t="s">
        <v>2987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2987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2959</v>
      </c>
      <c r="I75" t="s">
        <v>2556</v>
      </c>
      <c r="J75" t="s">
        <v>2987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2959</v>
      </c>
      <c r="I76" t="s">
        <v>2559</v>
      </c>
      <c r="J76" t="s">
        <v>2987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2959</v>
      </c>
      <c r="I77" t="s">
        <v>2562</v>
      </c>
      <c r="J77" t="s">
        <v>2987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2987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2959</v>
      </c>
      <c r="I79" t="s">
        <v>2568</v>
      </c>
      <c r="J79" t="s">
        <v>2987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2987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2987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2970</v>
      </c>
      <c r="J82" t="s">
        <v>2987</v>
      </c>
      <c r="K82" t="s">
        <v>2971</v>
      </c>
      <c r="L82" t="s">
        <v>2972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2976</v>
      </c>
      <c r="I83" t="s">
        <v>2973</v>
      </c>
      <c r="J83" t="s">
        <v>2987</v>
      </c>
      <c r="K83" t="s">
        <v>2974</v>
      </c>
      <c r="L83" t="s">
        <v>2975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2976</v>
      </c>
      <c r="I84" t="s">
        <v>2577</v>
      </c>
      <c r="J84" t="s">
        <v>2987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2987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2987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2987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4071</v>
      </c>
      <c r="J88" t="s">
        <v>2987</v>
      </c>
      <c r="K88" t="s">
        <v>4072</v>
      </c>
      <c r="L88" t="s">
        <v>4073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4243</v>
      </c>
      <c r="G89">
        <v>2</v>
      </c>
      <c r="H89" t="s">
        <v>4244</v>
      </c>
      <c r="I89" t="s">
        <v>4074</v>
      </c>
      <c r="J89" t="s">
        <v>2987</v>
      </c>
      <c r="K89" t="s">
        <v>4075</v>
      </c>
      <c r="L89" t="s">
        <v>4076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4243</v>
      </c>
      <c r="G90">
        <v>2</v>
      </c>
      <c r="H90" t="s">
        <v>4244</v>
      </c>
      <c r="I90" t="s">
        <v>4077</v>
      </c>
      <c r="J90" t="s">
        <v>2987</v>
      </c>
      <c r="K90" t="s">
        <v>4078</v>
      </c>
      <c r="L90" t="s">
        <v>4079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4217</v>
      </c>
      <c r="E91" t="s">
        <v>531</v>
      </c>
      <c r="F91" t="s">
        <v>58</v>
      </c>
      <c r="H91" t="s">
        <v>4245</v>
      </c>
      <c r="I91" t="s">
        <v>4080</v>
      </c>
      <c r="J91" t="s">
        <v>2987</v>
      </c>
      <c r="K91" t="s">
        <v>4081</v>
      </c>
      <c r="L91" t="s">
        <v>4082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4217</v>
      </c>
      <c r="E92" t="s">
        <v>531</v>
      </c>
      <c r="F92" t="s">
        <v>58</v>
      </c>
      <c r="H92" t="s">
        <v>2936</v>
      </c>
      <c r="I92" t="s">
        <v>4083</v>
      </c>
      <c r="J92" t="s">
        <v>2987</v>
      </c>
      <c r="K92" t="s">
        <v>4084</v>
      </c>
      <c r="L92" t="s">
        <v>4085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4217</v>
      </c>
      <c r="E93" t="s">
        <v>531</v>
      </c>
      <c r="F93" t="s">
        <v>58</v>
      </c>
      <c r="H93" t="s">
        <v>2936</v>
      </c>
      <c r="I93" t="s">
        <v>4086</v>
      </c>
      <c r="J93" t="s">
        <v>2987</v>
      </c>
      <c r="K93" t="s">
        <v>4087</v>
      </c>
      <c r="L93" t="s">
        <v>4088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4217</v>
      </c>
      <c r="E94" t="s">
        <v>531</v>
      </c>
      <c r="F94" t="s">
        <v>58</v>
      </c>
      <c r="H94" t="s">
        <v>2936</v>
      </c>
      <c r="I94" t="s">
        <v>4089</v>
      </c>
      <c r="J94" t="s">
        <v>2987</v>
      </c>
      <c r="K94" t="s">
        <v>4090</v>
      </c>
      <c r="L94" t="s">
        <v>4091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4217</v>
      </c>
      <c r="E95" t="s">
        <v>531</v>
      </c>
      <c r="F95" t="s">
        <v>58</v>
      </c>
      <c r="H95" t="s">
        <v>2936</v>
      </c>
      <c r="I95" t="s">
        <v>4092</v>
      </c>
      <c r="J95" t="s">
        <v>2987</v>
      </c>
      <c r="K95" t="s">
        <v>4093</v>
      </c>
      <c r="L95" t="s">
        <v>4094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4193</v>
      </c>
      <c r="F96" t="s">
        <v>58</v>
      </c>
      <c r="I96" t="s">
        <v>4095</v>
      </c>
      <c r="J96" t="s">
        <v>2987</v>
      </c>
      <c r="K96" t="s">
        <v>4096</v>
      </c>
      <c r="L96" t="s">
        <v>4097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4193</v>
      </c>
      <c r="F97" t="s">
        <v>58</v>
      </c>
      <c r="H97" t="s">
        <v>2936</v>
      </c>
      <c r="I97" t="s">
        <v>4098</v>
      </c>
      <c r="J97" t="s">
        <v>2987</v>
      </c>
      <c r="K97" t="s">
        <v>4099</v>
      </c>
      <c r="L97" t="s">
        <v>4100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4193</v>
      </c>
      <c r="F98" t="s">
        <v>58</v>
      </c>
      <c r="H98" t="s">
        <v>2936</v>
      </c>
      <c r="I98" t="s">
        <v>4101</v>
      </c>
      <c r="J98" t="s">
        <v>2987</v>
      </c>
      <c r="K98" t="s">
        <v>4102</v>
      </c>
      <c r="L98" t="s">
        <v>4103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4193</v>
      </c>
      <c r="F99" t="s">
        <v>58</v>
      </c>
      <c r="H99" t="s">
        <v>2936</v>
      </c>
      <c r="I99" t="s">
        <v>4104</v>
      </c>
      <c r="J99" t="s">
        <v>2987</v>
      </c>
      <c r="K99" t="s">
        <v>4105</v>
      </c>
      <c r="L99" t="s">
        <v>4106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4107</v>
      </c>
      <c r="J100" t="s">
        <v>2987</v>
      </c>
      <c r="K100" t="s">
        <v>4108</v>
      </c>
      <c r="L100" t="s">
        <v>4109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4110</v>
      </c>
      <c r="J101" t="s">
        <v>2987</v>
      </c>
      <c r="K101" t="s">
        <v>4111</v>
      </c>
      <c r="L101" t="s">
        <v>4112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4246</v>
      </c>
      <c r="I102" t="s">
        <v>4113</v>
      </c>
      <c r="J102" t="s">
        <v>2987</v>
      </c>
      <c r="K102" t="s">
        <v>4114</v>
      </c>
      <c r="L102" t="s">
        <v>4115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4246</v>
      </c>
      <c r="I103" t="s">
        <v>4116</v>
      </c>
      <c r="J103" t="s">
        <v>2987</v>
      </c>
      <c r="K103" t="s">
        <v>4117</v>
      </c>
      <c r="L103" t="s">
        <v>4118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4119</v>
      </c>
      <c r="J104" t="s">
        <v>2987</v>
      </c>
      <c r="K104" t="s">
        <v>4120</v>
      </c>
      <c r="L104" t="s">
        <v>4121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4122</v>
      </c>
      <c r="J105" t="s">
        <v>2987</v>
      </c>
      <c r="K105" t="s">
        <v>4123</v>
      </c>
      <c r="L105" t="s">
        <v>4124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4125</v>
      </c>
      <c r="J106" t="s">
        <v>2987</v>
      </c>
      <c r="K106" t="s">
        <v>4126</v>
      </c>
      <c r="L106" t="s">
        <v>4127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4289</v>
      </c>
      <c r="J107" t="s">
        <v>2987</v>
      </c>
      <c r="K107" t="s">
        <v>4290</v>
      </c>
      <c r="L107" t="s">
        <v>4291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4901</v>
      </c>
      <c r="J108" t="s">
        <v>2987</v>
      </c>
      <c r="K108" t="s">
        <v>4902</v>
      </c>
      <c r="L108" t="s">
        <v>4903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4904</v>
      </c>
      <c r="J109" t="s">
        <v>2987</v>
      </c>
      <c r="K109" t="s">
        <v>4905</v>
      </c>
      <c r="L109" t="s">
        <v>4906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5104</v>
      </c>
      <c r="I110" t="s">
        <v>4907</v>
      </c>
      <c r="J110" t="s">
        <v>2987</v>
      </c>
      <c r="K110" t="s">
        <v>4908</v>
      </c>
      <c r="L110" t="s">
        <v>4909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3074</v>
      </c>
      <c r="E111" t="s">
        <v>86</v>
      </c>
      <c r="F111" t="s">
        <v>5104</v>
      </c>
      <c r="I111" t="s">
        <v>4910</v>
      </c>
      <c r="J111" t="s">
        <v>2987</v>
      </c>
      <c r="K111" t="s">
        <v>4911</v>
      </c>
      <c r="L111" t="s">
        <v>4912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4913</v>
      </c>
      <c r="J112" t="s">
        <v>2987</v>
      </c>
      <c r="K112" t="s">
        <v>4914</v>
      </c>
      <c r="L112" t="s">
        <v>4915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8</v>
      </c>
      <c r="F113" t="s">
        <v>5140</v>
      </c>
      <c r="H113" t="s">
        <v>5141</v>
      </c>
      <c r="I113" t="s">
        <v>4916</v>
      </c>
      <c r="J113" t="s">
        <v>2987</v>
      </c>
      <c r="K113" t="s">
        <v>4917</v>
      </c>
      <c r="L113" t="s">
        <v>4918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4919</v>
      </c>
      <c r="J114" t="s">
        <v>2987</v>
      </c>
      <c r="K114" t="s">
        <v>4920</v>
      </c>
      <c r="L114" t="s">
        <v>4921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5266</v>
      </c>
      <c r="E115" t="s">
        <v>5264</v>
      </c>
      <c r="F115" t="s">
        <v>4234</v>
      </c>
      <c r="I115" t="s">
        <v>5200</v>
      </c>
      <c r="J115" t="s">
        <v>2987</v>
      </c>
      <c r="K115" t="s">
        <v>5201</v>
      </c>
      <c r="L115" t="s">
        <v>5202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5266</v>
      </c>
      <c r="E116" t="s">
        <v>5264</v>
      </c>
      <c r="F116" t="s">
        <v>4234</v>
      </c>
      <c r="H116" t="s">
        <v>2936</v>
      </c>
      <c r="I116" t="s">
        <v>5203</v>
      </c>
      <c r="J116" t="s">
        <v>2987</v>
      </c>
      <c r="K116" t="s">
        <v>5204</v>
      </c>
      <c r="L116" t="s">
        <v>5205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5266</v>
      </c>
      <c r="E117" t="s">
        <v>5264</v>
      </c>
      <c r="F117" t="s">
        <v>4234</v>
      </c>
      <c r="H117" t="s">
        <v>2936</v>
      </c>
      <c r="I117" t="s">
        <v>5206</v>
      </c>
      <c r="J117" t="s">
        <v>2987</v>
      </c>
      <c r="K117" t="s">
        <v>5207</v>
      </c>
      <c r="L117" t="s">
        <v>5208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5266</v>
      </c>
      <c r="E118" t="s">
        <v>5264</v>
      </c>
      <c r="F118" t="s">
        <v>4234</v>
      </c>
      <c r="H118" t="s">
        <v>2936</v>
      </c>
      <c r="I118" t="s">
        <v>5209</v>
      </c>
      <c r="J118" t="s">
        <v>2987</v>
      </c>
      <c r="K118" t="s">
        <v>5210</v>
      </c>
      <c r="L118" t="s">
        <v>5211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5266</v>
      </c>
      <c r="E119" t="s">
        <v>5264</v>
      </c>
      <c r="F119" t="s">
        <v>4234</v>
      </c>
      <c r="H119" t="s">
        <v>2936</v>
      </c>
      <c r="I119" t="s">
        <v>5212</v>
      </c>
      <c r="J119" t="s">
        <v>2987</v>
      </c>
      <c r="K119" t="s">
        <v>5213</v>
      </c>
      <c r="L119" t="s">
        <v>5214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4236</v>
      </c>
      <c r="E120" t="s">
        <v>5264</v>
      </c>
      <c r="F120" t="s">
        <v>4234</v>
      </c>
      <c r="I120" t="s">
        <v>5215</v>
      </c>
      <c r="J120" t="s">
        <v>2987</v>
      </c>
      <c r="K120" t="s">
        <v>5216</v>
      </c>
      <c r="L120" t="s">
        <v>5217</v>
      </c>
      <c r="M120" s="3" t="str">
        <f>HYPERLINK(склад2въезд1319202122237[[#This Row],[RelativePath]])</f>
        <v>11 С ангара на базу\E33149364_4_20251207T144324Z.jpg</v>
      </c>
    </row>
  </sheetData>
  <conditionalFormatting sqref="D121:D131 E121:E134 G2:H120 D2:E120">
    <cfRule type="containsText" dxfId="254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253" priority="13" operator="notContains" text="порожний">
      <formula>ISERROR(SEARCH("порожний",F2))</formula>
    </cfRule>
  </conditionalFormatting>
  <conditionalFormatting sqref="E2:E134">
    <cfRule type="containsText" dxfId="252" priority="11" operator="containsText" text="Газель базы">
      <formula>NOT(ISERROR(SEARCH("Газель базы",E2)))</formula>
    </cfRule>
    <cfRule type="containsText" dxfId="251" priority="12" operator="containsText" text="Погрузчик базы">
      <formula>NOT(ISERROR(SEARCH("Погрузчик базы",E2)))</formula>
    </cfRule>
  </conditionalFormatting>
  <conditionalFormatting sqref="E2:E134">
    <cfRule type="containsText" dxfId="250" priority="10" operator="containsText" text="Трактор базы">
      <formula>NOT(ISERROR(SEARCH("Трактор базы",E2)))</formula>
    </cfRule>
  </conditionalFormatting>
  <conditionalFormatting sqref="A2:C120">
    <cfRule type="expression" dxfId="249" priority="9">
      <formula>$A2="пн"</formula>
    </cfRule>
  </conditionalFormatting>
  <conditionalFormatting sqref="A2:C122">
    <cfRule type="expression" dxfId="248" priority="3">
      <formula>$A2="вс"</formula>
    </cfRule>
    <cfRule type="expression" dxfId="247" priority="4">
      <formula>$A2="сб"</formula>
    </cfRule>
    <cfRule type="expression" dxfId="246" priority="5">
      <formula>$A2="пт"</formula>
    </cfRule>
    <cfRule type="expression" dxfId="245" priority="6">
      <formula>$A2="чт"</formula>
    </cfRule>
    <cfRule type="expression" dxfId="244" priority="7">
      <formula>$A2="ср"</formula>
    </cfRule>
    <cfRule type="expression" dxfId="243" priority="8">
      <formula>$A2="вт"</formula>
    </cfRule>
  </conditionalFormatting>
  <conditionalFormatting sqref="D2:D131">
    <cfRule type="containsText" dxfId="2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2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86"/>
  <sheetViews>
    <sheetView zoomScale="90" zoomScaleNormal="90" workbookViewId="0">
      <pane ySplit="1" topLeftCell="A5" activePane="bottomLeft" state="frozen"/>
      <selection pane="bottomLeft" activeCell="M72" sqref="M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2988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2988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2988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2988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2988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2988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2988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2988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2988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2988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2988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2988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2988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2988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2988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2988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2988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2988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2988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2988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2988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2988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2988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2988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2988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2988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2988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2988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2988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2988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2988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2988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2988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2988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2988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2988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2988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2988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2988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2988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2988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2988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2988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2988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2988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2988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2988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2988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2988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2988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4128</v>
      </c>
      <c r="J52" t="s">
        <v>2988</v>
      </c>
      <c r="K52" t="s">
        <v>4129</v>
      </c>
      <c r="L52" t="s">
        <v>4130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4247</v>
      </c>
      <c r="E53" t="s">
        <v>4248</v>
      </c>
      <c r="I53" t="s">
        <v>4131</v>
      </c>
      <c r="J53" t="s">
        <v>2988</v>
      </c>
      <c r="K53" t="s">
        <v>4132</v>
      </c>
      <c r="L53" t="s">
        <v>4133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4247</v>
      </c>
      <c r="E54" t="s">
        <v>4248</v>
      </c>
      <c r="I54" t="s">
        <v>4134</v>
      </c>
      <c r="J54" t="s">
        <v>2988</v>
      </c>
      <c r="K54" t="s">
        <v>4135</v>
      </c>
      <c r="L54" t="s">
        <v>4136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4247</v>
      </c>
      <c r="E55" t="s">
        <v>4248</v>
      </c>
      <c r="I55" t="s">
        <v>4137</v>
      </c>
      <c r="J55" t="s">
        <v>2988</v>
      </c>
      <c r="K55" t="s">
        <v>4138</v>
      </c>
      <c r="L55" t="s">
        <v>4139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4247</v>
      </c>
      <c r="E56" t="s">
        <v>4248</v>
      </c>
      <c r="I56" t="s">
        <v>4140</v>
      </c>
      <c r="J56" t="s">
        <v>2988</v>
      </c>
      <c r="K56" t="s">
        <v>4141</v>
      </c>
      <c r="L56" t="s">
        <v>4142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4247</v>
      </c>
      <c r="E57" t="s">
        <v>4248</v>
      </c>
      <c r="I57" t="s">
        <v>4143</v>
      </c>
      <c r="J57" t="s">
        <v>2988</v>
      </c>
      <c r="K57" t="s">
        <v>4144</v>
      </c>
      <c r="L57" t="s">
        <v>4145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4249</v>
      </c>
      <c r="I58" t="s">
        <v>4146</v>
      </c>
      <c r="J58" t="s">
        <v>2988</v>
      </c>
      <c r="K58" t="s">
        <v>4147</v>
      </c>
      <c r="L58" t="s">
        <v>4148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4249</v>
      </c>
      <c r="I59" t="s">
        <v>4149</v>
      </c>
      <c r="J59" t="s">
        <v>2988</v>
      </c>
      <c r="K59" t="s">
        <v>4150</v>
      </c>
      <c r="L59" t="s">
        <v>4151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4249</v>
      </c>
      <c r="I60" t="s">
        <v>4152</v>
      </c>
      <c r="J60" t="s">
        <v>2988</v>
      </c>
      <c r="K60" t="s">
        <v>4153</v>
      </c>
      <c r="L60" t="s">
        <v>4154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4249</v>
      </c>
      <c r="I61" t="s">
        <v>4155</v>
      </c>
      <c r="J61" t="s">
        <v>2988</v>
      </c>
      <c r="K61" t="s">
        <v>4156</v>
      </c>
      <c r="L61" t="s">
        <v>4157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4249</v>
      </c>
      <c r="I62" t="s">
        <v>4158</v>
      </c>
      <c r="J62" t="s">
        <v>2988</v>
      </c>
      <c r="K62" t="s">
        <v>4159</v>
      </c>
      <c r="L62" t="s">
        <v>4160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4249</v>
      </c>
      <c r="I63" t="s">
        <v>4161</v>
      </c>
      <c r="J63" t="s">
        <v>2988</v>
      </c>
      <c r="K63" t="s">
        <v>4162</v>
      </c>
      <c r="L63" t="s">
        <v>4163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4164</v>
      </c>
      <c r="J64" t="s">
        <v>2988</v>
      </c>
      <c r="K64" t="s">
        <v>4165</v>
      </c>
      <c r="L64" t="s">
        <v>4166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4292</v>
      </c>
      <c r="J65" t="s">
        <v>2988</v>
      </c>
      <c r="K65" t="s">
        <v>4293</v>
      </c>
      <c r="L65" t="s">
        <v>4294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4922</v>
      </c>
      <c r="J66" t="s">
        <v>2988</v>
      </c>
      <c r="K66" t="s">
        <v>4923</v>
      </c>
      <c r="L66" t="s">
        <v>4924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4925</v>
      </c>
      <c r="J67" t="s">
        <v>2988</v>
      </c>
      <c r="K67" t="s">
        <v>4926</v>
      </c>
      <c r="L67" t="s">
        <v>4927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4928</v>
      </c>
      <c r="J68" t="s">
        <v>2988</v>
      </c>
      <c r="K68" t="s">
        <v>4929</v>
      </c>
      <c r="L68" t="s">
        <v>4930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4931</v>
      </c>
      <c r="J69" t="s">
        <v>2988</v>
      </c>
      <c r="K69" t="s">
        <v>4932</v>
      </c>
      <c r="L69" t="s">
        <v>4933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4934</v>
      </c>
      <c r="J70" t="s">
        <v>2988</v>
      </c>
      <c r="K70" t="s">
        <v>4935</v>
      </c>
      <c r="L70" t="s">
        <v>4936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4937</v>
      </c>
      <c r="J71" t="s">
        <v>2988</v>
      </c>
      <c r="K71" t="s">
        <v>4938</v>
      </c>
      <c r="L71" t="s">
        <v>4939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4940</v>
      </c>
      <c r="J72" t="s">
        <v>2988</v>
      </c>
      <c r="K72" t="s">
        <v>4941</v>
      </c>
      <c r="L72" t="s">
        <v>4942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4943</v>
      </c>
      <c r="J73" t="s">
        <v>2988</v>
      </c>
      <c r="K73" t="s">
        <v>4944</v>
      </c>
      <c r="L73" t="s">
        <v>4945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4946</v>
      </c>
      <c r="J74" t="s">
        <v>2988</v>
      </c>
      <c r="K74" t="s">
        <v>4947</v>
      </c>
      <c r="L74" t="s">
        <v>4948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4949</v>
      </c>
      <c r="J75" t="s">
        <v>2988</v>
      </c>
      <c r="K75" t="s">
        <v>4950</v>
      </c>
      <c r="L75" t="s">
        <v>4951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4952</v>
      </c>
      <c r="J76" t="s">
        <v>2988</v>
      </c>
      <c r="K76" t="s">
        <v>4953</v>
      </c>
      <c r="L76" t="s">
        <v>4954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4955</v>
      </c>
      <c r="J77" t="s">
        <v>2988</v>
      </c>
      <c r="K77" t="s">
        <v>4956</v>
      </c>
      <c r="L77" t="s">
        <v>4957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4958</v>
      </c>
      <c r="J78" t="s">
        <v>2988</v>
      </c>
      <c r="K78" t="s">
        <v>4959</v>
      </c>
      <c r="L78" t="s">
        <v>4960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4961</v>
      </c>
      <c r="J79" t="s">
        <v>2988</v>
      </c>
      <c r="K79" t="s">
        <v>4962</v>
      </c>
      <c r="L79" t="s">
        <v>4963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4964</v>
      </c>
      <c r="J80" t="s">
        <v>2988</v>
      </c>
      <c r="K80" t="s">
        <v>4965</v>
      </c>
      <c r="L80" t="s">
        <v>4966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4967</v>
      </c>
      <c r="J81" t="s">
        <v>2988</v>
      </c>
      <c r="K81" t="s">
        <v>4968</v>
      </c>
      <c r="L81" t="s">
        <v>4969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4970</v>
      </c>
      <c r="J82" t="s">
        <v>2988</v>
      </c>
      <c r="K82" t="s">
        <v>4971</v>
      </c>
      <c r="L82" t="s">
        <v>4972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4973</v>
      </c>
      <c r="J83" t="s">
        <v>2988</v>
      </c>
      <c r="K83" t="s">
        <v>4974</v>
      </c>
      <c r="L83" t="s">
        <v>4975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4976</v>
      </c>
      <c r="J84" t="s">
        <v>2988</v>
      </c>
      <c r="K84" t="s">
        <v>4977</v>
      </c>
      <c r="L84" t="s">
        <v>4978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I85" t="s">
        <v>4979</v>
      </c>
      <c r="J85" t="s">
        <v>2988</v>
      </c>
      <c r="K85" t="s">
        <v>4980</v>
      </c>
      <c r="L85" t="s">
        <v>4981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I86" t="s">
        <v>5218</v>
      </c>
      <c r="J86" t="s">
        <v>2988</v>
      </c>
      <c r="K86" t="s">
        <v>5219</v>
      </c>
      <c r="L86" t="s">
        <v>5220</v>
      </c>
      <c r="M86" s="3" t="str">
        <f>HYPERLINK(склад2въезд13192021222378[[#This Row],[RelativePath]])</f>
        <v>12 Площадка 3 кран\K07156189_20_20251207T152825Z.jpg</v>
      </c>
    </row>
  </sheetData>
  <conditionalFormatting sqref="D87:D97 E87:E100 G2:H86 D2:E86">
    <cfRule type="containsText" dxfId="230" priority="14" operator="containsText" text="Выезд с территории">
      <formula>NOT(ISERROR(SEARCH("Выезд с территории",D2)))</formula>
    </cfRule>
  </conditionalFormatting>
  <conditionalFormatting sqref="F2:F86">
    <cfRule type="notContainsText" dxfId="229" priority="13" operator="notContains" text="порожний">
      <formula>ISERROR(SEARCH("порожний",F2))</formula>
    </cfRule>
  </conditionalFormatting>
  <conditionalFormatting sqref="E2:E100">
    <cfRule type="containsText" dxfId="228" priority="11" operator="containsText" text="Газель базы">
      <formula>NOT(ISERROR(SEARCH("Газель базы",E2)))</formula>
    </cfRule>
    <cfRule type="containsText" dxfId="227" priority="12" operator="containsText" text="Погрузчик базы">
      <formula>NOT(ISERROR(SEARCH("Погрузчик базы",E2)))</formula>
    </cfRule>
  </conditionalFormatting>
  <conditionalFormatting sqref="E2:E100">
    <cfRule type="containsText" dxfId="226" priority="10" operator="containsText" text="Трактор базы">
      <formula>NOT(ISERROR(SEARCH("Трактор базы",E2)))</formula>
    </cfRule>
  </conditionalFormatting>
  <conditionalFormatting sqref="A2:C86">
    <cfRule type="expression" dxfId="225" priority="9">
      <formula>$A2="пн"</formula>
    </cfRule>
  </conditionalFormatting>
  <conditionalFormatting sqref="A2:C88">
    <cfRule type="expression" dxfId="224" priority="3">
      <formula>$A2="вс"</formula>
    </cfRule>
    <cfRule type="expression" dxfId="223" priority="4">
      <formula>$A2="сб"</formula>
    </cfRule>
    <cfRule type="expression" dxfId="222" priority="5">
      <formula>$A2="пт"</formula>
    </cfRule>
    <cfRule type="expression" dxfId="221" priority="6">
      <formula>$A2="чт"</formula>
    </cfRule>
    <cfRule type="expression" dxfId="220" priority="7">
      <formula>$A2="ср"</formula>
    </cfRule>
    <cfRule type="expression" dxfId="219" priority="8">
      <formula>$A2="вт"</formula>
    </cfRule>
  </conditionalFormatting>
  <conditionalFormatting sqref="D2:D97">
    <cfRule type="containsText" dxfId="2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">
    <cfRule type="containsText" dxfId="2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7"/>
  <sheetViews>
    <sheetView zoomScale="90" zoomScaleNormal="90" workbookViewId="0">
      <pane ySplit="1" topLeftCell="A26" activePane="bottomLeft" state="frozen"/>
      <selection pane="bottomLeft" activeCell="M52" sqref="M5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21.1406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2989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2989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2989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2989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2989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2989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2989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2989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2989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2989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2989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2989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2989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2989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2989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2989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2989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2989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2989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2989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2977</v>
      </c>
      <c r="J22" t="s">
        <v>2989</v>
      </c>
      <c r="K22" t="s">
        <v>2978</v>
      </c>
      <c r="L22" t="s">
        <v>2979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2980</v>
      </c>
      <c r="I23" t="s">
        <v>2896</v>
      </c>
      <c r="J23" t="s">
        <v>2989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2980</v>
      </c>
      <c r="I24" t="s">
        <v>2899</v>
      </c>
      <c r="J24" t="s">
        <v>2989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2980</v>
      </c>
      <c r="I25" t="s">
        <v>2902</v>
      </c>
      <c r="J25" t="s">
        <v>2989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2989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2989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2989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2989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2989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4167</v>
      </c>
      <c r="J31" t="s">
        <v>2989</v>
      </c>
      <c r="K31" t="s">
        <v>4168</v>
      </c>
      <c r="L31" t="s">
        <v>4169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4250</v>
      </c>
      <c r="I32" t="s">
        <v>4170</v>
      </c>
      <c r="J32" t="s">
        <v>2989</v>
      </c>
      <c r="K32" t="s">
        <v>4171</v>
      </c>
      <c r="L32" t="s">
        <v>4172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4251</v>
      </c>
      <c r="I33" t="s">
        <v>4173</v>
      </c>
      <c r="J33" t="s">
        <v>2989</v>
      </c>
      <c r="K33" t="s">
        <v>4174</v>
      </c>
      <c r="L33" t="s">
        <v>4175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4252</v>
      </c>
      <c r="I34" t="s">
        <v>4176</v>
      </c>
      <c r="J34" t="s">
        <v>2989</v>
      </c>
      <c r="K34" t="s">
        <v>4177</v>
      </c>
      <c r="L34" t="s">
        <v>4178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4179</v>
      </c>
      <c r="J35" t="s">
        <v>2989</v>
      </c>
      <c r="K35" t="s">
        <v>4180</v>
      </c>
      <c r="L35" t="s">
        <v>4181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4182</v>
      </c>
      <c r="J36" t="s">
        <v>2989</v>
      </c>
      <c r="K36" t="s">
        <v>4183</v>
      </c>
      <c r="L36" t="s">
        <v>4184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4213</v>
      </c>
      <c r="I37" t="s">
        <v>4188</v>
      </c>
      <c r="J37" t="s">
        <v>2989</v>
      </c>
      <c r="K37" t="s">
        <v>4189</v>
      </c>
      <c r="L37" t="s">
        <v>4190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4185</v>
      </c>
      <c r="J38" t="s">
        <v>2989</v>
      </c>
      <c r="K38" t="s">
        <v>4186</v>
      </c>
      <c r="L38" t="s">
        <v>4187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4299</v>
      </c>
      <c r="I39" t="s">
        <v>4295</v>
      </c>
      <c r="J39" t="s">
        <v>2989</v>
      </c>
      <c r="K39" t="s">
        <v>4296</v>
      </c>
      <c r="L39" t="s">
        <v>4297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4982</v>
      </c>
      <c r="J40" t="s">
        <v>2989</v>
      </c>
      <c r="K40" t="s">
        <v>4983</v>
      </c>
      <c r="L40" t="s">
        <v>4984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4985</v>
      </c>
      <c r="J41" t="s">
        <v>2989</v>
      </c>
      <c r="K41" t="s">
        <v>4986</v>
      </c>
      <c r="L41" t="s">
        <v>4987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4988</v>
      </c>
      <c r="J42" t="s">
        <v>2989</v>
      </c>
      <c r="K42" t="s">
        <v>4989</v>
      </c>
      <c r="L42" t="s">
        <v>4990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4991</v>
      </c>
      <c r="J43" t="s">
        <v>2989</v>
      </c>
      <c r="K43" t="s">
        <v>4992</v>
      </c>
      <c r="L43" t="s">
        <v>4993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4994</v>
      </c>
      <c r="J44" t="s">
        <v>2989</v>
      </c>
      <c r="K44" t="s">
        <v>4995</v>
      </c>
      <c r="L44" t="s">
        <v>4996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4997</v>
      </c>
      <c r="J45" t="s">
        <v>2989</v>
      </c>
      <c r="K45" t="s">
        <v>4998</v>
      </c>
      <c r="L45" t="s">
        <v>4999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5267</v>
      </c>
      <c r="I46" t="s">
        <v>5221</v>
      </c>
      <c r="J46" t="s">
        <v>2989</v>
      </c>
      <c r="K46" t="s">
        <v>5222</v>
      </c>
      <c r="L46" t="s">
        <v>5223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5268</v>
      </c>
      <c r="I47" t="s">
        <v>5224</v>
      </c>
      <c r="J47" t="s">
        <v>2989</v>
      </c>
      <c r="K47" t="s">
        <v>5225</v>
      </c>
      <c r="L47" t="s">
        <v>5226</v>
      </c>
      <c r="M47" s="3" t="str">
        <f>HYPERLINK(склад2въезд131920212223789[[#This Row],[RelativePath]])</f>
        <v>13 Склад хол\K07156189_23_20251207T162847Z.jpg</v>
      </c>
    </row>
  </sheetData>
  <conditionalFormatting sqref="D48:D58 E48:E61 G2:H47 D2:E47">
    <cfRule type="containsText" dxfId="206" priority="14" operator="containsText" text="Выезд с территории">
      <formula>NOT(ISERROR(SEARCH("Выезд с территории",D2)))</formula>
    </cfRule>
  </conditionalFormatting>
  <conditionalFormatting sqref="F2:F47">
    <cfRule type="notContainsText" dxfId="205" priority="13" operator="notContains" text="порожний">
      <formula>ISERROR(SEARCH("порожний",F2))</formula>
    </cfRule>
  </conditionalFormatting>
  <conditionalFormatting sqref="E2:E61">
    <cfRule type="containsText" dxfId="204" priority="11" operator="containsText" text="Газель базы">
      <formula>NOT(ISERROR(SEARCH("Газель базы",E2)))</formula>
    </cfRule>
    <cfRule type="containsText" dxfId="203" priority="12" operator="containsText" text="Погрузчик базы">
      <formula>NOT(ISERROR(SEARCH("Погрузчик базы",E2)))</formula>
    </cfRule>
  </conditionalFormatting>
  <conditionalFormatting sqref="E2:E61">
    <cfRule type="containsText" dxfId="202" priority="10" operator="containsText" text="Трактор базы">
      <formula>NOT(ISERROR(SEARCH("Трактор базы",E2)))</formula>
    </cfRule>
  </conditionalFormatting>
  <conditionalFormatting sqref="A2:C47">
    <cfRule type="expression" dxfId="201" priority="9">
      <formula>$A2="пн"</formula>
    </cfRule>
  </conditionalFormatting>
  <conditionalFormatting sqref="A2:C49">
    <cfRule type="expression" dxfId="200" priority="3">
      <formula>$A2="вс"</formula>
    </cfRule>
    <cfRule type="expression" dxfId="199" priority="4">
      <formula>$A2="сб"</formula>
    </cfRule>
    <cfRule type="expression" dxfId="198" priority="5">
      <formula>$A2="пт"</formula>
    </cfRule>
    <cfRule type="expression" dxfId="197" priority="6">
      <formula>$A2="чт"</formula>
    </cfRule>
    <cfRule type="expression" dxfId="196" priority="7">
      <formula>$A2="ср"</formula>
    </cfRule>
    <cfRule type="expression" dxfId="195" priority="8">
      <formula>$A2="вт"</formula>
    </cfRule>
  </conditionalFormatting>
  <conditionalFormatting sqref="D2:D58">
    <cfRule type="containsText" dxfId="1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">
    <cfRule type="containsText" dxfId="1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62"/>
  <sheetViews>
    <sheetView topLeftCell="A136" zoomScale="80" zoomScaleNormal="80" workbookViewId="0">
      <selection activeCell="D149" sqref="D149:D162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2957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2957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2957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2957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2957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2957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2957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2958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2958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2957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2958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2958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2958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2958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2958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2958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2957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2957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2957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2957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2957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2957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2957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2957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2963</v>
      </c>
      <c r="H55" t="s">
        <v>2957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2964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2957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2964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2963</v>
      </c>
      <c r="H59" t="s">
        <v>2958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2964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2963</v>
      </c>
      <c r="H61" t="s">
        <v>2958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2958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2963</v>
      </c>
      <c r="H63" t="s">
        <v>2958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2957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2963</v>
      </c>
      <c r="H65" t="s">
        <v>2958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2964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2963</v>
      </c>
      <c r="H67" t="s">
        <v>2958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3947</v>
      </c>
      <c r="J69" t="s">
        <v>2986</v>
      </c>
      <c r="K69" t="s">
        <v>3948</v>
      </c>
      <c r="L69" t="s">
        <v>3949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3944</v>
      </c>
      <c r="J70" t="s">
        <v>2986</v>
      </c>
      <c r="K70" t="s">
        <v>3945</v>
      </c>
      <c r="L70" t="s">
        <v>3946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4234</v>
      </c>
      <c r="H71" t="s">
        <v>1618</v>
      </c>
      <c r="I71" t="s">
        <v>3956</v>
      </c>
      <c r="J71" t="s">
        <v>2986</v>
      </c>
      <c r="K71" t="s">
        <v>3957</v>
      </c>
      <c r="L71" t="s">
        <v>3958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3950</v>
      </c>
      <c r="J72" t="s">
        <v>2986</v>
      </c>
      <c r="K72" t="s">
        <v>3951</v>
      </c>
      <c r="L72" t="s">
        <v>3952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3935</v>
      </c>
      <c r="J73" t="s">
        <v>2986</v>
      </c>
      <c r="K73" t="s">
        <v>3936</v>
      </c>
      <c r="L73" t="s">
        <v>3937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3932</v>
      </c>
      <c r="J74" t="s">
        <v>2986</v>
      </c>
      <c r="K74" t="s">
        <v>3933</v>
      </c>
      <c r="L74" t="s">
        <v>3934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3941</v>
      </c>
      <c r="J75" t="s">
        <v>2986</v>
      </c>
      <c r="K75" t="s">
        <v>3942</v>
      </c>
      <c r="L75" t="s">
        <v>3943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3938</v>
      </c>
      <c r="J76" t="s">
        <v>2986</v>
      </c>
      <c r="K76" t="s">
        <v>3939</v>
      </c>
      <c r="L76" t="s">
        <v>3940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3929</v>
      </c>
      <c r="J77" t="s">
        <v>2986</v>
      </c>
      <c r="K77" t="s">
        <v>3930</v>
      </c>
      <c r="L77" t="s">
        <v>3931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4193</v>
      </c>
      <c r="F78" t="s">
        <v>58</v>
      </c>
      <c r="H78" t="s">
        <v>2936</v>
      </c>
      <c r="I78" t="s">
        <v>4011</v>
      </c>
      <c r="J78" t="s">
        <v>2986</v>
      </c>
      <c r="K78" t="s">
        <v>4012</v>
      </c>
      <c r="L78" t="s">
        <v>4013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4193</v>
      </c>
      <c r="F79" t="s">
        <v>58</v>
      </c>
      <c r="I79" t="s">
        <v>3990</v>
      </c>
      <c r="J79" t="s">
        <v>2986</v>
      </c>
      <c r="K79" t="s">
        <v>3991</v>
      </c>
      <c r="L79" t="s">
        <v>3992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4193</v>
      </c>
      <c r="F80" t="s">
        <v>58</v>
      </c>
      <c r="H80" t="s">
        <v>2936</v>
      </c>
      <c r="I80" t="s">
        <v>3993</v>
      </c>
      <c r="J80" t="s">
        <v>2986</v>
      </c>
      <c r="K80" t="s">
        <v>3994</v>
      </c>
      <c r="L80" t="s">
        <v>3995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4193</v>
      </c>
      <c r="F81" t="s">
        <v>58</v>
      </c>
      <c r="H81" t="s">
        <v>2936</v>
      </c>
      <c r="I81" t="s">
        <v>3996</v>
      </c>
      <c r="J81" t="s">
        <v>2986</v>
      </c>
      <c r="K81" t="s">
        <v>3997</v>
      </c>
      <c r="L81" t="s">
        <v>3998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4193</v>
      </c>
      <c r="F82" t="s">
        <v>58</v>
      </c>
      <c r="H82" t="s">
        <v>2936</v>
      </c>
      <c r="I82" t="s">
        <v>4008</v>
      </c>
      <c r="J82" t="s">
        <v>2986</v>
      </c>
      <c r="K82" t="s">
        <v>4009</v>
      </c>
      <c r="L82" t="s">
        <v>4010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4193</v>
      </c>
      <c r="F83" t="s">
        <v>58</v>
      </c>
      <c r="H83" t="s">
        <v>2936</v>
      </c>
      <c r="I83" t="s">
        <v>3972</v>
      </c>
      <c r="J83" t="s">
        <v>2986</v>
      </c>
      <c r="K83" t="s">
        <v>3973</v>
      </c>
      <c r="L83" t="s">
        <v>3974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4193</v>
      </c>
      <c r="F84" t="s">
        <v>58</v>
      </c>
      <c r="I84" t="s">
        <v>4005</v>
      </c>
      <c r="J84" t="s">
        <v>2986</v>
      </c>
      <c r="K84" t="s">
        <v>4006</v>
      </c>
      <c r="L84" t="s">
        <v>4007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4193</v>
      </c>
      <c r="F85" t="s">
        <v>58</v>
      </c>
      <c r="H85" t="s">
        <v>2936</v>
      </c>
      <c r="I85" t="s">
        <v>3978</v>
      </c>
      <c r="J85" t="s">
        <v>2986</v>
      </c>
      <c r="K85" t="s">
        <v>3979</v>
      </c>
      <c r="L85" t="s">
        <v>3980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4193</v>
      </c>
      <c r="F86" t="s">
        <v>58</v>
      </c>
      <c r="H86" t="s">
        <v>2936</v>
      </c>
      <c r="I86" t="s">
        <v>3975</v>
      </c>
      <c r="J86" t="s">
        <v>2986</v>
      </c>
      <c r="K86" t="s">
        <v>3976</v>
      </c>
      <c r="L86" t="s">
        <v>3977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4193</v>
      </c>
      <c r="F87" t="s">
        <v>58</v>
      </c>
      <c r="H87" t="s">
        <v>2936</v>
      </c>
      <c r="I87" t="s">
        <v>3969</v>
      </c>
      <c r="J87" t="s">
        <v>2986</v>
      </c>
      <c r="K87" t="s">
        <v>3970</v>
      </c>
      <c r="L87" t="s">
        <v>3971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4193</v>
      </c>
      <c r="F88" t="s">
        <v>58</v>
      </c>
      <c r="H88" t="s">
        <v>2936</v>
      </c>
      <c r="I88" t="s">
        <v>3984</v>
      </c>
      <c r="J88" t="s">
        <v>2986</v>
      </c>
      <c r="K88" t="s">
        <v>3985</v>
      </c>
      <c r="L88" t="s">
        <v>3986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4193</v>
      </c>
      <c r="F89" t="s">
        <v>58</v>
      </c>
      <c r="H89" t="s">
        <v>2936</v>
      </c>
      <c r="I89" t="s">
        <v>3981</v>
      </c>
      <c r="J89" t="s">
        <v>2986</v>
      </c>
      <c r="K89" t="s">
        <v>3982</v>
      </c>
      <c r="L89" t="s">
        <v>3983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4193</v>
      </c>
      <c r="F90" t="s">
        <v>58</v>
      </c>
      <c r="H90" t="s">
        <v>1620</v>
      </c>
      <c r="I90" t="s">
        <v>3966</v>
      </c>
      <c r="J90" t="s">
        <v>2986</v>
      </c>
      <c r="K90" t="s">
        <v>3967</v>
      </c>
      <c r="L90" t="s">
        <v>3968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4193</v>
      </c>
      <c r="F91" t="s">
        <v>58</v>
      </c>
      <c r="H91" t="s">
        <v>2936</v>
      </c>
      <c r="I91" t="s">
        <v>4014</v>
      </c>
      <c r="J91" t="s">
        <v>2986</v>
      </c>
      <c r="K91" t="s">
        <v>4015</v>
      </c>
      <c r="L91" t="s">
        <v>4016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4193</v>
      </c>
      <c r="F92" t="s">
        <v>58</v>
      </c>
      <c r="H92" t="s">
        <v>2936</v>
      </c>
      <c r="I92" t="s">
        <v>4104</v>
      </c>
      <c r="J92" t="s">
        <v>2987</v>
      </c>
      <c r="K92" t="s">
        <v>4105</v>
      </c>
      <c r="L92" t="s">
        <v>4106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4193</v>
      </c>
      <c r="F93" t="s">
        <v>58</v>
      </c>
      <c r="I93" t="s">
        <v>4095</v>
      </c>
      <c r="J93" t="s">
        <v>2987</v>
      </c>
      <c r="K93" t="s">
        <v>4096</v>
      </c>
      <c r="L93" t="s">
        <v>4097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4193</v>
      </c>
      <c r="F94" t="s">
        <v>58</v>
      </c>
      <c r="H94" t="s">
        <v>2936</v>
      </c>
      <c r="I94" t="s">
        <v>4098</v>
      </c>
      <c r="J94" t="s">
        <v>2987</v>
      </c>
      <c r="K94" t="s">
        <v>4099</v>
      </c>
      <c r="L94" t="s">
        <v>4100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4193</v>
      </c>
      <c r="F95" t="s">
        <v>58</v>
      </c>
      <c r="H95" t="s">
        <v>2936</v>
      </c>
      <c r="I95" t="s">
        <v>4101</v>
      </c>
      <c r="J95" t="s">
        <v>2987</v>
      </c>
      <c r="K95" t="s">
        <v>4102</v>
      </c>
      <c r="L95" t="s">
        <v>4103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4218</v>
      </c>
      <c r="F96" t="s">
        <v>4212</v>
      </c>
      <c r="H96" t="s">
        <v>2936</v>
      </c>
      <c r="I96" t="s">
        <v>3604</v>
      </c>
      <c r="J96" t="s">
        <v>2985</v>
      </c>
      <c r="K96" t="s">
        <v>3605</v>
      </c>
      <c r="L96" t="s">
        <v>3606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4218</v>
      </c>
      <c r="F97" t="s">
        <v>4212</v>
      </c>
      <c r="H97" t="s">
        <v>2936</v>
      </c>
      <c r="I97" t="s">
        <v>3586</v>
      </c>
      <c r="J97" t="s">
        <v>2985</v>
      </c>
      <c r="K97" t="s">
        <v>3587</v>
      </c>
      <c r="L97" t="s">
        <v>3588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4218</v>
      </c>
      <c r="F98" t="s">
        <v>4212</v>
      </c>
      <c r="H98" t="s">
        <v>2936</v>
      </c>
      <c r="I98" t="s">
        <v>3598</v>
      </c>
      <c r="J98" t="s">
        <v>2985</v>
      </c>
      <c r="K98" t="s">
        <v>3599</v>
      </c>
      <c r="L98" t="s">
        <v>3600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4218</v>
      </c>
      <c r="F99" t="s">
        <v>4212</v>
      </c>
      <c r="H99" t="s">
        <v>2936</v>
      </c>
      <c r="I99" t="s">
        <v>3571</v>
      </c>
      <c r="J99" t="s">
        <v>2985</v>
      </c>
      <c r="K99" t="s">
        <v>3572</v>
      </c>
      <c r="L99" t="s">
        <v>3573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4218</v>
      </c>
      <c r="F100" t="s">
        <v>4212</v>
      </c>
      <c r="H100" t="s">
        <v>2936</v>
      </c>
      <c r="I100" t="s">
        <v>3589</v>
      </c>
      <c r="J100" t="s">
        <v>2985</v>
      </c>
      <c r="K100" t="s">
        <v>3590</v>
      </c>
      <c r="L100" t="s">
        <v>3591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4218</v>
      </c>
      <c r="F101" t="s">
        <v>4212</v>
      </c>
      <c r="H101" t="s">
        <v>2936</v>
      </c>
      <c r="I101" t="s">
        <v>3592</v>
      </c>
      <c r="J101" t="s">
        <v>2985</v>
      </c>
      <c r="K101" t="s">
        <v>3593</v>
      </c>
      <c r="L101" t="s">
        <v>3594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4218</v>
      </c>
      <c r="F102" t="s">
        <v>4212</v>
      </c>
      <c r="H102" t="s">
        <v>2936</v>
      </c>
      <c r="I102" t="s">
        <v>3601</v>
      </c>
      <c r="J102" t="s">
        <v>2985</v>
      </c>
      <c r="K102" t="s">
        <v>3602</v>
      </c>
      <c r="L102" t="s">
        <v>3603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4212</v>
      </c>
      <c r="H103" t="s">
        <v>2936</v>
      </c>
      <c r="I103" t="s">
        <v>3451</v>
      </c>
      <c r="J103" t="s">
        <v>2984</v>
      </c>
      <c r="K103" t="s">
        <v>3452</v>
      </c>
      <c r="L103" t="s">
        <v>3453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4218</v>
      </c>
      <c r="F104" t="s">
        <v>4212</v>
      </c>
      <c r="H104" t="s">
        <v>2936</v>
      </c>
      <c r="I104" t="s">
        <v>3607</v>
      </c>
      <c r="J104" t="s">
        <v>2985</v>
      </c>
      <c r="K104" t="s">
        <v>3608</v>
      </c>
      <c r="L104" t="s">
        <v>3609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4196</v>
      </c>
      <c r="F105" t="s">
        <v>4212</v>
      </c>
      <c r="H105" t="s">
        <v>2936</v>
      </c>
      <c r="I105" t="s">
        <v>3708</v>
      </c>
      <c r="J105" t="s">
        <v>2985</v>
      </c>
      <c r="K105" t="s">
        <v>3709</v>
      </c>
      <c r="L105" t="s">
        <v>3710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4218</v>
      </c>
      <c r="F106" t="s">
        <v>4212</v>
      </c>
      <c r="H106" t="s">
        <v>2936</v>
      </c>
      <c r="I106" t="s">
        <v>3595</v>
      </c>
      <c r="J106" t="s">
        <v>2985</v>
      </c>
      <c r="K106" t="s">
        <v>3596</v>
      </c>
      <c r="L106" t="s">
        <v>3597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4195</v>
      </c>
      <c r="F107" t="s">
        <v>4212</v>
      </c>
      <c r="I107" t="s">
        <v>3613</v>
      </c>
      <c r="J107" t="s">
        <v>2985</v>
      </c>
      <c r="K107" t="s">
        <v>3614</v>
      </c>
      <c r="L107" t="s">
        <v>3615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4196</v>
      </c>
      <c r="F108" t="s">
        <v>4212</v>
      </c>
      <c r="H108" t="s">
        <v>2936</v>
      </c>
      <c r="I108" t="s">
        <v>3711</v>
      </c>
      <c r="J108" t="s">
        <v>2985</v>
      </c>
      <c r="K108" t="s">
        <v>3712</v>
      </c>
      <c r="L108" t="s">
        <v>3713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3376</v>
      </c>
      <c r="J109" t="s">
        <v>2991</v>
      </c>
      <c r="K109" t="s">
        <v>3377</v>
      </c>
      <c r="L109" t="s">
        <v>3378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4212</v>
      </c>
      <c r="H110" t="s">
        <v>2936</v>
      </c>
      <c r="I110" t="s">
        <v>3454</v>
      </c>
      <c r="J110" t="s">
        <v>2984</v>
      </c>
      <c r="K110" t="s">
        <v>3455</v>
      </c>
      <c r="L110" t="s">
        <v>3456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4212</v>
      </c>
      <c r="H111" t="s">
        <v>2936</v>
      </c>
      <c r="I111" t="s">
        <v>3460</v>
      </c>
      <c r="J111" t="s">
        <v>2984</v>
      </c>
      <c r="K111" t="s">
        <v>3461</v>
      </c>
      <c r="L111" t="s">
        <v>3462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4212</v>
      </c>
      <c r="I112" t="s">
        <v>3448</v>
      </c>
      <c r="J112" t="s">
        <v>2984</v>
      </c>
      <c r="K112" t="s">
        <v>3449</v>
      </c>
      <c r="L112" t="s">
        <v>3450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4218</v>
      </c>
      <c r="F113" t="s">
        <v>4212</v>
      </c>
      <c r="H113" t="s">
        <v>2936</v>
      </c>
      <c r="I113" t="s">
        <v>3577</v>
      </c>
      <c r="J113" t="s">
        <v>2985</v>
      </c>
      <c r="K113" t="s">
        <v>3578</v>
      </c>
      <c r="L113" t="s">
        <v>3579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4218</v>
      </c>
      <c r="F114" t="s">
        <v>4212</v>
      </c>
      <c r="H114" t="s">
        <v>2936</v>
      </c>
      <c r="I114" t="s">
        <v>3580</v>
      </c>
      <c r="J114" t="s">
        <v>2985</v>
      </c>
      <c r="K114" t="s">
        <v>3581</v>
      </c>
      <c r="L114" t="s">
        <v>3582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4212</v>
      </c>
      <c r="H115" t="s">
        <v>2936</v>
      </c>
      <c r="I115" t="s">
        <v>3457</v>
      </c>
      <c r="J115" t="s">
        <v>2984</v>
      </c>
      <c r="K115" t="s">
        <v>3458</v>
      </c>
      <c r="L115" t="s">
        <v>3459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4218</v>
      </c>
      <c r="F116" t="s">
        <v>4212</v>
      </c>
      <c r="H116" t="s">
        <v>2936</v>
      </c>
      <c r="I116" t="s">
        <v>3574</v>
      </c>
      <c r="J116" t="s">
        <v>2985</v>
      </c>
      <c r="K116" t="s">
        <v>3575</v>
      </c>
      <c r="L116" t="s">
        <v>3576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4218</v>
      </c>
      <c r="F117" t="s">
        <v>4212</v>
      </c>
      <c r="H117" t="s">
        <v>2936</v>
      </c>
      <c r="I117" t="s">
        <v>3583</v>
      </c>
      <c r="J117" t="s">
        <v>2985</v>
      </c>
      <c r="K117" t="s">
        <v>3584</v>
      </c>
      <c r="L117" t="s">
        <v>3585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4218</v>
      </c>
      <c r="F118" t="s">
        <v>4212</v>
      </c>
      <c r="I118" t="s">
        <v>3568</v>
      </c>
      <c r="J118" t="s">
        <v>2985</v>
      </c>
      <c r="K118" t="s">
        <v>3569</v>
      </c>
      <c r="L118" t="s">
        <v>3570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4195</v>
      </c>
      <c r="F119" t="s">
        <v>4212</v>
      </c>
      <c r="H119" t="s">
        <v>2936</v>
      </c>
      <c r="I119" t="s">
        <v>3643</v>
      </c>
      <c r="J119" t="s">
        <v>2985</v>
      </c>
      <c r="K119" t="s">
        <v>3644</v>
      </c>
      <c r="L119" t="s">
        <v>3645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4195</v>
      </c>
      <c r="F120" t="s">
        <v>4212</v>
      </c>
      <c r="H120" t="s">
        <v>2936</v>
      </c>
      <c r="I120" t="s">
        <v>3640</v>
      </c>
      <c r="J120" t="s">
        <v>2985</v>
      </c>
      <c r="K120" t="s">
        <v>3641</v>
      </c>
      <c r="L120" t="s">
        <v>3642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4195</v>
      </c>
      <c r="F121" t="s">
        <v>4212</v>
      </c>
      <c r="H121" t="s">
        <v>2936</v>
      </c>
      <c r="I121" t="s">
        <v>3637</v>
      </c>
      <c r="J121" t="s">
        <v>2985</v>
      </c>
      <c r="K121" t="s">
        <v>3638</v>
      </c>
      <c r="L121" t="s">
        <v>3639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4196</v>
      </c>
      <c r="F122" t="s">
        <v>4212</v>
      </c>
      <c r="H122" t="s">
        <v>2936</v>
      </c>
      <c r="I122" t="s">
        <v>3705</v>
      </c>
      <c r="J122" t="s">
        <v>2985</v>
      </c>
      <c r="K122" t="s">
        <v>3706</v>
      </c>
      <c r="L122" t="s">
        <v>3707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4195</v>
      </c>
      <c r="F123" t="s">
        <v>4212</v>
      </c>
      <c r="H123" t="s">
        <v>2936</v>
      </c>
      <c r="I123" t="s">
        <v>3619</v>
      </c>
      <c r="J123" t="s">
        <v>2985</v>
      </c>
      <c r="K123" t="s">
        <v>3620</v>
      </c>
      <c r="L123" t="s">
        <v>3621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4196</v>
      </c>
      <c r="F124" t="s">
        <v>4212</v>
      </c>
      <c r="H124" t="s">
        <v>2936</v>
      </c>
      <c r="I124" t="s">
        <v>3657</v>
      </c>
      <c r="J124" t="s">
        <v>2985</v>
      </c>
      <c r="K124" t="s">
        <v>3658</v>
      </c>
      <c r="L124" t="s">
        <v>3659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4196</v>
      </c>
      <c r="F125" t="s">
        <v>4212</v>
      </c>
      <c r="I125" t="s">
        <v>3654</v>
      </c>
      <c r="J125" t="s">
        <v>2985</v>
      </c>
      <c r="K125" t="s">
        <v>3655</v>
      </c>
      <c r="L125" t="s">
        <v>3656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4196</v>
      </c>
      <c r="F126" t="s">
        <v>4212</v>
      </c>
      <c r="H126" t="s">
        <v>2936</v>
      </c>
      <c r="I126" t="s">
        <v>3678</v>
      </c>
      <c r="J126" t="s">
        <v>2985</v>
      </c>
      <c r="K126" t="s">
        <v>3679</v>
      </c>
      <c r="L126" t="s">
        <v>3680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4195</v>
      </c>
      <c r="F127" t="s">
        <v>4212</v>
      </c>
      <c r="H127" t="s">
        <v>2936</v>
      </c>
      <c r="I127" t="s">
        <v>3634</v>
      </c>
      <c r="J127" t="s">
        <v>2985</v>
      </c>
      <c r="K127" t="s">
        <v>3635</v>
      </c>
      <c r="L127" t="s">
        <v>3636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4195</v>
      </c>
      <c r="F128" t="s">
        <v>4212</v>
      </c>
      <c r="H128" t="s">
        <v>2936</v>
      </c>
      <c r="I128" t="s">
        <v>3622</v>
      </c>
      <c r="J128" t="s">
        <v>2985</v>
      </c>
      <c r="K128" t="s">
        <v>3623</v>
      </c>
      <c r="L128" t="s">
        <v>3624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4195</v>
      </c>
      <c r="F129" t="s">
        <v>87</v>
      </c>
      <c r="I129" t="s">
        <v>3646</v>
      </c>
      <c r="J129" t="s">
        <v>2985</v>
      </c>
      <c r="K129" t="s">
        <v>3647</v>
      </c>
      <c r="L129" t="s">
        <v>3648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4196</v>
      </c>
      <c r="F130" t="s">
        <v>4212</v>
      </c>
      <c r="H130" t="s">
        <v>2936</v>
      </c>
      <c r="I130" t="s">
        <v>3690</v>
      </c>
      <c r="J130" t="s">
        <v>2985</v>
      </c>
      <c r="K130" t="s">
        <v>3691</v>
      </c>
      <c r="L130" t="s">
        <v>3692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4195</v>
      </c>
      <c r="F131" t="s">
        <v>4212</v>
      </c>
      <c r="H131" t="s">
        <v>2936</v>
      </c>
      <c r="I131" t="s">
        <v>3628</v>
      </c>
      <c r="J131" t="s">
        <v>2985</v>
      </c>
      <c r="K131" t="s">
        <v>3629</v>
      </c>
      <c r="L131" t="s">
        <v>3630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4195</v>
      </c>
      <c r="F132" t="s">
        <v>4212</v>
      </c>
      <c r="H132" t="s">
        <v>2936</v>
      </c>
      <c r="I132" t="s">
        <v>3631</v>
      </c>
      <c r="J132" t="s">
        <v>2985</v>
      </c>
      <c r="K132" t="s">
        <v>3632</v>
      </c>
      <c r="L132" t="s">
        <v>3633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4195</v>
      </c>
      <c r="F133" t="s">
        <v>4212</v>
      </c>
      <c r="H133" t="s">
        <v>2936</v>
      </c>
      <c r="I133" t="s">
        <v>3616</v>
      </c>
      <c r="J133" t="s">
        <v>2985</v>
      </c>
      <c r="K133" t="s">
        <v>3617</v>
      </c>
      <c r="L133" t="s">
        <v>3618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4195</v>
      </c>
      <c r="F134" t="s">
        <v>4212</v>
      </c>
      <c r="H134" t="s">
        <v>2936</v>
      </c>
      <c r="I134" t="s">
        <v>3625</v>
      </c>
      <c r="J134" t="s">
        <v>2985</v>
      </c>
      <c r="K134" t="s">
        <v>3626</v>
      </c>
      <c r="L134" t="s">
        <v>3627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4196</v>
      </c>
      <c r="F135" t="s">
        <v>4212</v>
      </c>
      <c r="H135" t="s">
        <v>2936</v>
      </c>
      <c r="I135" t="s">
        <v>3660</v>
      </c>
      <c r="J135" t="s">
        <v>2985</v>
      </c>
      <c r="K135" t="s">
        <v>3661</v>
      </c>
      <c r="L135" t="s">
        <v>3662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4196</v>
      </c>
      <c r="F136" t="s">
        <v>4212</v>
      </c>
      <c r="H136" t="s">
        <v>2936</v>
      </c>
      <c r="I136" t="s">
        <v>3681</v>
      </c>
      <c r="J136" t="s">
        <v>2985</v>
      </c>
      <c r="K136" t="s">
        <v>3682</v>
      </c>
      <c r="L136" t="s">
        <v>3683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4196</v>
      </c>
      <c r="F137" t="s">
        <v>4212</v>
      </c>
      <c r="H137" t="s">
        <v>2936</v>
      </c>
      <c r="I137" t="s">
        <v>3687</v>
      </c>
      <c r="J137" t="s">
        <v>2985</v>
      </c>
      <c r="K137" t="s">
        <v>3688</v>
      </c>
      <c r="L137" t="s">
        <v>3689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4196</v>
      </c>
      <c r="F138" t="s">
        <v>4212</v>
      </c>
      <c r="H138" t="s">
        <v>2936</v>
      </c>
      <c r="I138" t="s">
        <v>3684</v>
      </c>
      <c r="J138" t="s">
        <v>2985</v>
      </c>
      <c r="K138" t="s">
        <v>3685</v>
      </c>
      <c r="L138" t="s">
        <v>3686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4196</v>
      </c>
      <c r="F139" t="s">
        <v>4212</v>
      </c>
      <c r="H139" t="s">
        <v>2936</v>
      </c>
      <c r="I139" t="s">
        <v>3702</v>
      </c>
      <c r="J139" t="s">
        <v>2985</v>
      </c>
      <c r="K139" t="s">
        <v>3703</v>
      </c>
      <c r="L139" t="s">
        <v>3704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4196</v>
      </c>
      <c r="F140" t="s">
        <v>4212</v>
      </c>
      <c r="H140" t="s">
        <v>2936</v>
      </c>
      <c r="I140" t="s">
        <v>3696</v>
      </c>
      <c r="J140" t="s">
        <v>2985</v>
      </c>
      <c r="K140" t="s">
        <v>3697</v>
      </c>
      <c r="L140" t="s">
        <v>3698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4196</v>
      </c>
      <c r="F141" t="s">
        <v>4212</v>
      </c>
      <c r="H141" t="s">
        <v>2936</v>
      </c>
      <c r="I141" t="s">
        <v>3693</v>
      </c>
      <c r="J141" t="s">
        <v>2985</v>
      </c>
      <c r="K141" t="s">
        <v>3694</v>
      </c>
      <c r="L141" t="s">
        <v>3695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4196</v>
      </c>
      <c r="F142" t="s">
        <v>4212</v>
      </c>
      <c r="H142" t="s">
        <v>2936</v>
      </c>
      <c r="I142" t="s">
        <v>3699</v>
      </c>
      <c r="J142" t="s">
        <v>2985</v>
      </c>
      <c r="K142" t="s">
        <v>3700</v>
      </c>
      <c r="L142" t="s">
        <v>3701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4212</v>
      </c>
      <c r="H143" t="s">
        <v>2936</v>
      </c>
      <c r="I143" t="s">
        <v>3463</v>
      </c>
      <c r="J143" t="s">
        <v>2984</v>
      </c>
      <c r="K143" t="s">
        <v>3464</v>
      </c>
      <c r="L143" t="s">
        <v>3465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4196</v>
      </c>
      <c r="F144" t="s">
        <v>4212</v>
      </c>
      <c r="H144" t="s">
        <v>2936</v>
      </c>
      <c r="I144" t="s">
        <v>3666</v>
      </c>
      <c r="J144" t="s">
        <v>2985</v>
      </c>
      <c r="K144" t="s">
        <v>3667</v>
      </c>
      <c r="L144" t="s">
        <v>3668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4196</v>
      </c>
      <c r="F145" t="s">
        <v>4212</v>
      </c>
      <c r="H145" t="s">
        <v>2936</v>
      </c>
      <c r="I145" t="s">
        <v>3663</v>
      </c>
      <c r="J145" t="s">
        <v>2985</v>
      </c>
      <c r="K145" t="s">
        <v>3664</v>
      </c>
      <c r="L145" t="s">
        <v>3665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4196</v>
      </c>
      <c r="F146" t="s">
        <v>4212</v>
      </c>
      <c r="H146" t="s">
        <v>2936</v>
      </c>
      <c r="I146" t="s">
        <v>3669</v>
      </c>
      <c r="J146" t="s">
        <v>2985</v>
      </c>
      <c r="K146" t="s">
        <v>3670</v>
      </c>
      <c r="L146" t="s">
        <v>3671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4196</v>
      </c>
      <c r="F147" t="s">
        <v>4212</v>
      </c>
      <c r="H147" t="s">
        <v>2936</v>
      </c>
      <c r="I147" t="s">
        <v>3675</v>
      </c>
      <c r="J147" t="s">
        <v>2985</v>
      </c>
      <c r="K147" t="s">
        <v>3676</v>
      </c>
      <c r="L147" t="s">
        <v>3677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4196</v>
      </c>
      <c r="F148" t="s">
        <v>4212</v>
      </c>
      <c r="H148" t="s">
        <v>2936</v>
      </c>
      <c r="I148" t="s">
        <v>3672</v>
      </c>
      <c r="J148" t="s">
        <v>2985</v>
      </c>
      <c r="K148" t="s">
        <v>3673</v>
      </c>
      <c r="L148" t="s">
        <v>3674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5094</v>
      </c>
      <c r="H149" t="s">
        <v>5095</v>
      </c>
      <c r="I149" t="s">
        <v>4460</v>
      </c>
      <c r="J149" t="s">
        <v>2992</v>
      </c>
      <c r="K149" t="s">
        <v>4461</v>
      </c>
      <c r="L149" t="s">
        <v>4462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5094</v>
      </c>
      <c r="H150" t="s">
        <v>2936</v>
      </c>
      <c r="I150" t="s">
        <v>4475</v>
      </c>
      <c r="J150" t="s">
        <v>2992</v>
      </c>
      <c r="K150" t="s">
        <v>4476</v>
      </c>
      <c r="L150" t="s">
        <v>4477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5094</v>
      </c>
      <c r="H151" t="s">
        <v>5097</v>
      </c>
      <c r="I151" t="s">
        <v>4478</v>
      </c>
      <c r="J151" t="s">
        <v>2992</v>
      </c>
      <c r="K151" t="s">
        <v>4479</v>
      </c>
      <c r="L151" t="s">
        <v>4480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5094</v>
      </c>
      <c r="H152" t="s">
        <v>2936</v>
      </c>
      <c r="I152" t="s">
        <v>4472</v>
      </c>
      <c r="J152" t="s">
        <v>2992</v>
      </c>
      <c r="K152" t="s">
        <v>4473</v>
      </c>
      <c r="L152" t="s">
        <v>4474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5087</v>
      </c>
      <c r="J153" t="s">
        <v>2991</v>
      </c>
      <c r="K153" t="s">
        <v>5088</v>
      </c>
      <c r="L153" t="s">
        <v>5089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5094</v>
      </c>
      <c r="H154" t="s">
        <v>5096</v>
      </c>
      <c r="I154" t="s">
        <v>4469</v>
      </c>
      <c r="J154" t="s">
        <v>2992</v>
      </c>
      <c r="K154" t="s">
        <v>4470</v>
      </c>
      <c r="L154" t="s">
        <v>4471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5264</v>
      </c>
      <c r="F155" t="s">
        <v>5094</v>
      </c>
      <c r="I155" t="s">
        <v>5152</v>
      </c>
      <c r="J155" t="s">
        <v>2983</v>
      </c>
      <c r="K155" t="s">
        <v>5153</v>
      </c>
      <c r="L155" t="s">
        <v>5154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5264</v>
      </c>
      <c r="F156" t="s">
        <v>5094</v>
      </c>
      <c r="H156" t="s">
        <v>2936</v>
      </c>
      <c r="I156" t="s">
        <v>5155</v>
      </c>
      <c r="J156" t="s">
        <v>2983</v>
      </c>
      <c r="K156" t="s">
        <v>5156</v>
      </c>
      <c r="L156" t="s">
        <v>5157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5264</v>
      </c>
      <c r="F157" t="s">
        <v>5094</v>
      </c>
      <c r="H157" t="s">
        <v>2936</v>
      </c>
      <c r="I157" t="s">
        <v>5158</v>
      </c>
      <c r="J157" t="s">
        <v>2983</v>
      </c>
      <c r="K157" t="s">
        <v>5159</v>
      </c>
      <c r="L157" t="s">
        <v>5160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5264</v>
      </c>
      <c r="F158" t="s">
        <v>5094</v>
      </c>
      <c r="H158" t="s">
        <v>2936</v>
      </c>
      <c r="I158" t="s">
        <v>5161</v>
      </c>
      <c r="J158" t="s">
        <v>2983</v>
      </c>
      <c r="K158" t="s">
        <v>5162</v>
      </c>
      <c r="L158" t="s">
        <v>5163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5264</v>
      </c>
      <c r="F159" t="s">
        <v>5094</v>
      </c>
      <c r="H159" t="s">
        <v>2936</v>
      </c>
      <c r="I159" t="s">
        <v>5164</v>
      </c>
      <c r="J159" t="s">
        <v>2983</v>
      </c>
      <c r="K159" t="s">
        <v>5165</v>
      </c>
      <c r="L159" t="s">
        <v>5166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5264</v>
      </c>
      <c r="F160" t="s">
        <v>5094</v>
      </c>
      <c r="H160" t="s">
        <v>2936</v>
      </c>
      <c r="I160" t="s">
        <v>5167</v>
      </c>
      <c r="J160" t="s">
        <v>2983</v>
      </c>
      <c r="K160" t="s">
        <v>5168</v>
      </c>
      <c r="L160" t="s">
        <v>5169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5264</v>
      </c>
      <c r="F161" t="s">
        <v>4234</v>
      </c>
      <c r="I161" t="s">
        <v>5188</v>
      </c>
      <c r="J161" t="s">
        <v>2986</v>
      </c>
      <c r="K161" t="s">
        <v>5189</v>
      </c>
      <c r="L161" t="s">
        <v>5190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5264</v>
      </c>
      <c r="F162" t="s">
        <v>4234</v>
      </c>
      <c r="H162" t="s">
        <v>2936</v>
      </c>
      <c r="I162" t="s">
        <v>5191</v>
      </c>
      <c r="J162" t="s">
        <v>2986</v>
      </c>
      <c r="K162" t="s">
        <v>5192</v>
      </c>
      <c r="L162" t="s">
        <v>5193</v>
      </c>
      <c r="M162" s="3" t="str">
        <f>HYPERLINK(Таблица3[[#This Row],[RelativePath]])</f>
        <v>10 Сушилка навес\E33149364_3_20251207T143320Z.jpg</v>
      </c>
    </row>
  </sheetData>
  <phoneticPr fontId="2" type="noConversion"/>
  <conditionalFormatting sqref="E163:E184 D2:E162">
    <cfRule type="containsText" dxfId="182" priority="7" operator="containsText" text="Выезд с территории">
      <formula>NOT(ISERROR(SEARCH("Выезд с территории",D2)))</formula>
    </cfRule>
  </conditionalFormatting>
  <conditionalFormatting sqref="D2:D162">
    <cfRule type="containsText" dxfId="18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18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4">
    <cfRule type="containsText" dxfId="179" priority="2" operator="containsText" text="Газель базы">
      <formula>NOT(ISERROR(SEARCH("Газель базы",E2)))</formula>
    </cfRule>
    <cfRule type="containsText" dxfId="178" priority="3" operator="containsText" text="Погрузчик базы">
      <formula>NOT(ISERROR(SEARCH("Погрузчик базы",E2)))</formula>
    </cfRule>
  </conditionalFormatting>
  <conditionalFormatting sqref="E2:E184">
    <cfRule type="containsText" dxfId="17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645"/>
  <sheetViews>
    <sheetView topLeftCell="A1573" zoomScale="90" zoomScaleNormal="90" workbookViewId="0">
      <selection activeCell="B1577" sqref="B157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x14ac:dyDescent="0.25">
      <c r="A40" t="s">
        <v>4</v>
      </c>
      <c r="B40" t="s">
        <v>8</v>
      </c>
      <c r="F40" t="s">
        <v>92</v>
      </c>
      <c r="G40" t="s">
        <v>1103</v>
      </c>
    </row>
    <row r="41" spans="1:7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x14ac:dyDescent="0.25">
      <c r="A48" t="s">
        <v>4</v>
      </c>
      <c r="B48" t="s">
        <v>8</v>
      </c>
      <c r="F48" t="s">
        <v>108</v>
      </c>
      <c r="G48" t="s">
        <v>1103</v>
      </c>
    </row>
    <row r="49" spans="1:7" x14ac:dyDescent="0.25">
      <c r="A49" t="s">
        <v>4</v>
      </c>
      <c r="B49" t="s">
        <v>8</v>
      </c>
      <c r="F49" t="s">
        <v>110</v>
      </c>
      <c r="G49" t="s">
        <v>1103</v>
      </c>
    </row>
    <row r="50" spans="1:7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x14ac:dyDescent="0.25">
      <c r="A56" t="s">
        <v>4</v>
      </c>
      <c r="B56" t="s">
        <v>8</v>
      </c>
      <c r="F56" t="s">
        <v>124</v>
      </c>
      <c r="G56" t="s">
        <v>1103</v>
      </c>
    </row>
    <row r="57" spans="1:7" x14ac:dyDescent="0.25">
      <c r="A57" t="s">
        <v>4</v>
      </c>
      <c r="B57" t="s">
        <v>8</v>
      </c>
      <c r="F57" t="s">
        <v>126</v>
      </c>
      <c r="G57" t="s">
        <v>1103</v>
      </c>
    </row>
    <row r="58" spans="1:7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x14ac:dyDescent="0.25">
      <c r="A61" t="s">
        <v>4</v>
      </c>
      <c r="B61" t="s">
        <v>8</v>
      </c>
      <c r="F61" t="s">
        <v>134</v>
      </c>
      <c r="G61" t="s">
        <v>1103</v>
      </c>
    </row>
    <row r="62" spans="1:7" x14ac:dyDescent="0.25">
      <c r="A62" t="s">
        <v>4</v>
      </c>
      <c r="B62" t="s">
        <v>8</v>
      </c>
      <c r="F62" t="s">
        <v>161</v>
      </c>
      <c r="G62" t="s">
        <v>1103</v>
      </c>
    </row>
    <row r="63" spans="1:7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x14ac:dyDescent="0.25">
      <c r="A220" t="s">
        <v>794</v>
      </c>
      <c r="F220" t="s">
        <v>678</v>
      </c>
      <c r="G220" t="s">
        <v>796</v>
      </c>
    </row>
    <row r="221" spans="1:7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x14ac:dyDescent="0.25">
      <c r="A663" t="s">
        <v>2004</v>
      </c>
      <c r="F663" t="s">
        <v>2025</v>
      </c>
      <c r="G663" t="s">
        <v>1103</v>
      </c>
    </row>
    <row r="664" spans="1:7" x14ac:dyDescent="0.25">
      <c r="A664" t="s">
        <v>2004</v>
      </c>
      <c r="F664" t="s">
        <v>2028</v>
      </c>
      <c r="G664" t="s">
        <v>1103</v>
      </c>
    </row>
    <row r="665" spans="1:7" x14ac:dyDescent="0.25">
      <c r="A665" t="s">
        <v>2004</v>
      </c>
      <c r="F665" t="s">
        <v>2031</v>
      </c>
      <c r="G665" t="s">
        <v>1103</v>
      </c>
    </row>
    <row r="666" spans="1:7" x14ac:dyDescent="0.25">
      <c r="A666" t="s">
        <v>2926</v>
      </c>
      <c r="F666" t="s">
        <v>2034</v>
      </c>
      <c r="G666" t="s">
        <v>1103</v>
      </c>
    </row>
    <row r="667" spans="1:7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x14ac:dyDescent="0.25">
      <c r="A668" t="s">
        <v>2004</v>
      </c>
      <c r="F668" t="s">
        <v>2040</v>
      </c>
      <c r="G668" t="s">
        <v>1103</v>
      </c>
    </row>
    <row r="669" spans="1:7" x14ac:dyDescent="0.25">
      <c r="A669" t="s">
        <v>2004</v>
      </c>
      <c r="F669" t="s">
        <v>2043</v>
      </c>
      <c r="G669" t="s">
        <v>1103</v>
      </c>
    </row>
    <row r="670" spans="1:7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4204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x14ac:dyDescent="0.25">
      <c r="A695" t="s">
        <v>2004</v>
      </c>
      <c r="F695" t="s">
        <v>2115</v>
      </c>
      <c r="G695" t="s">
        <v>1106</v>
      </c>
    </row>
    <row r="696" spans="1:7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x14ac:dyDescent="0.25">
      <c r="A697" t="s">
        <v>2004</v>
      </c>
      <c r="F697" t="s">
        <v>2118</v>
      </c>
      <c r="G697" t="s">
        <v>1106</v>
      </c>
    </row>
    <row r="698" spans="1:7" x14ac:dyDescent="0.25">
      <c r="A698" t="s">
        <v>2004</v>
      </c>
      <c r="F698" t="s">
        <v>2121</v>
      </c>
      <c r="G698" t="s">
        <v>1106</v>
      </c>
    </row>
    <row r="699" spans="1:7" x14ac:dyDescent="0.25">
      <c r="A699" t="s">
        <v>2004</v>
      </c>
      <c r="F699" t="s">
        <v>2124</v>
      </c>
      <c r="G699" t="s">
        <v>1106</v>
      </c>
    </row>
    <row r="700" spans="1:7" x14ac:dyDescent="0.25">
      <c r="A700" t="s">
        <v>2004</v>
      </c>
      <c r="F700" t="s">
        <v>2127</v>
      </c>
      <c r="G700" t="s">
        <v>1106</v>
      </c>
    </row>
    <row r="701" spans="1:7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x14ac:dyDescent="0.25">
      <c r="A754" t="s">
        <v>2004</v>
      </c>
      <c r="F754" t="s">
        <v>2310</v>
      </c>
      <c r="G754" t="s">
        <v>796</v>
      </c>
    </row>
    <row r="755" spans="1:7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x14ac:dyDescent="0.25">
      <c r="A762" t="s">
        <v>2004</v>
      </c>
      <c r="F762" t="s">
        <v>2334</v>
      </c>
      <c r="G762" t="s">
        <v>796</v>
      </c>
    </row>
    <row r="763" spans="1:7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2957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2957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2957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2957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2957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2957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2957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2957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2955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2956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2958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2958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2958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2959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2959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2959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2960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2963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2963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2963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2957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2957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2957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2957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2957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2957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2957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2957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2957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2957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2964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2963</v>
      </c>
      <c r="E872" t="s">
        <v>2957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2964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2964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2964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2958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2963</v>
      </c>
      <c r="E877" t="s">
        <v>2958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2963</v>
      </c>
      <c r="E878" t="s">
        <v>2958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2963</v>
      </c>
      <c r="E879" t="s">
        <v>2958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2963</v>
      </c>
      <c r="E880" t="s">
        <v>2958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2963</v>
      </c>
      <c r="E881" t="s">
        <v>2958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2959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2959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2959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2965</v>
      </c>
      <c r="E892" t="s">
        <v>2959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2966</v>
      </c>
      <c r="F895" t="s">
        <v>2833</v>
      </c>
      <c r="G895" s="1" t="s">
        <v>1603</v>
      </c>
    </row>
    <row r="896" spans="1:7" x14ac:dyDescent="0.25">
      <c r="A896" t="s">
        <v>2966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2968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2968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2959</v>
      </c>
      <c r="F903" t="s">
        <v>2857</v>
      </c>
      <c r="G903" s="1" t="s">
        <v>1603</v>
      </c>
    </row>
    <row r="904" spans="1:7" x14ac:dyDescent="0.25">
      <c r="A904" t="s">
        <v>2967</v>
      </c>
      <c r="B904" t="s">
        <v>1607</v>
      </c>
      <c r="C904" t="s">
        <v>58</v>
      </c>
      <c r="E904" t="s">
        <v>2959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2967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2967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2967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2963</v>
      </c>
      <c r="E916" t="s">
        <v>2959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2969</v>
      </c>
      <c r="F917" t="s">
        <v>2529</v>
      </c>
      <c r="G917" t="s">
        <v>1817</v>
      </c>
    </row>
    <row r="918" spans="1:7" x14ac:dyDescent="0.25">
      <c r="A918" t="s">
        <v>2981</v>
      </c>
      <c r="B918" t="s">
        <v>2920</v>
      </c>
      <c r="C918" t="s">
        <v>58</v>
      </c>
      <c r="E918" t="s">
        <v>2958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2958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2958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2958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2958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2958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2958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2959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2959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2959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2959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2970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2976</v>
      </c>
      <c r="F934" t="s">
        <v>2973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2976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x14ac:dyDescent="0.25">
      <c r="A940" t="s">
        <v>7</v>
      </c>
      <c r="F940" t="s">
        <v>2592</v>
      </c>
      <c r="G940" t="s">
        <v>1934</v>
      </c>
    </row>
    <row r="941" spans="1:7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x14ac:dyDescent="0.25">
      <c r="A942" t="s">
        <v>11</v>
      </c>
      <c r="F942" t="s">
        <v>2598</v>
      </c>
      <c r="G942" t="s">
        <v>1934</v>
      </c>
    </row>
    <row r="943" spans="1:7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x14ac:dyDescent="0.25">
      <c r="A944" t="s">
        <v>2004</v>
      </c>
      <c r="F944" t="s">
        <v>2604</v>
      </c>
      <c r="G944" t="s">
        <v>1934</v>
      </c>
    </row>
    <row r="945" spans="1:7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x14ac:dyDescent="0.25">
      <c r="A946" t="s">
        <v>2004</v>
      </c>
      <c r="F946" t="s">
        <v>2610</v>
      </c>
      <c r="G946" t="s">
        <v>1934</v>
      </c>
    </row>
    <row r="947" spans="1:7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x14ac:dyDescent="0.25">
      <c r="A948" t="s">
        <v>2004</v>
      </c>
      <c r="F948" t="s">
        <v>2616</v>
      </c>
      <c r="G948" t="s">
        <v>1934</v>
      </c>
    </row>
    <row r="949" spans="1:7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x14ac:dyDescent="0.25">
      <c r="A950" t="s">
        <v>2004</v>
      </c>
      <c r="F950" t="s">
        <v>2622</v>
      </c>
      <c r="G950" t="s">
        <v>1934</v>
      </c>
    </row>
    <row r="951" spans="1:7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2977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2980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2980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2980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2995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2998</v>
      </c>
      <c r="G963" t="s">
        <v>1102</v>
      </c>
    </row>
    <row r="964" spans="1:7" x14ac:dyDescent="0.25">
      <c r="A964" t="s">
        <v>3019</v>
      </c>
      <c r="B964" t="s">
        <v>1607</v>
      </c>
      <c r="C964" t="s">
        <v>2929</v>
      </c>
      <c r="F964" t="s">
        <v>3001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3004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3007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3010</v>
      </c>
      <c r="G967" t="s">
        <v>1102</v>
      </c>
    </row>
    <row r="968" spans="1:7" x14ac:dyDescent="0.25">
      <c r="A968" t="s">
        <v>3020</v>
      </c>
      <c r="B968" t="s">
        <v>70</v>
      </c>
      <c r="C968" t="s">
        <v>58</v>
      </c>
      <c r="F968" t="s">
        <v>3013</v>
      </c>
      <c r="G968" t="s">
        <v>1102</v>
      </c>
    </row>
    <row r="969" spans="1:7" x14ac:dyDescent="0.25">
      <c r="A969" t="s">
        <v>3020</v>
      </c>
      <c r="B969" t="s">
        <v>70</v>
      </c>
      <c r="C969" t="s">
        <v>58</v>
      </c>
      <c r="E969" t="s">
        <v>2936</v>
      </c>
      <c r="F969" t="s">
        <v>3016</v>
      </c>
      <c r="G969" t="s">
        <v>1102</v>
      </c>
    </row>
    <row r="970" spans="1:7" x14ac:dyDescent="0.25">
      <c r="A970" t="s">
        <v>289</v>
      </c>
      <c r="B970" t="s">
        <v>86</v>
      </c>
      <c r="C970" t="s">
        <v>3072</v>
      </c>
      <c r="E970" t="s">
        <v>3073</v>
      </c>
      <c r="F970" t="s">
        <v>3021</v>
      </c>
      <c r="G970" t="s">
        <v>1103</v>
      </c>
    </row>
    <row r="971" spans="1:7" x14ac:dyDescent="0.25">
      <c r="A971" t="s">
        <v>3074</v>
      </c>
      <c r="B971" t="s">
        <v>86</v>
      </c>
      <c r="C971" t="s">
        <v>3072</v>
      </c>
      <c r="E971" t="s">
        <v>3075</v>
      </c>
      <c r="F971" t="s">
        <v>3024</v>
      </c>
      <c r="G971" t="s">
        <v>1103</v>
      </c>
    </row>
    <row r="972" spans="1:7" x14ac:dyDescent="0.25">
      <c r="A972" t="s">
        <v>289</v>
      </c>
      <c r="B972" t="s">
        <v>86</v>
      </c>
      <c r="C972" t="s">
        <v>3072</v>
      </c>
      <c r="E972" t="s">
        <v>3073</v>
      </c>
      <c r="F972" t="s">
        <v>3027</v>
      </c>
      <c r="G972" t="s">
        <v>1103</v>
      </c>
    </row>
    <row r="973" spans="1:7" x14ac:dyDescent="0.25">
      <c r="A973" t="s">
        <v>3074</v>
      </c>
      <c r="B973" t="s">
        <v>86</v>
      </c>
      <c r="C973" t="s">
        <v>3072</v>
      </c>
      <c r="E973" t="s">
        <v>3075</v>
      </c>
      <c r="F973" t="s">
        <v>3030</v>
      </c>
      <c r="G973" t="s">
        <v>1103</v>
      </c>
    </row>
    <row r="974" spans="1:7" x14ac:dyDescent="0.25">
      <c r="A974" t="s">
        <v>158</v>
      </c>
      <c r="B974" t="s">
        <v>86</v>
      </c>
      <c r="C974" t="s">
        <v>60</v>
      </c>
      <c r="D974">
        <v>4</v>
      </c>
      <c r="E974" t="s">
        <v>3076</v>
      </c>
      <c r="F974" t="s">
        <v>3033</v>
      </c>
      <c r="G974" t="s">
        <v>1103</v>
      </c>
    </row>
    <row r="975" spans="1:7" x14ac:dyDescent="0.25">
      <c r="A975" t="s">
        <v>289</v>
      </c>
      <c r="B975" t="s">
        <v>86</v>
      </c>
      <c r="C975" t="s">
        <v>3072</v>
      </c>
      <c r="E975" t="s">
        <v>3073</v>
      </c>
      <c r="F975" t="s">
        <v>3036</v>
      </c>
      <c r="G975" t="s">
        <v>1103</v>
      </c>
    </row>
    <row r="976" spans="1:7" x14ac:dyDescent="0.25">
      <c r="A976" t="s">
        <v>3074</v>
      </c>
      <c r="B976" t="s">
        <v>86</v>
      </c>
      <c r="C976" t="s">
        <v>3072</v>
      </c>
      <c r="E976" t="s">
        <v>3075</v>
      </c>
      <c r="F976" t="s">
        <v>3039</v>
      </c>
      <c r="G976" t="s">
        <v>1103</v>
      </c>
    </row>
    <row r="977" spans="1:7" x14ac:dyDescent="0.25">
      <c r="A977" t="s">
        <v>289</v>
      </c>
      <c r="B977" t="s">
        <v>86</v>
      </c>
      <c r="C977" t="s">
        <v>3072</v>
      </c>
      <c r="E977" t="s">
        <v>3073</v>
      </c>
      <c r="F977" t="s">
        <v>3042</v>
      </c>
      <c r="G977" t="s">
        <v>1103</v>
      </c>
    </row>
    <row r="978" spans="1:7" x14ac:dyDescent="0.25">
      <c r="A978" t="s">
        <v>3074</v>
      </c>
      <c r="B978" t="s">
        <v>86</v>
      </c>
      <c r="C978" t="s">
        <v>3072</v>
      </c>
      <c r="E978" t="s">
        <v>3075</v>
      </c>
      <c r="F978" t="s">
        <v>3045</v>
      </c>
      <c r="G978" t="s">
        <v>1103</v>
      </c>
    </row>
    <row r="979" spans="1:7" x14ac:dyDescent="0.25">
      <c r="A979" t="s">
        <v>289</v>
      </c>
      <c r="B979" t="s">
        <v>86</v>
      </c>
      <c r="C979" t="s">
        <v>3072</v>
      </c>
      <c r="E979" t="s">
        <v>3073</v>
      </c>
      <c r="F979" t="s">
        <v>3048</v>
      </c>
      <c r="G979" t="s">
        <v>1103</v>
      </c>
    </row>
    <row r="980" spans="1:7" x14ac:dyDescent="0.25">
      <c r="A980" t="s">
        <v>3074</v>
      </c>
      <c r="B980" t="s">
        <v>86</v>
      </c>
      <c r="C980" t="s">
        <v>3072</v>
      </c>
      <c r="E980" t="s">
        <v>3075</v>
      </c>
      <c r="F980" t="s">
        <v>3051</v>
      </c>
      <c r="G980" t="s">
        <v>1103</v>
      </c>
    </row>
    <row r="981" spans="1:7" x14ac:dyDescent="0.25">
      <c r="A981" t="s">
        <v>289</v>
      </c>
      <c r="B981" t="s">
        <v>86</v>
      </c>
      <c r="C981" t="s">
        <v>3077</v>
      </c>
      <c r="D981">
        <v>1</v>
      </c>
      <c r="F981" t="s">
        <v>3054</v>
      </c>
      <c r="G981" t="s">
        <v>1103</v>
      </c>
    </row>
    <row r="982" spans="1:7" x14ac:dyDescent="0.25">
      <c r="A982" t="s">
        <v>3074</v>
      </c>
      <c r="B982" t="s">
        <v>86</v>
      </c>
      <c r="C982" t="s">
        <v>3077</v>
      </c>
      <c r="D982">
        <v>1</v>
      </c>
      <c r="E982" t="s">
        <v>3078</v>
      </c>
      <c r="F982" t="s">
        <v>3057</v>
      </c>
      <c r="G982" t="s">
        <v>1103</v>
      </c>
    </row>
    <row r="983" spans="1:7" x14ac:dyDescent="0.25">
      <c r="A983" t="s">
        <v>289</v>
      </c>
      <c r="B983" t="s">
        <v>86</v>
      </c>
      <c r="C983" t="s">
        <v>3077</v>
      </c>
      <c r="D983">
        <v>1</v>
      </c>
      <c r="F983" t="s">
        <v>3060</v>
      </c>
      <c r="G983" t="s">
        <v>1103</v>
      </c>
    </row>
    <row r="984" spans="1:7" x14ac:dyDescent="0.25">
      <c r="A984" t="s">
        <v>3074</v>
      </c>
      <c r="B984" t="s">
        <v>86</v>
      </c>
      <c r="C984" t="s">
        <v>3077</v>
      </c>
      <c r="D984">
        <v>1</v>
      </c>
      <c r="E984" t="s">
        <v>3078</v>
      </c>
      <c r="F984" t="s">
        <v>3063</v>
      </c>
      <c r="G984" t="s">
        <v>1103</v>
      </c>
    </row>
    <row r="985" spans="1:7" x14ac:dyDescent="0.25">
      <c r="A985" t="s">
        <v>158</v>
      </c>
      <c r="B985" t="s">
        <v>86</v>
      </c>
      <c r="C985" t="s">
        <v>60</v>
      </c>
      <c r="D985">
        <v>1</v>
      </c>
      <c r="E985" t="s">
        <v>3076</v>
      </c>
      <c r="F985" t="s">
        <v>3066</v>
      </c>
      <c r="G985" t="s">
        <v>1103</v>
      </c>
    </row>
    <row r="986" spans="1:7" x14ac:dyDescent="0.25">
      <c r="A986" t="s">
        <v>4</v>
      </c>
      <c r="B986" t="s">
        <v>8</v>
      </c>
      <c r="E986" t="s">
        <v>3079</v>
      </c>
      <c r="F986" t="s">
        <v>3069</v>
      </c>
      <c r="G986" t="s">
        <v>1103</v>
      </c>
    </row>
    <row r="987" spans="1:7" x14ac:dyDescent="0.25">
      <c r="A987" t="s">
        <v>4191</v>
      </c>
      <c r="B987" t="s">
        <v>4193</v>
      </c>
      <c r="C987" t="s">
        <v>51</v>
      </c>
      <c r="F987" t="s">
        <v>3226</v>
      </c>
      <c r="G987" t="s">
        <v>1102</v>
      </c>
    </row>
    <row r="988" spans="1:7" x14ac:dyDescent="0.25">
      <c r="A988" t="s">
        <v>85</v>
      </c>
      <c r="B988" t="s">
        <v>4193</v>
      </c>
      <c r="C988" t="s">
        <v>58</v>
      </c>
      <c r="F988" t="s">
        <v>3229</v>
      </c>
      <c r="G988" t="s">
        <v>1102</v>
      </c>
    </row>
    <row r="989" spans="1:7" x14ac:dyDescent="0.25">
      <c r="A989" t="s">
        <v>91</v>
      </c>
      <c r="B989" t="s">
        <v>4193</v>
      </c>
      <c r="C989" t="s">
        <v>58</v>
      </c>
      <c r="F989" t="s">
        <v>3232</v>
      </c>
      <c r="G989" t="s">
        <v>1102</v>
      </c>
    </row>
    <row r="990" spans="1:7" x14ac:dyDescent="0.25">
      <c r="A990" t="s">
        <v>62</v>
      </c>
      <c r="B990" t="s">
        <v>4193</v>
      </c>
      <c r="C990" t="s">
        <v>58</v>
      </c>
      <c r="F990" t="s">
        <v>3235</v>
      </c>
      <c r="G990" t="s">
        <v>1102</v>
      </c>
    </row>
    <row r="991" spans="1:7" x14ac:dyDescent="0.25">
      <c r="A991" t="s">
        <v>4191</v>
      </c>
      <c r="B991" t="s">
        <v>4192</v>
      </c>
      <c r="F991" t="s">
        <v>3238</v>
      </c>
      <c r="G991" t="s">
        <v>1102</v>
      </c>
    </row>
    <row r="992" spans="1:7" x14ac:dyDescent="0.25">
      <c r="A992" t="s">
        <v>85</v>
      </c>
      <c r="B992" t="s">
        <v>4192</v>
      </c>
      <c r="F992" t="s">
        <v>3241</v>
      </c>
      <c r="G992" t="s">
        <v>1102</v>
      </c>
    </row>
    <row r="993" spans="1:7" x14ac:dyDescent="0.25">
      <c r="A993" t="s">
        <v>64</v>
      </c>
      <c r="B993" t="s">
        <v>4194</v>
      </c>
      <c r="F993" t="s">
        <v>3244</v>
      </c>
      <c r="G993" t="s">
        <v>1102</v>
      </c>
    </row>
    <row r="994" spans="1:7" x14ac:dyDescent="0.25">
      <c r="A994" t="s">
        <v>85</v>
      </c>
      <c r="B994" t="s">
        <v>4194</v>
      </c>
      <c r="F994" t="s">
        <v>3247</v>
      </c>
      <c r="G994" t="s">
        <v>1102</v>
      </c>
    </row>
    <row r="995" spans="1:7" x14ac:dyDescent="0.25">
      <c r="A995" t="s">
        <v>91</v>
      </c>
      <c r="B995" t="s">
        <v>4195</v>
      </c>
      <c r="C995" t="s">
        <v>51</v>
      </c>
      <c r="F995" t="s">
        <v>3250</v>
      </c>
      <c r="G995" t="s">
        <v>1102</v>
      </c>
    </row>
    <row r="996" spans="1:7" x14ac:dyDescent="0.25">
      <c r="A996" t="s">
        <v>91</v>
      </c>
      <c r="B996" t="s">
        <v>4196</v>
      </c>
      <c r="C996" t="s">
        <v>51</v>
      </c>
      <c r="F996" t="s">
        <v>3253</v>
      </c>
      <c r="G996" t="s">
        <v>1102</v>
      </c>
    </row>
    <row r="997" spans="1:7" x14ac:dyDescent="0.25">
      <c r="A997" t="s">
        <v>91</v>
      </c>
      <c r="B997" t="s">
        <v>4195</v>
      </c>
      <c r="C997" t="s">
        <v>4197</v>
      </c>
      <c r="E997" t="s">
        <v>4198</v>
      </c>
      <c r="F997" t="s">
        <v>3256</v>
      </c>
      <c r="G997" t="s">
        <v>1102</v>
      </c>
    </row>
    <row r="998" spans="1:7" x14ac:dyDescent="0.25">
      <c r="A998" t="s">
        <v>62</v>
      </c>
      <c r="B998" t="s">
        <v>4195</v>
      </c>
      <c r="C998" t="s">
        <v>4197</v>
      </c>
      <c r="F998" t="s">
        <v>3259</v>
      </c>
      <c r="G998" t="s">
        <v>1102</v>
      </c>
    </row>
    <row r="999" spans="1:7" x14ac:dyDescent="0.25">
      <c r="A999" t="s">
        <v>4199</v>
      </c>
      <c r="B999" t="s">
        <v>4193</v>
      </c>
      <c r="C999" t="s">
        <v>51</v>
      </c>
      <c r="F999" t="s">
        <v>3262</v>
      </c>
      <c r="G999" t="s">
        <v>1103</v>
      </c>
    </row>
    <row r="1000" spans="1:7" x14ac:dyDescent="0.25">
      <c r="A1000" t="s">
        <v>4200</v>
      </c>
      <c r="B1000" t="s">
        <v>4201</v>
      </c>
      <c r="E1000" t="s">
        <v>3076</v>
      </c>
      <c r="F1000" t="s">
        <v>3265</v>
      </c>
      <c r="G1000" t="s">
        <v>1103</v>
      </c>
    </row>
    <row r="1001" spans="1:7" x14ac:dyDescent="0.25">
      <c r="A1001" t="s">
        <v>4200</v>
      </c>
      <c r="B1001" t="s">
        <v>4201</v>
      </c>
      <c r="E1001" t="s">
        <v>2936</v>
      </c>
      <c r="F1001" t="s">
        <v>3268</v>
      </c>
      <c r="G1001" t="s">
        <v>1103</v>
      </c>
    </row>
    <row r="1002" spans="1:7" x14ac:dyDescent="0.25">
      <c r="A1002" t="s">
        <v>4200</v>
      </c>
      <c r="B1002" t="s">
        <v>4201</v>
      </c>
      <c r="E1002" t="s">
        <v>2936</v>
      </c>
      <c r="F1002" t="s">
        <v>3271</v>
      </c>
      <c r="G1002" t="s">
        <v>1103</v>
      </c>
    </row>
    <row r="1003" spans="1:7" x14ac:dyDescent="0.25">
      <c r="A1003" t="s">
        <v>4200</v>
      </c>
      <c r="B1003" t="s">
        <v>4201</v>
      </c>
      <c r="E1003" t="s">
        <v>2936</v>
      </c>
      <c r="F1003" t="s">
        <v>3274</v>
      </c>
      <c r="G1003" t="s">
        <v>1103</v>
      </c>
    </row>
    <row r="1004" spans="1:7" x14ac:dyDescent="0.25">
      <c r="A1004" t="s">
        <v>4200</v>
      </c>
      <c r="B1004" t="s">
        <v>4201</v>
      </c>
      <c r="E1004" t="s">
        <v>2936</v>
      </c>
      <c r="F1004" t="s">
        <v>3277</v>
      </c>
      <c r="G1004" t="s">
        <v>1103</v>
      </c>
    </row>
    <row r="1005" spans="1:7" x14ac:dyDescent="0.25">
      <c r="A1005" t="s">
        <v>4200</v>
      </c>
      <c r="B1005" t="s">
        <v>4201</v>
      </c>
      <c r="E1005" t="s">
        <v>2936</v>
      </c>
      <c r="F1005" t="s">
        <v>3280</v>
      </c>
      <c r="G1005" t="s">
        <v>1103</v>
      </c>
    </row>
    <row r="1006" spans="1:7" x14ac:dyDescent="0.25">
      <c r="A1006" t="s">
        <v>4200</v>
      </c>
      <c r="B1006" t="s">
        <v>4201</v>
      </c>
      <c r="E1006" t="s">
        <v>2936</v>
      </c>
      <c r="F1006" t="s">
        <v>3283</v>
      </c>
      <c r="G1006" t="s">
        <v>1103</v>
      </c>
    </row>
    <row r="1007" spans="1:7" x14ac:dyDescent="0.25">
      <c r="A1007" t="s">
        <v>4200</v>
      </c>
      <c r="B1007" t="s">
        <v>4201</v>
      </c>
      <c r="E1007" t="s">
        <v>2936</v>
      </c>
      <c r="F1007" t="s">
        <v>3286</v>
      </c>
      <c r="G1007" t="s">
        <v>1103</v>
      </c>
    </row>
    <row r="1008" spans="1:7" x14ac:dyDescent="0.25">
      <c r="A1008" t="s">
        <v>4200</v>
      </c>
      <c r="B1008" t="s">
        <v>4201</v>
      </c>
      <c r="E1008" t="s">
        <v>2936</v>
      </c>
      <c r="F1008" t="s">
        <v>3289</v>
      </c>
      <c r="G1008" t="s">
        <v>1103</v>
      </c>
    </row>
    <row r="1009" spans="1:7" x14ac:dyDescent="0.25">
      <c r="A1009" t="s">
        <v>4200</v>
      </c>
      <c r="B1009" t="s">
        <v>4201</v>
      </c>
      <c r="E1009" t="s">
        <v>2936</v>
      </c>
      <c r="F1009" t="s">
        <v>3292</v>
      </c>
      <c r="G1009" t="s">
        <v>1103</v>
      </c>
    </row>
    <row r="1010" spans="1:7" x14ac:dyDescent="0.25">
      <c r="A1010" t="s">
        <v>4200</v>
      </c>
      <c r="B1010" t="s">
        <v>4201</v>
      </c>
      <c r="E1010" t="s">
        <v>2936</v>
      </c>
      <c r="F1010" t="s">
        <v>3295</v>
      </c>
      <c r="G1010" t="s">
        <v>1103</v>
      </c>
    </row>
    <row r="1011" spans="1:7" x14ac:dyDescent="0.25">
      <c r="A1011" t="s">
        <v>289</v>
      </c>
      <c r="B1011" t="s">
        <v>86</v>
      </c>
      <c r="C1011" t="s">
        <v>3072</v>
      </c>
      <c r="E1011" t="s">
        <v>3073</v>
      </c>
      <c r="F1011" t="s">
        <v>3298</v>
      </c>
      <c r="G1011" t="s">
        <v>1103</v>
      </c>
    </row>
    <row r="1012" spans="1:7" x14ac:dyDescent="0.25">
      <c r="A1012" t="s">
        <v>3074</v>
      </c>
      <c r="B1012" t="s">
        <v>86</v>
      </c>
      <c r="C1012" t="s">
        <v>3072</v>
      </c>
      <c r="E1012" t="s">
        <v>3075</v>
      </c>
      <c r="F1012" t="s">
        <v>3301</v>
      </c>
      <c r="G1012" t="s">
        <v>1103</v>
      </c>
    </row>
    <row r="1013" spans="1:7" x14ac:dyDescent="0.25">
      <c r="A1013" t="s">
        <v>289</v>
      </c>
      <c r="B1013" t="s">
        <v>86</v>
      </c>
      <c r="C1013" t="s">
        <v>3072</v>
      </c>
      <c r="E1013" t="s">
        <v>3073</v>
      </c>
      <c r="F1013" t="s">
        <v>3304</v>
      </c>
      <c r="G1013" t="s">
        <v>1103</v>
      </c>
    </row>
    <row r="1014" spans="1:7" x14ac:dyDescent="0.25">
      <c r="A1014" t="s">
        <v>3074</v>
      </c>
      <c r="B1014" t="s">
        <v>86</v>
      </c>
      <c r="C1014" t="s">
        <v>3072</v>
      </c>
      <c r="E1014" t="s">
        <v>3075</v>
      </c>
      <c r="F1014" t="s">
        <v>3307</v>
      </c>
      <c r="G1014" t="s">
        <v>1103</v>
      </c>
    </row>
    <row r="1015" spans="1:7" x14ac:dyDescent="0.25">
      <c r="A1015" t="s">
        <v>289</v>
      </c>
      <c r="B1015" t="s">
        <v>86</v>
      </c>
      <c r="C1015" t="s">
        <v>3072</v>
      </c>
      <c r="E1015" t="s">
        <v>3073</v>
      </c>
      <c r="F1015" t="s">
        <v>3310</v>
      </c>
      <c r="G1015" t="s">
        <v>1103</v>
      </c>
    </row>
    <row r="1016" spans="1:7" x14ac:dyDescent="0.25">
      <c r="A1016" t="s">
        <v>3074</v>
      </c>
      <c r="B1016" t="s">
        <v>86</v>
      </c>
      <c r="C1016" t="s">
        <v>3072</v>
      </c>
      <c r="E1016" t="s">
        <v>3075</v>
      </c>
      <c r="F1016" t="s">
        <v>3313</v>
      </c>
      <c r="G1016" t="s">
        <v>1103</v>
      </c>
    </row>
    <row r="1017" spans="1:7" x14ac:dyDescent="0.25">
      <c r="A1017" t="s">
        <v>289</v>
      </c>
      <c r="B1017" t="s">
        <v>86</v>
      </c>
      <c r="C1017" t="s">
        <v>3072</v>
      </c>
      <c r="E1017" t="s">
        <v>3073</v>
      </c>
      <c r="F1017" t="s">
        <v>3316</v>
      </c>
      <c r="G1017" t="s">
        <v>1103</v>
      </c>
    </row>
    <row r="1018" spans="1:7" x14ac:dyDescent="0.25">
      <c r="A1018" t="s">
        <v>3074</v>
      </c>
      <c r="B1018" t="s">
        <v>86</v>
      </c>
      <c r="C1018" t="s">
        <v>3072</v>
      </c>
      <c r="E1018" t="s">
        <v>3075</v>
      </c>
      <c r="F1018" t="s">
        <v>3319</v>
      </c>
      <c r="G1018" t="s">
        <v>1103</v>
      </c>
    </row>
    <row r="1019" spans="1:7" x14ac:dyDescent="0.25">
      <c r="A1019" t="s">
        <v>4203</v>
      </c>
      <c r="B1019" t="s">
        <v>4194</v>
      </c>
      <c r="C1019" t="s">
        <v>51</v>
      </c>
      <c r="F1019" t="s">
        <v>3322</v>
      </c>
      <c r="G1019" t="s">
        <v>1103</v>
      </c>
    </row>
    <row r="1020" spans="1:7" x14ac:dyDescent="0.25">
      <c r="A1020" t="s">
        <v>4203</v>
      </c>
      <c r="B1020" t="s">
        <v>4194</v>
      </c>
      <c r="C1020" t="s">
        <v>51</v>
      </c>
      <c r="E1020" t="s">
        <v>2936</v>
      </c>
      <c r="F1020" t="s">
        <v>3325</v>
      </c>
      <c r="G1020" t="s">
        <v>1103</v>
      </c>
    </row>
    <row r="1021" spans="1:7" x14ac:dyDescent="0.25">
      <c r="A1021" t="s">
        <v>4203</v>
      </c>
      <c r="B1021" t="s">
        <v>4194</v>
      </c>
      <c r="C1021" t="s">
        <v>51</v>
      </c>
      <c r="E1021" t="s">
        <v>2936</v>
      </c>
      <c r="F1021" t="s">
        <v>3328</v>
      </c>
      <c r="G1021" t="s">
        <v>1103</v>
      </c>
    </row>
    <row r="1022" spans="1:7" x14ac:dyDescent="0.25">
      <c r="A1022" t="s">
        <v>4202</v>
      </c>
      <c r="B1022" t="s">
        <v>4194</v>
      </c>
      <c r="F1022" t="s">
        <v>3331</v>
      </c>
      <c r="G1022" t="s">
        <v>1103</v>
      </c>
    </row>
    <row r="1023" spans="1:7" x14ac:dyDescent="0.25">
      <c r="A1023" t="s">
        <v>4</v>
      </c>
      <c r="B1023" t="s">
        <v>8</v>
      </c>
      <c r="E1023" t="s">
        <v>3079</v>
      </c>
      <c r="F1023" t="s">
        <v>3334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3337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3340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3343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4205</v>
      </c>
      <c r="F1027" t="s">
        <v>3346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3349</v>
      </c>
      <c r="G1028" t="s">
        <v>91</v>
      </c>
    </row>
    <row r="1029" spans="1:7" x14ac:dyDescent="0.25">
      <c r="A1029" t="s">
        <v>2004</v>
      </c>
      <c r="F1029" t="s">
        <v>3352</v>
      </c>
      <c r="G1029" t="s">
        <v>91</v>
      </c>
    </row>
    <row r="1030" spans="1:7" x14ac:dyDescent="0.25">
      <c r="A1030" t="s">
        <v>4</v>
      </c>
      <c r="B1030" t="s">
        <v>4193</v>
      </c>
      <c r="C1030" t="s">
        <v>58</v>
      </c>
      <c r="F1030" t="s">
        <v>3355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3358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3361</v>
      </c>
      <c r="G1032" t="s">
        <v>91</v>
      </c>
    </row>
    <row r="1033" spans="1:7" x14ac:dyDescent="0.25">
      <c r="A1033" t="s">
        <v>2004</v>
      </c>
      <c r="F1033" t="s">
        <v>3364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3367</v>
      </c>
      <c r="G1034" t="s">
        <v>91</v>
      </c>
    </row>
    <row r="1035" spans="1:7" x14ac:dyDescent="0.25">
      <c r="A1035" t="s">
        <v>2004</v>
      </c>
      <c r="F1035" t="s">
        <v>3370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3373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3376</v>
      </c>
      <c r="G1037" t="s">
        <v>91</v>
      </c>
    </row>
    <row r="1038" spans="1:7" x14ac:dyDescent="0.25">
      <c r="A1038" t="s">
        <v>4</v>
      </c>
      <c r="B1038" t="s">
        <v>4195</v>
      </c>
      <c r="C1038" t="s">
        <v>4197</v>
      </c>
      <c r="F1038" t="s">
        <v>3379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3382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3385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3388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3391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3394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3397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3400</v>
      </c>
      <c r="G1045" t="s">
        <v>1104</v>
      </c>
    </row>
    <row r="1046" spans="1:7" x14ac:dyDescent="0.25">
      <c r="A1046" t="s">
        <v>4</v>
      </c>
      <c r="B1046" t="s">
        <v>4195</v>
      </c>
      <c r="C1046" t="s">
        <v>4197</v>
      </c>
      <c r="E1046" t="s">
        <v>4206</v>
      </c>
      <c r="F1046" t="s">
        <v>3403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3080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3083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3086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3089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3092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3095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3098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3101</v>
      </c>
      <c r="G1054" t="s">
        <v>1105</v>
      </c>
    </row>
    <row r="1055" spans="1:7" x14ac:dyDescent="0.25">
      <c r="A1055" t="s">
        <v>4</v>
      </c>
      <c r="B1055" t="s">
        <v>8</v>
      </c>
      <c r="F1055" t="s">
        <v>3406</v>
      </c>
      <c r="G1055" t="s">
        <v>1106</v>
      </c>
    </row>
    <row r="1056" spans="1:7" x14ac:dyDescent="0.25">
      <c r="A1056" t="s">
        <v>4</v>
      </c>
      <c r="B1056" t="s">
        <v>8</v>
      </c>
      <c r="F1056" t="s">
        <v>4207</v>
      </c>
      <c r="G1056" t="s">
        <v>1106</v>
      </c>
    </row>
    <row r="1057" spans="1:7" x14ac:dyDescent="0.25">
      <c r="A1057" t="s">
        <v>4</v>
      </c>
      <c r="B1057" t="s">
        <v>8</v>
      </c>
      <c r="F1057" t="s">
        <v>3409</v>
      </c>
      <c r="G1057" t="s">
        <v>1106</v>
      </c>
    </row>
    <row r="1058" spans="1:7" x14ac:dyDescent="0.25">
      <c r="A1058" t="s">
        <v>4210</v>
      </c>
      <c r="B1058" t="s">
        <v>4211</v>
      </c>
      <c r="F1058" t="s">
        <v>3412</v>
      </c>
      <c r="G1058" t="s">
        <v>1106</v>
      </c>
    </row>
    <row r="1059" spans="1:7" x14ac:dyDescent="0.25">
      <c r="A1059" t="s">
        <v>4210</v>
      </c>
      <c r="B1059" t="s">
        <v>4211</v>
      </c>
      <c r="E1059" t="s">
        <v>2936</v>
      </c>
      <c r="F1059" t="s">
        <v>3415</v>
      </c>
      <c r="G1059" t="s">
        <v>1106</v>
      </c>
    </row>
    <row r="1060" spans="1:7" x14ac:dyDescent="0.25">
      <c r="A1060" t="s">
        <v>4210</v>
      </c>
      <c r="B1060" t="s">
        <v>4211</v>
      </c>
      <c r="E1060" t="s">
        <v>2936</v>
      </c>
      <c r="F1060" t="s">
        <v>3418</v>
      </c>
      <c r="G1060" t="s">
        <v>1106</v>
      </c>
    </row>
    <row r="1061" spans="1:7" x14ac:dyDescent="0.25">
      <c r="A1061" t="s">
        <v>4210</v>
      </c>
      <c r="B1061" t="s">
        <v>4211</v>
      </c>
      <c r="E1061" t="s">
        <v>2936</v>
      </c>
      <c r="F1061" t="s">
        <v>3421</v>
      </c>
      <c r="G1061" t="s">
        <v>1106</v>
      </c>
    </row>
    <row r="1062" spans="1:7" x14ac:dyDescent="0.25">
      <c r="A1062" t="s">
        <v>4210</v>
      </c>
      <c r="B1062" t="s">
        <v>4211</v>
      </c>
      <c r="E1062" t="s">
        <v>2936</v>
      </c>
      <c r="F1062" t="s">
        <v>3424</v>
      </c>
      <c r="G1062" t="s">
        <v>1106</v>
      </c>
    </row>
    <row r="1063" spans="1:7" x14ac:dyDescent="0.25">
      <c r="A1063" t="s">
        <v>4210</v>
      </c>
      <c r="B1063" t="s">
        <v>4211</v>
      </c>
      <c r="E1063" t="s">
        <v>2936</v>
      </c>
      <c r="F1063" t="s">
        <v>3427</v>
      </c>
      <c r="G1063" t="s">
        <v>1106</v>
      </c>
    </row>
    <row r="1064" spans="1:7" x14ac:dyDescent="0.25">
      <c r="A1064" t="s">
        <v>4210</v>
      </c>
      <c r="B1064" t="s">
        <v>4211</v>
      </c>
      <c r="E1064" t="s">
        <v>2936</v>
      </c>
      <c r="F1064" t="s">
        <v>3430</v>
      </c>
      <c r="G1064" t="s">
        <v>1106</v>
      </c>
    </row>
    <row r="1065" spans="1:7" x14ac:dyDescent="0.25">
      <c r="A1065" t="s">
        <v>4210</v>
      </c>
      <c r="B1065" t="s">
        <v>4211</v>
      </c>
      <c r="E1065" t="s">
        <v>2936</v>
      </c>
      <c r="F1065" t="s">
        <v>3433</v>
      </c>
      <c r="G1065" t="s">
        <v>1106</v>
      </c>
    </row>
    <row r="1066" spans="1:7" x14ac:dyDescent="0.25">
      <c r="A1066" t="s">
        <v>4210</v>
      </c>
      <c r="B1066" t="s">
        <v>4211</v>
      </c>
      <c r="E1066" t="s">
        <v>2936</v>
      </c>
      <c r="F1066" t="s">
        <v>3436</v>
      </c>
      <c r="G1066" t="s">
        <v>1106</v>
      </c>
    </row>
    <row r="1067" spans="1:7" x14ac:dyDescent="0.25">
      <c r="A1067" t="s">
        <v>4210</v>
      </c>
      <c r="B1067" t="s">
        <v>4211</v>
      </c>
      <c r="E1067" t="s">
        <v>2936</v>
      </c>
      <c r="F1067" t="s">
        <v>3439</v>
      </c>
      <c r="G1067" t="s">
        <v>1106</v>
      </c>
    </row>
    <row r="1068" spans="1:7" x14ac:dyDescent="0.25">
      <c r="A1068" t="s">
        <v>4210</v>
      </c>
      <c r="B1068" t="s">
        <v>4211</v>
      </c>
      <c r="E1068" t="s">
        <v>2936</v>
      </c>
      <c r="F1068" t="s">
        <v>3442</v>
      </c>
      <c r="G1068" t="s">
        <v>1106</v>
      </c>
    </row>
    <row r="1069" spans="1:7" x14ac:dyDescent="0.25">
      <c r="A1069" t="s">
        <v>4210</v>
      </c>
      <c r="B1069" t="s">
        <v>4211</v>
      </c>
      <c r="E1069" t="s">
        <v>2936</v>
      </c>
      <c r="F1069" t="s">
        <v>3445</v>
      </c>
      <c r="G1069" t="s">
        <v>1106</v>
      </c>
    </row>
    <row r="1070" spans="1:7" x14ac:dyDescent="0.25">
      <c r="A1070" t="s">
        <v>4</v>
      </c>
      <c r="B1070" t="s">
        <v>8</v>
      </c>
      <c r="F1070" t="s">
        <v>3448</v>
      </c>
      <c r="G1070" t="s">
        <v>1106</v>
      </c>
    </row>
    <row r="1071" spans="1:7" x14ac:dyDescent="0.25">
      <c r="A1071" t="s">
        <v>289</v>
      </c>
      <c r="B1071" t="s">
        <v>4212</v>
      </c>
      <c r="F1071" t="s">
        <v>3451</v>
      </c>
      <c r="G1071" t="s">
        <v>1106</v>
      </c>
    </row>
    <row r="1072" spans="1:7" x14ac:dyDescent="0.25">
      <c r="A1072" t="s">
        <v>289</v>
      </c>
      <c r="B1072" t="s">
        <v>4212</v>
      </c>
      <c r="E1072" t="s">
        <v>2936</v>
      </c>
      <c r="F1072" t="s">
        <v>3454</v>
      </c>
      <c r="G1072" t="s">
        <v>1106</v>
      </c>
    </row>
    <row r="1073" spans="1:7" x14ac:dyDescent="0.25">
      <c r="A1073" t="s">
        <v>289</v>
      </c>
      <c r="B1073" t="s">
        <v>4212</v>
      </c>
      <c r="E1073" t="s">
        <v>2936</v>
      </c>
      <c r="F1073" t="s">
        <v>3457</v>
      </c>
      <c r="G1073" t="s">
        <v>1106</v>
      </c>
    </row>
    <row r="1074" spans="1:7" x14ac:dyDescent="0.25">
      <c r="A1074" t="s">
        <v>289</v>
      </c>
      <c r="B1074" t="s">
        <v>4212</v>
      </c>
      <c r="E1074" t="s">
        <v>2936</v>
      </c>
      <c r="F1074" t="s">
        <v>3460</v>
      </c>
      <c r="G1074" t="s">
        <v>1106</v>
      </c>
    </row>
    <row r="1075" spans="1:7" x14ac:dyDescent="0.25">
      <c r="A1075" t="s">
        <v>289</v>
      </c>
      <c r="B1075" t="s">
        <v>4212</v>
      </c>
      <c r="E1075" t="s">
        <v>2936</v>
      </c>
      <c r="F1075" t="s">
        <v>3463</v>
      </c>
      <c r="G1075" t="s">
        <v>1106</v>
      </c>
    </row>
    <row r="1076" spans="1:7" x14ac:dyDescent="0.25">
      <c r="A1076" t="s">
        <v>4</v>
      </c>
      <c r="B1076" t="s">
        <v>8</v>
      </c>
      <c r="F1076" t="s">
        <v>3466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3469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3472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3475</v>
      </c>
      <c r="G1079" t="s">
        <v>1107</v>
      </c>
    </row>
    <row r="1080" spans="1:7" x14ac:dyDescent="0.25">
      <c r="A1080" t="s">
        <v>4213</v>
      </c>
      <c r="F1080" t="s">
        <v>4214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3478</v>
      </c>
      <c r="G1081" t="s">
        <v>1107</v>
      </c>
    </row>
    <row r="1082" spans="1:7" x14ac:dyDescent="0.25">
      <c r="A1082" t="s">
        <v>4210</v>
      </c>
      <c r="B1082" t="s">
        <v>4211</v>
      </c>
      <c r="F1082" t="s">
        <v>3481</v>
      </c>
      <c r="G1082" t="s">
        <v>1107</v>
      </c>
    </row>
    <row r="1083" spans="1:7" x14ac:dyDescent="0.25">
      <c r="A1083" t="s">
        <v>4210</v>
      </c>
      <c r="B1083" t="s">
        <v>4211</v>
      </c>
      <c r="E1083" t="s">
        <v>2936</v>
      </c>
      <c r="F1083" t="s">
        <v>3484</v>
      </c>
      <c r="G1083" t="s">
        <v>1107</v>
      </c>
    </row>
    <row r="1084" spans="1:7" x14ac:dyDescent="0.25">
      <c r="A1084" t="s">
        <v>4210</v>
      </c>
      <c r="B1084" t="s">
        <v>4211</v>
      </c>
      <c r="E1084" t="s">
        <v>2936</v>
      </c>
      <c r="F1084" t="s">
        <v>3487</v>
      </c>
      <c r="G1084" t="s">
        <v>1107</v>
      </c>
    </row>
    <row r="1085" spans="1:7" x14ac:dyDescent="0.25">
      <c r="A1085" t="s">
        <v>4210</v>
      </c>
      <c r="B1085" t="s">
        <v>4211</v>
      </c>
      <c r="E1085" t="s">
        <v>2936</v>
      </c>
      <c r="F1085" t="s">
        <v>3490</v>
      </c>
      <c r="G1085" t="s">
        <v>1107</v>
      </c>
    </row>
    <row r="1086" spans="1:7" x14ac:dyDescent="0.25">
      <c r="A1086" t="s">
        <v>4210</v>
      </c>
      <c r="B1086" t="s">
        <v>4211</v>
      </c>
      <c r="E1086" t="s">
        <v>2936</v>
      </c>
      <c r="F1086" t="s">
        <v>3493</v>
      </c>
      <c r="G1086" t="s">
        <v>1107</v>
      </c>
    </row>
    <row r="1087" spans="1:7" x14ac:dyDescent="0.25">
      <c r="A1087" t="s">
        <v>4210</v>
      </c>
      <c r="B1087" t="s">
        <v>4211</v>
      </c>
      <c r="E1087" t="s">
        <v>2936</v>
      </c>
      <c r="F1087" t="s">
        <v>3496</v>
      </c>
      <c r="G1087" t="s">
        <v>1107</v>
      </c>
    </row>
    <row r="1088" spans="1:7" x14ac:dyDescent="0.25">
      <c r="A1088" t="s">
        <v>4210</v>
      </c>
      <c r="B1088" t="s">
        <v>4211</v>
      </c>
      <c r="E1088" t="s">
        <v>2936</v>
      </c>
      <c r="F1088" t="s">
        <v>3499</v>
      </c>
      <c r="G1088" t="s">
        <v>1107</v>
      </c>
    </row>
    <row r="1089" spans="1:7" x14ac:dyDescent="0.25">
      <c r="A1089" t="s">
        <v>4210</v>
      </c>
      <c r="B1089" t="s">
        <v>4211</v>
      </c>
      <c r="E1089" t="s">
        <v>2936</v>
      </c>
      <c r="F1089" t="s">
        <v>3502</v>
      </c>
      <c r="G1089" t="s">
        <v>1107</v>
      </c>
    </row>
    <row r="1090" spans="1:7" x14ac:dyDescent="0.25">
      <c r="A1090" t="s">
        <v>4210</v>
      </c>
      <c r="B1090" t="s">
        <v>4211</v>
      </c>
      <c r="E1090" t="s">
        <v>2936</v>
      </c>
      <c r="F1090" t="s">
        <v>3505</v>
      </c>
      <c r="G1090" t="s">
        <v>1107</v>
      </c>
    </row>
    <row r="1091" spans="1:7" x14ac:dyDescent="0.25">
      <c r="A1091" t="s">
        <v>4210</v>
      </c>
      <c r="B1091" t="s">
        <v>4211</v>
      </c>
      <c r="E1091" t="s">
        <v>2936</v>
      </c>
      <c r="F1091" t="s">
        <v>3508</v>
      </c>
      <c r="G1091" t="s">
        <v>1107</v>
      </c>
    </row>
    <row r="1092" spans="1:7" x14ac:dyDescent="0.25">
      <c r="A1092" t="s">
        <v>4210</v>
      </c>
      <c r="B1092" t="s">
        <v>4211</v>
      </c>
      <c r="E1092" t="s">
        <v>2936</v>
      </c>
      <c r="F1092" t="s">
        <v>3511</v>
      </c>
      <c r="G1092" t="s">
        <v>1107</v>
      </c>
    </row>
    <row r="1093" spans="1:7" x14ac:dyDescent="0.25">
      <c r="A1093" t="s">
        <v>4210</v>
      </c>
      <c r="B1093" t="s">
        <v>4211</v>
      </c>
      <c r="E1093" t="s">
        <v>2936</v>
      </c>
      <c r="F1093" t="s">
        <v>3514</v>
      </c>
      <c r="G1093" t="s">
        <v>1107</v>
      </c>
    </row>
    <row r="1094" spans="1:7" x14ac:dyDescent="0.25">
      <c r="A1094" t="s">
        <v>4210</v>
      </c>
      <c r="B1094" t="s">
        <v>4211</v>
      </c>
      <c r="E1094" t="s">
        <v>2936</v>
      </c>
      <c r="F1094" t="s">
        <v>3517</v>
      </c>
      <c r="G1094" t="s">
        <v>1107</v>
      </c>
    </row>
    <row r="1095" spans="1:7" x14ac:dyDescent="0.25">
      <c r="A1095" t="s">
        <v>4210</v>
      </c>
      <c r="B1095" t="s">
        <v>4211</v>
      </c>
      <c r="E1095" t="s">
        <v>2936</v>
      </c>
      <c r="F1095" t="s">
        <v>3520</v>
      </c>
      <c r="G1095" t="s">
        <v>1107</v>
      </c>
    </row>
    <row r="1096" spans="1:7" x14ac:dyDescent="0.25">
      <c r="A1096" t="s">
        <v>4210</v>
      </c>
      <c r="B1096" t="s">
        <v>4211</v>
      </c>
      <c r="E1096" t="s">
        <v>2936</v>
      </c>
      <c r="F1096" t="s">
        <v>3523</v>
      </c>
      <c r="G1096" t="s">
        <v>1107</v>
      </c>
    </row>
    <row r="1097" spans="1:7" x14ac:dyDescent="0.25">
      <c r="A1097" t="s">
        <v>4210</v>
      </c>
      <c r="B1097" t="s">
        <v>4211</v>
      </c>
      <c r="E1097" t="s">
        <v>2936</v>
      </c>
      <c r="F1097" t="s">
        <v>3526</v>
      </c>
      <c r="G1097" t="s">
        <v>1107</v>
      </c>
    </row>
    <row r="1098" spans="1:7" x14ac:dyDescent="0.25">
      <c r="A1098" t="s">
        <v>4210</v>
      </c>
      <c r="B1098" t="s">
        <v>4211</v>
      </c>
      <c r="E1098" t="s">
        <v>2936</v>
      </c>
      <c r="F1098" t="s">
        <v>3529</v>
      </c>
      <c r="G1098" t="s">
        <v>1107</v>
      </c>
    </row>
    <row r="1099" spans="1:7" x14ac:dyDescent="0.25">
      <c r="A1099" t="s">
        <v>4210</v>
      </c>
      <c r="B1099" t="s">
        <v>4211</v>
      </c>
      <c r="E1099" t="s">
        <v>2936</v>
      </c>
      <c r="F1099" t="s">
        <v>3532</v>
      </c>
      <c r="G1099" t="s">
        <v>1107</v>
      </c>
    </row>
    <row r="1100" spans="1:7" x14ac:dyDescent="0.25">
      <c r="A1100" t="s">
        <v>4210</v>
      </c>
      <c r="B1100" t="s">
        <v>4211</v>
      </c>
      <c r="E1100" t="s">
        <v>2936</v>
      </c>
      <c r="F1100" t="s">
        <v>3535</v>
      </c>
      <c r="G1100" t="s">
        <v>1107</v>
      </c>
    </row>
    <row r="1101" spans="1:7" x14ac:dyDescent="0.25">
      <c r="A1101" t="s">
        <v>4210</v>
      </c>
      <c r="B1101" t="s">
        <v>4211</v>
      </c>
      <c r="E1101" t="s">
        <v>2936</v>
      </c>
      <c r="F1101" t="s">
        <v>3538</v>
      </c>
      <c r="G1101" t="s">
        <v>1107</v>
      </c>
    </row>
    <row r="1102" spans="1:7" x14ac:dyDescent="0.25">
      <c r="A1102" t="s">
        <v>4217</v>
      </c>
      <c r="B1102" t="s">
        <v>4212</v>
      </c>
      <c r="F1102" t="s">
        <v>3541</v>
      </c>
      <c r="G1102" t="s">
        <v>1107</v>
      </c>
    </row>
    <row r="1103" spans="1:7" x14ac:dyDescent="0.25">
      <c r="A1103" t="s">
        <v>4217</v>
      </c>
      <c r="B1103" t="s">
        <v>4212</v>
      </c>
      <c r="E1103" t="s">
        <v>2936</v>
      </c>
      <c r="F1103" t="s">
        <v>3544</v>
      </c>
      <c r="G1103" t="s">
        <v>1107</v>
      </c>
    </row>
    <row r="1104" spans="1:7" x14ac:dyDescent="0.25">
      <c r="A1104" t="s">
        <v>4217</v>
      </c>
      <c r="B1104" t="s">
        <v>4212</v>
      </c>
      <c r="E1104" t="s">
        <v>2936</v>
      </c>
      <c r="F1104" t="s">
        <v>3547</v>
      </c>
      <c r="G1104" t="s">
        <v>1107</v>
      </c>
    </row>
    <row r="1105" spans="1:7" x14ac:dyDescent="0.25">
      <c r="A1105" t="s">
        <v>4217</v>
      </c>
      <c r="B1105" t="s">
        <v>4212</v>
      </c>
      <c r="E1105" t="s">
        <v>2936</v>
      </c>
      <c r="F1105" t="s">
        <v>3550</v>
      </c>
      <c r="G1105" t="s">
        <v>1107</v>
      </c>
    </row>
    <row r="1106" spans="1:7" x14ac:dyDescent="0.25">
      <c r="A1106" t="s">
        <v>4217</v>
      </c>
      <c r="B1106" t="s">
        <v>4212</v>
      </c>
      <c r="E1106" t="s">
        <v>2936</v>
      </c>
      <c r="F1106" t="s">
        <v>3553</v>
      </c>
      <c r="G1106" t="s">
        <v>1107</v>
      </c>
    </row>
    <row r="1107" spans="1:7" x14ac:dyDescent="0.25">
      <c r="A1107" t="s">
        <v>4217</v>
      </c>
      <c r="B1107" t="s">
        <v>4212</v>
      </c>
      <c r="E1107" t="s">
        <v>2936</v>
      </c>
      <c r="F1107" t="s">
        <v>3556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3559</v>
      </c>
      <c r="G1108" t="s">
        <v>1107</v>
      </c>
    </row>
    <row r="1109" spans="1:7" x14ac:dyDescent="0.25">
      <c r="A1109" t="s">
        <v>1606</v>
      </c>
      <c r="B1109" t="s">
        <v>4195</v>
      </c>
      <c r="F1109" t="s">
        <v>3562</v>
      </c>
      <c r="G1109" t="s">
        <v>1107</v>
      </c>
    </row>
    <row r="1110" spans="1:7" x14ac:dyDescent="0.25">
      <c r="A1110" t="s">
        <v>1606</v>
      </c>
      <c r="B1110" t="s">
        <v>4218</v>
      </c>
      <c r="F1110" t="s">
        <v>3565</v>
      </c>
      <c r="G1110" t="s">
        <v>1107</v>
      </c>
    </row>
    <row r="1111" spans="1:7" x14ac:dyDescent="0.25">
      <c r="A1111" t="s">
        <v>289</v>
      </c>
      <c r="B1111" t="s">
        <v>4218</v>
      </c>
      <c r="C1111" t="s">
        <v>4212</v>
      </c>
      <c r="F1111" t="s">
        <v>3568</v>
      </c>
      <c r="G1111" t="s">
        <v>1107</v>
      </c>
    </row>
    <row r="1112" spans="1:7" x14ac:dyDescent="0.25">
      <c r="A1112" t="s">
        <v>289</v>
      </c>
      <c r="B1112" t="s">
        <v>4218</v>
      </c>
      <c r="C1112" t="s">
        <v>4212</v>
      </c>
      <c r="E1112" t="s">
        <v>2936</v>
      </c>
      <c r="F1112" t="s">
        <v>3571</v>
      </c>
      <c r="G1112" t="s">
        <v>1107</v>
      </c>
    </row>
    <row r="1113" spans="1:7" x14ac:dyDescent="0.25">
      <c r="A1113" t="s">
        <v>289</v>
      </c>
      <c r="B1113" t="s">
        <v>4218</v>
      </c>
      <c r="C1113" t="s">
        <v>4212</v>
      </c>
      <c r="E1113" t="s">
        <v>2936</v>
      </c>
      <c r="F1113" t="s">
        <v>3574</v>
      </c>
      <c r="G1113" t="s">
        <v>1107</v>
      </c>
    </row>
    <row r="1114" spans="1:7" x14ac:dyDescent="0.25">
      <c r="A1114" t="s">
        <v>289</v>
      </c>
      <c r="B1114" t="s">
        <v>4218</v>
      </c>
      <c r="C1114" t="s">
        <v>4212</v>
      </c>
      <c r="E1114" t="s">
        <v>2936</v>
      </c>
      <c r="F1114" t="s">
        <v>3577</v>
      </c>
      <c r="G1114" t="s">
        <v>1107</v>
      </c>
    </row>
    <row r="1115" spans="1:7" x14ac:dyDescent="0.25">
      <c r="A1115" t="s">
        <v>289</v>
      </c>
      <c r="B1115" t="s">
        <v>4218</v>
      </c>
      <c r="C1115" t="s">
        <v>4212</v>
      </c>
      <c r="E1115" t="s">
        <v>2936</v>
      </c>
      <c r="F1115" t="s">
        <v>3580</v>
      </c>
      <c r="G1115" t="s">
        <v>1107</v>
      </c>
    </row>
    <row r="1116" spans="1:7" x14ac:dyDescent="0.25">
      <c r="A1116" t="s">
        <v>289</v>
      </c>
      <c r="B1116" t="s">
        <v>4218</v>
      </c>
      <c r="C1116" t="s">
        <v>4212</v>
      </c>
      <c r="E1116" t="s">
        <v>2936</v>
      </c>
      <c r="F1116" t="s">
        <v>3583</v>
      </c>
      <c r="G1116" t="s">
        <v>1107</v>
      </c>
    </row>
    <row r="1117" spans="1:7" x14ac:dyDescent="0.25">
      <c r="A1117" t="s">
        <v>289</v>
      </c>
      <c r="B1117" t="s">
        <v>4218</v>
      </c>
      <c r="C1117" t="s">
        <v>4212</v>
      </c>
      <c r="E1117" t="s">
        <v>2936</v>
      </c>
      <c r="F1117" t="s">
        <v>3586</v>
      </c>
      <c r="G1117" t="s">
        <v>1107</v>
      </c>
    </row>
    <row r="1118" spans="1:7" x14ac:dyDescent="0.25">
      <c r="A1118" t="s">
        <v>289</v>
      </c>
      <c r="B1118" t="s">
        <v>4218</v>
      </c>
      <c r="C1118" t="s">
        <v>4212</v>
      </c>
      <c r="E1118" t="s">
        <v>2936</v>
      </c>
      <c r="F1118" t="s">
        <v>3589</v>
      </c>
      <c r="G1118" t="s">
        <v>1107</v>
      </c>
    </row>
    <row r="1119" spans="1:7" x14ac:dyDescent="0.25">
      <c r="A1119" t="s">
        <v>289</v>
      </c>
      <c r="B1119" t="s">
        <v>4218</v>
      </c>
      <c r="C1119" t="s">
        <v>4212</v>
      </c>
      <c r="E1119" t="s">
        <v>2936</v>
      </c>
      <c r="F1119" t="s">
        <v>3592</v>
      </c>
      <c r="G1119" t="s">
        <v>1107</v>
      </c>
    </row>
    <row r="1120" spans="1:7" x14ac:dyDescent="0.25">
      <c r="A1120" t="s">
        <v>289</v>
      </c>
      <c r="B1120" t="s">
        <v>4218</v>
      </c>
      <c r="C1120" t="s">
        <v>4212</v>
      </c>
      <c r="E1120" t="s">
        <v>2936</v>
      </c>
      <c r="F1120" t="s">
        <v>3595</v>
      </c>
      <c r="G1120" t="s">
        <v>1107</v>
      </c>
    </row>
    <row r="1121" spans="1:7" x14ac:dyDescent="0.25">
      <c r="A1121" t="s">
        <v>289</v>
      </c>
      <c r="B1121" t="s">
        <v>4218</v>
      </c>
      <c r="C1121" t="s">
        <v>4212</v>
      </c>
      <c r="E1121" t="s">
        <v>2936</v>
      </c>
      <c r="F1121" t="s">
        <v>3598</v>
      </c>
      <c r="G1121" t="s">
        <v>1107</v>
      </c>
    </row>
    <row r="1122" spans="1:7" x14ac:dyDescent="0.25">
      <c r="A1122" t="s">
        <v>289</v>
      </c>
      <c r="B1122" t="s">
        <v>4218</v>
      </c>
      <c r="C1122" t="s">
        <v>4212</v>
      </c>
      <c r="E1122" t="s">
        <v>2936</v>
      </c>
      <c r="F1122" t="s">
        <v>3601</v>
      </c>
      <c r="G1122" t="s">
        <v>1107</v>
      </c>
    </row>
    <row r="1123" spans="1:7" x14ac:dyDescent="0.25">
      <c r="A1123" t="s">
        <v>289</v>
      </c>
      <c r="B1123" t="s">
        <v>4218</v>
      </c>
      <c r="C1123" t="s">
        <v>4212</v>
      </c>
      <c r="E1123" t="s">
        <v>2936</v>
      </c>
      <c r="F1123" t="s">
        <v>3604</v>
      </c>
      <c r="G1123" t="s">
        <v>1107</v>
      </c>
    </row>
    <row r="1124" spans="1:7" x14ac:dyDescent="0.25">
      <c r="A1124" t="s">
        <v>289</v>
      </c>
      <c r="B1124" t="s">
        <v>4218</v>
      </c>
      <c r="C1124" t="s">
        <v>4212</v>
      </c>
      <c r="E1124" t="s">
        <v>2936</v>
      </c>
      <c r="F1124" t="s">
        <v>3607</v>
      </c>
      <c r="G1124" t="s">
        <v>1107</v>
      </c>
    </row>
    <row r="1125" spans="1:7" x14ac:dyDescent="0.25">
      <c r="A1125" t="s">
        <v>650</v>
      </c>
      <c r="B1125" t="s">
        <v>4218</v>
      </c>
      <c r="C1125" t="s">
        <v>4212</v>
      </c>
      <c r="E1125" t="s">
        <v>4219</v>
      </c>
      <c r="F1125" t="s">
        <v>3610</v>
      </c>
      <c r="G1125" t="s">
        <v>1107</v>
      </c>
    </row>
    <row r="1126" spans="1:7" x14ac:dyDescent="0.25">
      <c r="A1126" t="s">
        <v>289</v>
      </c>
      <c r="B1126" t="s">
        <v>4195</v>
      </c>
      <c r="C1126" t="s">
        <v>4212</v>
      </c>
      <c r="F1126" t="s">
        <v>3613</v>
      </c>
      <c r="G1126" t="s">
        <v>1107</v>
      </c>
    </row>
    <row r="1127" spans="1:7" x14ac:dyDescent="0.25">
      <c r="A1127" t="s">
        <v>289</v>
      </c>
      <c r="B1127" t="s">
        <v>4195</v>
      </c>
      <c r="C1127" t="s">
        <v>4212</v>
      </c>
      <c r="E1127" t="s">
        <v>2936</v>
      </c>
      <c r="F1127" t="s">
        <v>3616</v>
      </c>
      <c r="G1127" t="s">
        <v>1107</v>
      </c>
    </row>
    <row r="1128" spans="1:7" x14ac:dyDescent="0.25">
      <c r="A1128" t="s">
        <v>289</v>
      </c>
      <c r="B1128" t="s">
        <v>4195</v>
      </c>
      <c r="C1128" t="s">
        <v>4212</v>
      </c>
      <c r="E1128" t="s">
        <v>2936</v>
      </c>
      <c r="F1128" t="s">
        <v>3619</v>
      </c>
      <c r="G1128" t="s">
        <v>1107</v>
      </c>
    </row>
    <row r="1129" spans="1:7" x14ac:dyDescent="0.25">
      <c r="A1129" t="s">
        <v>289</v>
      </c>
      <c r="B1129" t="s">
        <v>4195</v>
      </c>
      <c r="C1129" t="s">
        <v>4212</v>
      </c>
      <c r="E1129" t="s">
        <v>2936</v>
      </c>
      <c r="F1129" t="s">
        <v>3622</v>
      </c>
      <c r="G1129" t="s">
        <v>1107</v>
      </c>
    </row>
    <row r="1130" spans="1:7" x14ac:dyDescent="0.25">
      <c r="A1130" t="s">
        <v>289</v>
      </c>
      <c r="B1130" t="s">
        <v>4195</v>
      </c>
      <c r="C1130" t="s">
        <v>4212</v>
      </c>
      <c r="E1130" t="s">
        <v>2936</v>
      </c>
      <c r="F1130" t="s">
        <v>3625</v>
      </c>
      <c r="G1130" t="s">
        <v>1107</v>
      </c>
    </row>
    <row r="1131" spans="1:7" x14ac:dyDescent="0.25">
      <c r="A1131" t="s">
        <v>289</v>
      </c>
      <c r="B1131" t="s">
        <v>4195</v>
      </c>
      <c r="C1131" t="s">
        <v>4212</v>
      </c>
      <c r="E1131" t="s">
        <v>2936</v>
      </c>
      <c r="F1131" t="s">
        <v>3628</v>
      </c>
      <c r="G1131" t="s">
        <v>1107</v>
      </c>
    </row>
    <row r="1132" spans="1:7" x14ac:dyDescent="0.25">
      <c r="A1132" t="s">
        <v>289</v>
      </c>
      <c r="B1132" t="s">
        <v>4195</v>
      </c>
      <c r="C1132" t="s">
        <v>4212</v>
      </c>
      <c r="E1132" t="s">
        <v>2936</v>
      </c>
      <c r="F1132" t="s">
        <v>3631</v>
      </c>
      <c r="G1132" t="s">
        <v>1107</v>
      </c>
    </row>
    <row r="1133" spans="1:7" x14ac:dyDescent="0.25">
      <c r="A1133" t="s">
        <v>289</v>
      </c>
      <c r="B1133" t="s">
        <v>4195</v>
      </c>
      <c r="C1133" t="s">
        <v>4212</v>
      </c>
      <c r="E1133" t="s">
        <v>2936</v>
      </c>
      <c r="F1133" t="s">
        <v>3634</v>
      </c>
      <c r="G1133" t="s">
        <v>1107</v>
      </c>
    </row>
    <row r="1134" spans="1:7" x14ac:dyDescent="0.25">
      <c r="A1134" t="s">
        <v>289</v>
      </c>
      <c r="B1134" t="s">
        <v>4195</v>
      </c>
      <c r="C1134" t="s">
        <v>4212</v>
      </c>
      <c r="E1134" t="s">
        <v>2936</v>
      </c>
      <c r="F1134" t="s">
        <v>3637</v>
      </c>
      <c r="G1134" t="s">
        <v>1107</v>
      </c>
    </row>
    <row r="1135" spans="1:7" x14ac:dyDescent="0.25">
      <c r="A1135" t="s">
        <v>289</v>
      </c>
      <c r="B1135" t="s">
        <v>4195</v>
      </c>
      <c r="C1135" t="s">
        <v>4212</v>
      </c>
      <c r="E1135" t="s">
        <v>2936</v>
      </c>
      <c r="F1135" t="s">
        <v>3640</v>
      </c>
      <c r="G1135" t="s">
        <v>1107</v>
      </c>
    </row>
    <row r="1136" spans="1:7" x14ac:dyDescent="0.25">
      <c r="A1136" t="s">
        <v>289</v>
      </c>
      <c r="B1136" t="s">
        <v>4195</v>
      </c>
      <c r="C1136" t="s">
        <v>4212</v>
      </c>
      <c r="E1136" t="s">
        <v>2936</v>
      </c>
      <c r="F1136" t="s">
        <v>3643</v>
      </c>
      <c r="G1136" t="s">
        <v>1107</v>
      </c>
    </row>
    <row r="1137" spans="1:7" x14ac:dyDescent="0.25">
      <c r="A1137" t="s">
        <v>289</v>
      </c>
      <c r="B1137" t="s">
        <v>4195</v>
      </c>
      <c r="C1137" t="s">
        <v>87</v>
      </c>
      <c r="F1137" t="s">
        <v>3646</v>
      </c>
      <c r="G1137" t="s">
        <v>1107</v>
      </c>
    </row>
    <row r="1138" spans="1:7" x14ac:dyDescent="0.25">
      <c r="A1138" t="s">
        <v>1606</v>
      </c>
      <c r="B1138" t="s">
        <v>4196</v>
      </c>
      <c r="F1138" t="s">
        <v>3649</v>
      </c>
      <c r="G1138" t="s">
        <v>1107</v>
      </c>
    </row>
    <row r="1139" spans="1:7" x14ac:dyDescent="0.25">
      <c r="A1139" t="s">
        <v>1606</v>
      </c>
      <c r="B1139" t="s">
        <v>4196</v>
      </c>
      <c r="E1139" t="s">
        <v>2936</v>
      </c>
      <c r="F1139" t="s">
        <v>3651</v>
      </c>
      <c r="G1139" t="s">
        <v>1107</v>
      </c>
    </row>
    <row r="1140" spans="1:7" x14ac:dyDescent="0.25">
      <c r="A1140" t="s">
        <v>289</v>
      </c>
      <c r="B1140" t="s">
        <v>4196</v>
      </c>
      <c r="C1140" t="s">
        <v>4212</v>
      </c>
      <c r="F1140" t="s">
        <v>3654</v>
      </c>
      <c r="G1140" t="s">
        <v>1107</v>
      </c>
    </row>
    <row r="1141" spans="1:7" x14ac:dyDescent="0.25">
      <c r="A1141" t="s">
        <v>289</v>
      </c>
      <c r="B1141" t="s">
        <v>4196</v>
      </c>
      <c r="C1141" t="s">
        <v>4212</v>
      </c>
      <c r="E1141" t="s">
        <v>2936</v>
      </c>
      <c r="F1141" t="s">
        <v>3657</v>
      </c>
      <c r="G1141" t="s">
        <v>1107</v>
      </c>
    </row>
    <row r="1142" spans="1:7" x14ac:dyDescent="0.25">
      <c r="A1142" t="s">
        <v>289</v>
      </c>
      <c r="B1142" t="s">
        <v>4196</v>
      </c>
      <c r="C1142" t="s">
        <v>4212</v>
      </c>
      <c r="E1142" t="s">
        <v>2936</v>
      </c>
      <c r="F1142" t="s">
        <v>3660</v>
      </c>
      <c r="G1142" t="s">
        <v>1107</v>
      </c>
    </row>
    <row r="1143" spans="1:7" x14ac:dyDescent="0.25">
      <c r="A1143" t="s">
        <v>289</v>
      </c>
      <c r="B1143" t="s">
        <v>4196</v>
      </c>
      <c r="C1143" t="s">
        <v>4212</v>
      </c>
      <c r="E1143" t="s">
        <v>2936</v>
      </c>
      <c r="F1143" t="s">
        <v>3663</v>
      </c>
      <c r="G1143" t="s">
        <v>1107</v>
      </c>
    </row>
    <row r="1144" spans="1:7" x14ac:dyDescent="0.25">
      <c r="A1144" t="s">
        <v>289</v>
      </c>
      <c r="B1144" t="s">
        <v>4196</v>
      </c>
      <c r="C1144" t="s">
        <v>4212</v>
      </c>
      <c r="E1144" t="s">
        <v>2936</v>
      </c>
      <c r="F1144" t="s">
        <v>3666</v>
      </c>
      <c r="G1144" t="s">
        <v>1107</v>
      </c>
    </row>
    <row r="1145" spans="1:7" x14ac:dyDescent="0.25">
      <c r="A1145" t="s">
        <v>289</v>
      </c>
      <c r="B1145" t="s">
        <v>4196</v>
      </c>
      <c r="C1145" t="s">
        <v>4212</v>
      </c>
      <c r="E1145" t="s">
        <v>2936</v>
      </c>
      <c r="F1145" t="s">
        <v>3669</v>
      </c>
      <c r="G1145" t="s">
        <v>1107</v>
      </c>
    </row>
    <row r="1146" spans="1:7" x14ac:dyDescent="0.25">
      <c r="A1146" t="s">
        <v>289</v>
      </c>
      <c r="B1146" t="s">
        <v>4196</v>
      </c>
      <c r="C1146" t="s">
        <v>4212</v>
      </c>
      <c r="E1146" t="s">
        <v>2936</v>
      </c>
      <c r="F1146" t="s">
        <v>3672</v>
      </c>
      <c r="G1146" t="s">
        <v>1107</v>
      </c>
    </row>
    <row r="1147" spans="1:7" x14ac:dyDescent="0.25">
      <c r="A1147" t="s">
        <v>289</v>
      </c>
      <c r="B1147" t="s">
        <v>4196</v>
      </c>
      <c r="C1147" t="s">
        <v>4212</v>
      </c>
      <c r="E1147" t="s">
        <v>2936</v>
      </c>
      <c r="F1147" t="s">
        <v>3675</v>
      </c>
      <c r="G1147" t="s">
        <v>1107</v>
      </c>
    </row>
    <row r="1148" spans="1:7" x14ac:dyDescent="0.25">
      <c r="A1148" t="s">
        <v>289</v>
      </c>
      <c r="B1148" t="s">
        <v>4196</v>
      </c>
      <c r="C1148" t="s">
        <v>4212</v>
      </c>
      <c r="E1148" t="s">
        <v>2936</v>
      </c>
      <c r="F1148" t="s">
        <v>3678</v>
      </c>
      <c r="G1148" t="s">
        <v>1107</v>
      </c>
    </row>
    <row r="1149" spans="1:7" x14ac:dyDescent="0.25">
      <c r="A1149" t="s">
        <v>289</v>
      </c>
      <c r="B1149" t="s">
        <v>4196</v>
      </c>
      <c r="C1149" t="s">
        <v>4212</v>
      </c>
      <c r="E1149" t="s">
        <v>2936</v>
      </c>
      <c r="F1149" t="s">
        <v>3681</v>
      </c>
      <c r="G1149" t="s">
        <v>1107</v>
      </c>
    </row>
    <row r="1150" spans="1:7" x14ac:dyDescent="0.25">
      <c r="A1150" t="s">
        <v>289</v>
      </c>
      <c r="B1150" t="s">
        <v>4196</v>
      </c>
      <c r="C1150" t="s">
        <v>4212</v>
      </c>
      <c r="E1150" t="s">
        <v>2936</v>
      </c>
      <c r="F1150" t="s">
        <v>3684</v>
      </c>
      <c r="G1150" t="s">
        <v>1107</v>
      </c>
    </row>
    <row r="1151" spans="1:7" x14ac:dyDescent="0.25">
      <c r="A1151" t="s">
        <v>289</v>
      </c>
      <c r="B1151" t="s">
        <v>4196</v>
      </c>
      <c r="C1151" t="s">
        <v>4212</v>
      </c>
      <c r="E1151" t="s">
        <v>2936</v>
      </c>
      <c r="F1151" t="s">
        <v>3687</v>
      </c>
      <c r="G1151" t="s">
        <v>1107</v>
      </c>
    </row>
    <row r="1152" spans="1:7" x14ac:dyDescent="0.25">
      <c r="A1152" t="s">
        <v>289</v>
      </c>
      <c r="B1152" t="s">
        <v>4196</v>
      </c>
      <c r="C1152" t="s">
        <v>4212</v>
      </c>
      <c r="E1152" t="s">
        <v>2936</v>
      </c>
      <c r="F1152" t="s">
        <v>3690</v>
      </c>
      <c r="G1152" t="s">
        <v>1107</v>
      </c>
    </row>
    <row r="1153" spans="1:7" x14ac:dyDescent="0.25">
      <c r="A1153" t="s">
        <v>289</v>
      </c>
      <c r="B1153" t="s">
        <v>4196</v>
      </c>
      <c r="C1153" t="s">
        <v>4212</v>
      </c>
      <c r="E1153" t="s">
        <v>2936</v>
      </c>
      <c r="F1153" t="s">
        <v>3693</v>
      </c>
      <c r="G1153" t="s">
        <v>1107</v>
      </c>
    </row>
    <row r="1154" spans="1:7" x14ac:dyDescent="0.25">
      <c r="A1154" t="s">
        <v>289</v>
      </c>
      <c r="B1154" t="s">
        <v>4196</v>
      </c>
      <c r="C1154" t="s">
        <v>4212</v>
      </c>
      <c r="E1154" t="s">
        <v>2936</v>
      </c>
      <c r="F1154" t="s">
        <v>3696</v>
      </c>
      <c r="G1154" t="s">
        <v>1107</v>
      </c>
    </row>
    <row r="1155" spans="1:7" x14ac:dyDescent="0.25">
      <c r="A1155" t="s">
        <v>289</v>
      </c>
      <c r="B1155" t="s">
        <v>4196</v>
      </c>
      <c r="C1155" t="s">
        <v>4212</v>
      </c>
      <c r="E1155" t="s">
        <v>2936</v>
      </c>
      <c r="F1155" t="s">
        <v>3699</v>
      </c>
      <c r="G1155" t="s">
        <v>1107</v>
      </c>
    </row>
    <row r="1156" spans="1:7" x14ac:dyDescent="0.25">
      <c r="A1156" t="s">
        <v>289</v>
      </c>
      <c r="B1156" t="s">
        <v>4196</v>
      </c>
      <c r="C1156" t="s">
        <v>4212</v>
      </c>
      <c r="E1156" t="s">
        <v>2936</v>
      </c>
      <c r="F1156" t="s">
        <v>3702</v>
      </c>
      <c r="G1156" t="s">
        <v>1107</v>
      </c>
    </row>
    <row r="1157" spans="1:7" x14ac:dyDescent="0.25">
      <c r="A1157" t="s">
        <v>289</v>
      </c>
      <c r="B1157" t="s">
        <v>4196</v>
      </c>
      <c r="C1157" t="s">
        <v>4212</v>
      </c>
      <c r="E1157" t="s">
        <v>2936</v>
      </c>
      <c r="F1157" t="s">
        <v>3705</v>
      </c>
      <c r="G1157" t="s">
        <v>1107</v>
      </c>
    </row>
    <row r="1158" spans="1:7" x14ac:dyDescent="0.25">
      <c r="A1158" t="s">
        <v>289</v>
      </c>
      <c r="B1158" t="s">
        <v>4196</v>
      </c>
      <c r="C1158" t="s">
        <v>4212</v>
      </c>
      <c r="E1158" t="s">
        <v>2936</v>
      </c>
      <c r="F1158" t="s">
        <v>3708</v>
      </c>
      <c r="G1158" t="s">
        <v>1107</v>
      </c>
    </row>
    <row r="1159" spans="1:7" x14ac:dyDescent="0.25">
      <c r="A1159" t="s">
        <v>289</v>
      </c>
      <c r="B1159" t="s">
        <v>4196</v>
      </c>
      <c r="C1159" t="s">
        <v>4212</v>
      </c>
      <c r="E1159" t="s">
        <v>2936</v>
      </c>
      <c r="F1159" t="s">
        <v>3711</v>
      </c>
      <c r="G1159" t="s">
        <v>1107</v>
      </c>
    </row>
    <row r="1160" spans="1:7" x14ac:dyDescent="0.25">
      <c r="A1160" t="s">
        <v>471</v>
      </c>
      <c r="B1160" t="s">
        <v>4196</v>
      </c>
      <c r="F1160" t="s">
        <v>3714</v>
      </c>
      <c r="G1160" t="s">
        <v>1107</v>
      </c>
    </row>
    <row r="1161" spans="1:7" x14ac:dyDescent="0.25">
      <c r="A1161" t="s">
        <v>650</v>
      </c>
      <c r="B1161" t="s">
        <v>4196</v>
      </c>
      <c r="C1161" t="s">
        <v>4212</v>
      </c>
      <c r="E1161" t="s">
        <v>4220</v>
      </c>
      <c r="F1161" t="s">
        <v>3717</v>
      </c>
      <c r="G1161" t="s">
        <v>1107</v>
      </c>
    </row>
    <row r="1162" spans="1:7" x14ac:dyDescent="0.25">
      <c r="A1162" t="s">
        <v>2004</v>
      </c>
      <c r="F1162" t="s">
        <v>3719</v>
      </c>
      <c r="G1162" t="s">
        <v>796</v>
      </c>
    </row>
    <row r="1163" spans="1:7" x14ac:dyDescent="0.25">
      <c r="A1163" t="s">
        <v>2004</v>
      </c>
      <c r="F1163" t="s">
        <v>3722</v>
      </c>
      <c r="G1163" t="s">
        <v>796</v>
      </c>
    </row>
    <row r="1164" spans="1:7" x14ac:dyDescent="0.25">
      <c r="A1164" t="s">
        <v>2004</v>
      </c>
      <c r="F1164" t="s">
        <v>3725</v>
      </c>
      <c r="G1164" t="s">
        <v>796</v>
      </c>
    </row>
    <row r="1165" spans="1:7" x14ac:dyDescent="0.25">
      <c r="A1165" t="s">
        <v>2004</v>
      </c>
      <c r="F1165" t="s">
        <v>3728</v>
      </c>
      <c r="G1165" t="s">
        <v>796</v>
      </c>
    </row>
    <row r="1166" spans="1:7" x14ac:dyDescent="0.25">
      <c r="A1166" t="s">
        <v>2004</v>
      </c>
      <c r="F1166" t="s">
        <v>3731</v>
      </c>
      <c r="G1166" t="s">
        <v>796</v>
      </c>
    </row>
    <row r="1167" spans="1:7" x14ac:dyDescent="0.25">
      <c r="A1167" t="s">
        <v>1091</v>
      </c>
      <c r="B1167" t="s">
        <v>4221</v>
      </c>
      <c r="C1167" t="s">
        <v>1099</v>
      </c>
      <c r="D1167">
        <v>4</v>
      </c>
      <c r="F1167" t="s">
        <v>3734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3737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3740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3743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3746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3749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3752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3755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3758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3761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3764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3767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3770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3773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3776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3779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3782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3785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3788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3791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3794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3797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3800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3803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3806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3809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3812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3815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3818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3821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3824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3827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3830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3833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3836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3839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3842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3845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3848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3851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3854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3857</v>
      </c>
      <c r="G1208" t="s">
        <v>1100</v>
      </c>
    </row>
    <row r="1209" spans="1:7" x14ac:dyDescent="0.25">
      <c r="A1209" t="s">
        <v>4222</v>
      </c>
      <c r="B1209" t="s">
        <v>86</v>
      </c>
      <c r="C1209" t="s">
        <v>58</v>
      </c>
      <c r="F1209" t="s">
        <v>3860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3863</v>
      </c>
      <c r="G1210" t="s">
        <v>1100</v>
      </c>
    </row>
    <row r="1211" spans="1:7" x14ac:dyDescent="0.25">
      <c r="A1211" t="s">
        <v>4</v>
      </c>
      <c r="B1211" t="s">
        <v>4223</v>
      </c>
      <c r="C1211" t="s">
        <v>1099</v>
      </c>
      <c r="F1211" t="s">
        <v>3866</v>
      </c>
      <c r="G1211" t="s">
        <v>1100</v>
      </c>
    </row>
    <row r="1212" spans="1:7" x14ac:dyDescent="0.25">
      <c r="A1212" t="s">
        <v>4224</v>
      </c>
      <c r="B1212" t="s">
        <v>86</v>
      </c>
      <c r="C1212" t="s">
        <v>200</v>
      </c>
      <c r="E1212" t="s">
        <v>4225</v>
      </c>
      <c r="F1212" t="s">
        <v>3869</v>
      </c>
      <c r="G1212" s="1" t="s">
        <v>1603</v>
      </c>
    </row>
    <row r="1213" spans="1:7" x14ac:dyDescent="0.25">
      <c r="A1213" t="s">
        <v>4226</v>
      </c>
      <c r="B1213" t="s">
        <v>86</v>
      </c>
      <c r="F1213" t="s">
        <v>3872</v>
      </c>
      <c r="G1213" s="1" t="s">
        <v>1603</v>
      </c>
    </row>
    <row r="1214" spans="1:7" x14ac:dyDescent="0.25">
      <c r="A1214" t="s">
        <v>4224</v>
      </c>
      <c r="B1214" t="s">
        <v>86</v>
      </c>
      <c r="C1214" t="s">
        <v>200</v>
      </c>
      <c r="E1214" t="s">
        <v>1605</v>
      </c>
      <c r="F1214" t="s">
        <v>3875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3878</v>
      </c>
      <c r="G1215" s="1" t="s">
        <v>1603</v>
      </c>
    </row>
    <row r="1216" spans="1:7" x14ac:dyDescent="0.25">
      <c r="A1216" t="s">
        <v>4227</v>
      </c>
      <c r="B1216" t="s">
        <v>70</v>
      </c>
      <c r="C1216" t="s">
        <v>58</v>
      </c>
      <c r="F1216" t="s">
        <v>3881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3884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3887</v>
      </c>
      <c r="G1218" s="1" t="s">
        <v>1603</v>
      </c>
    </row>
    <row r="1219" spans="1:7" x14ac:dyDescent="0.25">
      <c r="A1219" t="s">
        <v>4228</v>
      </c>
      <c r="B1219" t="s">
        <v>4229</v>
      </c>
      <c r="C1219" t="s">
        <v>58</v>
      </c>
      <c r="E1219" t="s">
        <v>4230</v>
      </c>
      <c r="F1219" t="s">
        <v>3890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3893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3896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3899</v>
      </c>
      <c r="G1222" s="1" t="s">
        <v>1603</v>
      </c>
    </row>
    <row r="1223" spans="1:7" x14ac:dyDescent="0.25">
      <c r="A1223" t="s">
        <v>4224</v>
      </c>
      <c r="B1223" t="s">
        <v>86</v>
      </c>
      <c r="C1223" t="s">
        <v>528</v>
      </c>
      <c r="E1223" t="s">
        <v>1605</v>
      </c>
      <c r="F1223" t="s">
        <v>3902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3905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4231</v>
      </c>
      <c r="F1225" t="s">
        <v>3908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3911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3914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4232</v>
      </c>
      <c r="E1228" t="s">
        <v>1611</v>
      </c>
      <c r="F1228" t="s">
        <v>3917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4232</v>
      </c>
      <c r="E1229" t="s">
        <v>2936</v>
      </c>
      <c r="F1229" t="s">
        <v>3920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4232</v>
      </c>
      <c r="E1230" t="s">
        <v>1611</v>
      </c>
      <c r="F1230" t="s">
        <v>3923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4232</v>
      </c>
      <c r="E1231" t="s">
        <v>2954</v>
      </c>
      <c r="F1231" t="s">
        <v>3926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3929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3932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3935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3938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3941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3944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3947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3950</v>
      </c>
      <c r="G1239" s="1" t="s">
        <v>1603</v>
      </c>
    </row>
    <row r="1240" spans="1:7" x14ac:dyDescent="0.25">
      <c r="A1240" t="s">
        <v>4233</v>
      </c>
      <c r="B1240" t="s">
        <v>70</v>
      </c>
      <c r="C1240" t="s">
        <v>58</v>
      </c>
      <c r="F1240" t="s">
        <v>3953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4234</v>
      </c>
      <c r="E1241" t="s">
        <v>1618</v>
      </c>
      <c r="F1241" t="s">
        <v>3956</v>
      </c>
      <c r="G1241" s="1" t="s">
        <v>1603</v>
      </c>
    </row>
    <row r="1242" spans="1:7" x14ac:dyDescent="0.25">
      <c r="A1242" t="s">
        <v>4236</v>
      </c>
      <c r="B1242" t="s">
        <v>70</v>
      </c>
      <c r="C1242" t="s">
        <v>4234</v>
      </c>
      <c r="F1242" t="s">
        <v>3959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4234</v>
      </c>
      <c r="E1243" t="s">
        <v>4235</v>
      </c>
      <c r="F1243" t="s">
        <v>3962</v>
      </c>
      <c r="G1243" s="1" t="s">
        <v>1603</v>
      </c>
    </row>
    <row r="1244" spans="1:7" x14ac:dyDescent="0.25">
      <c r="A1244" t="s">
        <v>1606</v>
      </c>
      <c r="B1244" t="s">
        <v>4193</v>
      </c>
      <c r="F1244" t="s">
        <v>3963</v>
      </c>
      <c r="G1244" s="1" t="s">
        <v>1603</v>
      </c>
    </row>
    <row r="1245" spans="1:7" x14ac:dyDescent="0.25">
      <c r="A1245" t="s">
        <v>289</v>
      </c>
      <c r="B1245" t="s">
        <v>4193</v>
      </c>
      <c r="C1245" t="s">
        <v>58</v>
      </c>
      <c r="E1245" t="s">
        <v>1620</v>
      </c>
      <c r="F1245" t="s">
        <v>3966</v>
      </c>
      <c r="G1245" s="1" t="s">
        <v>1603</v>
      </c>
    </row>
    <row r="1246" spans="1:7" x14ac:dyDescent="0.25">
      <c r="A1246" t="s">
        <v>289</v>
      </c>
      <c r="B1246" t="s">
        <v>4193</v>
      </c>
      <c r="C1246" t="s">
        <v>58</v>
      </c>
      <c r="E1246" t="s">
        <v>2936</v>
      </c>
      <c r="F1246" t="s">
        <v>3969</v>
      </c>
      <c r="G1246" s="1" t="s">
        <v>1603</v>
      </c>
    </row>
    <row r="1247" spans="1:7" x14ac:dyDescent="0.25">
      <c r="A1247" t="s">
        <v>289</v>
      </c>
      <c r="B1247" t="s">
        <v>4193</v>
      </c>
      <c r="C1247" t="s">
        <v>58</v>
      </c>
      <c r="E1247" t="s">
        <v>2936</v>
      </c>
      <c r="F1247" t="s">
        <v>3972</v>
      </c>
      <c r="G1247" s="1" t="s">
        <v>1603</v>
      </c>
    </row>
    <row r="1248" spans="1:7" x14ac:dyDescent="0.25">
      <c r="A1248" t="s">
        <v>289</v>
      </c>
      <c r="B1248" t="s">
        <v>4193</v>
      </c>
      <c r="C1248" t="s">
        <v>58</v>
      </c>
      <c r="E1248" t="s">
        <v>2936</v>
      </c>
      <c r="F1248" t="s">
        <v>3975</v>
      </c>
      <c r="G1248" s="1" t="s">
        <v>1603</v>
      </c>
    </row>
    <row r="1249" spans="1:7" x14ac:dyDescent="0.25">
      <c r="A1249" t="s">
        <v>289</v>
      </c>
      <c r="B1249" t="s">
        <v>4193</v>
      </c>
      <c r="C1249" t="s">
        <v>58</v>
      </c>
      <c r="E1249" t="s">
        <v>2936</v>
      </c>
      <c r="F1249" t="s">
        <v>3978</v>
      </c>
      <c r="G1249" s="1" t="s">
        <v>1603</v>
      </c>
    </row>
    <row r="1250" spans="1:7" x14ac:dyDescent="0.25">
      <c r="A1250" t="s">
        <v>289</v>
      </c>
      <c r="B1250" t="s">
        <v>4193</v>
      </c>
      <c r="C1250" t="s">
        <v>58</v>
      </c>
      <c r="E1250" t="s">
        <v>2936</v>
      </c>
      <c r="F1250" t="s">
        <v>3981</v>
      </c>
      <c r="G1250" s="1" t="s">
        <v>1603</v>
      </c>
    </row>
    <row r="1251" spans="1:7" x14ac:dyDescent="0.25">
      <c r="A1251" t="s">
        <v>289</v>
      </c>
      <c r="B1251" t="s">
        <v>4193</v>
      </c>
      <c r="C1251" t="s">
        <v>58</v>
      </c>
      <c r="E1251" t="s">
        <v>2936</v>
      </c>
      <c r="F1251" t="s">
        <v>3984</v>
      </c>
      <c r="G1251" s="1" t="s">
        <v>1603</v>
      </c>
    </row>
    <row r="1252" spans="1:7" x14ac:dyDescent="0.25">
      <c r="A1252" t="s">
        <v>2013</v>
      </c>
      <c r="B1252" t="s">
        <v>4193</v>
      </c>
      <c r="E1252" t="s">
        <v>4237</v>
      </c>
      <c r="F1252" t="s">
        <v>3987</v>
      </c>
      <c r="G1252" s="1" t="s">
        <v>1603</v>
      </c>
    </row>
    <row r="1253" spans="1:7" x14ac:dyDescent="0.25">
      <c r="A1253" t="s">
        <v>289</v>
      </c>
      <c r="B1253" t="s">
        <v>4193</v>
      </c>
      <c r="C1253" t="s">
        <v>58</v>
      </c>
      <c r="F1253" t="s">
        <v>3990</v>
      </c>
      <c r="G1253" s="1" t="s">
        <v>1603</v>
      </c>
    </row>
    <row r="1254" spans="1:7" x14ac:dyDescent="0.25">
      <c r="A1254" t="s">
        <v>289</v>
      </c>
      <c r="B1254" t="s">
        <v>4193</v>
      </c>
      <c r="C1254" t="s">
        <v>58</v>
      </c>
      <c r="E1254" t="s">
        <v>2936</v>
      </c>
      <c r="F1254" t="s">
        <v>3993</v>
      </c>
      <c r="G1254" s="1" t="s">
        <v>1603</v>
      </c>
    </row>
    <row r="1255" spans="1:7" x14ac:dyDescent="0.25">
      <c r="A1255" t="s">
        <v>289</v>
      </c>
      <c r="B1255" t="s">
        <v>4193</v>
      </c>
      <c r="C1255" t="s">
        <v>58</v>
      </c>
      <c r="E1255" t="s">
        <v>2936</v>
      </c>
      <c r="F1255" t="s">
        <v>3996</v>
      </c>
      <c r="G1255" s="1" t="s">
        <v>1603</v>
      </c>
    </row>
    <row r="1256" spans="1:7" x14ac:dyDescent="0.25">
      <c r="A1256" t="s">
        <v>4233</v>
      </c>
      <c r="B1256" t="s">
        <v>4193</v>
      </c>
      <c r="C1256" t="s">
        <v>58</v>
      </c>
      <c r="F1256" t="s">
        <v>3999</v>
      </c>
      <c r="G1256" s="1" t="s">
        <v>1603</v>
      </c>
    </row>
    <row r="1257" spans="1:7" x14ac:dyDescent="0.25">
      <c r="A1257" t="s">
        <v>2013</v>
      </c>
      <c r="B1257" t="s">
        <v>4193</v>
      </c>
      <c r="E1257" t="s">
        <v>4238</v>
      </c>
      <c r="F1257" t="s">
        <v>4002</v>
      </c>
      <c r="G1257" s="1" t="s">
        <v>1603</v>
      </c>
    </row>
    <row r="1258" spans="1:7" x14ac:dyDescent="0.25">
      <c r="A1258" t="s">
        <v>289</v>
      </c>
      <c r="B1258" t="s">
        <v>4193</v>
      </c>
      <c r="C1258" t="s">
        <v>58</v>
      </c>
      <c r="F1258" t="s">
        <v>4005</v>
      </c>
      <c r="G1258" s="1" t="s">
        <v>1603</v>
      </c>
    </row>
    <row r="1259" spans="1:7" x14ac:dyDescent="0.25">
      <c r="A1259" t="s">
        <v>289</v>
      </c>
      <c r="B1259" t="s">
        <v>4193</v>
      </c>
      <c r="C1259" t="s">
        <v>58</v>
      </c>
      <c r="E1259" t="s">
        <v>2936</v>
      </c>
      <c r="F1259" t="s">
        <v>4008</v>
      </c>
      <c r="G1259" s="1" t="s">
        <v>1603</v>
      </c>
    </row>
    <row r="1260" spans="1:7" x14ac:dyDescent="0.25">
      <c r="A1260" t="s">
        <v>289</v>
      </c>
      <c r="B1260" t="s">
        <v>4193</v>
      </c>
      <c r="C1260" t="s">
        <v>58</v>
      </c>
      <c r="E1260" t="s">
        <v>2936</v>
      </c>
      <c r="F1260" t="s">
        <v>4011</v>
      </c>
      <c r="G1260" s="1" t="s">
        <v>1603</v>
      </c>
    </row>
    <row r="1261" spans="1:7" x14ac:dyDescent="0.25">
      <c r="A1261" t="s">
        <v>289</v>
      </c>
      <c r="B1261" t="s">
        <v>4193</v>
      </c>
      <c r="C1261" t="s">
        <v>58</v>
      </c>
      <c r="E1261" t="s">
        <v>2936</v>
      </c>
      <c r="F1261" t="s">
        <v>4014</v>
      </c>
      <c r="G1261" s="1" t="s">
        <v>1603</v>
      </c>
    </row>
    <row r="1262" spans="1:7" x14ac:dyDescent="0.25">
      <c r="A1262" t="s">
        <v>4236</v>
      </c>
      <c r="B1262" t="s">
        <v>4193</v>
      </c>
      <c r="C1262" t="s">
        <v>58</v>
      </c>
      <c r="F1262" t="s">
        <v>4017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4239</v>
      </c>
      <c r="E1263" t="s">
        <v>4240</v>
      </c>
      <c r="F1263" t="s">
        <v>4020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4241</v>
      </c>
      <c r="F1264" t="s">
        <v>4023</v>
      </c>
      <c r="G1264" s="1" t="s">
        <v>1603</v>
      </c>
    </row>
    <row r="1265" spans="1:7" x14ac:dyDescent="0.25">
      <c r="A1265" t="s">
        <v>4242</v>
      </c>
      <c r="B1265" t="s">
        <v>86</v>
      </c>
      <c r="C1265" t="s">
        <v>4241</v>
      </c>
      <c r="E1265" t="s">
        <v>4237</v>
      </c>
      <c r="F1265" t="s">
        <v>4026</v>
      </c>
      <c r="G1265" s="1" t="s">
        <v>1603</v>
      </c>
    </row>
    <row r="1266" spans="1:7" x14ac:dyDescent="0.25">
      <c r="A1266" t="s">
        <v>3074</v>
      </c>
      <c r="B1266" t="s">
        <v>86</v>
      </c>
      <c r="C1266" t="s">
        <v>58</v>
      </c>
      <c r="E1266" t="s">
        <v>1620</v>
      </c>
      <c r="F1266" t="s">
        <v>4029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4032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2959</v>
      </c>
      <c r="F1268" t="s">
        <v>4035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2959</v>
      </c>
      <c r="F1269" t="s">
        <v>4038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2959</v>
      </c>
      <c r="F1270" t="s">
        <v>4041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2959</v>
      </c>
      <c r="F1271" t="s">
        <v>4044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2959</v>
      </c>
      <c r="F1272" t="s">
        <v>4047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2959</v>
      </c>
      <c r="F1273" t="s">
        <v>4050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2959</v>
      </c>
      <c r="F1274" t="s">
        <v>4053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2959</v>
      </c>
      <c r="F1275" t="s">
        <v>4056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2959</v>
      </c>
      <c r="F1276" t="s">
        <v>4059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2959</v>
      </c>
      <c r="F1277" t="s">
        <v>4062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2959</v>
      </c>
      <c r="F1278" t="s">
        <v>4065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4068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4071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4243</v>
      </c>
      <c r="D1281">
        <v>2</v>
      </c>
      <c r="E1281" t="s">
        <v>4244</v>
      </c>
      <c r="F1281" t="s">
        <v>4074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4243</v>
      </c>
      <c r="D1282">
        <v>2</v>
      </c>
      <c r="E1282" t="s">
        <v>4244</v>
      </c>
      <c r="F1282" t="s">
        <v>4077</v>
      </c>
      <c r="G1282" t="s">
        <v>1817</v>
      </c>
    </row>
    <row r="1283" spans="1:7" x14ac:dyDescent="0.25">
      <c r="A1283" t="s">
        <v>4217</v>
      </c>
      <c r="B1283" t="s">
        <v>531</v>
      </c>
      <c r="C1283" t="s">
        <v>58</v>
      </c>
      <c r="E1283" t="s">
        <v>4245</v>
      </c>
      <c r="F1283" t="s">
        <v>4080</v>
      </c>
      <c r="G1283" t="s">
        <v>1817</v>
      </c>
    </row>
    <row r="1284" spans="1:7" x14ac:dyDescent="0.25">
      <c r="A1284" t="s">
        <v>4217</v>
      </c>
      <c r="B1284" t="s">
        <v>531</v>
      </c>
      <c r="C1284" t="s">
        <v>58</v>
      </c>
      <c r="E1284" t="s">
        <v>2936</v>
      </c>
      <c r="F1284" t="s">
        <v>4083</v>
      </c>
      <c r="G1284" t="s">
        <v>1817</v>
      </c>
    </row>
    <row r="1285" spans="1:7" x14ac:dyDescent="0.25">
      <c r="A1285" t="s">
        <v>4217</v>
      </c>
      <c r="B1285" t="s">
        <v>531</v>
      </c>
      <c r="C1285" t="s">
        <v>58</v>
      </c>
      <c r="E1285" t="s">
        <v>2936</v>
      </c>
      <c r="F1285" t="s">
        <v>4086</v>
      </c>
      <c r="G1285" t="s">
        <v>1817</v>
      </c>
    </row>
    <row r="1286" spans="1:7" x14ac:dyDescent="0.25">
      <c r="A1286" t="s">
        <v>4217</v>
      </c>
      <c r="B1286" t="s">
        <v>531</v>
      </c>
      <c r="C1286" t="s">
        <v>58</v>
      </c>
      <c r="E1286" t="s">
        <v>2936</v>
      </c>
      <c r="F1286" t="s">
        <v>4089</v>
      </c>
      <c r="G1286" t="s">
        <v>1817</v>
      </c>
    </row>
    <row r="1287" spans="1:7" x14ac:dyDescent="0.25">
      <c r="A1287" t="s">
        <v>4217</v>
      </c>
      <c r="B1287" t="s">
        <v>531</v>
      </c>
      <c r="C1287" t="s">
        <v>58</v>
      </c>
      <c r="E1287" t="s">
        <v>2936</v>
      </c>
      <c r="F1287" t="s">
        <v>4092</v>
      </c>
      <c r="G1287" t="s">
        <v>1817</v>
      </c>
    </row>
    <row r="1288" spans="1:7" x14ac:dyDescent="0.25">
      <c r="A1288" t="s">
        <v>289</v>
      </c>
      <c r="B1288" t="s">
        <v>4193</v>
      </c>
      <c r="C1288" t="s">
        <v>58</v>
      </c>
      <c r="F1288" t="s">
        <v>4095</v>
      </c>
      <c r="G1288" t="s">
        <v>1817</v>
      </c>
    </row>
    <row r="1289" spans="1:7" x14ac:dyDescent="0.25">
      <c r="A1289" t="s">
        <v>289</v>
      </c>
      <c r="B1289" t="s">
        <v>4193</v>
      </c>
      <c r="C1289" t="s">
        <v>58</v>
      </c>
      <c r="E1289" t="s">
        <v>2936</v>
      </c>
      <c r="F1289" t="s">
        <v>4098</v>
      </c>
      <c r="G1289" t="s">
        <v>1817</v>
      </c>
    </row>
    <row r="1290" spans="1:7" x14ac:dyDescent="0.25">
      <c r="A1290" t="s">
        <v>289</v>
      </c>
      <c r="B1290" t="s">
        <v>4193</v>
      </c>
      <c r="C1290" t="s">
        <v>58</v>
      </c>
      <c r="E1290" t="s">
        <v>2936</v>
      </c>
      <c r="F1290" t="s">
        <v>4101</v>
      </c>
      <c r="G1290" t="s">
        <v>1817</v>
      </c>
    </row>
    <row r="1291" spans="1:7" x14ac:dyDescent="0.25">
      <c r="A1291" t="s">
        <v>289</v>
      </c>
      <c r="B1291" t="s">
        <v>4193</v>
      </c>
      <c r="C1291" t="s">
        <v>58</v>
      </c>
      <c r="E1291" t="s">
        <v>2936</v>
      </c>
      <c r="F1291" t="s">
        <v>4104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4107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4110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4246</v>
      </c>
      <c r="F1294" t="s">
        <v>4113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4246</v>
      </c>
      <c r="F1295" t="s">
        <v>4116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4119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4122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4125</v>
      </c>
      <c r="G1298" t="s">
        <v>1817</v>
      </c>
    </row>
    <row r="1299" spans="1:7" x14ac:dyDescent="0.25">
      <c r="A1299" t="s">
        <v>7</v>
      </c>
      <c r="F1299" t="s">
        <v>4128</v>
      </c>
      <c r="G1299" t="s">
        <v>1934</v>
      </c>
    </row>
    <row r="1300" spans="1:7" x14ac:dyDescent="0.25">
      <c r="A1300" t="s">
        <v>4247</v>
      </c>
      <c r="B1300" t="s">
        <v>4248</v>
      </c>
      <c r="F1300" t="s">
        <v>4131</v>
      </c>
      <c r="G1300" t="s">
        <v>1934</v>
      </c>
    </row>
    <row r="1301" spans="1:7" x14ac:dyDescent="0.25">
      <c r="A1301" t="s">
        <v>4247</v>
      </c>
      <c r="B1301" t="s">
        <v>4248</v>
      </c>
      <c r="F1301" t="s">
        <v>4134</v>
      </c>
      <c r="G1301" t="s">
        <v>1934</v>
      </c>
    </row>
    <row r="1302" spans="1:7" x14ac:dyDescent="0.25">
      <c r="A1302" t="s">
        <v>4247</v>
      </c>
      <c r="B1302" t="s">
        <v>4248</v>
      </c>
      <c r="F1302" t="s">
        <v>4137</v>
      </c>
      <c r="G1302" t="s">
        <v>1934</v>
      </c>
    </row>
    <row r="1303" spans="1:7" x14ac:dyDescent="0.25">
      <c r="A1303" t="s">
        <v>4247</v>
      </c>
      <c r="B1303" t="s">
        <v>4248</v>
      </c>
      <c r="F1303" t="s">
        <v>4140</v>
      </c>
      <c r="G1303" t="s">
        <v>1934</v>
      </c>
    </row>
    <row r="1304" spans="1:7" x14ac:dyDescent="0.25">
      <c r="A1304" t="s">
        <v>4247</v>
      </c>
      <c r="B1304" t="s">
        <v>4248</v>
      </c>
      <c r="F1304" t="s">
        <v>4143</v>
      </c>
      <c r="G1304" t="s">
        <v>1934</v>
      </c>
    </row>
    <row r="1305" spans="1:7" x14ac:dyDescent="0.25">
      <c r="A1305" t="s">
        <v>7</v>
      </c>
      <c r="B1305" t="s">
        <v>4249</v>
      </c>
      <c r="F1305" t="s">
        <v>4146</v>
      </c>
      <c r="G1305" t="s">
        <v>1934</v>
      </c>
    </row>
    <row r="1306" spans="1:7" x14ac:dyDescent="0.25">
      <c r="A1306" t="s">
        <v>7</v>
      </c>
      <c r="B1306" t="s">
        <v>4249</v>
      </c>
      <c r="F1306" t="s">
        <v>4149</v>
      </c>
      <c r="G1306" t="s">
        <v>1934</v>
      </c>
    </row>
    <row r="1307" spans="1:7" x14ac:dyDescent="0.25">
      <c r="A1307" t="s">
        <v>7</v>
      </c>
      <c r="B1307" t="s">
        <v>4249</v>
      </c>
      <c r="F1307" t="s">
        <v>4152</v>
      </c>
      <c r="G1307" t="s">
        <v>1934</v>
      </c>
    </row>
    <row r="1308" spans="1:7" x14ac:dyDescent="0.25">
      <c r="A1308" t="s">
        <v>7</v>
      </c>
      <c r="B1308" t="s">
        <v>4249</v>
      </c>
      <c r="F1308" t="s">
        <v>4155</v>
      </c>
      <c r="G1308" t="s">
        <v>1934</v>
      </c>
    </row>
    <row r="1309" spans="1:7" x14ac:dyDescent="0.25">
      <c r="A1309" t="s">
        <v>7</v>
      </c>
      <c r="B1309" t="s">
        <v>4249</v>
      </c>
      <c r="F1309" t="s">
        <v>4158</v>
      </c>
      <c r="G1309" t="s">
        <v>1934</v>
      </c>
    </row>
    <row r="1310" spans="1:7" x14ac:dyDescent="0.25">
      <c r="A1310" t="s">
        <v>7</v>
      </c>
      <c r="B1310" t="s">
        <v>4249</v>
      </c>
      <c r="F1310" t="s">
        <v>4161</v>
      </c>
      <c r="G1310" t="s">
        <v>1934</v>
      </c>
    </row>
    <row r="1311" spans="1:7" x14ac:dyDescent="0.25">
      <c r="A1311" t="s">
        <v>4</v>
      </c>
      <c r="B1311" t="s">
        <v>8</v>
      </c>
      <c r="F1311" t="s">
        <v>4164</v>
      </c>
      <c r="G1311" t="s">
        <v>1934</v>
      </c>
    </row>
    <row r="1312" spans="1:7" x14ac:dyDescent="0.25">
      <c r="A1312" t="s">
        <v>2014</v>
      </c>
      <c r="F1312" t="s">
        <v>4167</v>
      </c>
      <c r="G1312" t="s">
        <v>1997</v>
      </c>
    </row>
    <row r="1313" spans="1:7" x14ac:dyDescent="0.25">
      <c r="A1313" t="s">
        <v>4</v>
      </c>
      <c r="B1313" t="s">
        <v>4250</v>
      </c>
      <c r="F1313" t="s">
        <v>4170</v>
      </c>
      <c r="G1313" t="s">
        <v>1997</v>
      </c>
    </row>
    <row r="1314" spans="1:7" x14ac:dyDescent="0.25">
      <c r="A1314" t="s">
        <v>4</v>
      </c>
      <c r="B1314" t="s">
        <v>4251</v>
      </c>
      <c r="F1314" t="s">
        <v>4173</v>
      </c>
      <c r="G1314" t="s">
        <v>1997</v>
      </c>
    </row>
    <row r="1315" spans="1:7" x14ac:dyDescent="0.25">
      <c r="A1315" t="s">
        <v>4</v>
      </c>
      <c r="B1315" t="s">
        <v>4252</v>
      </c>
      <c r="F1315" t="s">
        <v>4176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4179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4182</v>
      </c>
      <c r="G1317" t="s">
        <v>1997</v>
      </c>
    </row>
    <row r="1318" spans="1:7" x14ac:dyDescent="0.25">
      <c r="A1318" t="s">
        <v>4213</v>
      </c>
      <c r="F1318" t="s">
        <v>4188</v>
      </c>
      <c r="G1318" t="s">
        <v>1997</v>
      </c>
    </row>
    <row r="1319" spans="1:7" x14ac:dyDescent="0.25">
      <c r="A1319" t="s">
        <v>2004</v>
      </c>
      <c r="F1319" t="s">
        <v>4185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4253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4256</v>
      </c>
      <c r="G1321" t="s">
        <v>1102</v>
      </c>
    </row>
    <row r="1322" spans="1:7" x14ac:dyDescent="0.25">
      <c r="A1322" t="s">
        <v>2004</v>
      </c>
      <c r="F1322" t="s">
        <v>4259</v>
      </c>
      <c r="G1322" t="s">
        <v>1103</v>
      </c>
    </row>
    <row r="1323" spans="1:7" x14ac:dyDescent="0.25">
      <c r="A1323" t="s">
        <v>2004</v>
      </c>
      <c r="F1323" t="s">
        <v>4262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4265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4268</v>
      </c>
      <c r="G1325" t="s">
        <v>1104</v>
      </c>
    </row>
    <row r="1326" spans="1:7" x14ac:dyDescent="0.25">
      <c r="A1326" t="s">
        <v>2004</v>
      </c>
      <c r="F1326" t="s">
        <v>4271</v>
      </c>
      <c r="G1326" t="s">
        <v>1105</v>
      </c>
    </row>
    <row r="1327" spans="1:7" x14ac:dyDescent="0.25">
      <c r="A1327" t="s">
        <v>2004</v>
      </c>
      <c r="F1327" t="s">
        <v>4274</v>
      </c>
      <c r="G1327" t="s">
        <v>1106</v>
      </c>
    </row>
    <row r="1328" spans="1:7" x14ac:dyDescent="0.25">
      <c r="A1328" t="s">
        <v>4298</v>
      </c>
      <c r="B1328" t="s">
        <v>55</v>
      </c>
      <c r="F1328" t="s">
        <v>4277</v>
      </c>
      <c r="G1328" t="s">
        <v>1107</v>
      </c>
    </row>
    <row r="1329" spans="1:7" x14ac:dyDescent="0.25">
      <c r="A1329" t="s">
        <v>2004</v>
      </c>
      <c r="F1329" t="s">
        <v>4280</v>
      </c>
      <c r="G1329" t="s">
        <v>796</v>
      </c>
    </row>
    <row r="1330" spans="1:7" x14ac:dyDescent="0.25">
      <c r="A1330" t="s">
        <v>2004</v>
      </c>
      <c r="F1330" t="s">
        <v>4283</v>
      </c>
      <c r="G1330" t="s">
        <v>1100</v>
      </c>
    </row>
    <row r="1331" spans="1:7" x14ac:dyDescent="0.25">
      <c r="A1331" t="s">
        <v>2004</v>
      </c>
      <c r="F1331" t="s">
        <v>4286</v>
      </c>
      <c r="G1331" s="1" t="s">
        <v>1603</v>
      </c>
    </row>
    <row r="1332" spans="1:7" x14ac:dyDescent="0.25">
      <c r="A1332" t="s">
        <v>2004</v>
      </c>
      <c r="F1332" t="s">
        <v>4289</v>
      </c>
      <c r="G1332" t="s">
        <v>1817</v>
      </c>
    </row>
    <row r="1333" spans="1:7" x14ac:dyDescent="0.25">
      <c r="A1333" t="s">
        <v>2004</v>
      </c>
      <c r="F1333" t="s">
        <v>4292</v>
      </c>
      <c r="G1333" t="s">
        <v>1934</v>
      </c>
    </row>
    <row r="1334" spans="1:7" x14ac:dyDescent="0.25">
      <c r="A1334" t="s">
        <v>4299</v>
      </c>
      <c r="F1334" t="s">
        <v>4295</v>
      </c>
      <c r="G1334" t="s">
        <v>1997</v>
      </c>
    </row>
    <row r="1335" spans="1:7" x14ac:dyDescent="0.25">
      <c r="A1335" t="s">
        <v>91</v>
      </c>
      <c r="B1335" t="s">
        <v>4195</v>
      </c>
      <c r="C1335" t="s">
        <v>1609</v>
      </c>
      <c r="E1335" t="s">
        <v>5075</v>
      </c>
      <c r="F1335" t="s">
        <v>4403</v>
      </c>
      <c r="G1335" t="s">
        <v>1102</v>
      </c>
    </row>
    <row r="1336" spans="1:7" x14ac:dyDescent="0.25">
      <c r="A1336" t="s">
        <v>62</v>
      </c>
      <c r="B1336" t="s">
        <v>4195</v>
      </c>
      <c r="C1336" t="s">
        <v>51</v>
      </c>
      <c r="E1336" t="s">
        <v>5076</v>
      </c>
      <c r="F1336" t="s">
        <v>4406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5077</v>
      </c>
      <c r="F1337" t="s">
        <v>4409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5077</v>
      </c>
      <c r="F1338" t="s">
        <v>4412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5077</v>
      </c>
      <c r="F1339" t="s">
        <v>4415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5077</v>
      </c>
      <c r="F1340" t="s">
        <v>4418</v>
      </c>
      <c r="G1340" t="s">
        <v>1102</v>
      </c>
    </row>
    <row r="1341" spans="1:7" x14ac:dyDescent="0.25">
      <c r="A1341" t="s">
        <v>2004</v>
      </c>
      <c r="F1341" t="s">
        <v>4421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5077</v>
      </c>
      <c r="F1342" t="s">
        <v>4424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5077</v>
      </c>
      <c r="F1343" t="s">
        <v>4427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5077</v>
      </c>
      <c r="F1344" t="s">
        <v>4430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5077</v>
      </c>
      <c r="F1345" t="s">
        <v>4433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4436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5078</v>
      </c>
      <c r="F1347" t="s">
        <v>4439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5077</v>
      </c>
      <c r="F1348" t="s">
        <v>4442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5077</v>
      </c>
      <c r="F1349" t="s">
        <v>4445</v>
      </c>
      <c r="G1349" t="s">
        <v>1102</v>
      </c>
    </row>
    <row r="1350" spans="1:7" x14ac:dyDescent="0.25">
      <c r="A1350" t="s">
        <v>2004</v>
      </c>
      <c r="F1350" t="s">
        <v>4448</v>
      </c>
      <c r="G1350" t="s">
        <v>1102</v>
      </c>
    </row>
    <row r="1351" spans="1:7" x14ac:dyDescent="0.25">
      <c r="A1351" t="s">
        <v>5079</v>
      </c>
      <c r="B1351" t="s">
        <v>1607</v>
      </c>
      <c r="C1351" t="s">
        <v>5080</v>
      </c>
      <c r="E1351" t="s">
        <v>5081</v>
      </c>
      <c r="F1351" t="s">
        <v>4300</v>
      </c>
      <c r="G1351" t="s">
        <v>1103</v>
      </c>
    </row>
    <row r="1352" spans="1:7" x14ac:dyDescent="0.25">
      <c r="A1352" t="s">
        <v>5082</v>
      </c>
      <c r="B1352" t="s">
        <v>86</v>
      </c>
      <c r="C1352" t="s">
        <v>3072</v>
      </c>
      <c r="E1352" t="s">
        <v>5083</v>
      </c>
      <c r="F1352" t="s">
        <v>4303</v>
      </c>
      <c r="G1352" t="s">
        <v>1103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4306</v>
      </c>
      <c r="G1353" t="s">
        <v>1103</v>
      </c>
    </row>
    <row r="1354" spans="1:7" x14ac:dyDescent="0.25">
      <c r="A1354" t="s">
        <v>4</v>
      </c>
      <c r="B1354" t="s">
        <v>86</v>
      </c>
      <c r="C1354" t="s">
        <v>2938</v>
      </c>
      <c r="F1354" t="s">
        <v>4309</v>
      </c>
      <c r="G1354" t="s">
        <v>1103</v>
      </c>
    </row>
    <row r="1355" spans="1:7" x14ac:dyDescent="0.25">
      <c r="A1355" t="s">
        <v>5082</v>
      </c>
      <c r="B1355" t="s">
        <v>86</v>
      </c>
      <c r="C1355" t="s">
        <v>2938</v>
      </c>
      <c r="E1355" t="s">
        <v>5083</v>
      </c>
      <c r="F1355" t="s">
        <v>4312</v>
      </c>
      <c r="G1355" t="s">
        <v>1103</v>
      </c>
    </row>
    <row r="1356" spans="1:7" x14ac:dyDescent="0.25">
      <c r="A1356" t="s">
        <v>4</v>
      </c>
      <c r="B1356" t="s">
        <v>86</v>
      </c>
      <c r="C1356" t="s">
        <v>5084</v>
      </c>
      <c r="E1356" t="s">
        <v>5085</v>
      </c>
      <c r="F1356" t="s">
        <v>4315</v>
      </c>
      <c r="G1356" t="s">
        <v>1103</v>
      </c>
    </row>
    <row r="1357" spans="1:7" x14ac:dyDescent="0.25">
      <c r="A1357" t="s">
        <v>4</v>
      </c>
      <c r="B1357" t="s">
        <v>8</v>
      </c>
      <c r="F1357" t="s">
        <v>4319</v>
      </c>
      <c r="G1357" t="s">
        <v>1103</v>
      </c>
    </row>
    <row r="1358" spans="1:7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3076</v>
      </c>
      <c r="F1358" t="s">
        <v>4322</v>
      </c>
      <c r="G1358" t="s">
        <v>1103</v>
      </c>
    </row>
    <row r="1359" spans="1:7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3076</v>
      </c>
      <c r="F1359" t="s">
        <v>4325</v>
      </c>
      <c r="G1359" t="s">
        <v>1103</v>
      </c>
    </row>
    <row r="1360" spans="1:7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3076</v>
      </c>
      <c r="F1360" t="s">
        <v>4328</v>
      </c>
      <c r="G1360" t="s">
        <v>1103</v>
      </c>
    </row>
    <row r="1361" spans="1:7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3076</v>
      </c>
      <c r="F1361" t="s">
        <v>4331</v>
      </c>
      <c r="G1361" t="s">
        <v>1103</v>
      </c>
    </row>
    <row r="1362" spans="1:7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3076</v>
      </c>
      <c r="F1362" t="s">
        <v>4334</v>
      </c>
      <c r="G1362" t="s">
        <v>1103</v>
      </c>
    </row>
    <row r="1363" spans="1:7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3076</v>
      </c>
      <c r="F1363" t="s">
        <v>4337</v>
      </c>
      <c r="G1363" t="s">
        <v>1103</v>
      </c>
    </row>
    <row r="1364" spans="1:7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3076</v>
      </c>
      <c r="F1364" t="s">
        <v>4340</v>
      </c>
      <c r="G1364" t="s">
        <v>1103</v>
      </c>
    </row>
    <row r="1365" spans="1:7" x14ac:dyDescent="0.25">
      <c r="A1365" t="s">
        <v>158</v>
      </c>
      <c r="B1365" t="s">
        <v>86</v>
      </c>
      <c r="C1365" t="s">
        <v>5086</v>
      </c>
      <c r="D1365">
        <v>3</v>
      </c>
      <c r="E1365" t="s">
        <v>3076</v>
      </c>
      <c r="F1365" t="s">
        <v>4343</v>
      </c>
      <c r="G1365" t="s">
        <v>1103</v>
      </c>
    </row>
    <row r="1366" spans="1:7" x14ac:dyDescent="0.25">
      <c r="A1366" t="s">
        <v>158</v>
      </c>
      <c r="B1366" t="s">
        <v>86</v>
      </c>
      <c r="C1366" t="s">
        <v>5086</v>
      </c>
      <c r="D1366">
        <v>3</v>
      </c>
      <c r="E1366" t="s">
        <v>3076</v>
      </c>
      <c r="F1366" t="s">
        <v>4346</v>
      </c>
      <c r="G1366" t="s">
        <v>1103</v>
      </c>
    </row>
    <row r="1367" spans="1:7" x14ac:dyDescent="0.25">
      <c r="A1367" t="s">
        <v>158</v>
      </c>
      <c r="B1367" t="s">
        <v>86</v>
      </c>
      <c r="C1367" t="s">
        <v>5086</v>
      </c>
      <c r="D1367">
        <v>3</v>
      </c>
      <c r="E1367" t="s">
        <v>3076</v>
      </c>
      <c r="F1367" t="s">
        <v>4349</v>
      </c>
      <c r="G1367" t="s">
        <v>1103</v>
      </c>
    </row>
    <row r="1368" spans="1:7" x14ac:dyDescent="0.25">
      <c r="A1368" t="s">
        <v>4222</v>
      </c>
      <c r="B1368" t="s">
        <v>86</v>
      </c>
      <c r="C1368" t="s">
        <v>4241</v>
      </c>
      <c r="E1368" t="s">
        <v>4237</v>
      </c>
      <c r="F1368" t="s">
        <v>4352</v>
      </c>
      <c r="G1368" t="s">
        <v>1103</v>
      </c>
    </row>
    <row r="1369" spans="1:7" x14ac:dyDescent="0.25">
      <c r="A1369" t="s">
        <v>4222</v>
      </c>
      <c r="B1369" t="s">
        <v>86</v>
      </c>
      <c r="C1369" t="s">
        <v>4241</v>
      </c>
      <c r="E1369" t="s">
        <v>2936</v>
      </c>
      <c r="F1369" t="s">
        <v>4355</v>
      </c>
      <c r="G1369" t="s">
        <v>1103</v>
      </c>
    </row>
    <row r="1370" spans="1:7" x14ac:dyDescent="0.25">
      <c r="A1370" t="s">
        <v>158</v>
      </c>
      <c r="B1370" t="s">
        <v>86</v>
      </c>
      <c r="C1370" t="s">
        <v>5086</v>
      </c>
      <c r="D1370">
        <v>3</v>
      </c>
      <c r="E1370" t="s">
        <v>3076</v>
      </c>
      <c r="F1370" t="s">
        <v>4358</v>
      </c>
      <c r="G1370" t="s">
        <v>1103</v>
      </c>
    </row>
    <row r="1371" spans="1:7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3076</v>
      </c>
      <c r="F1371" t="s">
        <v>4361</v>
      </c>
      <c r="G1371" t="s">
        <v>1103</v>
      </c>
    </row>
    <row r="1372" spans="1:7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3076</v>
      </c>
      <c r="F1372" t="s">
        <v>4364</v>
      </c>
      <c r="G1372" t="s">
        <v>1103</v>
      </c>
    </row>
    <row r="1373" spans="1:7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3076</v>
      </c>
      <c r="F1373" t="s">
        <v>4367</v>
      </c>
      <c r="G1373" t="s">
        <v>1103</v>
      </c>
    </row>
    <row r="1374" spans="1:7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3076</v>
      </c>
      <c r="F1374" t="s">
        <v>4370</v>
      </c>
      <c r="G1374" t="s">
        <v>1103</v>
      </c>
    </row>
    <row r="1375" spans="1:7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3076</v>
      </c>
      <c r="F1375" t="s">
        <v>4373</v>
      </c>
      <c r="G1375" t="s">
        <v>1103</v>
      </c>
    </row>
    <row r="1376" spans="1:7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3076</v>
      </c>
      <c r="F1376" t="s">
        <v>4376</v>
      </c>
      <c r="G1376" t="s">
        <v>1103</v>
      </c>
    </row>
    <row r="1377" spans="1:7" x14ac:dyDescent="0.25">
      <c r="A1377" t="s">
        <v>4222</v>
      </c>
      <c r="B1377" t="s">
        <v>86</v>
      </c>
      <c r="C1377" t="s">
        <v>2938</v>
      </c>
      <c r="E1377" t="s">
        <v>4237</v>
      </c>
      <c r="F1377" t="s">
        <v>4379</v>
      </c>
      <c r="G1377" t="s">
        <v>1103</v>
      </c>
    </row>
    <row r="1378" spans="1:7" x14ac:dyDescent="0.25">
      <c r="A1378" t="s">
        <v>4222</v>
      </c>
      <c r="B1378" t="s">
        <v>86</v>
      </c>
      <c r="C1378" t="s">
        <v>2938</v>
      </c>
      <c r="E1378" t="s">
        <v>2936</v>
      </c>
      <c r="F1378" t="s">
        <v>4382</v>
      </c>
      <c r="G1378" t="s">
        <v>1103</v>
      </c>
    </row>
    <row r="1379" spans="1:7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3076</v>
      </c>
      <c r="F1379" t="s">
        <v>4385</v>
      </c>
      <c r="G1379" t="s">
        <v>1103</v>
      </c>
    </row>
    <row r="1380" spans="1:7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3076</v>
      </c>
      <c r="F1380" t="s">
        <v>4388</v>
      </c>
      <c r="G1380" t="s">
        <v>1103</v>
      </c>
    </row>
    <row r="1381" spans="1:7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3076</v>
      </c>
      <c r="F1381" t="s">
        <v>4391</v>
      </c>
      <c r="G1381" t="s">
        <v>1103</v>
      </c>
    </row>
    <row r="1382" spans="1:7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3076</v>
      </c>
      <c r="F1382" t="s">
        <v>4394</v>
      </c>
      <c r="G1382" t="s">
        <v>1103</v>
      </c>
    </row>
    <row r="1383" spans="1:7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3076</v>
      </c>
      <c r="F1383" t="s">
        <v>4397</v>
      </c>
      <c r="G1383" t="s">
        <v>1103</v>
      </c>
    </row>
    <row r="1384" spans="1:7" x14ac:dyDescent="0.25">
      <c r="A1384" t="s">
        <v>2004</v>
      </c>
      <c r="F1384" t="s">
        <v>4400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4559</v>
      </c>
      <c r="G1385" t="s">
        <v>91</v>
      </c>
    </row>
    <row r="1386" spans="1:7" x14ac:dyDescent="0.25">
      <c r="A1386" t="s">
        <v>4</v>
      </c>
      <c r="B1386" t="s">
        <v>4195</v>
      </c>
      <c r="E1386" t="s">
        <v>5090</v>
      </c>
      <c r="F1386" t="s">
        <v>4562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4565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4568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5087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4571</v>
      </c>
      <c r="G1390" t="s">
        <v>91</v>
      </c>
    </row>
    <row r="1391" spans="1:7" x14ac:dyDescent="0.25">
      <c r="A1391" t="s">
        <v>2004</v>
      </c>
      <c r="F1391" t="s">
        <v>4574</v>
      </c>
      <c r="G1391" t="s">
        <v>91</v>
      </c>
    </row>
    <row r="1392" spans="1:7" x14ac:dyDescent="0.25">
      <c r="A1392" t="s">
        <v>290</v>
      </c>
      <c r="B1392" t="s">
        <v>4195</v>
      </c>
      <c r="C1392" t="s">
        <v>5094</v>
      </c>
      <c r="F1392" t="s">
        <v>4451</v>
      </c>
      <c r="G1392" t="s">
        <v>1104</v>
      </c>
    </row>
    <row r="1393" spans="1:7" x14ac:dyDescent="0.25">
      <c r="A1393" t="s">
        <v>290</v>
      </c>
      <c r="B1393" t="s">
        <v>4195</v>
      </c>
      <c r="C1393" t="s">
        <v>5094</v>
      </c>
      <c r="F1393" t="s">
        <v>4454</v>
      </c>
      <c r="G1393" t="s">
        <v>1104</v>
      </c>
    </row>
    <row r="1394" spans="1:7" x14ac:dyDescent="0.25">
      <c r="A1394" t="s">
        <v>650</v>
      </c>
      <c r="B1394" t="s">
        <v>4195</v>
      </c>
      <c r="F1394" t="s">
        <v>4457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5094</v>
      </c>
      <c r="E1395" t="s">
        <v>5095</v>
      </c>
      <c r="F1395" t="s">
        <v>4460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5094</v>
      </c>
      <c r="E1396" t="s">
        <v>5095</v>
      </c>
      <c r="F1396" t="s">
        <v>5091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4463</v>
      </c>
      <c r="G1397" t="s">
        <v>1104</v>
      </c>
    </row>
    <row r="1398" spans="1:7" x14ac:dyDescent="0.25">
      <c r="A1398" t="s">
        <v>2004</v>
      </c>
      <c r="F1398" t="s">
        <v>4466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5094</v>
      </c>
      <c r="E1399" t="s">
        <v>5096</v>
      </c>
      <c r="F1399" t="s">
        <v>4469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5094</v>
      </c>
      <c r="E1400" t="s">
        <v>2936</v>
      </c>
      <c r="F1400" t="s">
        <v>4472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5094</v>
      </c>
      <c r="E1401" t="s">
        <v>2936</v>
      </c>
      <c r="F1401" t="s">
        <v>4475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5094</v>
      </c>
      <c r="E1402" t="s">
        <v>5097</v>
      </c>
      <c r="F1402" t="s">
        <v>4478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4481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4484</v>
      </c>
      <c r="G1404" t="s">
        <v>1104</v>
      </c>
    </row>
    <row r="1405" spans="1:7" x14ac:dyDescent="0.25">
      <c r="A1405" t="s">
        <v>2004</v>
      </c>
      <c r="F1405" t="s">
        <v>4487</v>
      </c>
      <c r="G1405" t="s">
        <v>1104</v>
      </c>
    </row>
    <row r="1406" spans="1:7" x14ac:dyDescent="0.25">
      <c r="A1406" t="s">
        <v>1094</v>
      </c>
      <c r="B1406" t="s">
        <v>4248</v>
      </c>
      <c r="C1406" t="s">
        <v>58</v>
      </c>
      <c r="E1406" t="s">
        <v>5103</v>
      </c>
      <c r="F1406" t="s">
        <v>5098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4490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4493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4496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4499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5104</v>
      </c>
      <c r="E1411" t="s">
        <v>5105</v>
      </c>
      <c r="F1411" t="s">
        <v>4502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4505</v>
      </c>
      <c r="G1412" t="s">
        <v>1105</v>
      </c>
    </row>
    <row r="1413" spans="1:7" x14ac:dyDescent="0.25">
      <c r="A1413" t="s">
        <v>1094</v>
      </c>
      <c r="B1413" t="s">
        <v>4248</v>
      </c>
      <c r="C1413" t="s">
        <v>60</v>
      </c>
      <c r="E1413" t="s">
        <v>5103</v>
      </c>
      <c r="F1413" t="s">
        <v>4508</v>
      </c>
      <c r="G1413" t="s">
        <v>1105</v>
      </c>
    </row>
    <row r="1414" spans="1:7" x14ac:dyDescent="0.25">
      <c r="A1414" t="s">
        <v>1094</v>
      </c>
      <c r="B1414" t="s">
        <v>4248</v>
      </c>
      <c r="C1414" t="s">
        <v>60</v>
      </c>
      <c r="E1414" t="s">
        <v>2936</v>
      </c>
      <c r="F1414" t="s">
        <v>4511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4514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4517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4520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4523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5094</v>
      </c>
      <c r="F1419" t="s">
        <v>4526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5094</v>
      </c>
      <c r="F1420" t="s">
        <v>4529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5094</v>
      </c>
      <c r="F1421" t="s">
        <v>4532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5094</v>
      </c>
      <c r="F1422" t="s">
        <v>5100</v>
      </c>
      <c r="G1422" t="s">
        <v>1105</v>
      </c>
    </row>
    <row r="1423" spans="1:7" x14ac:dyDescent="0.25">
      <c r="A1423" t="s">
        <v>5106</v>
      </c>
      <c r="F1423" t="s">
        <v>4535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5094</v>
      </c>
      <c r="F1424" t="s">
        <v>4538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4541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4544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4547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5094</v>
      </c>
      <c r="F1428" t="s">
        <v>4550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4553</v>
      </c>
      <c r="G1429" t="s">
        <v>1105</v>
      </c>
    </row>
    <row r="1430" spans="1:7" x14ac:dyDescent="0.25">
      <c r="A1430" t="s">
        <v>2004</v>
      </c>
      <c r="F1430" t="s">
        <v>4556</v>
      </c>
      <c r="G1430" t="s">
        <v>1105</v>
      </c>
    </row>
    <row r="1431" spans="1:7" x14ac:dyDescent="0.25">
      <c r="A1431" t="s">
        <v>1615</v>
      </c>
      <c r="B1431" t="s">
        <v>86</v>
      </c>
      <c r="C1431" t="s">
        <v>200</v>
      </c>
      <c r="F1431" t="s">
        <v>5111</v>
      </c>
      <c r="G1431" t="s">
        <v>1106</v>
      </c>
    </row>
    <row r="1432" spans="1:7" x14ac:dyDescent="0.25">
      <c r="A1432" t="s">
        <v>1094</v>
      </c>
      <c r="B1432" t="s">
        <v>4248</v>
      </c>
      <c r="C1432" t="s">
        <v>60</v>
      </c>
      <c r="F1432" t="s">
        <v>5113</v>
      </c>
      <c r="G1432" t="s">
        <v>1106</v>
      </c>
    </row>
    <row r="1433" spans="1:7" x14ac:dyDescent="0.25">
      <c r="A1433" t="s">
        <v>533</v>
      </c>
      <c r="B1433" t="s">
        <v>1607</v>
      </c>
      <c r="C1433" t="s">
        <v>58</v>
      </c>
      <c r="F1433" t="s">
        <v>5115</v>
      </c>
      <c r="G1433" t="s">
        <v>1106</v>
      </c>
    </row>
    <row r="1434" spans="1:7" x14ac:dyDescent="0.25">
      <c r="A1434" t="s">
        <v>1615</v>
      </c>
      <c r="B1434" t="s">
        <v>86</v>
      </c>
      <c r="C1434" t="s">
        <v>200</v>
      </c>
      <c r="F1434" t="s">
        <v>4577</v>
      </c>
      <c r="G1434" t="s">
        <v>1106</v>
      </c>
    </row>
    <row r="1435" spans="1:7" x14ac:dyDescent="0.25">
      <c r="A1435" t="s">
        <v>1094</v>
      </c>
      <c r="B1435" t="s">
        <v>4248</v>
      </c>
      <c r="C1435" t="s">
        <v>200</v>
      </c>
      <c r="F1435" t="s">
        <v>4580</v>
      </c>
      <c r="G1435" t="s">
        <v>1106</v>
      </c>
    </row>
    <row r="1436" spans="1:7" x14ac:dyDescent="0.25">
      <c r="A1436" t="s">
        <v>1094</v>
      </c>
      <c r="B1436" t="s">
        <v>4248</v>
      </c>
      <c r="C1436" t="s">
        <v>200</v>
      </c>
      <c r="F1436" t="s">
        <v>4583</v>
      </c>
      <c r="G1436" t="s">
        <v>1106</v>
      </c>
    </row>
    <row r="1437" spans="1:7" x14ac:dyDescent="0.25">
      <c r="A1437" t="s">
        <v>5110</v>
      </c>
      <c r="B1437" t="s">
        <v>86</v>
      </c>
      <c r="F1437" t="s">
        <v>4586</v>
      </c>
      <c r="G1437" t="s">
        <v>1106</v>
      </c>
    </row>
    <row r="1438" spans="1:7" x14ac:dyDescent="0.25">
      <c r="A1438" t="s">
        <v>4</v>
      </c>
      <c r="B1438" t="s">
        <v>8</v>
      </c>
      <c r="F1438" t="s">
        <v>4589</v>
      </c>
      <c r="G1438" t="s">
        <v>1106</v>
      </c>
    </row>
    <row r="1439" spans="1:7" x14ac:dyDescent="0.25">
      <c r="A1439" t="s">
        <v>5110</v>
      </c>
      <c r="B1439" t="s">
        <v>86</v>
      </c>
      <c r="F1439" t="s">
        <v>4592</v>
      </c>
      <c r="G1439" t="s">
        <v>1106</v>
      </c>
    </row>
    <row r="1440" spans="1:7" x14ac:dyDescent="0.25">
      <c r="A1440" t="s">
        <v>5110</v>
      </c>
      <c r="B1440" t="s">
        <v>86</v>
      </c>
      <c r="F1440" t="s">
        <v>4595</v>
      </c>
      <c r="G1440" t="s">
        <v>1106</v>
      </c>
    </row>
    <row r="1441" spans="1:7" x14ac:dyDescent="0.25">
      <c r="A1441" t="s">
        <v>2004</v>
      </c>
      <c r="F1441" t="s">
        <v>4598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5000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5003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5006</v>
      </c>
      <c r="G1444" t="s">
        <v>1107</v>
      </c>
    </row>
    <row r="1445" spans="1:7" x14ac:dyDescent="0.25">
      <c r="A1445" t="s">
        <v>1094</v>
      </c>
      <c r="B1445" t="s">
        <v>4248</v>
      </c>
      <c r="C1445" t="s">
        <v>58</v>
      </c>
      <c r="F1445" t="s">
        <v>5009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5012</v>
      </c>
      <c r="G1446" t="s">
        <v>1107</v>
      </c>
    </row>
    <row r="1447" spans="1:7" x14ac:dyDescent="0.25">
      <c r="A1447" t="s">
        <v>1094</v>
      </c>
      <c r="B1447" t="s">
        <v>4248</v>
      </c>
      <c r="C1447" t="s">
        <v>58</v>
      </c>
      <c r="F1447" t="s">
        <v>5015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5018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5021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5024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5027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5030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5033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5036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5039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5042</v>
      </c>
      <c r="G1456" t="s">
        <v>1107</v>
      </c>
    </row>
    <row r="1457" spans="1:7" x14ac:dyDescent="0.25">
      <c r="A1457" t="s">
        <v>1094</v>
      </c>
      <c r="B1457" t="s">
        <v>4248</v>
      </c>
      <c r="C1457" t="s">
        <v>60</v>
      </c>
      <c r="F1457" t="s">
        <v>5117</v>
      </c>
      <c r="G1457" t="s">
        <v>1107</v>
      </c>
    </row>
    <row r="1458" spans="1:7" x14ac:dyDescent="0.25">
      <c r="A1458" t="s">
        <v>1094</v>
      </c>
      <c r="B1458" t="s">
        <v>4248</v>
      </c>
      <c r="C1458" t="s">
        <v>200</v>
      </c>
      <c r="F1458" t="s">
        <v>5120</v>
      </c>
      <c r="G1458" t="s">
        <v>1107</v>
      </c>
    </row>
    <row r="1459" spans="1:7" x14ac:dyDescent="0.25">
      <c r="A1459" t="s">
        <v>1094</v>
      </c>
      <c r="B1459" t="s">
        <v>4248</v>
      </c>
      <c r="C1459" t="s">
        <v>200</v>
      </c>
      <c r="F1459" t="s">
        <v>5123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5126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5129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5132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5045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5048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5051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5054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5057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5060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5063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5066</v>
      </c>
      <c r="G1470" t="s">
        <v>1107</v>
      </c>
    </row>
    <row r="1471" spans="1:7" x14ac:dyDescent="0.25">
      <c r="A1471" t="s">
        <v>5135</v>
      </c>
      <c r="F1471" t="s">
        <v>5069</v>
      </c>
      <c r="G1471" t="s">
        <v>1107</v>
      </c>
    </row>
    <row r="1472" spans="1:7" x14ac:dyDescent="0.25">
      <c r="A1472" t="s">
        <v>2004</v>
      </c>
      <c r="F1472" t="s">
        <v>5072</v>
      </c>
      <c r="G1472" t="s">
        <v>1107</v>
      </c>
    </row>
    <row r="1473" spans="1:7" x14ac:dyDescent="0.25">
      <c r="A1473" t="s">
        <v>4</v>
      </c>
      <c r="B1473" t="s">
        <v>9</v>
      </c>
      <c r="F1473" t="s">
        <v>4601</v>
      </c>
      <c r="G1473" t="s">
        <v>796</v>
      </c>
    </row>
    <row r="1474" spans="1:7" x14ac:dyDescent="0.25">
      <c r="A1474" t="s">
        <v>5137</v>
      </c>
      <c r="B1474" t="s">
        <v>5136</v>
      </c>
      <c r="F1474" t="s">
        <v>4604</v>
      </c>
      <c r="G1474" t="s">
        <v>796</v>
      </c>
    </row>
    <row r="1475" spans="1:7" x14ac:dyDescent="0.25">
      <c r="A1475" t="s">
        <v>4</v>
      </c>
      <c r="B1475" t="s">
        <v>53</v>
      </c>
      <c r="F1475" t="s">
        <v>4607</v>
      </c>
      <c r="G1475" t="s">
        <v>796</v>
      </c>
    </row>
    <row r="1476" spans="1:7" x14ac:dyDescent="0.25">
      <c r="A1476" t="s">
        <v>2004</v>
      </c>
      <c r="F1476" t="s">
        <v>4610</v>
      </c>
      <c r="G1476" t="s">
        <v>796</v>
      </c>
    </row>
    <row r="1477" spans="1:7" x14ac:dyDescent="0.25">
      <c r="A1477" t="s">
        <v>2004</v>
      </c>
      <c r="F1477" t="s">
        <v>4613</v>
      </c>
      <c r="G1477" t="s">
        <v>796</v>
      </c>
    </row>
    <row r="1478" spans="1:7" x14ac:dyDescent="0.25">
      <c r="A1478" t="s">
        <v>2024</v>
      </c>
      <c r="B1478" t="s">
        <v>796</v>
      </c>
      <c r="F1478" t="s">
        <v>4616</v>
      </c>
      <c r="G1478" t="s">
        <v>796</v>
      </c>
    </row>
    <row r="1479" spans="1:7" x14ac:dyDescent="0.25">
      <c r="A1479" t="s">
        <v>2024</v>
      </c>
      <c r="B1479" t="s">
        <v>796</v>
      </c>
      <c r="F1479" t="s">
        <v>4619</v>
      </c>
      <c r="G1479" t="s">
        <v>796</v>
      </c>
    </row>
    <row r="1480" spans="1:7" x14ac:dyDescent="0.25">
      <c r="A1480" t="s">
        <v>2004</v>
      </c>
      <c r="F1480" t="s">
        <v>4622</v>
      </c>
      <c r="G1480" t="s">
        <v>796</v>
      </c>
    </row>
    <row r="1481" spans="1:7" x14ac:dyDescent="0.25">
      <c r="A1481" t="s">
        <v>2004</v>
      </c>
      <c r="F1481" t="s">
        <v>4625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4628</v>
      </c>
      <c r="G1482" t="s">
        <v>1100</v>
      </c>
    </row>
    <row r="1483" spans="1:7" x14ac:dyDescent="0.25">
      <c r="A1483" t="s">
        <v>5137</v>
      </c>
      <c r="B1483" t="s">
        <v>5136</v>
      </c>
      <c r="F1483" t="s">
        <v>4631</v>
      </c>
      <c r="G1483" t="s">
        <v>1100</v>
      </c>
    </row>
    <row r="1484" spans="1:7" x14ac:dyDescent="0.25">
      <c r="A1484" t="s">
        <v>5137</v>
      </c>
      <c r="B1484" t="s">
        <v>5136</v>
      </c>
      <c r="E1484" t="s">
        <v>2936</v>
      </c>
      <c r="F1484" t="s">
        <v>4634</v>
      </c>
      <c r="G1484" t="s">
        <v>1100</v>
      </c>
    </row>
    <row r="1485" spans="1:7" x14ac:dyDescent="0.25">
      <c r="A1485" t="s">
        <v>1091</v>
      </c>
      <c r="B1485" t="s">
        <v>5138</v>
      </c>
      <c r="C1485" t="s">
        <v>1099</v>
      </c>
      <c r="F1485" t="s">
        <v>4637</v>
      </c>
      <c r="G1485" t="s">
        <v>1100</v>
      </c>
    </row>
    <row r="1486" spans="1:7" x14ac:dyDescent="0.25">
      <c r="A1486" t="s">
        <v>1091</v>
      </c>
      <c r="B1486" t="s">
        <v>5138</v>
      </c>
      <c r="C1486" t="s">
        <v>1099</v>
      </c>
      <c r="E1486" t="s">
        <v>2936</v>
      </c>
      <c r="F1486" t="s">
        <v>4640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4643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4646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4649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4652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4655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4658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4661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4664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4667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4670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4673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4676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4679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4682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4685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4688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4691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4694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4697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4700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4703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4706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4709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4712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4715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4718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4721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4724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4727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4730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4733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4736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4739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4742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4745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4748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4751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5139</v>
      </c>
      <c r="F1524" t="s">
        <v>4754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4757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4760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4763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4766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4769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4772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4775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4778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4781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4784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4787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4790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4793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4796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4799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4802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4805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4808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4811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4814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4817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4820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4823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4826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4829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4832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4835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4237</v>
      </c>
      <c r="F1552" t="s">
        <v>4838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4841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4237</v>
      </c>
      <c r="F1554" t="s">
        <v>4844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4241</v>
      </c>
      <c r="F1555" t="s">
        <v>4847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4241</v>
      </c>
      <c r="E1556" t="s">
        <v>2936</v>
      </c>
      <c r="F1556" t="s">
        <v>4850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4241</v>
      </c>
      <c r="F1557" t="s">
        <v>4853</v>
      </c>
      <c r="G1557" s="1" t="s">
        <v>1603</v>
      </c>
    </row>
    <row r="1558" spans="1:7" x14ac:dyDescent="0.25">
      <c r="A1558" t="s">
        <v>4242</v>
      </c>
      <c r="B1558" t="s">
        <v>86</v>
      </c>
      <c r="C1558" t="s">
        <v>4241</v>
      </c>
      <c r="E1558" t="s">
        <v>4237</v>
      </c>
      <c r="F1558" t="s">
        <v>4856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4237</v>
      </c>
      <c r="F1559" t="s">
        <v>4859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4237</v>
      </c>
      <c r="F1560" t="s">
        <v>4862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4237</v>
      </c>
      <c r="F1561" t="s">
        <v>4865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4241</v>
      </c>
      <c r="F1562" t="s">
        <v>4868</v>
      </c>
      <c r="G1562" s="1" t="s">
        <v>1603</v>
      </c>
    </row>
    <row r="1563" spans="1:7" x14ac:dyDescent="0.25">
      <c r="A1563" t="s">
        <v>4242</v>
      </c>
      <c r="B1563" t="s">
        <v>86</v>
      </c>
      <c r="C1563" t="s">
        <v>4241</v>
      </c>
      <c r="E1563" t="s">
        <v>4237</v>
      </c>
      <c r="F1563" t="s">
        <v>4871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4237</v>
      </c>
      <c r="F1564" t="s">
        <v>4874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4237</v>
      </c>
      <c r="F1565" t="s">
        <v>4877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4241</v>
      </c>
      <c r="F1566" t="s">
        <v>4880</v>
      </c>
      <c r="G1566" s="1" t="s">
        <v>1603</v>
      </c>
    </row>
    <row r="1567" spans="1:7" x14ac:dyDescent="0.25">
      <c r="A1567" t="s">
        <v>4242</v>
      </c>
      <c r="B1567" t="s">
        <v>86</v>
      </c>
      <c r="C1567" t="s">
        <v>4241</v>
      </c>
      <c r="E1567" t="s">
        <v>4237</v>
      </c>
      <c r="F1567" t="s">
        <v>4883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4237</v>
      </c>
      <c r="F1568" t="s">
        <v>4886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4237</v>
      </c>
      <c r="F1569" t="s">
        <v>4889</v>
      </c>
      <c r="G1569" s="1" t="s">
        <v>1603</v>
      </c>
    </row>
    <row r="1570" spans="1:7" x14ac:dyDescent="0.25">
      <c r="A1570" t="s">
        <v>4228</v>
      </c>
      <c r="B1570" t="s">
        <v>531</v>
      </c>
      <c r="C1570" t="s">
        <v>4234</v>
      </c>
      <c r="E1570" t="s">
        <v>2958</v>
      </c>
      <c r="F1570" t="s">
        <v>4892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4895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4898</v>
      </c>
      <c r="G1572" s="1" t="s">
        <v>1603</v>
      </c>
    </row>
    <row r="1573" spans="1:7" x14ac:dyDescent="0.25">
      <c r="A1573" t="s">
        <v>2004</v>
      </c>
      <c r="F1573" t="s">
        <v>4901</v>
      </c>
      <c r="G1573" t="s">
        <v>1817</v>
      </c>
    </row>
    <row r="1574" spans="1:7" x14ac:dyDescent="0.25">
      <c r="A1574" t="s">
        <v>2004</v>
      </c>
      <c r="F1574" t="s">
        <v>4904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5104</v>
      </c>
      <c r="F1575" t="s">
        <v>4907</v>
      </c>
      <c r="G1575" t="s">
        <v>1817</v>
      </c>
    </row>
    <row r="1576" spans="1:7" x14ac:dyDescent="0.25">
      <c r="A1576" t="s">
        <v>3074</v>
      </c>
      <c r="B1576" t="s">
        <v>86</v>
      </c>
      <c r="C1576" t="s">
        <v>5104</v>
      </c>
      <c r="F1576" t="s">
        <v>4910</v>
      </c>
      <c r="G1576" t="s">
        <v>1817</v>
      </c>
    </row>
    <row r="1577" spans="1:7" x14ac:dyDescent="0.25">
      <c r="A1577" t="s">
        <v>2004</v>
      </c>
      <c r="F1577" t="s">
        <v>4913</v>
      </c>
      <c r="G1577" t="s">
        <v>1817</v>
      </c>
    </row>
    <row r="1578" spans="1:7" x14ac:dyDescent="0.25">
      <c r="A1578" t="s">
        <v>4</v>
      </c>
      <c r="B1578" t="s">
        <v>8</v>
      </c>
      <c r="C1578" t="s">
        <v>5140</v>
      </c>
      <c r="E1578" t="s">
        <v>5141</v>
      </c>
      <c r="F1578" t="s">
        <v>4916</v>
      </c>
      <c r="G1578" t="s">
        <v>1817</v>
      </c>
    </row>
    <row r="1579" spans="1:7" x14ac:dyDescent="0.25">
      <c r="A1579" t="s">
        <v>2004</v>
      </c>
      <c r="F1579" t="s">
        <v>4919</v>
      </c>
      <c r="G1579" t="s">
        <v>1817</v>
      </c>
    </row>
    <row r="1580" spans="1:7" x14ac:dyDescent="0.25">
      <c r="A1580" t="s">
        <v>4</v>
      </c>
      <c r="B1580" t="s">
        <v>8</v>
      </c>
      <c r="F1580" t="s">
        <v>4922</v>
      </c>
      <c r="G1580" t="s">
        <v>1934</v>
      </c>
    </row>
    <row r="1581" spans="1:7" x14ac:dyDescent="0.25">
      <c r="A1581" t="s">
        <v>4</v>
      </c>
      <c r="B1581" t="s">
        <v>8</v>
      </c>
      <c r="E1581" t="s">
        <v>2936</v>
      </c>
      <c r="F1581" t="s">
        <v>4925</v>
      </c>
      <c r="G1581" t="s">
        <v>1934</v>
      </c>
    </row>
    <row r="1582" spans="1:7" x14ac:dyDescent="0.25">
      <c r="A1582" t="s">
        <v>4</v>
      </c>
      <c r="B1582" t="s">
        <v>8</v>
      </c>
      <c r="E1582" t="s">
        <v>2936</v>
      </c>
      <c r="F1582" t="s">
        <v>4928</v>
      </c>
      <c r="G1582" t="s">
        <v>1934</v>
      </c>
    </row>
    <row r="1583" spans="1:7" x14ac:dyDescent="0.25">
      <c r="A1583" t="s">
        <v>4</v>
      </c>
      <c r="B1583" t="s">
        <v>8</v>
      </c>
      <c r="E1583" t="s">
        <v>2936</v>
      </c>
      <c r="F1583" t="s">
        <v>4931</v>
      </c>
      <c r="G1583" t="s">
        <v>1934</v>
      </c>
    </row>
    <row r="1584" spans="1:7" x14ac:dyDescent="0.25">
      <c r="A1584" t="s">
        <v>4</v>
      </c>
      <c r="B1584" t="s">
        <v>8</v>
      </c>
      <c r="E1584" t="s">
        <v>2936</v>
      </c>
      <c r="F1584" t="s">
        <v>4934</v>
      </c>
      <c r="G1584" t="s">
        <v>1934</v>
      </c>
    </row>
    <row r="1585" spans="1:7" x14ac:dyDescent="0.25">
      <c r="A1585" t="s">
        <v>4</v>
      </c>
      <c r="B1585" t="s">
        <v>8</v>
      </c>
      <c r="E1585" t="s">
        <v>2936</v>
      </c>
      <c r="F1585" t="s">
        <v>4937</v>
      </c>
      <c r="G1585" t="s">
        <v>1934</v>
      </c>
    </row>
    <row r="1586" spans="1:7" x14ac:dyDescent="0.25">
      <c r="A1586" t="s">
        <v>4</v>
      </c>
      <c r="B1586" t="s">
        <v>8</v>
      </c>
      <c r="E1586" t="s">
        <v>2936</v>
      </c>
      <c r="F1586" t="s">
        <v>4940</v>
      </c>
      <c r="G1586" t="s">
        <v>1934</v>
      </c>
    </row>
    <row r="1587" spans="1:7" x14ac:dyDescent="0.25">
      <c r="A1587" t="s">
        <v>4</v>
      </c>
      <c r="B1587" t="s">
        <v>8</v>
      </c>
      <c r="E1587" t="s">
        <v>2936</v>
      </c>
      <c r="F1587" t="s">
        <v>4943</v>
      </c>
      <c r="G1587" t="s">
        <v>1934</v>
      </c>
    </row>
    <row r="1588" spans="1:7" x14ac:dyDescent="0.25">
      <c r="A1588" t="s">
        <v>4</v>
      </c>
      <c r="B1588" t="s">
        <v>8</v>
      </c>
      <c r="E1588" t="s">
        <v>2936</v>
      </c>
      <c r="F1588" t="s">
        <v>4946</v>
      </c>
      <c r="G1588" t="s">
        <v>1934</v>
      </c>
    </row>
    <row r="1589" spans="1:7" x14ac:dyDescent="0.25">
      <c r="A1589" t="s">
        <v>4</v>
      </c>
      <c r="B1589" t="s">
        <v>8</v>
      </c>
      <c r="E1589" t="s">
        <v>2936</v>
      </c>
      <c r="F1589" t="s">
        <v>4949</v>
      </c>
      <c r="G1589" t="s">
        <v>1934</v>
      </c>
    </row>
    <row r="1590" spans="1:7" x14ac:dyDescent="0.25">
      <c r="A1590" t="s">
        <v>4</v>
      </c>
      <c r="B1590" t="s">
        <v>8</v>
      </c>
      <c r="E1590" t="s">
        <v>2936</v>
      </c>
      <c r="F1590" t="s">
        <v>4952</v>
      </c>
      <c r="G1590" t="s">
        <v>1934</v>
      </c>
    </row>
    <row r="1591" spans="1:7" x14ac:dyDescent="0.25">
      <c r="A1591" t="s">
        <v>4</v>
      </c>
      <c r="B1591" t="s">
        <v>8</v>
      </c>
      <c r="E1591" t="s">
        <v>2936</v>
      </c>
      <c r="F1591" t="s">
        <v>4955</v>
      </c>
      <c r="G1591" t="s">
        <v>1934</v>
      </c>
    </row>
    <row r="1592" spans="1:7" x14ac:dyDescent="0.25">
      <c r="A1592" t="s">
        <v>4</v>
      </c>
      <c r="B1592" t="s">
        <v>8</v>
      </c>
      <c r="E1592" t="s">
        <v>2936</v>
      </c>
      <c r="F1592" t="s">
        <v>4958</v>
      </c>
      <c r="G1592" t="s">
        <v>1934</v>
      </c>
    </row>
    <row r="1593" spans="1:7" x14ac:dyDescent="0.25">
      <c r="A1593" t="s">
        <v>4</v>
      </c>
      <c r="B1593" t="s">
        <v>8</v>
      </c>
      <c r="E1593" t="s">
        <v>2936</v>
      </c>
      <c r="F1593" t="s">
        <v>4961</v>
      </c>
      <c r="G1593" t="s">
        <v>1934</v>
      </c>
    </row>
    <row r="1594" spans="1:7" x14ac:dyDescent="0.25">
      <c r="A1594" t="s">
        <v>4</v>
      </c>
      <c r="B1594" t="s">
        <v>8</v>
      </c>
      <c r="E1594" t="s">
        <v>2936</v>
      </c>
      <c r="F1594" t="s">
        <v>4964</v>
      </c>
      <c r="G1594" t="s">
        <v>1934</v>
      </c>
    </row>
    <row r="1595" spans="1:7" x14ac:dyDescent="0.25">
      <c r="A1595" t="s">
        <v>4</v>
      </c>
      <c r="B1595" t="s">
        <v>8</v>
      </c>
      <c r="E1595" t="s">
        <v>2936</v>
      </c>
      <c r="F1595" t="s">
        <v>4967</v>
      </c>
      <c r="G1595" t="s">
        <v>1934</v>
      </c>
    </row>
    <row r="1596" spans="1:7" x14ac:dyDescent="0.25">
      <c r="A1596" t="s">
        <v>4</v>
      </c>
      <c r="B1596" t="s">
        <v>8</v>
      </c>
      <c r="E1596" t="s">
        <v>2936</v>
      </c>
      <c r="F1596" t="s">
        <v>4970</v>
      </c>
      <c r="G1596" t="s">
        <v>1934</v>
      </c>
    </row>
    <row r="1597" spans="1:7" x14ac:dyDescent="0.25">
      <c r="A1597" t="s">
        <v>4</v>
      </c>
      <c r="B1597" t="s">
        <v>8</v>
      </c>
      <c r="E1597" t="s">
        <v>2936</v>
      </c>
      <c r="F1597" t="s">
        <v>4973</v>
      </c>
      <c r="G1597" t="s">
        <v>1934</v>
      </c>
    </row>
    <row r="1598" spans="1:7" x14ac:dyDescent="0.25">
      <c r="A1598" t="s">
        <v>4</v>
      </c>
      <c r="B1598" t="s">
        <v>8</v>
      </c>
      <c r="E1598" t="s">
        <v>2936</v>
      </c>
      <c r="F1598" t="s">
        <v>4976</v>
      </c>
      <c r="G1598" t="s">
        <v>1934</v>
      </c>
    </row>
    <row r="1599" spans="1:7" x14ac:dyDescent="0.25">
      <c r="A1599" t="s">
        <v>2004</v>
      </c>
      <c r="F1599" t="s">
        <v>4979</v>
      </c>
      <c r="G1599" t="s">
        <v>1934</v>
      </c>
    </row>
    <row r="1600" spans="1:7" x14ac:dyDescent="0.25">
      <c r="A1600" t="s">
        <v>2014</v>
      </c>
      <c r="F1600" t="s">
        <v>4982</v>
      </c>
      <c r="G1600" t="s">
        <v>1997</v>
      </c>
    </row>
    <row r="1601" spans="1:7" x14ac:dyDescent="0.25">
      <c r="A1601" t="s">
        <v>2014</v>
      </c>
      <c r="F1601" t="s">
        <v>4985</v>
      </c>
      <c r="G1601" t="s">
        <v>1997</v>
      </c>
    </row>
    <row r="1602" spans="1:7" x14ac:dyDescent="0.25">
      <c r="A1602" t="s">
        <v>2014</v>
      </c>
      <c r="F1602" t="s">
        <v>4988</v>
      </c>
      <c r="G1602" t="s">
        <v>1997</v>
      </c>
    </row>
    <row r="1603" spans="1:7" x14ac:dyDescent="0.25">
      <c r="A1603" t="s">
        <v>2014</v>
      </c>
      <c r="F1603" t="s">
        <v>4991</v>
      </c>
      <c r="G1603" t="s">
        <v>1997</v>
      </c>
    </row>
    <row r="1604" spans="1:7" x14ac:dyDescent="0.25">
      <c r="A1604" t="s">
        <v>2014</v>
      </c>
      <c r="F1604" t="s">
        <v>4994</v>
      </c>
      <c r="G1604" t="s">
        <v>1997</v>
      </c>
    </row>
    <row r="1605" spans="1:7" x14ac:dyDescent="0.25">
      <c r="A1605" t="s">
        <v>2014</v>
      </c>
      <c r="F1605" t="s">
        <v>4997</v>
      </c>
      <c r="G1605" t="s">
        <v>1997</v>
      </c>
    </row>
    <row r="1606" spans="1:7" x14ac:dyDescent="0.25">
      <c r="A1606" t="s">
        <v>91</v>
      </c>
      <c r="B1606" t="s">
        <v>5260</v>
      </c>
      <c r="C1606" t="s">
        <v>51</v>
      </c>
      <c r="F1606" t="s">
        <v>5145</v>
      </c>
      <c r="G1606" t="s">
        <v>1102</v>
      </c>
    </row>
    <row r="1607" spans="1:7" x14ac:dyDescent="0.25">
      <c r="A1607" t="s">
        <v>62</v>
      </c>
      <c r="B1607" t="s">
        <v>5260</v>
      </c>
      <c r="C1607" t="s">
        <v>5261</v>
      </c>
      <c r="E1607" t="s">
        <v>5262</v>
      </c>
      <c r="F1607" t="s">
        <v>5147</v>
      </c>
      <c r="G1607" t="s">
        <v>1102</v>
      </c>
    </row>
    <row r="1608" spans="1:7" x14ac:dyDescent="0.25">
      <c r="A1608" t="s">
        <v>2004</v>
      </c>
      <c r="F1608" t="s">
        <v>5197</v>
      </c>
      <c r="G1608" t="s">
        <v>1103</v>
      </c>
    </row>
    <row r="1609" spans="1:7" x14ac:dyDescent="0.25">
      <c r="A1609" t="s">
        <v>4</v>
      </c>
      <c r="B1609" t="s">
        <v>5263</v>
      </c>
      <c r="C1609" t="s">
        <v>1609</v>
      </c>
      <c r="F1609" t="s">
        <v>5142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5227</v>
      </c>
      <c r="G1610" t="s">
        <v>1104</v>
      </c>
    </row>
    <row r="1611" spans="1:7" x14ac:dyDescent="0.25">
      <c r="A1611" t="s">
        <v>1606</v>
      </c>
      <c r="B1611" t="s">
        <v>5264</v>
      </c>
      <c r="C1611" t="s">
        <v>4234</v>
      </c>
      <c r="F1611" t="s">
        <v>5149</v>
      </c>
      <c r="G1611" t="s">
        <v>1105</v>
      </c>
    </row>
    <row r="1612" spans="1:7" x14ac:dyDescent="0.25">
      <c r="A1612" t="s">
        <v>289</v>
      </c>
      <c r="B1612" t="s">
        <v>5264</v>
      </c>
      <c r="C1612" t="s">
        <v>5094</v>
      </c>
      <c r="F1612" t="s">
        <v>5152</v>
      </c>
      <c r="G1612" t="s">
        <v>1105</v>
      </c>
    </row>
    <row r="1613" spans="1:7" x14ac:dyDescent="0.25">
      <c r="A1613" t="s">
        <v>289</v>
      </c>
      <c r="B1613" t="s">
        <v>5264</v>
      </c>
      <c r="C1613" t="s">
        <v>5094</v>
      </c>
      <c r="E1613" t="s">
        <v>2936</v>
      </c>
      <c r="F1613" t="s">
        <v>5155</v>
      </c>
      <c r="G1613" t="s">
        <v>1105</v>
      </c>
    </row>
    <row r="1614" spans="1:7" x14ac:dyDescent="0.25">
      <c r="A1614" t="s">
        <v>289</v>
      </c>
      <c r="B1614" t="s">
        <v>5264</v>
      </c>
      <c r="C1614" t="s">
        <v>5094</v>
      </c>
      <c r="E1614" t="s">
        <v>2936</v>
      </c>
      <c r="F1614" t="s">
        <v>5158</v>
      </c>
      <c r="G1614" t="s">
        <v>1105</v>
      </c>
    </row>
    <row r="1615" spans="1:7" x14ac:dyDescent="0.25">
      <c r="A1615" t="s">
        <v>289</v>
      </c>
      <c r="B1615" t="s">
        <v>5264</v>
      </c>
      <c r="C1615" t="s">
        <v>5094</v>
      </c>
      <c r="E1615" t="s">
        <v>2936</v>
      </c>
      <c r="F1615" t="s">
        <v>5161</v>
      </c>
      <c r="G1615" t="s">
        <v>1105</v>
      </c>
    </row>
    <row r="1616" spans="1:7" x14ac:dyDescent="0.25">
      <c r="A1616" t="s">
        <v>289</v>
      </c>
      <c r="B1616" t="s">
        <v>5264</v>
      </c>
      <c r="C1616" t="s">
        <v>5094</v>
      </c>
      <c r="E1616" t="s">
        <v>2936</v>
      </c>
      <c r="F1616" t="s">
        <v>5164</v>
      </c>
      <c r="G1616" t="s">
        <v>1105</v>
      </c>
    </row>
    <row r="1617" spans="1:7" x14ac:dyDescent="0.25">
      <c r="A1617" t="s">
        <v>289</v>
      </c>
      <c r="B1617" t="s">
        <v>5264</v>
      </c>
      <c r="C1617" t="s">
        <v>5094</v>
      </c>
      <c r="E1617" t="s">
        <v>2936</v>
      </c>
      <c r="F1617" t="s">
        <v>5167</v>
      </c>
      <c r="G1617" t="s">
        <v>1105</v>
      </c>
    </row>
    <row r="1618" spans="1:7" x14ac:dyDescent="0.25">
      <c r="A1618" t="s">
        <v>4233</v>
      </c>
      <c r="B1618" t="s">
        <v>5264</v>
      </c>
      <c r="C1618" t="s">
        <v>1609</v>
      </c>
      <c r="F1618" t="s">
        <v>5170</v>
      </c>
      <c r="G1618" t="s">
        <v>1105</v>
      </c>
    </row>
    <row r="1619" spans="1:7" x14ac:dyDescent="0.25">
      <c r="A1619" t="s">
        <v>650</v>
      </c>
      <c r="B1619" t="s">
        <v>5264</v>
      </c>
      <c r="C1619" t="s">
        <v>1609</v>
      </c>
      <c r="F1619" t="s">
        <v>5173</v>
      </c>
      <c r="G1619" t="s">
        <v>1105</v>
      </c>
    </row>
    <row r="1620" spans="1:7" x14ac:dyDescent="0.25">
      <c r="A1620" t="s">
        <v>2004</v>
      </c>
      <c r="F1620" t="s">
        <v>5176</v>
      </c>
      <c r="G1620" t="s">
        <v>1106</v>
      </c>
    </row>
    <row r="1621" spans="1:7" x14ac:dyDescent="0.25">
      <c r="A1621" t="s">
        <v>2004</v>
      </c>
      <c r="F1621" t="s">
        <v>5230</v>
      </c>
      <c r="G1621" t="s">
        <v>1107</v>
      </c>
    </row>
    <row r="1622" spans="1:7" x14ac:dyDescent="0.25">
      <c r="A1622" t="s">
        <v>2004</v>
      </c>
      <c r="F1622" t="s">
        <v>5179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5233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5265</v>
      </c>
      <c r="F1624" t="s">
        <v>5236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5239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5242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5245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5248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5251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5254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5257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5182</v>
      </c>
      <c r="G1632" s="1" t="s">
        <v>1603</v>
      </c>
    </row>
    <row r="1633" spans="1:7" x14ac:dyDescent="0.25">
      <c r="A1633" t="s">
        <v>1606</v>
      </c>
      <c r="B1633" t="s">
        <v>5264</v>
      </c>
      <c r="C1633" t="s">
        <v>51</v>
      </c>
      <c r="F1633" t="s">
        <v>5185</v>
      </c>
      <c r="G1633" s="1" t="s">
        <v>1603</v>
      </c>
    </row>
    <row r="1634" spans="1:7" x14ac:dyDescent="0.25">
      <c r="A1634" t="s">
        <v>289</v>
      </c>
      <c r="B1634" t="s">
        <v>5264</v>
      </c>
      <c r="C1634" t="s">
        <v>4234</v>
      </c>
      <c r="F1634" t="s">
        <v>5188</v>
      </c>
      <c r="G1634" s="1" t="s">
        <v>1603</v>
      </c>
    </row>
    <row r="1635" spans="1:7" x14ac:dyDescent="0.25">
      <c r="A1635" t="s">
        <v>289</v>
      </c>
      <c r="B1635" t="s">
        <v>5264</v>
      </c>
      <c r="C1635" t="s">
        <v>4234</v>
      </c>
      <c r="E1635" t="s">
        <v>2936</v>
      </c>
      <c r="F1635" t="s">
        <v>5191</v>
      </c>
      <c r="G1635" s="1" t="s">
        <v>1603</v>
      </c>
    </row>
    <row r="1636" spans="1:7" x14ac:dyDescent="0.25">
      <c r="A1636" t="s">
        <v>4233</v>
      </c>
      <c r="B1636" t="s">
        <v>5264</v>
      </c>
      <c r="C1636" t="s">
        <v>4234</v>
      </c>
      <c r="F1636" t="s">
        <v>5194</v>
      </c>
      <c r="G1636" s="1" t="s">
        <v>1603</v>
      </c>
    </row>
    <row r="1637" spans="1:7" x14ac:dyDescent="0.25">
      <c r="A1637" t="s">
        <v>5266</v>
      </c>
      <c r="B1637" t="s">
        <v>5264</v>
      </c>
      <c r="C1637" t="s">
        <v>4234</v>
      </c>
      <c r="F1637" t="s">
        <v>5200</v>
      </c>
      <c r="G1637" t="s">
        <v>1817</v>
      </c>
    </row>
    <row r="1638" spans="1:7" x14ac:dyDescent="0.25">
      <c r="A1638" t="s">
        <v>5266</v>
      </c>
      <c r="B1638" t="s">
        <v>5264</v>
      </c>
      <c r="C1638" t="s">
        <v>4234</v>
      </c>
      <c r="E1638" t="s">
        <v>2936</v>
      </c>
      <c r="F1638" t="s">
        <v>5203</v>
      </c>
      <c r="G1638" t="s">
        <v>1817</v>
      </c>
    </row>
    <row r="1639" spans="1:7" x14ac:dyDescent="0.25">
      <c r="A1639" t="s">
        <v>5266</v>
      </c>
      <c r="B1639" t="s">
        <v>5264</v>
      </c>
      <c r="C1639" t="s">
        <v>4234</v>
      </c>
      <c r="E1639" t="s">
        <v>2936</v>
      </c>
      <c r="F1639" t="s">
        <v>5206</v>
      </c>
      <c r="G1639" t="s">
        <v>1817</v>
      </c>
    </row>
    <row r="1640" spans="1:7" x14ac:dyDescent="0.25">
      <c r="A1640" t="s">
        <v>5266</v>
      </c>
      <c r="B1640" t="s">
        <v>5264</v>
      </c>
      <c r="C1640" t="s">
        <v>4234</v>
      </c>
      <c r="E1640" t="s">
        <v>2936</v>
      </c>
      <c r="F1640" t="s">
        <v>5209</v>
      </c>
      <c r="G1640" t="s">
        <v>1817</v>
      </c>
    </row>
    <row r="1641" spans="1:7" x14ac:dyDescent="0.25">
      <c r="A1641" t="s">
        <v>5266</v>
      </c>
      <c r="B1641" t="s">
        <v>5264</v>
      </c>
      <c r="C1641" t="s">
        <v>4234</v>
      </c>
      <c r="E1641" t="s">
        <v>2936</v>
      </c>
      <c r="F1641" t="s">
        <v>5212</v>
      </c>
      <c r="G1641" t="s">
        <v>1817</v>
      </c>
    </row>
    <row r="1642" spans="1:7" x14ac:dyDescent="0.25">
      <c r="A1642" t="s">
        <v>4236</v>
      </c>
      <c r="B1642" t="s">
        <v>5264</v>
      </c>
      <c r="C1642" t="s">
        <v>4234</v>
      </c>
      <c r="F1642" t="s">
        <v>5215</v>
      </c>
      <c r="G1642" t="s">
        <v>1817</v>
      </c>
    </row>
    <row r="1643" spans="1:7" x14ac:dyDescent="0.25">
      <c r="A1643" t="s">
        <v>2004</v>
      </c>
      <c r="F1643" t="s">
        <v>5218</v>
      </c>
      <c r="G1643" t="s">
        <v>1934</v>
      </c>
    </row>
    <row r="1644" spans="1:7" x14ac:dyDescent="0.25">
      <c r="A1644" t="s">
        <v>4</v>
      </c>
      <c r="B1644" t="s">
        <v>5267</v>
      </c>
      <c r="F1644" t="s">
        <v>5221</v>
      </c>
      <c r="G1644" t="s">
        <v>1997</v>
      </c>
    </row>
    <row r="1645" spans="1:7" x14ac:dyDescent="0.25">
      <c r="A1645" t="s">
        <v>4</v>
      </c>
      <c r="B1645" t="s">
        <v>5268</v>
      </c>
      <c r="F1645" t="s">
        <v>5224</v>
      </c>
      <c r="G1645" t="s">
        <v>1997</v>
      </c>
    </row>
  </sheetData>
  <phoneticPr fontId="2" type="noConversion"/>
  <conditionalFormatting sqref="C2:C11 C14 C16:C18 C23:C24">
    <cfRule type="notContainsText" dxfId="170" priority="184" operator="notContains" text="порожний">
      <formula>ISERROR(SEARCH("порожний",C2))</formula>
    </cfRule>
  </conditionalFormatting>
  <conditionalFormatting sqref="B11 A695 A697:A701 A825 B932">
    <cfRule type="containsText" dxfId="169" priority="18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68" priority="182" operator="notContains" text="порожний">
      <formula>ISERROR(SEARCH("порожний",C12))</formula>
    </cfRule>
  </conditionalFormatting>
  <conditionalFormatting sqref="B12:B14">
    <cfRule type="containsText" dxfId="167" priority="181" operator="containsText" text="Выезд с территории">
      <formula>NOT(ISERROR(SEARCH("Выезд с территории",B12)))</formula>
    </cfRule>
  </conditionalFormatting>
  <conditionalFormatting sqref="C15">
    <cfRule type="notContainsText" dxfId="166" priority="180" operator="notContains" text="порожний">
      <formula>ISERROR(SEARCH("порожний",C15))</formula>
    </cfRule>
  </conditionalFormatting>
  <conditionalFormatting sqref="C19:C22">
    <cfRule type="notContainsText" dxfId="165" priority="179" operator="notContains" text="порожний">
      <formula>ISERROR(SEARCH("порожний",C19))</formula>
    </cfRule>
  </conditionalFormatting>
  <conditionalFormatting sqref="C25">
    <cfRule type="notContainsText" dxfId="164" priority="178" operator="notContains" text="порожний">
      <formula>ISERROR(SEARCH("порожний",C25))</formula>
    </cfRule>
  </conditionalFormatting>
  <conditionalFormatting sqref="C26:C27">
    <cfRule type="notContainsText" dxfId="163" priority="177" operator="notContains" text="порожний">
      <formula>ISERROR(SEARCH("порожний",C26))</formula>
    </cfRule>
  </conditionalFormatting>
  <conditionalFormatting sqref="C29">
    <cfRule type="notContainsText" dxfId="162" priority="176" operator="notContains" text="порожний">
      <formula>ISERROR(SEARCH("порожний",C29))</formula>
    </cfRule>
  </conditionalFormatting>
  <conditionalFormatting sqref="C39">
    <cfRule type="notContainsText" dxfId="161" priority="171" operator="notContains" text="порожний">
      <formula>ISERROR(SEARCH("порожний",C39))</formula>
    </cfRule>
  </conditionalFormatting>
  <conditionalFormatting sqref="C32">
    <cfRule type="notContainsText" dxfId="160" priority="175" operator="notContains" text="порожний">
      <formula>ISERROR(SEARCH("порожний",C32))</formula>
    </cfRule>
  </conditionalFormatting>
  <conditionalFormatting sqref="C34">
    <cfRule type="notContainsText" dxfId="159" priority="174" operator="notContains" text="порожний">
      <formula>ISERROR(SEARCH("порожний",C34))</formula>
    </cfRule>
  </conditionalFormatting>
  <conditionalFormatting sqref="C36">
    <cfRule type="notContainsText" dxfId="158" priority="173" operator="notContains" text="порожний">
      <formula>ISERROR(SEARCH("порожний",C36))</formula>
    </cfRule>
  </conditionalFormatting>
  <conditionalFormatting sqref="C38">
    <cfRule type="notContainsText" dxfId="157" priority="172" operator="notContains" text="порожний">
      <formula>ISERROR(SEARCH("порожний",C38))</formula>
    </cfRule>
  </conditionalFormatting>
  <conditionalFormatting sqref="E147">
    <cfRule type="containsText" dxfId="156" priority="17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55" priority="169" operator="notContains" text="порожний">
      <formula>ISERROR(SEARCH("порожний",C581))</formula>
    </cfRule>
  </conditionalFormatting>
  <conditionalFormatting sqref="C586">
    <cfRule type="notContainsText" dxfId="154" priority="168" operator="notContains" text="порожний">
      <formula>ISERROR(SEARCH("порожний",C586))</formula>
    </cfRule>
  </conditionalFormatting>
  <conditionalFormatting sqref="B609">
    <cfRule type="containsText" dxfId="153" priority="167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152" priority="165" operator="containsText" text="Газель базы">
      <formula>NOT(ISERROR(SEARCH("Газель базы",B609)))</formula>
    </cfRule>
    <cfRule type="containsText" dxfId="151" priority="166" operator="containsText" text="Погрузчик базы">
      <formula>NOT(ISERROR(SEARCH("Погрузчик базы",B609)))</formula>
    </cfRule>
  </conditionalFormatting>
  <conditionalFormatting sqref="B609 B932">
    <cfRule type="containsText" dxfId="150" priority="164" operator="containsText" text="Трактор базы">
      <formula>NOT(ISERROR(SEARCH("Трактор базы",B609)))</formula>
    </cfRule>
  </conditionalFormatting>
  <conditionalFormatting sqref="B614">
    <cfRule type="containsText" dxfId="149" priority="160" operator="containsText" text="Трактор базы">
      <formula>NOT(ISERROR(SEARCH("Трактор базы",B614)))</formula>
    </cfRule>
  </conditionalFormatting>
  <conditionalFormatting sqref="B614">
    <cfRule type="containsText" dxfId="148" priority="163" operator="containsText" text="Выезд с территории">
      <formula>NOT(ISERROR(SEARCH("Выезд с территории",B614)))</formula>
    </cfRule>
  </conditionalFormatting>
  <conditionalFormatting sqref="B614">
    <cfRule type="containsText" dxfId="147" priority="161" operator="containsText" text="Газель базы">
      <formula>NOT(ISERROR(SEARCH("Газель базы",B614)))</formula>
    </cfRule>
    <cfRule type="containsText" dxfId="146" priority="162" operator="containsText" text="Погрузчик базы">
      <formula>NOT(ISERROR(SEARCH("Погрузчик базы",B614)))</formula>
    </cfRule>
  </conditionalFormatting>
  <conditionalFormatting sqref="C649">
    <cfRule type="notContainsText" dxfId="145" priority="159" operator="notContains" text="порожний">
      <formula>ISERROR(SEARCH("порожний",C649))</formula>
    </cfRule>
  </conditionalFormatting>
  <conditionalFormatting sqref="C655">
    <cfRule type="notContainsText" dxfId="144" priority="156" operator="notContains" text="порожний">
      <formula>ISERROR(SEARCH("порожний",C655))</formula>
    </cfRule>
  </conditionalFormatting>
  <conditionalFormatting sqref="C650">
    <cfRule type="notContainsText" dxfId="143" priority="158" operator="notContains" text="порожний">
      <formula>ISERROR(SEARCH("порожний",C650))</formula>
    </cfRule>
  </conditionalFormatting>
  <conditionalFormatting sqref="C654">
    <cfRule type="notContainsText" dxfId="142" priority="157" operator="notContains" text="порожний">
      <formula>ISERROR(SEARCH("порожний",C654))</formula>
    </cfRule>
  </conditionalFormatting>
  <conditionalFormatting sqref="A663:A666 A668:A670 A695 A697:A701 A825">
    <cfRule type="containsText" dxfId="141" priority="15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40" priority="155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139" priority="15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38" priority="15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37" priority="15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36" priority="15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35" priority="14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34" priority="149" operator="containsText" text="Выезд с территории">
      <formula>NOT(ISERROR(SEARCH("Выезд с территории",A681)))</formula>
    </cfRule>
  </conditionalFormatting>
  <conditionalFormatting sqref="A681">
    <cfRule type="containsText" dxfId="133" priority="14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32" priority="14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31" priority="143" operator="containsText" text="Трактор базы">
      <formula>NOT(ISERROR(SEARCH("Трактор базы",B682)))</formula>
    </cfRule>
  </conditionalFormatting>
  <conditionalFormatting sqref="B682">
    <cfRule type="containsText" dxfId="130" priority="146" operator="containsText" text="Выезд с территории">
      <formula>NOT(ISERROR(SEARCH("Выезд с территории",B682)))</formula>
    </cfRule>
  </conditionalFormatting>
  <conditionalFormatting sqref="B682">
    <cfRule type="containsText" dxfId="129" priority="144" operator="containsText" text="Газель базы">
      <formula>NOT(ISERROR(SEARCH("Газель базы",B682)))</formula>
    </cfRule>
    <cfRule type="containsText" dxfId="128" priority="145" operator="containsText" text="Погрузчик базы">
      <formula>NOT(ISERROR(SEARCH("Погрузчик базы",B682)))</formula>
    </cfRule>
  </conditionalFormatting>
  <conditionalFormatting sqref="A684:A687">
    <cfRule type="containsText" dxfId="127" priority="14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26" priority="14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25" priority="13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24" priority="13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23" priority="13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22" priority="12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21" priority="130" operator="containsText" text="Выезд с территории">
      <formula>NOT(ISERROR(SEARCH("Выезд с территории",A824)))</formula>
    </cfRule>
  </conditionalFormatting>
  <conditionalFormatting sqref="A824">
    <cfRule type="containsText" dxfId="120" priority="12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19" priority="12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18" priority="122" operator="containsText" text="Газель базы">
      <formula>NOT(ISERROR(SEARCH("Газель базы",B846)))</formula>
    </cfRule>
    <cfRule type="containsText" dxfId="117" priority="123" operator="containsText" text="Погрузчик базы">
      <formula>NOT(ISERROR(SEARCH("Погрузчик базы",B846)))</formula>
    </cfRule>
  </conditionalFormatting>
  <conditionalFormatting sqref="B846:B850">
    <cfRule type="containsText" dxfId="116" priority="121" operator="containsText" text="Трактор базы">
      <formula>NOT(ISERROR(SEARCH("Трактор базы",B846)))</formula>
    </cfRule>
  </conditionalFormatting>
  <conditionalFormatting sqref="A916:A917">
    <cfRule type="containsText" dxfId="115" priority="11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14" priority="12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13" priority="118" operator="containsText" text="Газель базы">
      <formula>NOT(ISERROR(SEARCH("Газель базы",B916)))</formula>
    </cfRule>
    <cfRule type="containsText" dxfId="112" priority="119" operator="containsText" text="Погрузчик базы">
      <formula>NOT(ISERROR(SEARCH("Погрузчик базы",B916)))</formula>
    </cfRule>
  </conditionalFormatting>
  <conditionalFormatting sqref="B916:B917">
    <cfRule type="containsText" dxfId="111" priority="117" operator="containsText" text="Трактор базы">
      <formula>NOT(ISERROR(SEARCH("Трактор базы",B916)))</formula>
    </cfRule>
  </conditionalFormatting>
  <conditionalFormatting sqref="A916:A917">
    <cfRule type="containsText" dxfId="110" priority="11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09" priority="114" operator="containsText" text="Выезд с территории">
      <formula>NOT(ISERROR(SEARCH("Выезд с территории",E916)))</formula>
    </cfRule>
  </conditionalFormatting>
  <conditionalFormatting sqref="A932">
    <cfRule type="containsText" dxfId="108" priority="9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07" priority="11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06" priority="111" operator="containsText" text="Газель базы">
      <formula>NOT(ISERROR(SEARCH("Газель базы",B918)))</formula>
    </cfRule>
    <cfRule type="containsText" dxfId="105" priority="112" operator="containsText" text="Погрузчик базы">
      <formula>NOT(ISERROR(SEARCH("Погрузчик базы",B918)))</formula>
    </cfRule>
  </conditionalFormatting>
  <conditionalFormatting sqref="B918:B924">
    <cfRule type="containsText" dxfId="104" priority="110" operator="containsText" text="Трактор базы">
      <formula>NOT(ISERROR(SEARCH("Трактор базы",B918)))</formula>
    </cfRule>
  </conditionalFormatting>
  <conditionalFormatting sqref="A918">
    <cfRule type="containsText" dxfId="103" priority="10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2" priority="10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1" priority="10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0" priority="10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9" priority="105" operator="containsText" text="Газель базы">
      <formula>NOT(ISERROR(SEARCH("Газель базы",B926)))</formula>
    </cfRule>
    <cfRule type="containsText" dxfId="98" priority="106" operator="containsText" text="Погрузчик базы">
      <formula>NOT(ISERROR(SEARCH("Погрузчик базы",B926)))</formula>
    </cfRule>
  </conditionalFormatting>
  <conditionalFormatting sqref="B926:B928">
    <cfRule type="containsText" dxfId="97" priority="104" operator="containsText" text="Трактор базы">
      <formula>NOT(ISERROR(SEARCH("Трактор базы",B926)))</formula>
    </cfRule>
  </conditionalFormatting>
  <conditionalFormatting sqref="A926:A928">
    <cfRule type="containsText" dxfId="96" priority="10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5" priority="101" operator="containsText" text="Выезд с территории">
      <formula>NOT(ISERROR(SEARCH("Выезд с территории",E926)))</formula>
    </cfRule>
  </conditionalFormatting>
  <conditionalFormatting sqref="A930">
    <cfRule type="containsText" dxfId="94" priority="9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3" priority="100" operator="containsText" text="Выезд с территории">
      <formula>NOT(ISERROR(SEARCH("Выезд с территории",A930)))</formula>
    </cfRule>
  </conditionalFormatting>
  <conditionalFormatting sqref="B930">
    <cfRule type="containsText" dxfId="92" priority="98" operator="containsText" text="Газель базы">
      <formula>NOT(ISERROR(SEARCH("Газель базы",B930)))</formula>
    </cfRule>
    <cfRule type="containsText" dxfId="91" priority="99" operator="containsText" text="Погрузчик базы">
      <formula>NOT(ISERROR(SEARCH("Погрузчик базы",B930)))</formula>
    </cfRule>
  </conditionalFormatting>
  <conditionalFormatting sqref="B930">
    <cfRule type="containsText" dxfId="90" priority="97" operator="containsText" text="Трактор базы">
      <formula>NOT(ISERROR(SEARCH("Трактор базы",B930)))</formula>
    </cfRule>
  </conditionalFormatting>
  <conditionalFormatting sqref="A930">
    <cfRule type="containsText" dxfId="89" priority="9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8" priority="94" operator="containsText" text="Выезд с территории">
      <formula>NOT(ISERROR(SEARCH("Выезд с территории",E930)))</formula>
    </cfRule>
  </conditionalFormatting>
  <conditionalFormatting sqref="A932">
    <cfRule type="containsText" dxfId="87" priority="93" operator="containsText" text="Выезд с территории">
      <formula>NOT(ISERROR(SEARCH("Выезд с территории",A932)))</formula>
    </cfRule>
  </conditionalFormatting>
  <conditionalFormatting sqref="A932">
    <cfRule type="containsText" dxfId="86" priority="9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5" priority="8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4" priority="9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3" priority="8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2" priority="8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1" priority="86" operator="notContains" text="порожний">
      <formula>ISERROR(SEARCH("порожний",C954))</formula>
    </cfRule>
  </conditionalFormatting>
  <conditionalFormatting sqref="B954:B956">
    <cfRule type="containsText" dxfId="80" priority="84" operator="containsText" text="Газель базы">
      <formula>NOT(ISERROR(SEARCH("Газель базы",B954)))</formula>
    </cfRule>
    <cfRule type="containsText" dxfId="79" priority="85" operator="containsText" text="Погрузчик базы">
      <formula>NOT(ISERROR(SEARCH("Погрузчик базы",B954)))</formula>
    </cfRule>
  </conditionalFormatting>
  <conditionalFormatting sqref="B954:B956">
    <cfRule type="containsText" dxfId="78" priority="83" operator="containsText" text="Трактор базы">
      <formula>NOT(ISERROR(SEARCH("Трактор базы",B954)))</formula>
    </cfRule>
  </conditionalFormatting>
  <conditionalFormatting sqref="A954:A956">
    <cfRule type="containsText" dxfId="77" priority="8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6" priority="8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" priority="79" operator="notContains" text="порожний">
      <formula>ISERROR(SEARCH("порожний",C995))</formula>
    </cfRule>
  </conditionalFormatting>
  <conditionalFormatting sqref="C987">
    <cfRule type="notContainsText" dxfId="74" priority="80" operator="notContains" text="порожний">
      <formula>ISERROR(SEARCH("порожний",C987))</formula>
    </cfRule>
  </conditionalFormatting>
  <conditionalFormatting sqref="B999">
    <cfRule type="containsText" dxfId="73" priority="78" operator="containsText" text="Выезд с территории">
      <formula>NOT(ISERROR(SEARCH("Выезд с территории",B999)))</formula>
    </cfRule>
  </conditionalFormatting>
  <conditionalFormatting sqref="B999">
    <cfRule type="containsText" dxfId="72" priority="76" operator="containsText" text="Газель базы">
      <formula>NOT(ISERROR(SEARCH("Газель базы",B999)))</formula>
    </cfRule>
    <cfRule type="containsText" dxfId="71" priority="77" operator="containsText" text="Погрузчик базы">
      <formula>NOT(ISERROR(SEARCH("Погрузчик базы",B999)))</formula>
    </cfRule>
  </conditionalFormatting>
  <conditionalFormatting sqref="B999">
    <cfRule type="containsText" dxfId="70" priority="75" operator="containsText" text="Трактор базы">
      <formula>NOT(ISERROR(SEARCH("Трактор базы",B999)))</formula>
    </cfRule>
  </conditionalFormatting>
  <conditionalFormatting sqref="B1019:B1022">
    <cfRule type="containsText" dxfId="69" priority="71" operator="containsText" text="Трактор базы">
      <formula>NOT(ISERROR(SEARCH("Трактор базы",B1019)))</formula>
    </cfRule>
  </conditionalFormatting>
  <conditionalFormatting sqref="B1019:B1022">
    <cfRule type="containsText" dxfId="68" priority="7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7" priority="72" operator="containsText" text="Газель базы">
      <formula>NOT(ISERROR(SEARCH("Газель базы",B1019)))</formula>
    </cfRule>
    <cfRule type="containsText" dxfId="66" priority="73" operator="containsText" text="Погрузчик базы">
      <formula>NOT(ISERROR(SEARCH("Погрузчик базы",B1019)))</formula>
    </cfRule>
  </conditionalFormatting>
  <conditionalFormatting sqref="C966">
    <cfRule type="notContainsText" dxfId="65" priority="70" operator="notContains" text="порожний">
      <formula>ISERROR(SEARCH("порожний",C966))</formula>
    </cfRule>
  </conditionalFormatting>
  <conditionalFormatting sqref="A1029">
    <cfRule type="containsText" dxfId="64" priority="6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3" priority="6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2" priority="6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1" priority="6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0" priority="64" operator="containsText" text="Газель базы">
      <formula>NOT(ISERROR(SEARCH("Газель базы",B1030)))</formula>
    </cfRule>
    <cfRule type="containsText" dxfId="59" priority="65" operator="containsText" text="Погрузчик базы">
      <formula>NOT(ISERROR(SEARCH("Погрузчик базы",B1030)))</formula>
    </cfRule>
  </conditionalFormatting>
  <conditionalFormatting sqref="B1030">
    <cfRule type="containsText" dxfId="58" priority="63" operator="containsText" text="Трактор базы">
      <formula>NOT(ISERROR(SEARCH("Трактор базы",B1030)))</formula>
    </cfRule>
  </conditionalFormatting>
  <conditionalFormatting sqref="A1035">
    <cfRule type="containsText" dxfId="57" priority="5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6" priority="6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5" priority="6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4" priority="6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3" priority="5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2" priority="5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" priority="5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0" priority="54" operator="containsText" text="Газель базы">
      <formula>NOT(ISERROR(SEARCH("Газель базы",B1138)))</formula>
    </cfRule>
    <cfRule type="containsText" dxfId="49" priority="55" operator="containsText" text="Погрузчик базы">
      <formula>NOT(ISERROR(SEARCH("Погрузчик базы",B1138)))</formula>
    </cfRule>
  </conditionalFormatting>
  <conditionalFormatting sqref="B1138:B1161">
    <cfRule type="containsText" dxfId="48" priority="53" operator="containsText" text="Трактор базы">
      <formula>NOT(ISERROR(SEARCH("Трактор базы",B1138)))</formula>
    </cfRule>
  </conditionalFormatting>
  <conditionalFormatting sqref="B1258:B1262">
    <cfRule type="containsText" dxfId="47" priority="37" operator="containsText" text="Трактор базы">
      <formula>NOT(ISERROR(SEARCH("Трактор базы",B1258)))</formula>
    </cfRule>
  </conditionalFormatting>
  <conditionalFormatting sqref="B1244:B1252">
    <cfRule type="containsText" dxfId="46" priority="5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5" priority="50" operator="containsText" text="Газель базы">
      <formula>NOT(ISERROR(SEARCH("Газель базы",B1244)))</formula>
    </cfRule>
    <cfRule type="containsText" dxfId="44" priority="51" operator="containsText" text="Погрузчик базы">
      <formula>NOT(ISERROR(SEARCH("Погрузчик базы",B1244)))</formula>
    </cfRule>
  </conditionalFormatting>
  <conditionalFormatting sqref="B1244:B1252">
    <cfRule type="containsText" dxfId="43" priority="49" operator="containsText" text="Трактор базы">
      <formula>NOT(ISERROR(SEARCH("Трактор базы",B1244)))</formula>
    </cfRule>
  </conditionalFormatting>
  <conditionalFormatting sqref="B1253:B1256">
    <cfRule type="containsText" dxfId="42" priority="4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1" priority="46" operator="containsText" text="Газель базы">
      <formula>NOT(ISERROR(SEARCH("Газель базы",B1253)))</formula>
    </cfRule>
    <cfRule type="containsText" dxfId="40" priority="47" operator="containsText" text="Погрузчик базы">
      <formula>NOT(ISERROR(SEARCH("Погрузчик базы",B1253)))</formula>
    </cfRule>
  </conditionalFormatting>
  <conditionalFormatting sqref="B1253:B1256">
    <cfRule type="containsText" dxfId="39" priority="45" operator="containsText" text="Трактор базы">
      <formula>NOT(ISERROR(SEARCH("Трактор базы",B1253)))</formula>
    </cfRule>
  </conditionalFormatting>
  <conditionalFormatting sqref="B1257">
    <cfRule type="containsText" dxfId="38" priority="4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7" priority="42" operator="containsText" text="Газель базы">
      <formula>NOT(ISERROR(SEARCH("Газель базы",B1257)))</formula>
    </cfRule>
    <cfRule type="containsText" dxfId="36" priority="43" operator="containsText" text="Погрузчик базы">
      <formula>NOT(ISERROR(SEARCH("Погрузчик базы",B1257)))</formula>
    </cfRule>
  </conditionalFormatting>
  <conditionalFormatting sqref="B1257">
    <cfRule type="containsText" dxfId="35" priority="41" operator="containsText" text="Трактор базы">
      <formula>NOT(ISERROR(SEARCH("Трактор базы",B1257)))</formula>
    </cfRule>
  </conditionalFormatting>
  <conditionalFormatting sqref="B1258:B1262">
    <cfRule type="containsText" dxfId="34" priority="4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3" priority="38" operator="containsText" text="Газель базы">
      <formula>NOT(ISERROR(SEARCH("Газель базы",B1258)))</formula>
    </cfRule>
    <cfRule type="containsText" dxfId="32" priority="39" operator="containsText" text="Погрузчик базы">
      <formula>NOT(ISERROR(SEARCH("Погрузчик базы",B1258)))</formula>
    </cfRule>
  </conditionalFormatting>
  <conditionalFormatting sqref="B1281:B1287">
    <cfRule type="containsText" dxfId="31" priority="3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0" priority="34" operator="containsText" text="Газель базы">
      <formula>NOT(ISERROR(SEARCH("Газель базы",B1281)))</formula>
    </cfRule>
    <cfRule type="containsText" dxfId="29" priority="35" operator="containsText" text="Погрузчик базы">
      <formula>NOT(ISERROR(SEARCH("Погрузчик базы",B1281)))</formula>
    </cfRule>
  </conditionalFormatting>
  <conditionalFormatting sqref="B1281:B1287">
    <cfRule type="containsText" dxfId="28" priority="33" operator="containsText" text="Трактор базы">
      <formula>NOT(ISERROR(SEARCH("Трактор базы",B1281)))</formula>
    </cfRule>
  </conditionalFormatting>
  <conditionalFormatting sqref="B1296">
    <cfRule type="containsText" dxfId="27" priority="29" operator="containsText" text="Трактор базы">
      <formula>NOT(ISERROR(SEARCH("Трактор базы",B1296)))</formula>
    </cfRule>
  </conditionalFormatting>
  <conditionalFormatting sqref="B1296">
    <cfRule type="containsText" dxfId="26" priority="3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5" priority="30" operator="containsText" text="Газель базы">
      <formula>NOT(ISERROR(SEARCH("Газель базы",B1296)))</formula>
    </cfRule>
    <cfRule type="containsText" dxfId="24" priority="31" operator="containsText" text="Погрузчик базы">
      <formula>NOT(ISERROR(SEARCH("Погрузчик базы",B1296)))</formula>
    </cfRule>
  </conditionalFormatting>
  <conditionalFormatting sqref="C1320:C1321">
    <cfRule type="notContainsText" dxfId="23" priority="27" operator="notContains" text="порожний">
      <formula>ISERROR(SEARCH("порожний",C1320))</formula>
    </cfRule>
  </conditionalFormatting>
  <conditionalFormatting sqref="A1323">
    <cfRule type="containsText" dxfId="22" priority="2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1" priority="2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0" priority="2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9" priority="2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8" priority="2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7" priority="2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6" priority="20" operator="notContains" text="порожний">
      <formula>ISERROR(SEARCH("порожний",C1336))</formula>
    </cfRule>
  </conditionalFormatting>
  <conditionalFormatting sqref="C1346">
    <cfRule type="notContainsText" dxfId="15" priority="19" operator="notContains" text="порожний">
      <formula>ISERROR(SEARCH("порожний",C1346))</formula>
    </cfRule>
  </conditionalFormatting>
  <conditionalFormatting sqref="A1391">
    <cfRule type="containsText" dxfId="14" priority="1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3" priority="1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2" priority="1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1" priority="1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0" priority="1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9" priority="1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" priority="9" operator="notContains" text="порожний">
      <formula>ISERROR(SEARCH("порожний",C1606))</formula>
    </cfRule>
  </conditionalFormatting>
  <conditionalFormatting sqref="B1633:B1636">
    <cfRule type="containsText" dxfId="7" priority="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" priority="6" operator="containsText" text="Газель базы">
      <formula>NOT(ISERROR(SEARCH("Газель базы",B1633)))</formula>
    </cfRule>
    <cfRule type="containsText" dxfId="5" priority="7" operator="containsText" text="Погрузчик базы">
      <formula>NOT(ISERROR(SEARCH("Погрузчик базы",B1633)))</formula>
    </cfRule>
  </conditionalFormatting>
  <conditionalFormatting sqref="B1633:B1636">
    <cfRule type="containsText" dxfId="4" priority="5" operator="containsText" text="Трактор базы">
      <formula>NOT(ISERROR(SEARCH("Трактор базы",B1633)))</formula>
    </cfRule>
  </conditionalFormatting>
  <conditionalFormatting sqref="B1637:B1642">
    <cfRule type="containsText" dxfId="3" priority="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" priority="2" operator="containsText" text="Газель базы">
      <formula>NOT(ISERROR(SEARCH("Газель базы",B1637)))</formula>
    </cfRule>
    <cfRule type="containsText" dxfId="1" priority="3" operator="containsText" text="Погрузчик базы">
      <formula>NOT(ISERROR(SEARCH("Погрузчик базы",B1637)))</formula>
    </cfRule>
  </conditionalFormatting>
  <conditionalFormatting sqref="B1637:B1642">
    <cfRule type="containsText" dxfId="0" priority="1" operator="containsText" text="Трактор базы">
      <formula>NOT(ISERROR(SEARCH("Трактор базы",B1637)))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2025-12-10T14:38:26Z</dcterms:modified>
</cp:coreProperties>
</file>